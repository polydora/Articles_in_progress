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3" sheetId="2" state="visible" r:id="rId4"/>
    <sheet name="Лист2" sheetId="3" state="visible" r:id="rId5"/>
  </sheets>
  <definedNames>
    <definedName function="false" hidden="true" localSheetId="0" name="_xlnm._FilterDatabase" vbProcedure="false">Лист1!$A$1:$T$707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<sst xmlns="http://schemas.openxmlformats.org/spreadsheetml/2006/main" count="2389" uniqueCount="1609">
  <si>
    <t xml:space="preserve">ID</t>
  </si>
  <si>
    <t xml:space="preserve">Date</t>
  </si>
  <si>
    <t xml:space="preserve">Region</t>
  </si>
  <si>
    <t xml:space="preserve">Place</t>
  </si>
  <si>
    <t xml:space="preserve">N_eggs</t>
  </si>
  <si>
    <t xml:space="preserve">Ed</t>
  </si>
  <si>
    <t xml:space="preserve">A1</t>
  </si>
  <si>
    <t xml:space="preserve">D1</t>
  </si>
  <si>
    <t xml:space="preserve">TA1</t>
  </si>
  <si>
    <t xml:space="preserve">TD1</t>
  </si>
  <si>
    <t xml:space="preserve">A2</t>
  </si>
  <si>
    <t xml:space="preserve">D2</t>
  </si>
  <si>
    <t xml:space="preserve">TA2</t>
  </si>
  <si>
    <t xml:space="preserve">TD2</t>
  </si>
  <si>
    <t xml:space="preserve">A3</t>
  </si>
  <si>
    <t xml:space="preserve">D3</t>
  </si>
  <si>
    <t xml:space="preserve">TA3</t>
  </si>
  <si>
    <t xml:space="preserve">TD3</t>
  </si>
  <si>
    <t xml:space="preserve">incubation_period</t>
  </si>
  <si>
    <t xml:space="preserve">Q</t>
  </si>
  <si>
    <t xml:space="preserve">2009_053</t>
  </si>
  <si>
    <t xml:space="preserve">Luvengsky arhipelag</t>
  </si>
  <si>
    <t xml:space="preserve">Barzha</t>
  </si>
  <si>
    <t xml:space="preserve">2009_058</t>
  </si>
  <si>
    <t xml:space="preserve">2009_229</t>
  </si>
  <si>
    <t xml:space="preserve">Vlasikha </t>
  </si>
  <si>
    <t xml:space="preserve">2009_517</t>
  </si>
  <si>
    <t xml:space="preserve">Severny arhipelag</t>
  </si>
  <si>
    <t xml:space="preserve">Skalistaya</t>
  </si>
  <si>
    <t xml:space="preserve">2009_617</t>
  </si>
  <si>
    <t xml:space="preserve">2009_971</t>
  </si>
  <si>
    <t xml:space="preserve">Aphanaska I</t>
  </si>
  <si>
    <t xml:space="preserve">2009_992</t>
  </si>
  <si>
    <t xml:space="preserve">2009_1244</t>
  </si>
  <si>
    <t xml:space="preserve">Bolshoy Beryozovy</t>
  </si>
  <si>
    <t xml:space="preserve">2009_1260</t>
  </si>
  <si>
    <t xml:space="preserve">пт</t>
  </si>
  <si>
    <t xml:space="preserve">2009_1275</t>
  </si>
  <si>
    <t xml:space="preserve">2009_1583</t>
  </si>
  <si>
    <t xml:space="preserve">Maly</t>
  </si>
  <si>
    <t xml:space="preserve">Polovinnitca Bolshaya (без створного знака)</t>
  </si>
  <si>
    <t xml:space="preserve">2009_211</t>
  </si>
  <si>
    <t xml:space="preserve">Vlasikha Malaya</t>
  </si>
  <si>
    <t xml:space="preserve">накл</t>
  </si>
  <si>
    <t xml:space="preserve">2009_457</t>
  </si>
  <si>
    <t xml:space="preserve">Lozmanskaya</t>
  </si>
  <si>
    <t xml:space="preserve">2009_530</t>
  </si>
  <si>
    <t xml:space="preserve">Gorelaya</t>
  </si>
  <si>
    <t xml:space="preserve">2009_574</t>
  </si>
  <si>
    <t xml:space="preserve">Osushnaya</t>
  </si>
  <si>
    <t xml:space="preserve">2009_594</t>
  </si>
  <si>
    <t xml:space="preserve">Gorely</t>
  </si>
  <si>
    <t xml:space="preserve">2009_602</t>
  </si>
  <si>
    <t xml:space="preserve">2009_649</t>
  </si>
  <si>
    <t xml:space="preserve">2009_655</t>
  </si>
  <si>
    <t xml:space="preserve">2009_663</t>
  </si>
  <si>
    <t xml:space="preserve">2009_668</t>
  </si>
  <si>
    <t xml:space="preserve">2009_671</t>
  </si>
  <si>
    <t xml:space="preserve">2009_673</t>
  </si>
  <si>
    <t xml:space="preserve">2009_685</t>
  </si>
  <si>
    <t xml:space="preserve">Vorony Baklysh</t>
  </si>
  <si>
    <t xml:space="preserve">2009_690</t>
  </si>
  <si>
    <t xml:space="preserve">2009_695</t>
  </si>
  <si>
    <t xml:space="preserve">2009_711</t>
  </si>
  <si>
    <t xml:space="preserve">Centralnaya</t>
  </si>
  <si>
    <t xml:space="preserve">2009_740</t>
  </si>
  <si>
    <t xml:space="preserve">2009_816</t>
  </si>
  <si>
    <t xml:space="preserve">2009_827</t>
  </si>
  <si>
    <t xml:space="preserve">2009_829</t>
  </si>
  <si>
    <t xml:space="preserve">2009_934</t>
  </si>
  <si>
    <t xml:space="preserve">Aphanaska II</t>
  </si>
  <si>
    <t xml:space="preserve">2009_949</t>
  </si>
  <si>
    <t xml:space="preserve">взв</t>
  </si>
  <si>
    <t xml:space="preserve">2009_967</t>
  </si>
  <si>
    <t xml:space="preserve">4 (1 мертвое)</t>
  </si>
  <si>
    <t xml:space="preserve">2009_977</t>
  </si>
  <si>
    <t xml:space="preserve">2009_997</t>
  </si>
  <si>
    <t xml:space="preserve">2009_1184</t>
  </si>
  <si>
    <t xml:space="preserve">Oleny arhipelag</t>
  </si>
  <si>
    <t xml:space="preserve">Ovechy Baklysh</t>
  </si>
  <si>
    <t xml:space="preserve">2009_1249</t>
  </si>
  <si>
    <t xml:space="preserve">прокл</t>
  </si>
  <si>
    <t xml:space="preserve">2009_1604</t>
  </si>
  <si>
    <t xml:space="preserve">2009_437</t>
  </si>
  <si>
    <t xml:space="preserve">Cyp-luda</t>
  </si>
  <si>
    <t xml:space="preserve">2009_454</t>
  </si>
  <si>
    <t xml:space="preserve">2009_455</t>
  </si>
  <si>
    <t xml:space="preserve">2009_505</t>
  </si>
  <si>
    <t xml:space="preserve">2009_556</t>
  </si>
  <si>
    <t xml:space="preserve">2009_1261</t>
  </si>
  <si>
    <t xml:space="preserve">2009_1266</t>
  </si>
  <si>
    <t xml:space="preserve">2009_010</t>
  </si>
  <si>
    <t xml:space="preserve">Travyanaya</t>
  </si>
  <si>
    <t xml:space="preserve">6+4 яйца чернети</t>
  </si>
  <si>
    <t xml:space="preserve">2009_011</t>
  </si>
  <si>
    <t xml:space="preserve">2009_017</t>
  </si>
  <si>
    <t xml:space="preserve">Krasotka</t>
  </si>
  <si>
    <t xml:space="preserve">2009_021</t>
  </si>
  <si>
    <t xml:space="preserve">2009_060</t>
  </si>
  <si>
    <t xml:space="preserve">2009_191</t>
  </si>
  <si>
    <t xml:space="preserve">Vlasikha</t>
  </si>
  <si>
    <t xml:space="preserve">2009_194</t>
  </si>
  <si>
    <t xml:space="preserve">2009_197</t>
  </si>
  <si>
    <t xml:space="preserve">2009_208</t>
  </si>
  <si>
    <t xml:space="preserve">2009_225</t>
  </si>
  <si>
    <t xml:space="preserve">2009_278</t>
  </si>
  <si>
    <t xml:space="preserve">Moryanka</t>
  </si>
  <si>
    <t xml:space="preserve">2009_301</t>
  </si>
  <si>
    <t xml:space="preserve">Vlada</t>
  </si>
  <si>
    <t xml:space="preserve">2009_352</t>
  </si>
  <si>
    <t xml:space="preserve">2009_383</t>
  </si>
  <si>
    <t xml:space="preserve">2009_407</t>
  </si>
  <si>
    <t xml:space="preserve">Korabl</t>
  </si>
  <si>
    <t xml:space="preserve">2009_424</t>
  </si>
  <si>
    <t xml:space="preserve">2009_447</t>
  </si>
  <si>
    <t xml:space="preserve">2009_448</t>
  </si>
  <si>
    <t xml:space="preserve">2009_460</t>
  </si>
  <si>
    <t xml:space="preserve">3+1 мертвое в 30 см от гнезда</t>
  </si>
  <si>
    <t xml:space="preserve">2009_469</t>
  </si>
  <si>
    <t xml:space="preserve">2009_470</t>
  </si>
  <si>
    <t xml:space="preserve">2009_471</t>
  </si>
  <si>
    <t xml:space="preserve">2009_547</t>
  </si>
  <si>
    <t xml:space="preserve">2009_548</t>
  </si>
  <si>
    <t xml:space="preserve">2009_569</t>
  </si>
  <si>
    <t xml:space="preserve">2009_572</t>
  </si>
  <si>
    <t xml:space="preserve">2009_573</t>
  </si>
  <si>
    <t xml:space="preserve">2009_582</t>
  </si>
  <si>
    <t xml:space="preserve">2009_597</t>
  </si>
  <si>
    <t xml:space="preserve">2009_622</t>
  </si>
  <si>
    <t xml:space="preserve">2009_633</t>
  </si>
  <si>
    <t xml:space="preserve">2009_657</t>
  </si>
  <si>
    <t xml:space="preserve">2009_709</t>
  </si>
  <si>
    <t xml:space="preserve">2009_710</t>
  </si>
  <si>
    <t xml:space="preserve">2009_712</t>
  </si>
  <si>
    <t xml:space="preserve">2009_741</t>
  </si>
  <si>
    <t xml:space="preserve">2009_744</t>
  </si>
  <si>
    <t xml:space="preserve">2009_828</t>
  </si>
  <si>
    <t xml:space="preserve">2009_859</t>
  </si>
  <si>
    <t xml:space="preserve">2009_896</t>
  </si>
  <si>
    <t xml:space="preserve">2009_907</t>
  </si>
  <si>
    <t xml:space="preserve">2009_911</t>
  </si>
  <si>
    <t xml:space="preserve">2009_915</t>
  </si>
  <si>
    <t xml:space="preserve">2009_918</t>
  </si>
  <si>
    <t xml:space="preserve">2009_950</t>
  </si>
  <si>
    <t xml:space="preserve">2009_951</t>
  </si>
  <si>
    <t xml:space="preserve">2009_952</t>
  </si>
  <si>
    <t xml:space="preserve">2009_953</t>
  </si>
  <si>
    <t xml:space="preserve">2009_965</t>
  </si>
  <si>
    <t xml:space="preserve">2009_972</t>
  </si>
  <si>
    <t xml:space="preserve">2009_975</t>
  </si>
  <si>
    <t xml:space="preserve">2009_985</t>
  </si>
  <si>
    <t xml:space="preserve">2009_988</t>
  </si>
  <si>
    <t xml:space="preserve">2009_989</t>
  </si>
  <si>
    <t xml:space="preserve">2009_1199</t>
  </si>
  <si>
    <t xml:space="preserve">Ovchinka</t>
  </si>
  <si>
    <t xml:space="preserve">2009_1247</t>
  </si>
  <si>
    <t xml:space="preserve">2009_1258</t>
  </si>
  <si>
    <t xml:space="preserve">2009_1312</t>
  </si>
  <si>
    <t xml:space="preserve">Elovaya Severnaya</t>
  </si>
  <si>
    <t xml:space="preserve">2009_1347</t>
  </si>
  <si>
    <t xml:space="preserve">2009_1361</t>
  </si>
  <si>
    <t xml:space="preserve">2009_1362</t>
  </si>
  <si>
    <t xml:space="preserve">2009_1391</t>
  </si>
  <si>
    <t xml:space="preserve">2009_1459</t>
  </si>
  <si>
    <t xml:space="preserve">2009_1527</t>
  </si>
  <si>
    <t xml:space="preserve">2009_1596</t>
  </si>
  <si>
    <t xml:space="preserve">2009_001</t>
  </si>
  <si>
    <t xml:space="preserve">2009_006</t>
  </si>
  <si>
    <t xml:space="preserve">2009_008</t>
  </si>
  <si>
    <t xml:space="preserve">2009_015</t>
  </si>
  <si>
    <t xml:space="preserve">Travyanaya Litoralnaya</t>
  </si>
  <si>
    <t xml:space="preserve">2009_019</t>
  </si>
  <si>
    <t xml:space="preserve">2009_192</t>
  </si>
  <si>
    <t xml:space="preserve">2009_199</t>
  </si>
  <si>
    <t xml:space="preserve">2009_205</t>
  </si>
  <si>
    <t xml:space="preserve">2009_219</t>
  </si>
  <si>
    <t xml:space="preserve">2009_220</t>
  </si>
  <si>
    <t xml:space="preserve">2009_276</t>
  </si>
  <si>
    <t xml:space="preserve">2009_285</t>
  </si>
  <si>
    <t xml:space="preserve">2009_293</t>
  </si>
  <si>
    <t xml:space="preserve">2009_364</t>
  </si>
  <si>
    <t xml:space="preserve">2009_419</t>
  </si>
  <si>
    <t xml:space="preserve">2009_458</t>
  </si>
  <si>
    <t xml:space="preserve">2009_519</t>
  </si>
  <si>
    <t xml:space="preserve">2009_559</t>
  </si>
  <si>
    <t xml:space="preserve">2009_578</t>
  </si>
  <si>
    <t xml:space="preserve">2009_626</t>
  </si>
  <si>
    <t xml:space="preserve">2009_628</t>
  </si>
  <si>
    <t xml:space="preserve">2009_629</t>
  </si>
  <si>
    <t xml:space="preserve">2009_636</t>
  </si>
  <si>
    <t xml:space="preserve">2009_653</t>
  </si>
  <si>
    <t xml:space="preserve">2009_665</t>
  </si>
  <si>
    <t xml:space="preserve">2009_669</t>
  </si>
  <si>
    <t xml:space="preserve">2009_689</t>
  </si>
  <si>
    <t xml:space="preserve">2009_782</t>
  </si>
  <si>
    <t xml:space="preserve">2009_784</t>
  </si>
  <si>
    <t xml:space="preserve">2009_833</t>
  </si>
  <si>
    <t xml:space="preserve">2009_878</t>
  </si>
  <si>
    <t xml:space="preserve">2009_910</t>
  </si>
  <si>
    <t xml:space="preserve">2009_913</t>
  </si>
  <si>
    <t xml:space="preserve">2009_936</t>
  </si>
  <si>
    <t xml:space="preserve">2009_961</t>
  </si>
  <si>
    <t xml:space="preserve">2009_962</t>
  </si>
  <si>
    <t xml:space="preserve">2009_976</t>
  </si>
  <si>
    <t xml:space="preserve">2009_1031</t>
  </si>
  <si>
    <t xml:space="preserve">Toloknyanka Yuzhnaya</t>
  </si>
  <si>
    <t xml:space="preserve">2009_1192</t>
  </si>
  <si>
    <t xml:space="preserve">2009_1245</t>
  </si>
  <si>
    <t xml:space="preserve">2009_1256</t>
  </si>
  <si>
    <t xml:space="preserve">2009_1269</t>
  </si>
  <si>
    <t xml:space="preserve">2009_1318</t>
  </si>
  <si>
    <t xml:space="preserve">2009_1319</t>
  </si>
  <si>
    <t xml:space="preserve">2009_1513</t>
  </si>
  <si>
    <t xml:space="preserve">2009_1566</t>
  </si>
  <si>
    <t xml:space="preserve">Polovinnitca Malaya</t>
  </si>
  <si>
    <t xml:space="preserve">2009_1584</t>
  </si>
  <si>
    <t xml:space="preserve">Polovinnitca Bolshaya </t>
  </si>
  <si>
    <t xml:space="preserve">2009_002</t>
  </si>
  <si>
    <t xml:space="preserve">2009_007</t>
  </si>
  <si>
    <t xml:space="preserve">2009_012</t>
  </si>
  <si>
    <t xml:space="preserve">2009_204</t>
  </si>
  <si>
    <t xml:space="preserve">2009_206</t>
  </si>
  <si>
    <t xml:space="preserve">2009_207</t>
  </si>
  <si>
    <t xml:space="preserve">2009_214</t>
  </si>
  <si>
    <t xml:space="preserve">2009_273</t>
  </si>
  <si>
    <t xml:space="preserve">2009_274</t>
  </si>
  <si>
    <t xml:space="preserve">2009_275</t>
  </si>
  <si>
    <t xml:space="preserve">2009_277</t>
  </si>
  <si>
    <t xml:space="preserve">2009_300</t>
  </si>
  <si>
    <t xml:space="preserve">2009_317</t>
  </si>
  <si>
    <t xml:space="preserve">2009_355</t>
  </si>
  <si>
    <t xml:space="preserve">2009_475</t>
  </si>
  <si>
    <t xml:space="preserve">2009_486</t>
  </si>
  <si>
    <t xml:space="preserve">2009_488</t>
  </si>
  <si>
    <t xml:space="preserve">2009_509</t>
  </si>
  <si>
    <t xml:space="preserve">2009_544</t>
  </si>
  <si>
    <t xml:space="preserve">2009_549</t>
  </si>
  <si>
    <t xml:space="preserve">2009_570</t>
  </si>
  <si>
    <t xml:space="preserve">2009_589</t>
  </si>
  <si>
    <t xml:space="preserve">2009_592</t>
  </si>
  <si>
    <t xml:space="preserve">2009_715</t>
  </si>
  <si>
    <t xml:space="preserve">2009_785</t>
  </si>
  <si>
    <t xml:space="preserve">2009_838</t>
  </si>
  <si>
    <t xml:space="preserve">2009_839</t>
  </si>
  <si>
    <t xml:space="preserve">2009_968</t>
  </si>
  <si>
    <t xml:space="preserve">2009_973</t>
  </si>
  <si>
    <t xml:space="preserve">2009_996</t>
  </si>
  <si>
    <t xml:space="preserve">2009_1008</t>
  </si>
  <si>
    <t xml:space="preserve">Vlasov Krugly</t>
  </si>
  <si>
    <t xml:space="preserve">2009_1194</t>
  </si>
  <si>
    <t xml:space="preserve">2009_1246</t>
  </si>
  <si>
    <t xml:space="preserve">2009_1251</t>
  </si>
  <si>
    <t xml:space="preserve">2009_1345</t>
  </si>
  <si>
    <t xml:space="preserve">2009_1688</t>
  </si>
  <si>
    <t xml:space="preserve">2009_020</t>
  </si>
  <si>
    <t xml:space="preserve">2009_257</t>
  </si>
  <si>
    <t xml:space="preserve">Krayushka</t>
  </si>
  <si>
    <t xml:space="preserve">2009_294</t>
  </si>
  <si>
    <t xml:space="preserve">2009_391</t>
  </si>
  <si>
    <t xml:space="preserve">2009_450</t>
  </si>
  <si>
    <t xml:space="preserve">2009_464</t>
  </si>
  <si>
    <t xml:space="preserve">2009_468</t>
  </si>
  <si>
    <t xml:space="preserve">2009_483</t>
  </si>
  <si>
    <t xml:space="preserve">2009_489</t>
  </si>
  <si>
    <t xml:space="preserve">2009_510</t>
  </si>
  <si>
    <t xml:space="preserve">2009_522</t>
  </si>
  <si>
    <t xml:space="preserve">2009_551</t>
  </si>
  <si>
    <t xml:space="preserve">2009_555</t>
  </si>
  <si>
    <t xml:space="preserve">2009_618</t>
  </si>
  <si>
    <t xml:space="preserve">2009_627</t>
  </si>
  <si>
    <t xml:space="preserve">2009_687</t>
  </si>
  <si>
    <t xml:space="preserve">2009_742</t>
  </si>
  <si>
    <t xml:space="preserve">2009_768</t>
  </si>
  <si>
    <t xml:space="preserve">2009_837</t>
  </si>
  <si>
    <t xml:space="preserve">2009_840</t>
  </si>
  <si>
    <t xml:space="preserve">2009_841</t>
  </si>
  <si>
    <t xml:space="preserve">2009_842</t>
  </si>
  <si>
    <t xml:space="preserve">2009_843</t>
  </si>
  <si>
    <t xml:space="preserve">2009_844</t>
  </si>
  <si>
    <t xml:space="preserve">2009_845</t>
  </si>
  <si>
    <t xml:space="preserve">2009_846</t>
  </si>
  <si>
    <t xml:space="preserve">2009_853</t>
  </si>
  <si>
    <t xml:space="preserve">2009_854</t>
  </si>
  <si>
    <t xml:space="preserve">2009_858</t>
  </si>
  <si>
    <t xml:space="preserve">2009_862</t>
  </si>
  <si>
    <t xml:space="preserve">2009_863</t>
  </si>
  <si>
    <t xml:space="preserve">2009_867</t>
  </si>
  <si>
    <t xml:space="preserve">2009_873</t>
  </si>
  <si>
    <t xml:space="preserve">2009_908</t>
  </si>
  <si>
    <t xml:space="preserve">2009_986</t>
  </si>
  <si>
    <t xml:space="preserve">2009_1270</t>
  </si>
  <si>
    <t xml:space="preserve">2009_1286</t>
  </si>
  <si>
    <t xml:space="preserve">2009_003</t>
  </si>
  <si>
    <t xml:space="preserve">2009_014</t>
  </si>
  <si>
    <t xml:space="preserve">2009_210</t>
  </si>
  <si>
    <t xml:space="preserve">2009_216</t>
  </si>
  <si>
    <t xml:space="preserve">2009_252</t>
  </si>
  <si>
    <t xml:space="preserve">2009_253</t>
  </si>
  <si>
    <t xml:space="preserve">2009_279</t>
  </si>
  <si>
    <t xml:space="preserve">2009_356</t>
  </si>
  <si>
    <t xml:space="preserve">2009_487</t>
  </si>
  <si>
    <t xml:space="preserve">2009_498</t>
  </si>
  <si>
    <t xml:space="preserve">2009_500</t>
  </si>
  <si>
    <t xml:space="preserve">2009_506</t>
  </si>
  <si>
    <t xml:space="preserve">2009_543</t>
  </si>
  <si>
    <t xml:space="preserve">2009_557</t>
  </si>
  <si>
    <t xml:space="preserve">2009_621</t>
  </si>
  <si>
    <t xml:space="preserve">2009_632</t>
  </si>
  <si>
    <t xml:space="preserve">2009_760</t>
  </si>
  <si>
    <t xml:space="preserve">2009_832</t>
  </si>
  <si>
    <t xml:space="preserve">2009_1027</t>
  </si>
  <si>
    <t xml:space="preserve">2009_1174</t>
  </si>
  <si>
    <t xml:space="preserve">Klop Vostochny</t>
  </si>
  <si>
    <t xml:space="preserve">2009_022</t>
  </si>
  <si>
    <t xml:space="preserve">2009_057</t>
  </si>
  <si>
    <t xml:space="preserve">2009_463</t>
  </si>
  <si>
    <t xml:space="preserve">2009_492</t>
  </si>
  <si>
    <t xml:space="preserve">2009_494</t>
  </si>
  <si>
    <t xml:space="preserve">Stolbovaya</t>
  </si>
  <si>
    <t xml:space="preserve">2009_497</t>
  </si>
  <si>
    <t xml:space="preserve">2009_499</t>
  </si>
  <si>
    <t xml:space="preserve">2009_504</t>
  </si>
  <si>
    <t xml:space="preserve">2009_745</t>
  </si>
  <si>
    <t xml:space="preserve">2009_759</t>
  </si>
  <si>
    <t xml:space="preserve">2009_761</t>
  </si>
  <si>
    <t xml:space="preserve">2009_765</t>
  </si>
  <si>
    <t xml:space="preserve">2009_786</t>
  </si>
  <si>
    <t xml:space="preserve">2009_805</t>
  </si>
  <si>
    <t xml:space="preserve">2009_917</t>
  </si>
  <si>
    <t xml:space="preserve">2009_050</t>
  </si>
  <si>
    <t xml:space="preserve">2009_196</t>
  </si>
  <si>
    <t xml:space="preserve">2009_272</t>
  </si>
  <si>
    <t xml:space="preserve">2009_495</t>
  </si>
  <si>
    <t xml:space="preserve">2009_496</t>
  </si>
  <si>
    <t xml:space="preserve">2009_507</t>
  </si>
  <si>
    <t xml:space="preserve">2009_576</t>
  </si>
  <si>
    <t xml:space="preserve">2009_591</t>
  </si>
  <si>
    <t xml:space="preserve">2009_595</t>
  </si>
  <si>
    <t xml:space="preserve">2009_630</t>
  </si>
  <si>
    <t xml:space="preserve">2009_670</t>
  </si>
  <si>
    <t xml:space="preserve">2009_688</t>
  </si>
  <si>
    <t xml:space="preserve">2009_763</t>
  </si>
  <si>
    <t xml:space="preserve">2009_826</t>
  </si>
  <si>
    <t xml:space="preserve">2009_926</t>
  </si>
  <si>
    <t xml:space="preserve">2009_1166</t>
  </si>
  <si>
    <t xml:space="preserve">Ovechka Chumazaya</t>
  </si>
  <si>
    <t xml:space="preserve">2009_1572</t>
  </si>
  <si>
    <t xml:space="preserve">2009_1359</t>
  </si>
  <si>
    <t xml:space="preserve">2009_004</t>
  </si>
  <si>
    <t xml:space="preserve">2009_054</t>
  </si>
  <si>
    <t xml:space="preserve">2009_055</t>
  </si>
  <si>
    <t xml:space="preserve">2009_481</t>
  </si>
  <si>
    <t xml:space="preserve">2009_493</t>
  </si>
  <si>
    <t xml:space="preserve">2009_508</t>
  </si>
  <si>
    <t xml:space="preserve">2009_795</t>
  </si>
  <si>
    <t xml:space="preserve">2009_820</t>
  </si>
  <si>
    <t xml:space="preserve">2009_851</t>
  </si>
  <si>
    <t xml:space="preserve">2009_898</t>
  </si>
  <si>
    <t xml:space="preserve">2009_963</t>
  </si>
  <si>
    <t xml:space="preserve">2009_964</t>
  </si>
  <si>
    <t xml:space="preserve">2009_1165</t>
  </si>
  <si>
    <t xml:space="preserve">2009_1265</t>
  </si>
  <si>
    <t xml:space="preserve">2009_1574</t>
  </si>
  <si>
    <t xml:space="preserve">2009_1575</t>
  </si>
  <si>
    <t xml:space="preserve">2009_005</t>
  </si>
  <si>
    <t xml:space="preserve">2009_651</t>
  </si>
  <si>
    <t xml:space="preserve">2009_1346</t>
  </si>
  <si>
    <t xml:space="preserve">2009_200</t>
  </si>
  <si>
    <t xml:space="preserve">2009_545</t>
  </si>
  <si>
    <t xml:space="preserve">2009_1150</t>
  </si>
  <si>
    <t xml:space="preserve">2009_1296</t>
  </si>
  <si>
    <t xml:space="preserve">2009_1198</t>
  </si>
  <si>
    <t xml:space="preserve">2009_1151</t>
  </si>
  <si>
    <t xml:space="preserve">2009_018</t>
  </si>
  <si>
    <t xml:space="preserve">2009_563</t>
  </si>
  <si>
    <t xml:space="preserve">2009_708</t>
  </si>
  <si>
    <t xml:space="preserve">2009_798</t>
  </si>
  <si>
    <t xml:space="preserve">2009_645</t>
  </si>
  <si>
    <t xml:space="preserve">5</t>
  </si>
  <si>
    <t xml:space="preserve">2009_1313</t>
  </si>
  <si>
    <t xml:space="preserve">2009_643</t>
  </si>
  <si>
    <t xml:space="preserve">8</t>
  </si>
  <si>
    <t xml:space="preserve">2009_009</t>
  </si>
  <si>
    <t xml:space="preserve">2009_016</t>
  </si>
  <si>
    <t xml:space="preserve">2009_056</t>
  </si>
  <si>
    <t xml:space="preserve">2009_061</t>
  </si>
  <si>
    <t xml:space="preserve">2009_198</t>
  </si>
  <si>
    <t xml:space="preserve">2009_203</t>
  </si>
  <si>
    <t xml:space="preserve">2009_221</t>
  </si>
  <si>
    <t xml:space="preserve">2009_222</t>
  </si>
  <si>
    <t xml:space="preserve">2009_228</t>
  </si>
  <si>
    <t xml:space="preserve">2009_271</t>
  </si>
  <si>
    <t xml:space="preserve">2009_336</t>
  </si>
  <si>
    <t xml:space="preserve">2009_373</t>
  </si>
  <si>
    <t xml:space="preserve">2009_485</t>
  </si>
  <si>
    <t xml:space="preserve">2009_490</t>
  </si>
  <si>
    <t xml:space="preserve">2009_491</t>
  </si>
  <si>
    <t xml:space="preserve">2009_664</t>
  </si>
  <si>
    <t xml:space="preserve">2009_2106</t>
  </si>
  <si>
    <t xml:space="preserve">2009_2107</t>
  </si>
  <si>
    <t xml:space="preserve">2009_2108</t>
  </si>
  <si>
    <t xml:space="preserve">2009_2109</t>
  </si>
  <si>
    <t xml:space="preserve">2009_2110</t>
  </si>
  <si>
    <t xml:space="preserve">2009_2111</t>
  </si>
  <si>
    <t xml:space="preserve">2009_2112</t>
  </si>
  <si>
    <t xml:space="preserve">2009_2113</t>
  </si>
  <si>
    <t xml:space="preserve">2009_2114</t>
  </si>
  <si>
    <t xml:space="preserve">2009_2115</t>
  </si>
  <si>
    <t xml:space="preserve">2009_2116</t>
  </si>
  <si>
    <t xml:space="preserve">2009_2117</t>
  </si>
  <si>
    <t xml:space="preserve">2009_2118</t>
  </si>
  <si>
    <t xml:space="preserve">2009_2119</t>
  </si>
  <si>
    <t xml:space="preserve">2009_2120</t>
  </si>
  <si>
    <t xml:space="preserve">2009_2121</t>
  </si>
  <si>
    <t xml:space="preserve">2009_2122</t>
  </si>
  <si>
    <t xml:space="preserve">2009_2123</t>
  </si>
  <si>
    <t xml:space="preserve">2009_2124</t>
  </si>
  <si>
    <t xml:space="preserve">2009_2125</t>
  </si>
  <si>
    <t xml:space="preserve">2009_2126</t>
  </si>
  <si>
    <t xml:space="preserve">2009_2127</t>
  </si>
  <si>
    <t xml:space="preserve">2009_2128</t>
  </si>
  <si>
    <t xml:space="preserve">2009_2129</t>
  </si>
  <si>
    <t xml:space="preserve">2009_2130</t>
  </si>
  <si>
    <t xml:space="preserve">2009_2131</t>
  </si>
  <si>
    <t xml:space="preserve">2009_2132</t>
  </si>
  <si>
    <t xml:space="preserve">2009_2133</t>
  </si>
  <si>
    <t xml:space="preserve">2009_2134</t>
  </si>
  <si>
    <t xml:space="preserve">2009_2135</t>
  </si>
  <si>
    <t xml:space="preserve">2009_2136</t>
  </si>
  <si>
    <t xml:space="preserve">2009_2137</t>
  </si>
  <si>
    <t xml:space="preserve">2009_2138</t>
  </si>
  <si>
    <t xml:space="preserve">2009_2139</t>
  </si>
  <si>
    <t xml:space="preserve">2009_2140</t>
  </si>
  <si>
    <t xml:space="preserve">2009_2141</t>
  </si>
  <si>
    <t xml:space="preserve">2009_2142</t>
  </si>
  <si>
    <t xml:space="preserve">2009_2143</t>
  </si>
  <si>
    <t xml:space="preserve">2009_2144</t>
  </si>
  <si>
    <t xml:space="preserve">2009_2145</t>
  </si>
  <si>
    <t xml:space="preserve">2009_2146</t>
  </si>
  <si>
    <t xml:space="preserve">2009_2147</t>
  </si>
  <si>
    <t xml:space="preserve">2009_2148</t>
  </si>
  <si>
    <t xml:space="preserve">2009_2149</t>
  </si>
  <si>
    <t xml:space="preserve">2009_2150</t>
  </si>
  <si>
    <t xml:space="preserve">2009_2151</t>
  </si>
  <si>
    <t xml:space="preserve">2009_2152</t>
  </si>
  <si>
    <t xml:space="preserve">2009_2153</t>
  </si>
  <si>
    <t xml:space="preserve">2009_2154</t>
  </si>
  <si>
    <t xml:space="preserve">2009_2155</t>
  </si>
  <si>
    <t xml:space="preserve">2009_2156</t>
  </si>
  <si>
    <t xml:space="preserve">2009_2157</t>
  </si>
  <si>
    <t xml:space="preserve">2009_2158</t>
  </si>
  <si>
    <t xml:space="preserve">2009_2159</t>
  </si>
  <si>
    <t xml:space="preserve">2009_2160</t>
  </si>
  <si>
    <t xml:space="preserve">2009_2161</t>
  </si>
  <si>
    <t xml:space="preserve">2009_2162</t>
  </si>
  <si>
    <t xml:space="preserve">2009_2163</t>
  </si>
  <si>
    <t xml:space="preserve">2009_2164</t>
  </si>
  <si>
    <t xml:space="preserve">2009_2165</t>
  </si>
  <si>
    <t xml:space="preserve">2009_2166</t>
  </si>
  <si>
    <t xml:space="preserve">2009_2167</t>
  </si>
  <si>
    <t xml:space="preserve">2009_2168</t>
  </si>
  <si>
    <t xml:space="preserve">2009_2169</t>
  </si>
  <si>
    <t xml:space="preserve">2009_2170</t>
  </si>
  <si>
    <t xml:space="preserve">2009_2171</t>
  </si>
  <si>
    <t xml:space="preserve">2009_2172</t>
  </si>
  <si>
    <t xml:space="preserve">2009_2173</t>
  </si>
  <si>
    <t xml:space="preserve">2009_2174</t>
  </si>
  <si>
    <t xml:space="preserve">2009_2175</t>
  </si>
  <si>
    <t xml:space="preserve">2009_2176</t>
  </si>
  <si>
    <t xml:space="preserve">2009_2177</t>
  </si>
  <si>
    <t xml:space="preserve">2009_2178</t>
  </si>
  <si>
    <t xml:space="preserve">2009_2179</t>
  </si>
  <si>
    <t xml:space="preserve">2009_2180</t>
  </si>
  <si>
    <t xml:space="preserve">2009_2181</t>
  </si>
  <si>
    <t xml:space="preserve">2009_2182</t>
  </si>
  <si>
    <t xml:space="preserve">2009_2183</t>
  </si>
  <si>
    <t xml:space="preserve">2009_2184</t>
  </si>
  <si>
    <t xml:space="preserve">2009_2185</t>
  </si>
  <si>
    <t xml:space="preserve">2009_2186</t>
  </si>
  <si>
    <t xml:space="preserve">2009_2187</t>
  </si>
  <si>
    <t xml:space="preserve">2009_2188</t>
  </si>
  <si>
    <t xml:space="preserve">2009_2189</t>
  </si>
  <si>
    <t xml:space="preserve">2009_2190</t>
  </si>
  <si>
    <t xml:space="preserve">2009_2191</t>
  </si>
  <si>
    <t xml:space="preserve">2009_2192</t>
  </si>
  <si>
    <t xml:space="preserve">2009_2193</t>
  </si>
  <si>
    <t xml:space="preserve">2009_2194</t>
  </si>
  <si>
    <t xml:space="preserve">2009_2195</t>
  </si>
  <si>
    <t xml:space="preserve">2009_2196</t>
  </si>
  <si>
    <t xml:space="preserve">2009_2197</t>
  </si>
  <si>
    <t xml:space="preserve">2009_2198</t>
  </si>
  <si>
    <t xml:space="preserve">2009_2199</t>
  </si>
  <si>
    <t xml:space="preserve">2009_2200</t>
  </si>
  <si>
    <t xml:space="preserve">2009_2201</t>
  </si>
  <si>
    <t xml:space="preserve">2009_2202</t>
  </si>
  <si>
    <t xml:space="preserve">2009_2203</t>
  </si>
  <si>
    <t xml:space="preserve">2009_2204</t>
  </si>
  <si>
    <t xml:space="preserve">2009_2205</t>
  </si>
  <si>
    <t xml:space="preserve">2009_2206</t>
  </si>
  <si>
    <t xml:space="preserve">2009_2207</t>
  </si>
  <si>
    <t xml:space="preserve">2009_2208</t>
  </si>
  <si>
    <t xml:space="preserve">2009_2209</t>
  </si>
  <si>
    <t xml:space="preserve">2009_2210</t>
  </si>
  <si>
    <t xml:space="preserve">2009_2211</t>
  </si>
  <si>
    <t xml:space="preserve">2009_2212</t>
  </si>
  <si>
    <t xml:space="preserve">2009_2213</t>
  </si>
  <si>
    <t xml:space="preserve">2009_2214</t>
  </si>
  <si>
    <t xml:space="preserve">2009_2215</t>
  </si>
  <si>
    <t xml:space="preserve">2009_2216</t>
  </si>
  <si>
    <t xml:space="preserve">2009_2217</t>
  </si>
  <si>
    <t xml:space="preserve">2009_2218</t>
  </si>
  <si>
    <t xml:space="preserve">2009_2219</t>
  </si>
  <si>
    <t xml:space="preserve">2009_2220</t>
  </si>
  <si>
    <t xml:space="preserve">2009_2221</t>
  </si>
  <si>
    <t xml:space="preserve">2009_2222</t>
  </si>
  <si>
    <t xml:space="preserve">2009_2223</t>
  </si>
  <si>
    <t xml:space="preserve">2009_2224</t>
  </si>
  <si>
    <t xml:space="preserve">2009_2225</t>
  </si>
  <si>
    <t xml:space="preserve">2009_2226</t>
  </si>
  <si>
    <t xml:space="preserve">2009_2227</t>
  </si>
  <si>
    <t xml:space="preserve">2009_2228</t>
  </si>
  <si>
    <t xml:space="preserve">2009_2229</t>
  </si>
  <si>
    <t xml:space="preserve">2009_2230</t>
  </si>
  <si>
    <t xml:space="preserve">2009_2231</t>
  </si>
  <si>
    <t xml:space="preserve">2009_2232</t>
  </si>
  <si>
    <t xml:space="preserve">2009_2233</t>
  </si>
  <si>
    <t xml:space="preserve">2009_2234</t>
  </si>
  <si>
    <t xml:space="preserve">2009_2235</t>
  </si>
  <si>
    <t xml:space="preserve">2009_2236</t>
  </si>
  <si>
    <t xml:space="preserve">2009_2237</t>
  </si>
  <si>
    <t xml:space="preserve">2009_2238</t>
  </si>
  <si>
    <t xml:space="preserve">2009_2239</t>
  </si>
  <si>
    <t xml:space="preserve">2009_2240</t>
  </si>
  <si>
    <t xml:space="preserve">2009_2241</t>
  </si>
  <si>
    <t xml:space="preserve">2009_2242</t>
  </si>
  <si>
    <t xml:space="preserve">2009_2243</t>
  </si>
  <si>
    <t xml:space="preserve">2009_2244</t>
  </si>
  <si>
    <t xml:space="preserve">2009_2245</t>
  </si>
  <si>
    <t xml:space="preserve">2009_2246</t>
  </si>
  <si>
    <t xml:space="preserve">2009_2247</t>
  </si>
  <si>
    <t xml:space="preserve">2009_2248</t>
  </si>
  <si>
    <t xml:space="preserve">2009_2249</t>
  </si>
  <si>
    <t xml:space="preserve">2009_2250</t>
  </si>
  <si>
    <t xml:space="preserve">2009_2251</t>
  </si>
  <si>
    <t xml:space="preserve">2009_2252</t>
  </si>
  <si>
    <t xml:space="preserve">2009_2253</t>
  </si>
  <si>
    <t xml:space="preserve">2009_2254</t>
  </si>
  <si>
    <t xml:space="preserve">2009_2255</t>
  </si>
  <si>
    <t xml:space="preserve">2009_2256</t>
  </si>
  <si>
    <t xml:space="preserve">2009_2257</t>
  </si>
  <si>
    <t xml:space="preserve">2009_2258</t>
  </si>
  <si>
    <t xml:space="preserve">2009_2259</t>
  </si>
  <si>
    <t xml:space="preserve">2009_2260</t>
  </si>
  <si>
    <t xml:space="preserve">2009_2261</t>
  </si>
  <si>
    <t xml:space="preserve">2009_2262</t>
  </si>
  <si>
    <t xml:space="preserve">2009_2263</t>
  </si>
  <si>
    <t xml:space="preserve">2009_2264</t>
  </si>
  <si>
    <t xml:space="preserve">2009_2265</t>
  </si>
  <si>
    <t xml:space="preserve">2009_2266</t>
  </si>
  <si>
    <t xml:space="preserve">2009_2267</t>
  </si>
  <si>
    <t xml:space="preserve">2009_2268</t>
  </si>
  <si>
    <t xml:space="preserve">2009_2269</t>
  </si>
  <si>
    <t xml:space="preserve">2009_2270</t>
  </si>
  <si>
    <t xml:space="preserve">2009_2271</t>
  </si>
  <si>
    <t xml:space="preserve">2009_2272</t>
  </si>
  <si>
    <t xml:space="preserve">2009_2273</t>
  </si>
  <si>
    <t xml:space="preserve">2009_2274</t>
  </si>
  <si>
    <t xml:space="preserve">2009_2275</t>
  </si>
  <si>
    <t xml:space="preserve">2009_2276</t>
  </si>
  <si>
    <t xml:space="preserve">2009_2277</t>
  </si>
  <si>
    <t xml:space="preserve">2009_2278</t>
  </si>
  <si>
    <t xml:space="preserve">2009_2279</t>
  </si>
  <si>
    <t xml:space="preserve">2009_2280</t>
  </si>
  <si>
    <t xml:space="preserve">2009_2281</t>
  </si>
  <si>
    <t xml:space="preserve">2009_2282</t>
  </si>
  <si>
    <t xml:space="preserve">2009_2283</t>
  </si>
  <si>
    <t xml:space="preserve">2009_2284</t>
  </si>
  <si>
    <t xml:space="preserve">2009_2285</t>
  </si>
  <si>
    <t xml:space="preserve">2009_2286</t>
  </si>
  <si>
    <t xml:space="preserve">2009_2287</t>
  </si>
  <si>
    <t xml:space="preserve">2009_2288</t>
  </si>
  <si>
    <t xml:space="preserve">2009_2289</t>
  </si>
  <si>
    <t xml:space="preserve">2009_2290</t>
  </si>
  <si>
    <t xml:space="preserve">2009_2291</t>
  </si>
  <si>
    <t xml:space="preserve">2009_2292</t>
  </si>
  <si>
    <t xml:space="preserve">2009_2293</t>
  </si>
  <si>
    <t xml:space="preserve">2009_2294</t>
  </si>
  <si>
    <t xml:space="preserve">2009_2295</t>
  </si>
  <si>
    <t xml:space="preserve">2009_2296</t>
  </si>
  <si>
    <t xml:space="preserve">2009_2297</t>
  </si>
  <si>
    <t xml:space="preserve">2009_2298</t>
  </si>
  <si>
    <t xml:space="preserve">2009_2299</t>
  </si>
  <si>
    <t xml:space="preserve">2009_2300</t>
  </si>
  <si>
    <t xml:space="preserve">2009_2301</t>
  </si>
  <si>
    <t xml:space="preserve">2009_2302</t>
  </si>
  <si>
    <t xml:space="preserve">2009_2303</t>
  </si>
  <si>
    <t xml:space="preserve">2009_2304</t>
  </si>
  <si>
    <t xml:space="preserve">2009_2305</t>
  </si>
  <si>
    <t xml:space="preserve">2009_2306</t>
  </si>
  <si>
    <t xml:space="preserve">2009_2307</t>
  </si>
  <si>
    <t xml:space="preserve">2009_2308</t>
  </si>
  <si>
    <t xml:space="preserve">2009_2309</t>
  </si>
  <si>
    <t xml:space="preserve">2009_2310</t>
  </si>
  <si>
    <t xml:space="preserve">2009_2311</t>
  </si>
  <si>
    <t xml:space="preserve">2009_2312</t>
  </si>
  <si>
    <t xml:space="preserve">2009_2313</t>
  </si>
  <si>
    <t xml:space="preserve">2009_2314</t>
  </si>
  <si>
    <t xml:space="preserve">2009_2315</t>
  </si>
  <si>
    <t xml:space="preserve">2009_2316</t>
  </si>
  <si>
    <t xml:space="preserve">2009_2317</t>
  </si>
  <si>
    <t xml:space="preserve">2009_2318</t>
  </si>
  <si>
    <t xml:space="preserve">2009_2319</t>
  </si>
  <si>
    <t xml:space="preserve">2009_2320</t>
  </si>
  <si>
    <t xml:space="preserve">2009_2321</t>
  </si>
  <si>
    <t xml:space="preserve">2009_2322</t>
  </si>
  <si>
    <t xml:space="preserve">2009_2323</t>
  </si>
  <si>
    <t xml:space="preserve">2009_2324</t>
  </si>
  <si>
    <t xml:space="preserve">2009_2325</t>
  </si>
  <si>
    <t xml:space="preserve">2009_2326</t>
  </si>
  <si>
    <t xml:space="preserve">2009_2327</t>
  </si>
  <si>
    <t xml:space="preserve">2009_2328</t>
  </si>
  <si>
    <t xml:space="preserve">2009_2329</t>
  </si>
  <si>
    <t xml:space="preserve">2009_2330</t>
  </si>
  <si>
    <t xml:space="preserve">2009_2331</t>
  </si>
  <si>
    <t xml:space="preserve">2009_2332</t>
  </si>
  <si>
    <t xml:space="preserve">2009_2333</t>
  </si>
  <si>
    <t xml:space="preserve">2009_2334</t>
  </si>
  <si>
    <t xml:space="preserve">2009_2335</t>
  </si>
  <si>
    <t xml:space="preserve">2009_2336</t>
  </si>
  <si>
    <t xml:space="preserve">2009_2337</t>
  </si>
  <si>
    <t xml:space="preserve">2009_2338</t>
  </si>
  <si>
    <t xml:space="preserve">2009_2339</t>
  </si>
  <si>
    <t xml:space="preserve">2009_2340</t>
  </si>
  <si>
    <t xml:space="preserve">2009_2341</t>
  </si>
  <si>
    <t xml:space="preserve">2009_2342</t>
  </si>
  <si>
    <t xml:space="preserve">2009_2343</t>
  </si>
  <si>
    <t xml:space="preserve">2009_2344</t>
  </si>
  <si>
    <t xml:space="preserve">2009_2345</t>
  </si>
  <si>
    <t xml:space="preserve">2009_2346</t>
  </si>
  <si>
    <t xml:space="preserve">2009_2347</t>
  </si>
  <si>
    <t xml:space="preserve">2009_2348</t>
  </si>
  <si>
    <t xml:space="preserve">2009_2349</t>
  </si>
  <si>
    <t xml:space="preserve">2009_2350</t>
  </si>
  <si>
    <t xml:space="preserve">2009_2351</t>
  </si>
  <si>
    <t xml:space="preserve">2009_2352</t>
  </si>
  <si>
    <t xml:space="preserve">2009_2353</t>
  </si>
  <si>
    <t xml:space="preserve">2009_2354</t>
  </si>
  <si>
    <t xml:space="preserve">2009_2355</t>
  </si>
  <si>
    <t xml:space="preserve">2009_2356</t>
  </si>
  <si>
    <t xml:space="preserve">2009_2357</t>
  </si>
  <si>
    <t xml:space="preserve">2009_2358</t>
  </si>
  <si>
    <t xml:space="preserve">2009_2359</t>
  </si>
  <si>
    <t xml:space="preserve">2009_2360</t>
  </si>
  <si>
    <t xml:space="preserve">2009_2361</t>
  </si>
  <si>
    <t xml:space="preserve">2009_2362</t>
  </si>
  <si>
    <t xml:space="preserve">2009_2363</t>
  </si>
  <si>
    <t xml:space="preserve">2009_2364</t>
  </si>
  <si>
    <t xml:space="preserve">2009_2365</t>
  </si>
  <si>
    <t xml:space="preserve">2009_2366</t>
  </si>
  <si>
    <t xml:space="preserve">2009_2367</t>
  </si>
  <si>
    <t xml:space="preserve">2009_2368</t>
  </si>
  <si>
    <t xml:space="preserve">2009_2369</t>
  </si>
  <si>
    <t xml:space="preserve">2009_2370</t>
  </si>
  <si>
    <t xml:space="preserve">2009_2371</t>
  </si>
  <si>
    <t xml:space="preserve">2009_2372</t>
  </si>
  <si>
    <t xml:space="preserve">2009_2373</t>
  </si>
  <si>
    <t xml:space="preserve">2009_2374</t>
  </si>
  <si>
    <t xml:space="preserve">2009_2375</t>
  </si>
  <si>
    <t xml:space="preserve">2009_2376</t>
  </si>
  <si>
    <t xml:space="preserve">2009_2377</t>
  </si>
  <si>
    <t xml:space="preserve">2009_2378</t>
  </si>
  <si>
    <t xml:space="preserve">2009_2379</t>
  </si>
  <si>
    <t xml:space="preserve">2009_2380</t>
  </si>
  <si>
    <t xml:space="preserve">2009_2381</t>
  </si>
  <si>
    <t xml:space="preserve">2009_2382</t>
  </si>
  <si>
    <t xml:space="preserve">2009_2383</t>
  </si>
  <si>
    <t xml:space="preserve">2009_2384</t>
  </si>
  <si>
    <t xml:space="preserve">2009_2385</t>
  </si>
  <si>
    <t xml:space="preserve">2009_2386</t>
  </si>
  <si>
    <t xml:space="preserve">2009_2387</t>
  </si>
  <si>
    <t xml:space="preserve">2009_2388</t>
  </si>
  <si>
    <t xml:space="preserve">2009_2389</t>
  </si>
  <si>
    <t xml:space="preserve">2009_2390</t>
  </si>
  <si>
    <t xml:space="preserve">2009_2391</t>
  </si>
  <si>
    <t xml:space="preserve">2009_2392</t>
  </si>
  <si>
    <t xml:space="preserve">2009_2393</t>
  </si>
  <si>
    <t xml:space="preserve">2009_2394</t>
  </si>
  <si>
    <t xml:space="preserve">2009_2395</t>
  </si>
  <si>
    <t xml:space="preserve">2009_2396</t>
  </si>
  <si>
    <t xml:space="preserve">2009_2397</t>
  </si>
  <si>
    <t xml:space="preserve">2009_2398</t>
  </si>
  <si>
    <t xml:space="preserve">2009_2399</t>
  </si>
  <si>
    <t xml:space="preserve">2009_2400</t>
  </si>
  <si>
    <t xml:space="preserve">2009_2401</t>
  </si>
  <si>
    <t xml:space="preserve">2009_2402</t>
  </si>
  <si>
    <t xml:space="preserve">2009_2403</t>
  </si>
  <si>
    <t xml:space="preserve">2009_2404</t>
  </si>
  <si>
    <t xml:space="preserve">2009_2405</t>
  </si>
  <si>
    <t xml:space="preserve">2009_2406</t>
  </si>
  <si>
    <t xml:space="preserve">2009_2407</t>
  </si>
  <si>
    <t xml:space="preserve">2009_2408</t>
  </si>
  <si>
    <t xml:space="preserve">2009_2409</t>
  </si>
  <si>
    <t xml:space="preserve">2009_2410</t>
  </si>
  <si>
    <t xml:space="preserve">2009_2411</t>
  </si>
  <si>
    <t xml:space="preserve">2009_2412</t>
  </si>
  <si>
    <t xml:space="preserve">2009_2413</t>
  </si>
  <si>
    <t xml:space="preserve">2009_2414</t>
  </si>
  <si>
    <t xml:space="preserve">2009_2415</t>
  </si>
  <si>
    <t xml:space="preserve">2009_2416</t>
  </si>
  <si>
    <t xml:space="preserve">2009_2417</t>
  </si>
  <si>
    <t xml:space="preserve">2009_2418</t>
  </si>
  <si>
    <t xml:space="preserve">2009_2419</t>
  </si>
  <si>
    <t xml:space="preserve">2009_2420</t>
  </si>
  <si>
    <t xml:space="preserve">2009_2421</t>
  </si>
  <si>
    <t xml:space="preserve">2009_2422</t>
  </si>
  <si>
    <t xml:space="preserve">2009_2423</t>
  </si>
  <si>
    <t xml:space="preserve">2009_2424</t>
  </si>
  <si>
    <t xml:space="preserve">2009_2425</t>
  </si>
  <si>
    <t xml:space="preserve">2009_2426</t>
  </si>
  <si>
    <t xml:space="preserve">2009_2427</t>
  </si>
  <si>
    <t xml:space="preserve">2009_2428</t>
  </si>
  <si>
    <t xml:space="preserve">2009_2429</t>
  </si>
  <si>
    <t xml:space="preserve">2009_2430</t>
  </si>
  <si>
    <t xml:space="preserve">2009_2431</t>
  </si>
  <si>
    <t xml:space="preserve">2009_2432</t>
  </si>
  <si>
    <t xml:space="preserve">2009_2433</t>
  </si>
  <si>
    <t xml:space="preserve">2009_2434</t>
  </si>
  <si>
    <t xml:space="preserve">2009_2435</t>
  </si>
  <si>
    <t xml:space="preserve">2009_2436</t>
  </si>
  <si>
    <t xml:space="preserve">2009_2437</t>
  </si>
  <si>
    <t xml:space="preserve">2009_2438</t>
  </si>
  <si>
    <t xml:space="preserve">2009_2439</t>
  </si>
  <si>
    <t xml:space="preserve">2009_2440</t>
  </si>
  <si>
    <t xml:space="preserve">2009_2441</t>
  </si>
  <si>
    <t xml:space="preserve">2009_2442</t>
  </si>
  <si>
    <t xml:space="preserve">2009_2443</t>
  </si>
  <si>
    <t xml:space="preserve">2009_2444</t>
  </si>
  <si>
    <t xml:space="preserve">2009_2445</t>
  </si>
  <si>
    <t xml:space="preserve">2009_2446</t>
  </si>
  <si>
    <t xml:space="preserve">2009_2447</t>
  </si>
  <si>
    <t xml:space="preserve">2009_2448</t>
  </si>
  <si>
    <t xml:space="preserve">2009_2449</t>
  </si>
  <si>
    <t xml:space="preserve">2009_2450</t>
  </si>
  <si>
    <t xml:space="preserve">2009_2451</t>
  </si>
  <si>
    <t xml:space="preserve">2009_2452</t>
  </si>
  <si>
    <t xml:space="preserve">2009_2453</t>
  </si>
  <si>
    <t xml:space="preserve">2009_2454</t>
  </si>
  <si>
    <t xml:space="preserve">2009_2455</t>
  </si>
  <si>
    <t xml:space="preserve">2009_2456</t>
  </si>
  <si>
    <t xml:space="preserve">2009_2457</t>
  </si>
  <si>
    <t xml:space="preserve">2009_2458</t>
  </si>
  <si>
    <t xml:space="preserve">2009_2459</t>
  </si>
  <si>
    <t xml:space="preserve">2009_2460</t>
  </si>
  <si>
    <t xml:space="preserve">2009_2461</t>
  </si>
  <si>
    <t xml:space="preserve">2009_2462</t>
  </si>
  <si>
    <t xml:space="preserve">2009_2463</t>
  </si>
  <si>
    <t xml:space="preserve">2009_2464</t>
  </si>
  <si>
    <t xml:space="preserve">Угол наклона</t>
  </si>
  <si>
    <t xml:space="preserve">дни</t>
  </si>
  <si>
    <t xml:space="preserve">Диаметр надводной части</t>
  </si>
  <si>
    <t xml:space="preserve">звездочка</t>
  </si>
  <si>
    <t xml:space="preserve">проклев</t>
  </si>
  <si>
    <t xml:space="preserve">вылупление</t>
  </si>
  <si>
    <t xml:space="preserve">ОтнИндексBида</t>
  </si>
  <si>
    <t xml:space="preserve">ЛатНазвВида</t>
  </si>
  <si>
    <t xml:space="preserve">РусНазвВида</t>
  </si>
  <si>
    <t xml:space="preserve">AVE-01-001</t>
  </si>
  <si>
    <t xml:space="preserve">Gavia stellata </t>
  </si>
  <si>
    <t xml:space="preserve">Краснозобая гагара</t>
  </si>
  <si>
    <t xml:space="preserve">AVE-01-002</t>
  </si>
  <si>
    <t xml:space="preserve">Gavia arctica </t>
  </si>
  <si>
    <t xml:space="preserve">Чернозобая гагара</t>
  </si>
  <si>
    <t xml:space="preserve">AVE-01-004</t>
  </si>
  <si>
    <t xml:space="preserve">Gavia immer </t>
  </si>
  <si>
    <t xml:space="preserve">Черноклювая гагара</t>
  </si>
  <si>
    <t xml:space="preserve">AVE-01-005</t>
  </si>
  <si>
    <t xml:space="preserve">Gavia adamsii </t>
  </si>
  <si>
    <t xml:space="preserve">Белоклювая  гагара</t>
  </si>
  <si>
    <t xml:space="preserve">AVE-02-007</t>
  </si>
  <si>
    <t xml:space="preserve">Podiceps nigricollis</t>
  </si>
  <si>
    <t xml:space="preserve">Черношейная поганка</t>
  </si>
  <si>
    <t xml:space="preserve">AVE-02-008</t>
  </si>
  <si>
    <t xml:space="preserve">Podiceps auritus </t>
  </si>
  <si>
    <t xml:space="preserve">Красношейная поганка</t>
  </si>
  <si>
    <t xml:space="preserve">AVE-02-009</t>
  </si>
  <si>
    <t xml:space="preserve">Podiceps grisegena </t>
  </si>
  <si>
    <t xml:space="preserve">Серощекая поганка</t>
  </si>
  <si>
    <t xml:space="preserve">AVE-02-010</t>
  </si>
  <si>
    <t xml:space="preserve">Podiceps cristatus </t>
  </si>
  <si>
    <t xml:space="preserve">Большая поганка</t>
  </si>
  <si>
    <t xml:space="preserve">AVE-03-014</t>
  </si>
  <si>
    <t xml:space="preserve">Fulmarus glacialis </t>
  </si>
  <si>
    <t xml:space="preserve">Глупыш</t>
  </si>
  <si>
    <t xml:space="preserve">AVE-03-019</t>
  </si>
  <si>
    <t xml:space="preserve">Puffinus puffinus </t>
  </si>
  <si>
    <t xml:space="preserve">Малый буревестник</t>
  </si>
  <si>
    <t xml:space="preserve">AVE-03-021</t>
  </si>
  <si>
    <t xml:space="preserve">Puffinus griseus (Gmelin, 1789) СЕРЫЙ БУРЕВЕСТНИК</t>
  </si>
  <si>
    <t xml:space="preserve">Серый буревестник</t>
  </si>
  <si>
    <t xml:space="preserve">AVE-03-024</t>
  </si>
  <si>
    <t xml:space="preserve">Hydrobates pelagicus (L., 1758) ПРЯМОХВОСТАЯ КАЧУРКА</t>
  </si>
  <si>
    <t xml:space="preserve"> Прямохвостая качурка</t>
  </si>
  <si>
    <t xml:space="preserve">AVE-03-025</t>
  </si>
  <si>
    <t xml:space="preserve">Oceanodroma leucorhoa</t>
  </si>
  <si>
    <t xml:space="preserve">Северная качурка</t>
  </si>
  <si>
    <t xml:space="preserve">AVE-04-02N</t>
  </si>
  <si>
    <t xml:space="preserve">Fregata magnificens</t>
  </si>
  <si>
    <t xml:space="preserve">Великолепный фрегат</t>
  </si>
  <si>
    <t xml:space="preserve">AVE-04-032</t>
  </si>
  <si>
    <t xml:space="preserve">Sula bassana </t>
  </si>
  <si>
    <t xml:space="preserve">Северная  олуша</t>
  </si>
  <si>
    <t xml:space="preserve">AVE-04-034</t>
  </si>
  <si>
    <t xml:space="preserve">Phalocrocorax carbo</t>
  </si>
  <si>
    <t xml:space="preserve">Большой баклан</t>
  </si>
  <si>
    <t xml:space="preserve">AVE-04-039</t>
  </si>
  <si>
    <t xml:space="preserve">Phalocrocorax aristotelis</t>
  </si>
  <si>
    <t xml:space="preserve">Хохлатый баклан</t>
  </si>
  <si>
    <t xml:space="preserve">AVE-05-051</t>
  </si>
  <si>
    <t xml:space="preserve">Egretta alba</t>
  </si>
  <si>
    <t xml:space="preserve">Большая белая цапля</t>
  </si>
  <si>
    <t xml:space="preserve">AVE-05-055</t>
  </si>
  <si>
    <t xml:space="preserve">Ardea cinerea</t>
  </si>
  <si>
    <t xml:space="preserve">Серая цапля </t>
  </si>
  <si>
    <t xml:space="preserve">AVE-05-058</t>
  </si>
  <si>
    <t xml:space="preserve">Plegadis falcinellus</t>
  </si>
  <si>
    <t xml:space="preserve">Каравайка</t>
  </si>
  <si>
    <t xml:space="preserve">AVE-05-062</t>
  </si>
  <si>
    <t xml:space="preserve">Ciconia ciconia</t>
  </si>
  <si>
    <t xml:space="preserve">Белый аист</t>
  </si>
  <si>
    <t xml:space="preserve">AVE-07-066</t>
  </si>
  <si>
    <t xml:space="preserve">Branta canadensis</t>
  </si>
  <si>
    <t xml:space="preserve">Канадская казарка</t>
  </si>
  <si>
    <t xml:space="preserve">AVE-07-067</t>
  </si>
  <si>
    <t xml:space="preserve">Branta leucopsis</t>
  </si>
  <si>
    <t xml:space="preserve">Белощекая кaзарка</t>
  </si>
  <si>
    <t xml:space="preserve">AVE-07-068</t>
  </si>
  <si>
    <t xml:space="preserve">Branta bernicla</t>
  </si>
  <si>
    <t xml:space="preserve">Черная казарка</t>
  </si>
  <si>
    <t xml:space="preserve">AVE-07-070</t>
  </si>
  <si>
    <t xml:space="preserve">Rufibrenta ruficollis</t>
  </si>
  <si>
    <t xml:space="preserve">Краснозобая казарка</t>
  </si>
  <si>
    <t xml:space="preserve">AVE-07-071</t>
  </si>
  <si>
    <t xml:space="preserve">Anser anser</t>
  </si>
  <si>
    <t xml:space="preserve">Серый гусь</t>
  </si>
  <si>
    <t xml:space="preserve">AVE-07-072</t>
  </si>
  <si>
    <t xml:space="preserve">Anser albifrons</t>
  </si>
  <si>
    <t xml:space="preserve">Белолобый гусь</t>
  </si>
  <si>
    <t xml:space="preserve">AVE-07-073</t>
  </si>
  <si>
    <t xml:space="preserve">Anser erythropus</t>
  </si>
  <si>
    <t xml:space="preserve">Пискулька</t>
  </si>
  <si>
    <t xml:space="preserve">AVE-07-074</t>
  </si>
  <si>
    <t xml:space="preserve">Anser fabalis</t>
  </si>
  <si>
    <t xml:space="preserve">Гуменник</t>
  </si>
  <si>
    <t xml:space="preserve">AVE-07-075</t>
  </si>
  <si>
    <t xml:space="preserve">Chen caerulescens</t>
  </si>
  <si>
    <t xml:space="preserve">Белый гусь</t>
  </si>
  <si>
    <t xml:space="preserve">AVE-07-077</t>
  </si>
  <si>
    <t xml:space="preserve">Eulabeia indica</t>
  </si>
  <si>
    <t xml:space="preserve">Горный гусь</t>
  </si>
  <si>
    <t xml:space="preserve">AVE-07-079</t>
  </si>
  <si>
    <t xml:space="preserve">Cygnus olor</t>
  </si>
  <si>
    <t xml:space="preserve">Лебедь-шипун</t>
  </si>
  <si>
    <t xml:space="preserve">AVE-07-080</t>
  </si>
  <si>
    <t xml:space="preserve">Cygnus cygnus</t>
  </si>
  <si>
    <t xml:space="preserve">Лебедь-кликун</t>
  </si>
  <si>
    <t xml:space="preserve">AVE-07-081</t>
  </si>
  <si>
    <t xml:space="preserve">Cygnus bewiickii </t>
  </si>
  <si>
    <t xml:space="preserve">Малый лебедь</t>
  </si>
  <si>
    <t xml:space="preserve">AVE-07-083</t>
  </si>
  <si>
    <t xml:space="preserve">Tadorna ferruginea</t>
  </si>
  <si>
    <t xml:space="preserve">Огарь</t>
  </si>
  <si>
    <t xml:space="preserve">AVE-07-084</t>
  </si>
  <si>
    <t xml:space="preserve">Tadorna tadorna</t>
  </si>
  <si>
    <t xml:space="preserve">Пеганка</t>
  </si>
  <si>
    <t xml:space="preserve">AVE-07-086</t>
  </si>
  <si>
    <t xml:space="preserve">Anas plathyrhynchos</t>
  </si>
  <si>
    <t xml:space="preserve">Кряква</t>
  </si>
  <si>
    <t xml:space="preserve">AVE-07-088</t>
  </si>
  <si>
    <t xml:space="preserve">Anas crecca</t>
  </si>
  <si>
    <t xml:space="preserve">Чирок-свистунок</t>
  </si>
  <si>
    <t xml:space="preserve">AVE-07-091</t>
  </si>
  <si>
    <t xml:space="preserve">Anas strepera</t>
  </si>
  <si>
    <t xml:space="preserve">Серая утка</t>
  </si>
  <si>
    <t xml:space="preserve">AVE-07-092</t>
  </si>
  <si>
    <t xml:space="preserve">Anas penelope</t>
  </si>
  <si>
    <t xml:space="preserve">Свиязь</t>
  </si>
  <si>
    <t xml:space="preserve">AVE-07-094</t>
  </si>
  <si>
    <t xml:space="preserve">Anas acuta</t>
  </si>
  <si>
    <t xml:space="preserve">Шилохвость </t>
  </si>
  <si>
    <t xml:space="preserve">AVE-07-095</t>
  </si>
  <si>
    <t xml:space="preserve">Anas querquedula</t>
  </si>
  <si>
    <t xml:space="preserve">Чирок-трескунок</t>
  </si>
  <si>
    <t xml:space="preserve">AVE-07-096</t>
  </si>
  <si>
    <t xml:space="preserve">Anas clypeata</t>
  </si>
  <si>
    <t xml:space="preserve">Широконоска</t>
  </si>
  <si>
    <t xml:space="preserve">AVE-07-101</t>
  </si>
  <si>
    <t xml:space="preserve">Aythya ferina</t>
  </si>
  <si>
    <t xml:space="preserve">Красноголовая чернеть</t>
  </si>
  <si>
    <t xml:space="preserve">AVE-07-104</t>
  </si>
  <si>
    <t xml:space="preserve">Aythya fuligula</t>
  </si>
  <si>
    <t xml:space="preserve">Хохлатая чернеть</t>
  </si>
  <si>
    <t xml:space="preserve">AVE-07-105</t>
  </si>
  <si>
    <t xml:space="preserve">Aythya marila</t>
  </si>
  <si>
    <t xml:space="preserve">Морская чернеть</t>
  </si>
  <si>
    <t xml:space="preserve">AVE-07-106</t>
  </si>
  <si>
    <t xml:space="preserve">Histrionicus histrionicus</t>
  </si>
  <si>
    <t xml:space="preserve">Каменушка</t>
  </si>
  <si>
    <t xml:space="preserve">AVE-07-107</t>
  </si>
  <si>
    <t xml:space="preserve">Clangula hyemalis</t>
  </si>
  <si>
    <t xml:space="preserve">Морянка</t>
  </si>
  <si>
    <t xml:space="preserve">AVE-07-108</t>
  </si>
  <si>
    <t xml:space="preserve">Bucephala clangula</t>
  </si>
  <si>
    <t xml:space="preserve">Обыкновенный гоголь</t>
  </si>
  <si>
    <t xml:space="preserve">AVE-07-109</t>
  </si>
  <si>
    <t xml:space="preserve">Bucephala islandica</t>
  </si>
  <si>
    <t xml:space="preserve">Исландский  гоголь</t>
  </si>
  <si>
    <t xml:space="preserve">AVE-07-111</t>
  </si>
  <si>
    <t xml:space="preserve">Somateria mollissima</t>
  </si>
  <si>
    <t xml:space="preserve">Обыкновенная гага</t>
  </si>
  <si>
    <t xml:space="preserve">AVE-07-112</t>
  </si>
  <si>
    <t xml:space="preserve">Somateria spectabilis</t>
  </si>
  <si>
    <t xml:space="preserve">Гага-гребенушка</t>
  </si>
  <si>
    <t xml:space="preserve">AVE-07-113</t>
  </si>
  <si>
    <t xml:space="preserve">Somateria fischeri</t>
  </si>
  <si>
    <t xml:space="preserve">Очковая гага</t>
  </si>
  <si>
    <t xml:space="preserve">AVE-07-114</t>
  </si>
  <si>
    <t xml:space="preserve">Polysticta stelleri </t>
  </si>
  <si>
    <t xml:space="preserve">Сибирская гага</t>
  </si>
  <si>
    <t xml:space="preserve">AVE-07-115</t>
  </si>
  <si>
    <t xml:space="preserve">Melanitta nigra</t>
  </si>
  <si>
    <t xml:space="preserve">Синьга</t>
  </si>
  <si>
    <t xml:space="preserve">AVE-07-117</t>
  </si>
  <si>
    <t xml:space="preserve">Melanitta perspicillata</t>
  </si>
  <si>
    <t xml:space="preserve">Пестроносый турпан</t>
  </si>
  <si>
    <t xml:space="preserve">AVE-07-119</t>
  </si>
  <si>
    <t xml:space="preserve">Melanitta fusca</t>
  </si>
  <si>
    <t xml:space="preserve">Обыкновенный турпан</t>
  </si>
  <si>
    <t xml:space="preserve">AVE-07-121</t>
  </si>
  <si>
    <t xml:space="preserve">Mergus albellus</t>
  </si>
  <si>
    <t xml:space="preserve">Луток</t>
  </si>
  <si>
    <t xml:space="preserve">AVE-07-122</t>
  </si>
  <si>
    <t xml:space="preserve">Mergus serrator</t>
  </si>
  <si>
    <t xml:space="preserve">Длинноносый крохаль</t>
  </si>
  <si>
    <t xml:space="preserve">AVE-07-124</t>
  </si>
  <si>
    <t xml:space="preserve">Mergus merganser</t>
  </si>
  <si>
    <t xml:space="preserve">Большой крохаль</t>
  </si>
  <si>
    <t xml:space="preserve">AVE-08-125</t>
  </si>
  <si>
    <t xml:space="preserve">Pandion haliaetus</t>
  </si>
  <si>
    <t xml:space="preserve">Скопа </t>
  </si>
  <si>
    <t xml:space="preserve">AVE-08-127</t>
  </si>
  <si>
    <t xml:space="preserve">Pernis apivorus</t>
  </si>
  <si>
    <t xml:space="preserve">Обыкновенный  осоед</t>
  </si>
  <si>
    <t xml:space="preserve">AVE-08-130</t>
  </si>
  <si>
    <t xml:space="preserve">Milvus migrans</t>
  </si>
  <si>
    <t xml:space="preserve">Черный коршун</t>
  </si>
  <si>
    <t xml:space="preserve">AVE-08-131</t>
  </si>
  <si>
    <t xml:space="preserve">Circus cyaneus</t>
  </si>
  <si>
    <t xml:space="preserve">Полевой лунь</t>
  </si>
  <si>
    <t xml:space="preserve">AVE-08-136</t>
  </si>
  <si>
    <t xml:space="preserve">Accipiter gentilis</t>
  </si>
  <si>
    <t xml:space="preserve">Тетеревятник</t>
  </si>
  <si>
    <t xml:space="preserve">AVE-08-137</t>
  </si>
  <si>
    <t xml:space="preserve">Accipiter nisus</t>
  </si>
  <si>
    <t xml:space="preserve">Перепелятник </t>
  </si>
  <si>
    <t xml:space="preserve">AVE-08-142</t>
  </si>
  <si>
    <t xml:space="preserve">Buteo lagopus</t>
  </si>
  <si>
    <t xml:space="preserve">Зимняк</t>
  </si>
  <si>
    <t xml:space="preserve">AVE-08-145</t>
  </si>
  <si>
    <t xml:space="preserve">Buteo buteo</t>
  </si>
  <si>
    <t xml:space="preserve">Обыкновенный канюк</t>
  </si>
  <si>
    <t xml:space="preserve">AVE-08-155</t>
  </si>
  <si>
    <t xml:space="preserve">Aquila chrysaetos</t>
  </si>
  <si>
    <t xml:space="preserve">Беркут</t>
  </si>
  <si>
    <t xml:space="preserve">AVE-08-157</t>
  </si>
  <si>
    <t xml:space="preserve">Haliaeetus albicilla</t>
  </si>
  <si>
    <t xml:space="preserve">Орлан-белохвост</t>
  </si>
  <si>
    <t xml:space="preserve">AVE-08-167</t>
  </si>
  <si>
    <t xml:space="preserve">Falco rusticolus</t>
  </si>
  <si>
    <t xml:space="preserve">Кречет</t>
  </si>
  <si>
    <t xml:space="preserve">AVE-08-172</t>
  </si>
  <si>
    <t xml:space="preserve">Falco peregrinus</t>
  </si>
  <si>
    <t xml:space="preserve">Сапсан</t>
  </si>
  <si>
    <t xml:space="preserve">AVE-08-173</t>
  </si>
  <si>
    <t xml:space="preserve">Falco subbuteo</t>
  </si>
  <si>
    <t xml:space="preserve">Чеглок </t>
  </si>
  <si>
    <t xml:space="preserve">AVE-08-174</t>
  </si>
  <si>
    <t xml:space="preserve">Falco columbarius</t>
  </si>
  <si>
    <t xml:space="preserve">Дербник</t>
  </si>
  <si>
    <t xml:space="preserve">AVE-08-175</t>
  </si>
  <si>
    <t xml:space="preserve">Falco vespertinus</t>
  </si>
  <si>
    <t xml:space="preserve">Кобчик</t>
  </si>
  <si>
    <t xml:space="preserve">AVE-08-178</t>
  </si>
  <si>
    <t xml:space="preserve">Falco tinnunculus</t>
  </si>
  <si>
    <t xml:space="preserve">Обыкновенная пустельга</t>
  </si>
  <si>
    <t xml:space="preserve">AVE-09-180</t>
  </si>
  <si>
    <t xml:space="preserve">Lagopus lagopus</t>
  </si>
  <si>
    <t xml:space="preserve">Белая куропатка</t>
  </si>
  <si>
    <t xml:space="preserve">AVE-09-181</t>
  </si>
  <si>
    <t xml:space="preserve">Lagopus mutus</t>
  </si>
  <si>
    <t xml:space="preserve">Тундряная куропатка</t>
  </si>
  <si>
    <t xml:space="preserve">AVE-09-182</t>
  </si>
  <si>
    <t xml:space="preserve">Lururus tetrix</t>
  </si>
  <si>
    <t xml:space="preserve">Тетерев</t>
  </si>
  <si>
    <t xml:space="preserve">AVE-09-184</t>
  </si>
  <si>
    <t xml:space="preserve">Tetrao urogallus</t>
  </si>
  <si>
    <t xml:space="preserve">Глухарь</t>
  </si>
  <si>
    <t xml:space="preserve">AVE-09-187</t>
  </si>
  <si>
    <t xml:space="preserve">Tetrastes bonasia</t>
  </si>
  <si>
    <t xml:space="preserve">Рябчик</t>
  </si>
  <si>
    <t xml:space="preserve">AVE-09-196</t>
  </si>
  <si>
    <t xml:space="preserve">Perdix perdix</t>
  </si>
  <si>
    <t xml:space="preserve">Серая куропатка</t>
  </si>
  <si>
    <t xml:space="preserve">AVE-10-203</t>
  </si>
  <si>
    <t xml:space="preserve">Grus grus</t>
  </si>
  <si>
    <t xml:space="preserve">Серый журавль</t>
  </si>
  <si>
    <t xml:space="preserve">AVE-10-209</t>
  </si>
  <si>
    <t xml:space="preserve">Porzana porzana </t>
  </si>
  <si>
    <t xml:space="preserve">Погоныш</t>
  </si>
  <si>
    <t xml:space="preserve">AVE-10-20N</t>
  </si>
  <si>
    <t xml:space="preserve">Porzana carolina</t>
  </si>
  <si>
    <t xml:space="preserve">Каролинский погоныш</t>
  </si>
  <si>
    <t xml:space="preserve">AVE-10-215</t>
  </si>
  <si>
    <t xml:space="preserve">Crex crex</t>
  </si>
  <si>
    <t xml:space="preserve">Коростель</t>
  </si>
  <si>
    <t xml:space="preserve">AVE-10-216</t>
  </si>
  <si>
    <t xml:space="preserve">Gallinula chloropus</t>
  </si>
  <si>
    <t xml:space="preserve">Камышница</t>
  </si>
  <si>
    <t xml:space="preserve">AVE-10-219</t>
  </si>
  <si>
    <t xml:space="preserve">Fulica atra </t>
  </si>
  <si>
    <t xml:space="preserve">Лысуха</t>
  </si>
  <si>
    <t xml:space="preserve">AVE-11(1)226</t>
  </si>
  <si>
    <t xml:space="preserve">Pluvialis squatarola</t>
  </si>
  <si>
    <t xml:space="preserve">Тулес</t>
  </si>
  <si>
    <t xml:space="preserve">AVE-11(1)-227</t>
  </si>
  <si>
    <t xml:space="preserve">Pluvialis apricaria</t>
  </si>
  <si>
    <t xml:space="preserve">Золотистая ржанка </t>
  </si>
  <si>
    <t xml:space="preserve">AVE-11(1)-228</t>
  </si>
  <si>
    <t xml:space="preserve">Charadrius hiaticula</t>
  </si>
  <si>
    <t xml:space="preserve">Галстучник</t>
  </si>
  <si>
    <t xml:space="preserve">AVE-11(1)-231</t>
  </si>
  <si>
    <t xml:space="preserve">Charadrius dubius </t>
  </si>
  <si>
    <t xml:space="preserve">Малый  зуек </t>
  </si>
  <si>
    <t xml:space="preserve">AVE-11(1)-23N</t>
  </si>
  <si>
    <t xml:space="preserve">Charadrius vociferus</t>
  </si>
  <si>
    <t xml:space="preserve">Крикливый зуек</t>
  </si>
  <si>
    <t xml:space="preserve">AVE-11(1)-238</t>
  </si>
  <si>
    <t xml:space="preserve">Eudromias morinellus</t>
  </si>
  <si>
    <t xml:space="preserve">Хрустан</t>
  </si>
  <si>
    <t xml:space="preserve">AVE-11(1)-240</t>
  </si>
  <si>
    <t xml:space="preserve">Vanellus vanellus</t>
  </si>
  <si>
    <t xml:space="preserve">Чибис</t>
  </si>
  <si>
    <t xml:space="preserve">AVE-11(1)-245</t>
  </si>
  <si>
    <t xml:space="preserve">Arenaria interpres</t>
  </si>
  <si>
    <t xml:space="preserve">Камнешарка</t>
  </si>
  <si>
    <t xml:space="preserve">AVE-11(1)-249</t>
  </si>
  <si>
    <t xml:space="preserve">Haematopus ostralegus</t>
  </si>
  <si>
    <t xml:space="preserve">Кулик-сорока</t>
  </si>
  <si>
    <t xml:space="preserve">AVE-11(1)-251</t>
  </si>
  <si>
    <t xml:space="preserve">Tringa ochropus</t>
  </si>
  <si>
    <t xml:space="preserve">Черныш</t>
  </si>
  <si>
    <t xml:space="preserve">AVE-11(1)-252</t>
  </si>
  <si>
    <t xml:space="preserve">Tringa glareola</t>
  </si>
  <si>
    <t xml:space="preserve">Фифи</t>
  </si>
  <si>
    <t xml:space="preserve">AVE-11(1)-253</t>
  </si>
  <si>
    <t xml:space="preserve">Tringa nebularia</t>
  </si>
  <si>
    <t xml:space="preserve">Большой улит</t>
  </si>
  <si>
    <t xml:space="preserve">AVE-11(1)-255</t>
  </si>
  <si>
    <t xml:space="preserve">Tringa totanus</t>
  </si>
  <si>
    <t xml:space="preserve">Травник</t>
  </si>
  <si>
    <t xml:space="preserve">AVE-11(1)-256</t>
  </si>
  <si>
    <t xml:space="preserve">Tringa erythropus</t>
  </si>
  <si>
    <t xml:space="preserve">Щеголь</t>
  </si>
  <si>
    <t xml:space="preserve">AVE-11(1)-257</t>
  </si>
  <si>
    <t xml:space="preserve">Tringa stagnatilis</t>
  </si>
  <si>
    <t xml:space="preserve">Поручейник</t>
  </si>
  <si>
    <t xml:space="preserve">AVE-11(1)-260</t>
  </si>
  <si>
    <t xml:space="preserve">Actitis hypoleucos</t>
  </si>
  <si>
    <t xml:space="preserve">Перевозчик</t>
  </si>
  <si>
    <t xml:space="preserve">AVE-11(1)-261</t>
  </si>
  <si>
    <t xml:space="preserve">Xenus cinereus</t>
  </si>
  <si>
    <t xml:space="preserve">Мородунка</t>
  </si>
  <si>
    <t xml:space="preserve">AVE-11(1)-262</t>
  </si>
  <si>
    <t xml:space="preserve">Phalaropus fulicarius</t>
  </si>
  <si>
    <t xml:space="preserve">Плосконосый плавунчик</t>
  </si>
  <si>
    <t xml:space="preserve">AVE-11(1)-264</t>
  </si>
  <si>
    <t xml:space="preserve">Phalaropus lobatus</t>
  </si>
  <si>
    <t xml:space="preserve">Круглоносый плавунчик</t>
  </si>
  <si>
    <t xml:space="preserve">AVE-11(1)-265</t>
  </si>
  <si>
    <t xml:space="preserve">Phylomachus pugnax</t>
  </si>
  <si>
    <t xml:space="preserve">Турухтан</t>
  </si>
  <si>
    <t xml:space="preserve">AVE-11(1)-267</t>
  </si>
  <si>
    <t xml:space="preserve">Calidris minuta</t>
  </si>
  <si>
    <t xml:space="preserve">Кулик-воробей</t>
  </si>
  <si>
    <t xml:space="preserve">AVE-11(1)-270</t>
  </si>
  <si>
    <t xml:space="preserve">Calidris temminckii</t>
  </si>
  <si>
    <t xml:space="preserve">Белохвостый песочник</t>
  </si>
  <si>
    <t xml:space="preserve">AVE-11(1)-273</t>
  </si>
  <si>
    <t xml:space="preserve">Calidris ferruginea</t>
  </si>
  <si>
    <t xml:space="preserve">Краснозобик</t>
  </si>
  <si>
    <t xml:space="preserve">AVE-11(1)-274</t>
  </si>
  <si>
    <t xml:space="preserve">Calidris alpina</t>
  </si>
  <si>
    <t xml:space="preserve">Чернозобик </t>
  </si>
  <si>
    <t xml:space="preserve">AVE-11(1)-275</t>
  </si>
  <si>
    <t xml:space="preserve">Calidris maritima</t>
  </si>
  <si>
    <t xml:space="preserve">Морской песочник</t>
  </si>
  <si>
    <t xml:space="preserve">AVE-11(1)-278</t>
  </si>
  <si>
    <t xml:space="preserve">Calidris melanotos</t>
  </si>
  <si>
    <t xml:space="preserve">Дутыш</t>
  </si>
  <si>
    <t xml:space="preserve">AVE-11(1)-280</t>
  </si>
  <si>
    <t xml:space="preserve">Calidris canutus</t>
  </si>
  <si>
    <t xml:space="preserve">Исландский песочник</t>
  </si>
  <si>
    <t xml:space="preserve">AVE-11(1)-282</t>
  </si>
  <si>
    <t xml:space="preserve">Calidris alba</t>
  </si>
  <si>
    <t xml:space="preserve">Песчанка</t>
  </si>
  <si>
    <t xml:space="preserve">AVE-11(1)-284</t>
  </si>
  <si>
    <t xml:space="preserve">Limicola falcinellus</t>
  </si>
  <si>
    <t xml:space="preserve">Грязовик</t>
  </si>
  <si>
    <t xml:space="preserve">AVE-11(1)-285</t>
  </si>
  <si>
    <t xml:space="preserve">Lymnocryptes minimus</t>
  </si>
  <si>
    <t xml:space="preserve">Гаршнеп</t>
  </si>
  <si>
    <t xml:space="preserve">AVE-11(1)-286</t>
  </si>
  <si>
    <t xml:space="preserve">Gallinago gallinago</t>
  </si>
  <si>
    <t xml:space="preserve">Бекас</t>
  </si>
  <si>
    <t xml:space="preserve">AVE-11(1)-291</t>
  </si>
  <si>
    <t xml:space="preserve">Gallinago media</t>
  </si>
  <si>
    <t xml:space="preserve">Дупель</t>
  </si>
  <si>
    <t xml:space="preserve">AVE-11(1)-292</t>
  </si>
  <si>
    <t xml:space="preserve">Scolopax rusticola</t>
  </si>
  <si>
    <t xml:space="preserve">Вальдшнеп</t>
  </si>
  <si>
    <t xml:space="preserve">AVE-11(1)-296</t>
  </si>
  <si>
    <t xml:space="preserve">Numenius arquata</t>
  </si>
  <si>
    <t xml:space="preserve">Большой кроншнеп</t>
  </si>
  <si>
    <t xml:space="preserve">AVE-11(1)-298</t>
  </si>
  <si>
    <t xml:space="preserve">Numenius phaeopus</t>
  </si>
  <si>
    <t xml:space="preserve">Средний  кроншнеп</t>
  </si>
  <si>
    <t xml:space="preserve">AVE-11(1)-299</t>
  </si>
  <si>
    <t xml:space="preserve">Limosa limosa</t>
  </si>
  <si>
    <t xml:space="preserve">Большой веретенник</t>
  </si>
  <si>
    <t xml:space="preserve">AVE-11(1)-300</t>
  </si>
  <si>
    <t xml:space="preserve">Limosa lapponica</t>
  </si>
  <si>
    <t xml:space="preserve">Малый веретенник</t>
  </si>
  <si>
    <t xml:space="preserve">AVE-11(2)-307</t>
  </si>
  <si>
    <t xml:space="preserve">Stercorarius skua</t>
  </si>
  <si>
    <t xml:space="preserve">Большой поморник</t>
  </si>
  <si>
    <t xml:space="preserve">AVE-11(2)-308</t>
  </si>
  <si>
    <t xml:space="preserve">Stercorarius pomarinus</t>
  </si>
  <si>
    <t xml:space="preserve">Средний поморник</t>
  </si>
  <si>
    <t xml:space="preserve">AVE-11(2)-309</t>
  </si>
  <si>
    <t xml:space="preserve">Stercorarius parasiticus</t>
  </si>
  <si>
    <t xml:space="preserve">Короткохвостый  поморник</t>
  </si>
  <si>
    <t xml:space="preserve">AVE-11(2)-310</t>
  </si>
  <si>
    <t xml:space="preserve">Stercorarius longicaudus</t>
  </si>
  <si>
    <t xml:space="preserve">Длиннохвостый поморник</t>
  </si>
  <si>
    <t xml:space="preserve">AVE-11(2)-314</t>
  </si>
  <si>
    <t xml:space="preserve">Larus minutus</t>
  </si>
  <si>
    <t xml:space="preserve">Малая  чайка</t>
  </si>
  <si>
    <t xml:space="preserve">AVE-11(2)-315</t>
  </si>
  <si>
    <t xml:space="preserve">Larus ridibundus</t>
  </si>
  <si>
    <t xml:space="preserve">Озерная чайка</t>
  </si>
  <si>
    <t xml:space="preserve">AVE-11(2)-318</t>
  </si>
  <si>
    <t xml:space="preserve">Larus fuscus</t>
  </si>
  <si>
    <t xml:space="preserve">Клуша</t>
  </si>
  <si>
    <t xml:space="preserve">AVE-11(2)-319</t>
  </si>
  <si>
    <t xml:space="preserve">Larus argentatus</t>
  </si>
  <si>
    <t xml:space="preserve">Серебристая чайка</t>
  </si>
  <si>
    <t xml:space="preserve">AVE-11(2)-319a</t>
  </si>
  <si>
    <t xml:space="preserve">Larus heuglini </t>
  </si>
  <si>
    <t xml:space="preserve">Восточная клуша</t>
  </si>
  <si>
    <t xml:space="preserve">AVE-11(2)-322</t>
  </si>
  <si>
    <t xml:space="preserve">Larus glaucoides</t>
  </si>
  <si>
    <t xml:space="preserve">Полярная чайка</t>
  </si>
  <si>
    <t xml:space="preserve">AVE-11(2)-323</t>
  </si>
  <si>
    <t xml:space="preserve">Larus hyperboreus</t>
  </si>
  <si>
    <t xml:space="preserve">Бургомистр</t>
  </si>
  <si>
    <t xml:space="preserve">AVE-11(2)-324</t>
  </si>
  <si>
    <t xml:space="preserve">Larus marinus</t>
  </si>
  <si>
    <t xml:space="preserve">Морская чайка</t>
  </si>
  <si>
    <t xml:space="preserve">AVE-11(2)-325</t>
  </si>
  <si>
    <t xml:space="preserve">Larus canus</t>
  </si>
  <si>
    <t xml:space="preserve">Сизая чайка</t>
  </si>
  <si>
    <t xml:space="preserve">AVE-11(2)-329</t>
  </si>
  <si>
    <t xml:space="preserve">Rissa tridactyla</t>
  </si>
  <si>
    <t xml:space="preserve">Моевка</t>
  </si>
  <si>
    <t xml:space="preserve">AVE-11(2)-332</t>
  </si>
  <si>
    <t xml:space="preserve">Pagophila eburnea</t>
  </si>
  <si>
    <t xml:space="preserve">Белая чайка</t>
  </si>
  <si>
    <t xml:space="preserve">AVE-11(2)-333</t>
  </si>
  <si>
    <t xml:space="preserve">Chlidonias niger</t>
  </si>
  <si>
    <t xml:space="preserve">Черная  крачка</t>
  </si>
  <si>
    <t xml:space="preserve">AVE-11(2)-337</t>
  </si>
  <si>
    <t xml:space="preserve">Hydroprogne caspia</t>
  </si>
  <si>
    <t xml:space="preserve">Чеграва</t>
  </si>
  <si>
    <t xml:space="preserve">AVE-11(2)-338</t>
  </si>
  <si>
    <t xml:space="preserve">Thalasseus sandvicensis</t>
  </si>
  <si>
    <t xml:space="preserve">Пестроносая  крачка</t>
  </si>
  <si>
    <t xml:space="preserve">AVE-11(2)-339</t>
  </si>
  <si>
    <t xml:space="preserve">Sterna hirundo</t>
  </si>
  <si>
    <t xml:space="preserve">Речная крачка</t>
  </si>
  <si>
    <t xml:space="preserve">AVE-11(2)-340</t>
  </si>
  <si>
    <t xml:space="preserve">Sterna paradisaea</t>
  </si>
  <si>
    <t xml:space="preserve">Полярная крачка</t>
  </si>
  <si>
    <t xml:space="preserve">AVE-11(2)-342</t>
  </si>
  <si>
    <t xml:space="preserve">Sterna albifrons</t>
  </si>
  <si>
    <t xml:space="preserve">Малая крачка</t>
  </si>
  <si>
    <t xml:space="preserve">AVE-11(3)-343</t>
  </si>
  <si>
    <t xml:space="preserve">Alle alle</t>
  </si>
  <si>
    <t xml:space="preserve">Люрик</t>
  </si>
  <si>
    <t xml:space="preserve">AVE-11(3)-344</t>
  </si>
  <si>
    <t xml:space="preserve">Alca torda</t>
  </si>
  <si>
    <t xml:space="preserve">Гагарка</t>
  </si>
  <si>
    <t xml:space="preserve">AVE-11(3)-345</t>
  </si>
  <si>
    <t xml:space="preserve">Uria aalge</t>
  </si>
  <si>
    <t xml:space="preserve">Тонкоклювая кайра</t>
  </si>
  <si>
    <t xml:space="preserve">AVE-11(3)-346</t>
  </si>
  <si>
    <t xml:space="preserve">Uria lomvia</t>
  </si>
  <si>
    <t xml:space="preserve">Толстоклювая кайра</t>
  </si>
  <si>
    <t xml:space="preserve">AVE-11(3)-347</t>
  </si>
  <si>
    <t xml:space="preserve">Cepphus grylle</t>
  </si>
  <si>
    <t xml:space="preserve">Чистик</t>
  </si>
  <si>
    <t xml:space="preserve">AVE-11(3)-360</t>
  </si>
  <si>
    <t xml:space="preserve">Fratercula arctica</t>
  </si>
  <si>
    <t xml:space="preserve">Тупик</t>
  </si>
  <si>
    <t xml:space="preserve">AVE-12-367</t>
  </si>
  <si>
    <t xml:space="preserve">Columba palumbus </t>
  </si>
  <si>
    <t xml:space="preserve">Вяхирь</t>
  </si>
  <si>
    <t xml:space="preserve">AVE-12-368</t>
  </si>
  <si>
    <t xml:space="preserve">Columba oenas</t>
  </si>
  <si>
    <t xml:space="preserve">Клинтух</t>
  </si>
  <si>
    <t xml:space="preserve">AVE-12-369</t>
  </si>
  <si>
    <t xml:space="preserve">Columba livia</t>
  </si>
  <si>
    <t xml:space="preserve">Сизый  голубь</t>
  </si>
  <si>
    <t xml:space="preserve">AVE-12-374</t>
  </si>
  <si>
    <t xml:space="preserve">Streptopelia decaocto</t>
  </si>
  <si>
    <t xml:space="preserve">Кольчатая горлица</t>
  </si>
  <si>
    <t xml:space="preserve">AVE-12-376</t>
  </si>
  <si>
    <t xml:space="preserve">Streptopelia turtur</t>
  </si>
  <si>
    <t xml:space="preserve">Обыкновенная  горлица</t>
  </si>
  <si>
    <t xml:space="preserve">AVE-13-381</t>
  </si>
  <si>
    <t xml:space="preserve">Cuculus canorus</t>
  </si>
  <si>
    <t xml:space="preserve">Обыкновенная кукушка</t>
  </si>
  <si>
    <t xml:space="preserve">AVE-14-385</t>
  </si>
  <si>
    <t xml:space="preserve">Nyctea scandiaca</t>
  </si>
  <si>
    <t xml:space="preserve">Белая сова</t>
  </si>
  <si>
    <t xml:space="preserve">AVE-14-386</t>
  </si>
  <si>
    <t xml:space="preserve">Bubo bubo</t>
  </si>
  <si>
    <t xml:space="preserve">Филин</t>
  </si>
  <si>
    <t xml:space="preserve">AVE-14-388</t>
  </si>
  <si>
    <t xml:space="preserve">Asio otus</t>
  </si>
  <si>
    <t xml:space="preserve">Ушастая  сова</t>
  </si>
  <si>
    <t xml:space="preserve">AVE-14-389</t>
  </si>
  <si>
    <t xml:space="preserve">Asio flammeus</t>
  </si>
  <si>
    <t xml:space="preserve">Болотная  сова</t>
  </si>
  <si>
    <t xml:space="preserve">AVE-14-394</t>
  </si>
  <si>
    <t xml:space="preserve">Aegolius funereus</t>
  </si>
  <si>
    <t xml:space="preserve">Мохноногий сыч</t>
  </si>
  <si>
    <t xml:space="preserve">AVE-14-396</t>
  </si>
  <si>
    <t xml:space="preserve">Glaucidium passerinum</t>
  </si>
  <si>
    <t xml:space="preserve">Воробьиный сыч</t>
  </si>
  <si>
    <t xml:space="preserve">AVE-14-397</t>
  </si>
  <si>
    <t xml:space="preserve">Surnia ulula</t>
  </si>
  <si>
    <t xml:space="preserve">Ястребиная сова</t>
  </si>
  <si>
    <t xml:space="preserve">AVE-14-400</t>
  </si>
  <si>
    <t xml:space="preserve">Strix uralensis</t>
  </si>
  <si>
    <t xml:space="preserve">Длиннохвостая неясыть</t>
  </si>
  <si>
    <t xml:space="preserve">AVE-14-401</t>
  </si>
  <si>
    <t xml:space="preserve">Strix nebulosa</t>
  </si>
  <si>
    <t xml:space="preserve">Бородатая неясыть</t>
  </si>
  <si>
    <t xml:space="preserve">AVE-16-408</t>
  </si>
  <si>
    <t xml:space="preserve">Apus apus</t>
  </si>
  <si>
    <t xml:space="preserve">Черный стриж</t>
  </si>
  <si>
    <t xml:space="preserve">AVE-17-411</t>
  </si>
  <si>
    <t xml:space="preserve">Coracias garrulus</t>
  </si>
  <si>
    <t xml:space="preserve">Сизоворонка</t>
  </si>
  <si>
    <t xml:space="preserve">AVE-17-419</t>
  </si>
  <si>
    <t xml:space="preserve">Merops apiaster</t>
  </si>
  <si>
    <t xml:space="preserve">Золотистая щурка</t>
  </si>
  <si>
    <t xml:space="preserve">AVE-17-421</t>
  </si>
  <si>
    <t xml:space="preserve">Upupa epops</t>
  </si>
  <si>
    <t xml:space="preserve">Удод</t>
  </si>
  <si>
    <t xml:space="preserve">AVE-18-422</t>
  </si>
  <si>
    <t xml:space="preserve">Junx torquilla</t>
  </si>
  <si>
    <t xml:space="preserve">Вертишейка</t>
  </si>
  <si>
    <t xml:space="preserve">AVE-18-425</t>
  </si>
  <si>
    <t xml:space="preserve">Picus canus</t>
  </si>
  <si>
    <t xml:space="preserve">Седой дятел</t>
  </si>
  <si>
    <t xml:space="preserve">AVE-18-426</t>
  </si>
  <si>
    <t xml:space="preserve">Dryocopus martius</t>
  </si>
  <si>
    <t xml:space="preserve">Желна</t>
  </si>
  <si>
    <t xml:space="preserve">AVE-18-427</t>
  </si>
  <si>
    <t xml:space="preserve">Dendrocopos major</t>
  </si>
  <si>
    <t xml:space="preserve">Пестрый дятел</t>
  </si>
  <si>
    <t xml:space="preserve">AVE-18-431</t>
  </si>
  <si>
    <t xml:space="preserve">Dendrocopos leucotos</t>
  </si>
  <si>
    <t xml:space="preserve">Белоспинный дятел</t>
  </si>
  <si>
    <t xml:space="preserve">AVE-18-433</t>
  </si>
  <si>
    <t xml:space="preserve">Dendrocopos minor</t>
  </si>
  <si>
    <t xml:space="preserve">Малый дятел</t>
  </si>
  <si>
    <t xml:space="preserve">AVE-18-436</t>
  </si>
  <si>
    <t xml:space="preserve">Picoides tridactylus</t>
  </si>
  <si>
    <t xml:space="preserve">Трехпалый дятел</t>
  </si>
  <si>
    <t xml:space="preserve">AVE-19-002</t>
  </si>
  <si>
    <t xml:space="preserve">Riparia riparia</t>
  </si>
  <si>
    <t xml:space="preserve">Береговая ласточка</t>
  </si>
  <si>
    <t xml:space="preserve">AVE-19-005</t>
  </si>
  <si>
    <t xml:space="preserve">Hirundo rustica</t>
  </si>
  <si>
    <t xml:space="preserve">Деревенская ласточка</t>
  </si>
  <si>
    <t xml:space="preserve">AVE-19-009</t>
  </si>
  <si>
    <t xml:space="preserve">Delichon urbica</t>
  </si>
  <si>
    <t xml:space="preserve">Воронок - Delichon urbica</t>
  </si>
  <si>
    <t xml:space="preserve">AVE-19-011</t>
  </si>
  <si>
    <t xml:space="preserve">Galerida cristata</t>
  </si>
  <si>
    <t xml:space="preserve">Хохлатый жаворонок</t>
  </si>
  <si>
    <t xml:space="preserve">AVE-19-021</t>
  </si>
  <si>
    <t xml:space="preserve">Eremophila alpestris</t>
  </si>
  <si>
    <t xml:space="preserve">Рогатый жаворонок</t>
  </si>
  <si>
    <t xml:space="preserve">AVE-19-022</t>
  </si>
  <si>
    <t xml:space="preserve">Lullula arborea</t>
  </si>
  <si>
    <t xml:space="preserve">Лесной жаворонок</t>
  </si>
  <si>
    <t xml:space="preserve">AVE-19-023</t>
  </si>
  <si>
    <t xml:space="preserve">Alauda arvensis</t>
  </si>
  <si>
    <t xml:space="preserve">Полевой жаворонок</t>
  </si>
  <si>
    <t xml:space="preserve">AVE-19-028</t>
  </si>
  <si>
    <t xml:space="preserve">Anthus campestris</t>
  </si>
  <si>
    <t xml:space="preserve">Полевой конек</t>
  </si>
  <si>
    <t xml:space="preserve">AVE-19-029</t>
  </si>
  <si>
    <t xml:space="preserve">Anthus trivialis</t>
  </si>
  <si>
    <t xml:space="preserve">Лесной конек</t>
  </si>
  <si>
    <t xml:space="preserve">AVE-19-031</t>
  </si>
  <si>
    <t xml:space="preserve">Anthus gustavi</t>
  </si>
  <si>
    <t xml:space="preserve">Сибирский конек</t>
  </si>
  <si>
    <t xml:space="preserve">AVE-19-032</t>
  </si>
  <si>
    <t xml:space="preserve">Anthus pratensis</t>
  </si>
  <si>
    <t xml:space="preserve">Луговой конек</t>
  </si>
  <si>
    <t xml:space="preserve">AVE-19-033</t>
  </si>
  <si>
    <t xml:space="preserve">Anthus cervinus</t>
  </si>
  <si>
    <t xml:space="preserve">Краснозобый конек</t>
  </si>
  <si>
    <t xml:space="preserve">AVE-19-035</t>
  </si>
  <si>
    <t xml:space="preserve">Anthus spinoletta</t>
  </si>
  <si>
    <t xml:space="preserve">Горный конек</t>
  </si>
  <si>
    <t xml:space="preserve">AVE-19-036</t>
  </si>
  <si>
    <t xml:space="preserve">Motacilla flava</t>
  </si>
  <si>
    <t xml:space="preserve">Желтая трясогузка</t>
  </si>
  <si>
    <t xml:space="preserve">AVE-19-040</t>
  </si>
  <si>
    <t xml:space="preserve">Motacilla citreola</t>
  </si>
  <si>
    <t xml:space="preserve">Желтоголовая трясогузка</t>
  </si>
  <si>
    <t xml:space="preserve">AVE-19-041</t>
  </si>
  <si>
    <t xml:space="preserve">Motacilla cinerea</t>
  </si>
  <si>
    <t xml:space="preserve">Горная трясогузка</t>
  </si>
  <si>
    <t xml:space="preserve">AVE-19-042</t>
  </si>
  <si>
    <t xml:space="preserve">Motacilla alba</t>
  </si>
  <si>
    <t xml:space="preserve">Белая трясогузка</t>
  </si>
  <si>
    <t xml:space="preserve">AVE-19-051</t>
  </si>
  <si>
    <t xml:space="preserve">Lanius collurio</t>
  </si>
  <si>
    <t xml:space="preserve">Обыкновенный жулан</t>
  </si>
  <si>
    <t xml:space="preserve">AVE-19-057</t>
  </si>
  <si>
    <t xml:space="preserve">Lanius excubitor</t>
  </si>
  <si>
    <t xml:space="preserve">Серый сорокопут</t>
  </si>
  <si>
    <t xml:space="preserve">AVE-19-068</t>
  </si>
  <si>
    <t xml:space="preserve">Sturnus vulgaris</t>
  </si>
  <si>
    <t xml:space="preserve">Обыкновенный скворец</t>
  </si>
  <si>
    <t xml:space="preserve">AVE-19-071</t>
  </si>
  <si>
    <t xml:space="preserve">Perisoreus infaustus</t>
  </si>
  <si>
    <t xml:space="preserve">Кукша</t>
  </si>
  <si>
    <t xml:space="preserve">AVE-19-072</t>
  </si>
  <si>
    <t xml:space="preserve">Garrulus glandarius</t>
  </si>
  <si>
    <t xml:space="preserve">Сойка</t>
  </si>
  <si>
    <t xml:space="preserve">AVE-19-074</t>
  </si>
  <si>
    <t xml:space="preserve">Pica pica</t>
  </si>
  <si>
    <t xml:space="preserve">Сорока</t>
  </si>
  <si>
    <t xml:space="preserve">AVE-19-077</t>
  </si>
  <si>
    <t xml:space="preserve">Nucifraga cariocatactes</t>
  </si>
  <si>
    <t xml:space="preserve">Кедровка</t>
  </si>
  <si>
    <t xml:space="preserve">AVE-19-080</t>
  </si>
  <si>
    <t xml:space="preserve">Covus monedula</t>
  </si>
  <si>
    <t xml:space="preserve">Галка</t>
  </si>
  <si>
    <t xml:space="preserve">AVE-19-082</t>
  </si>
  <si>
    <t xml:space="preserve">Corvus frugilegus</t>
  </si>
  <si>
    <t xml:space="preserve">Грач</t>
  </si>
  <si>
    <t xml:space="preserve">AVE-19-084</t>
  </si>
  <si>
    <t xml:space="preserve">Corvus corone</t>
  </si>
  <si>
    <t xml:space="preserve">Черная ворона</t>
  </si>
  <si>
    <t xml:space="preserve">AVE-19-085</t>
  </si>
  <si>
    <t xml:space="preserve">Corvus cornix</t>
  </si>
  <si>
    <t xml:space="preserve">Серая ворона</t>
  </si>
  <si>
    <t xml:space="preserve">AVE-19-087</t>
  </si>
  <si>
    <t xml:space="preserve">Corvus corax</t>
  </si>
  <si>
    <t xml:space="preserve">Ворон</t>
  </si>
  <si>
    <t xml:space="preserve">AVE-19-088</t>
  </si>
  <si>
    <t xml:space="preserve">Bombicilla garrulus</t>
  </si>
  <si>
    <t xml:space="preserve">Свиристель</t>
  </si>
  <si>
    <t xml:space="preserve">AVE-19-094</t>
  </si>
  <si>
    <t xml:space="preserve">Cinclus cinclus</t>
  </si>
  <si>
    <t xml:space="preserve">Оляпка</t>
  </si>
  <si>
    <t xml:space="preserve">AVE-19-096</t>
  </si>
  <si>
    <t xml:space="preserve">Troglodytes troglodytes</t>
  </si>
  <si>
    <t xml:space="preserve">Крапивник</t>
  </si>
  <si>
    <t xml:space="preserve">AVE-19-103</t>
  </si>
  <si>
    <t xml:space="preserve">Prunella modularis</t>
  </si>
  <si>
    <t xml:space="preserve">Лесная завирушка</t>
  </si>
  <si>
    <t xml:space="preserve">AVE-19-115</t>
  </si>
  <si>
    <t xml:space="preserve">Locustella fluviatilis</t>
  </si>
  <si>
    <t xml:space="preserve">Речной сверчок</t>
  </si>
  <si>
    <t xml:space="preserve">AVE-19-122</t>
  </si>
  <si>
    <t xml:space="preserve">Acrocephalus schoenobaenus </t>
  </si>
  <si>
    <t xml:space="preserve">Камышевка-барсучок</t>
  </si>
  <si>
    <t xml:space="preserve">AVE-19-125</t>
  </si>
  <si>
    <t xml:space="preserve">Acrocephalus dumetorum</t>
  </si>
  <si>
    <t xml:space="preserve">Садовая камышевка</t>
  </si>
  <si>
    <t xml:space="preserve">AVE-19-127</t>
  </si>
  <si>
    <t xml:space="preserve">Acrocephalus scirpaceus </t>
  </si>
  <si>
    <t xml:space="preserve">Тростниковая камышевка</t>
  </si>
  <si>
    <t xml:space="preserve">AVE-19-139</t>
  </si>
  <si>
    <t xml:space="preserve">Sylvia atricapilla</t>
  </si>
  <si>
    <t xml:space="preserve">Черноголовая славка</t>
  </si>
  <si>
    <t xml:space="preserve">AVE-19-140</t>
  </si>
  <si>
    <t xml:space="preserve">Sylvia borin</t>
  </si>
  <si>
    <t xml:space="preserve">Садовая славка</t>
  </si>
  <si>
    <t xml:space="preserve">AVE-19-141</t>
  </si>
  <si>
    <t xml:space="preserve">Sylvia communis</t>
  </si>
  <si>
    <t xml:space="preserve">Серая славка</t>
  </si>
  <si>
    <t xml:space="preserve">AVE-19-142</t>
  </si>
  <si>
    <t xml:space="preserve">Sylvia curruca</t>
  </si>
  <si>
    <t xml:space="preserve">Славка-завирушка</t>
  </si>
  <si>
    <t xml:space="preserve">AVE-19-146</t>
  </si>
  <si>
    <t xml:space="preserve">Phylloscopus trochilus</t>
  </si>
  <si>
    <t xml:space="preserve">Пеночка-весничка</t>
  </si>
  <si>
    <t xml:space="preserve">AVE-19-147</t>
  </si>
  <si>
    <t xml:space="preserve">Phylloscopus collybita</t>
  </si>
  <si>
    <t xml:space="preserve">Пеночка-теньковка</t>
  </si>
  <si>
    <t xml:space="preserve">AVE-19-151</t>
  </si>
  <si>
    <t xml:space="preserve">Phylloscopus sibilatrix</t>
  </si>
  <si>
    <t xml:space="preserve">Пеночка-трещотка</t>
  </si>
  <si>
    <t xml:space="preserve">AVE-19-152</t>
  </si>
  <si>
    <t xml:space="preserve">Phylloscopus borealis</t>
  </si>
  <si>
    <t xml:space="preserve">Пеночка-таловка</t>
  </si>
  <si>
    <t xml:space="preserve">AVE-19-153</t>
  </si>
  <si>
    <t xml:space="preserve">Phylloscopus trochiloides</t>
  </si>
  <si>
    <t xml:space="preserve">Зеленая пеночка</t>
  </si>
  <si>
    <t xml:space="preserve">AVE-19-165</t>
  </si>
  <si>
    <t xml:space="preserve">Regulus regulus</t>
  </si>
  <si>
    <t xml:space="preserve">Желтоголовый королек</t>
  </si>
  <si>
    <t xml:space="preserve">AVE-19-170</t>
  </si>
  <si>
    <t xml:space="preserve">Ficedula hypoleuca</t>
  </si>
  <si>
    <t xml:space="preserve">Мухоловка-пеструшка</t>
  </si>
  <si>
    <t xml:space="preserve">AVE-19-175</t>
  </si>
  <si>
    <t xml:space="preserve">Ficedula parva</t>
  </si>
  <si>
    <t xml:space="preserve">Малая мухоловка</t>
  </si>
  <si>
    <t xml:space="preserve">AVE-19-177</t>
  </si>
  <si>
    <t xml:space="preserve">Muscicapa striata</t>
  </si>
  <si>
    <t xml:space="preserve">Серая мухоловка</t>
  </si>
  <si>
    <t xml:space="preserve">AVE-19-182</t>
  </si>
  <si>
    <t xml:space="preserve">Saxicola rubetra</t>
  </si>
  <si>
    <t xml:space="preserve">Луговой чекан</t>
  </si>
  <si>
    <t xml:space="preserve">AVE-19-183</t>
  </si>
  <si>
    <t xml:space="preserve">Saxicola torquata</t>
  </si>
  <si>
    <t xml:space="preserve">Черноголовый чекан</t>
  </si>
  <si>
    <t xml:space="preserve">AVE-19-186</t>
  </si>
  <si>
    <t xml:space="preserve">Oenanthe oenanthe</t>
  </si>
  <si>
    <t xml:space="preserve">Обыкновенная каменка</t>
  </si>
  <si>
    <t xml:space="preserve">AVE-19-199</t>
  </si>
  <si>
    <t xml:space="preserve">Phoenicurus phoenicurus</t>
  </si>
  <si>
    <t xml:space="preserve">Обыкновенная горихвостка</t>
  </si>
  <si>
    <t xml:space="preserve">AVE-19-200</t>
  </si>
  <si>
    <t xml:space="preserve">Phoenicurus ochruros</t>
  </si>
  <si>
    <t xml:space="preserve">Горихвостка-чернушка</t>
  </si>
  <si>
    <t xml:space="preserve">AVE-19-206</t>
  </si>
  <si>
    <t xml:space="preserve">Erithacus rubecula</t>
  </si>
  <si>
    <t xml:space="preserve">Зарянка</t>
  </si>
  <si>
    <t xml:space="preserve">AVE-19-209</t>
  </si>
  <si>
    <t xml:space="preserve">Luscinia luscinia</t>
  </si>
  <si>
    <t xml:space="preserve">Обыкновенный соловей</t>
  </si>
  <si>
    <t xml:space="preserve">AVE-19-212</t>
  </si>
  <si>
    <t xml:space="preserve">Luscinia svecica</t>
  </si>
  <si>
    <t xml:space="preserve">Варакушка</t>
  </si>
  <si>
    <t xml:space="preserve">AVE-19-215</t>
  </si>
  <si>
    <t xml:space="preserve">Tarsiger cyanurus (Pallas, 1773) СИНЕХВОСТКА</t>
  </si>
  <si>
    <t xml:space="preserve">Синехвостка - Tarsiger cyanurus (Pallas, 1773)</t>
  </si>
  <si>
    <t xml:space="preserve">AVE-19-223</t>
  </si>
  <si>
    <t xml:space="preserve">Turdus ruficollis</t>
  </si>
  <si>
    <t xml:space="preserve">Краснозобый дрозд - Turdus ruficollis  Pallas, 1776</t>
  </si>
  <si>
    <t xml:space="preserve">AVE-19-227</t>
  </si>
  <si>
    <t xml:space="preserve">Turdus pilaris</t>
  </si>
  <si>
    <t xml:space="preserve">Рябинник</t>
  </si>
  <si>
    <t xml:space="preserve">AVE-19-228</t>
  </si>
  <si>
    <t xml:space="preserve">Turdus torquatus</t>
  </si>
  <si>
    <t xml:space="preserve">Белозобый дрозд</t>
  </si>
  <si>
    <t xml:space="preserve">AVE-19-229</t>
  </si>
  <si>
    <t xml:space="preserve">Turdus merula</t>
  </si>
  <si>
    <t xml:space="preserve">Черный дрозд</t>
  </si>
  <si>
    <t xml:space="preserve">AVE-19-232</t>
  </si>
  <si>
    <t xml:space="preserve">Turdus iliacus</t>
  </si>
  <si>
    <t xml:space="preserve">Белобровик</t>
  </si>
  <si>
    <t xml:space="preserve">AVE-19-233</t>
  </si>
  <si>
    <t xml:space="preserve">Turdus philomelos</t>
  </si>
  <si>
    <t xml:space="preserve">Певчий дрозд</t>
  </si>
  <si>
    <t xml:space="preserve">AVE-19-234</t>
  </si>
  <si>
    <t xml:space="preserve">Turdus viscivorus </t>
  </si>
  <si>
    <t xml:space="preserve">Деряба</t>
  </si>
  <si>
    <t xml:space="preserve">AVE-19-242</t>
  </si>
  <si>
    <t xml:space="preserve">Aegithalos caudatus</t>
  </si>
  <si>
    <t xml:space="preserve">Длиннохвостая синица</t>
  </si>
  <si>
    <t xml:space="preserve">AVE-19-246</t>
  </si>
  <si>
    <t xml:space="preserve">Parus montanus</t>
  </si>
  <si>
    <t xml:space="preserve">Буроголовая гаичка</t>
  </si>
  <si>
    <t xml:space="preserve">AVE-19-249</t>
  </si>
  <si>
    <t xml:space="preserve">Parus cinctus</t>
  </si>
  <si>
    <t xml:space="preserve">Сероголовая гаичка</t>
  </si>
  <si>
    <t xml:space="preserve">AVE-19-250</t>
  </si>
  <si>
    <t xml:space="preserve">Parus cristatus</t>
  </si>
  <si>
    <t xml:space="preserve">Хохлатая синица</t>
  </si>
  <si>
    <t xml:space="preserve">AVE-19-251</t>
  </si>
  <si>
    <t xml:space="preserve">Parus ater</t>
  </si>
  <si>
    <t xml:space="preserve">Московка</t>
  </si>
  <si>
    <t xml:space="preserve">AVE-19-254</t>
  </si>
  <si>
    <t xml:space="preserve">Parus caeruleus</t>
  </si>
  <si>
    <t xml:space="preserve">Обыкновенная лазоревка</t>
  </si>
  <si>
    <t xml:space="preserve">AVE-19-257</t>
  </si>
  <si>
    <t xml:space="preserve">Parus major</t>
  </si>
  <si>
    <t xml:space="preserve">Большая синица</t>
  </si>
  <si>
    <t xml:space="preserve">AVE-19-261</t>
  </si>
  <si>
    <t xml:space="preserve">Sitta europea</t>
  </si>
  <si>
    <t xml:space="preserve">Обыкновенный поползень</t>
  </si>
  <si>
    <t xml:space="preserve">AVE-19-267</t>
  </si>
  <si>
    <t xml:space="preserve">Certhia familiaris</t>
  </si>
  <si>
    <t xml:space="preserve">Обыкновенная пищуха</t>
  </si>
  <si>
    <t xml:space="preserve">AVE-19-274</t>
  </si>
  <si>
    <t xml:space="preserve">Passer domesticus</t>
  </si>
  <si>
    <t xml:space="preserve"> Домовой воробей</t>
  </si>
  <si>
    <t xml:space="preserve">AVE-19-278</t>
  </si>
  <si>
    <t xml:space="preserve">Passer montanus</t>
  </si>
  <si>
    <t xml:space="preserve">Полевой воробей</t>
  </si>
  <si>
    <t xml:space="preserve">AVE-19-287</t>
  </si>
  <si>
    <t xml:space="preserve">Fringilla coelebs</t>
  </si>
  <si>
    <t xml:space="preserve">Зяблик</t>
  </si>
  <si>
    <t xml:space="preserve">AVE-19-288</t>
  </si>
  <si>
    <t xml:space="preserve">Fringilla montifringilla</t>
  </si>
  <si>
    <t xml:space="preserve">Вьюрок</t>
  </si>
  <si>
    <t xml:space="preserve">AVE-19-291</t>
  </si>
  <si>
    <t xml:space="preserve">Chloris chloris</t>
  </si>
  <si>
    <t xml:space="preserve">Обыкновенная зеленушка</t>
  </si>
  <si>
    <t xml:space="preserve">AVE-19-293</t>
  </si>
  <si>
    <t xml:space="preserve">Spinus spinus</t>
  </si>
  <si>
    <t xml:space="preserve">Чиж - Spinus spinus</t>
  </si>
  <si>
    <t xml:space="preserve">AVE-19-294</t>
  </si>
  <si>
    <t xml:space="preserve">Carduelis carduelis</t>
  </si>
  <si>
    <t xml:space="preserve">Черноголовый щегол</t>
  </si>
  <si>
    <t xml:space="preserve">AVE-19-296</t>
  </si>
  <si>
    <t xml:space="preserve">Acanthis cannabina</t>
  </si>
  <si>
    <t xml:space="preserve">Коноплянка</t>
  </si>
  <si>
    <t xml:space="preserve">AVE-19-297</t>
  </si>
  <si>
    <t xml:space="preserve">Acanthis flavirostris</t>
  </si>
  <si>
    <t xml:space="preserve">Горная чечетка</t>
  </si>
  <si>
    <t xml:space="preserve">AVE-19-298</t>
  </si>
  <si>
    <t xml:space="preserve">Acanthis flammea</t>
  </si>
  <si>
    <t xml:space="preserve">Обыкновенная чечетка</t>
  </si>
  <si>
    <t xml:space="preserve">AVE-19-299</t>
  </si>
  <si>
    <t xml:space="preserve">Acanthis hornemanni</t>
  </si>
  <si>
    <t xml:space="preserve">Пепельная чечетка</t>
  </si>
  <si>
    <t xml:space="preserve">AVE-19-306</t>
  </si>
  <si>
    <t xml:space="preserve">Bucanetes mongolicus</t>
  </si>
  <si>
    <t xml:space="preserve">Монгольский снегирь</t>
  </si>
  <si>
    <t xml:space="preserve">AVE-19-308</t>
  </si>
  <si>
    <t xml:space="preserve">Caprodacus erythrinus</t>
  </si>
  <si>
    <t xml:space="preserve">Обыкновенная чечевица</t>
  </si>
  <si>
    <t xml:space="preserve">AVE-19-315</t>
  </si>
  <si>
    <t xml:space="preserve">Pinicola enucleator</t>
  </si>
  <si>
    <t xml:space="preserve">Щур</t>
  </si>
  <si>
    <t xml:space="preserve">AVE-19-316</t>
  </si>
  <si>
    <t xml:space="preserve">Loxia pytyopsittacus</t>
  </si>
  <si>
    <t xml:space="preserve">Клест-сосновик</t>
  </si>
  <si>
    <t xml:space="preserve">AVE-19-317</t>
  </si>
  <si>
    <t xml:space="preserve">Loxia curvirostra L., 1758 ОБЫКНОВЕННЫЙ КЛЕСТ (ЕЛОВИК)</t>
  </si>
  <si>
    <t xml:space="preserve">Обыкновенный клест</t>
  </si>
  <si>
    <t xml:space="preserve">AVE-19-318</t>
  </si>
  <si>
    <t xml:space="preserve">Loxia leucoptera</t>
  </si>
  <si>
    <t xml:space="preserve">Белокрылый клест</t>
  </si>
  <si>
    <t xml:space="preserve">AVE-19-319</t>
  </si>
  <si>
    <t xml:space="preserve">Pyrrhula pyrrhula</t>
  </si>
  <si>
    <t xml:space="preserve">Обыкновенный снегирь</t>
  </si>
  <si>
    <t xml:space="preserve">AVE-19-324</t>
  </si>
  <si>
    <t xml:space="preserve">Coccothraustes coccothraustes</t>
  </si>
  <si>
    <t xml:space="preserve">Обыкновенный дубонос</t>
  </si>
  <si>
    <t xml:space="preserve">AVE-19-331</t>
  </si>
  <si>
    <t xml:space="preserve">Emberiza calandra</t>
  </si>
  <si>
    <t xml:space="preserve">Просянка</t>
  </si>
  <si>
    <t xml:space="preserve">AVE-19-333</t>
  </si>
  <si>
    <t xml:space="preserve">Emberiza citrinella</t>
  </si>
  <si>
    <t xml:space="preserve">Обыкновенная овсянка</t>
  </si>
  <si>
    <t xml:space="preserve">AVE-19-342</t>
  </si>
  <si>
    <t xml:space="preserve">Emberiza schoeniclus (L., 1758) ТРОСТНИКОВАЯ ОВСЯНКА</t>
  </si>
  <si>
    <t xml:space="preserve">Тростниковая овсянка</t>
  </si>
  <si>
    <t xml:space="preserve">AVE-19-348</t>
  </si>
  <si>
    <t xml:space="preserve">Emberiza rustica</t>
  </si>
  <si>
    <t xml:space="preserve">Овсянка-ремез</t>
  </si>
  <si>
    <t xml:space="preserve">AVE-19-349</t>
  </si>
  <si>
    <t xml:space="preserve">Emberiza pusilla</t>
  </si>
  <si>
    <t xml:space="preserve">Овсянка-крошка</t>
  </si>
  <si>
    <t xml:space="preserve">AVE-19-351</t>
  </si>
  <si>
    <t xml:space="preserve">Emberiza aureola</t>
  </si>
  <si>
    <t xml:space="preserve">Дубровник</t>
  </si>
  <si>
    <t xml:space="preserve">AVE-19-353</t>
  </si>
  <si>
    <t xml:space="preserve">Emberiza hortulana</t>
  </si>
  <si>
    <t xml:space="preserve">Садовая овсянка</t>
  </si>
  <si>
    <t xml:space="preserve">AVE-19-358</t>
  </si>
  <si>
    <t xml:space="preserve">Calcarius lapponicus</t>
  </si>
  <si>
    <t xml:space="preserve">Подорожник</t>
  </si>
  <si>
    <t xml:space="preserve">AVE-19-359</t>
  </si>
  <si>
    <t xml:space="preserve">Plectrophenax nivalis</t>
  </si>
  <si>
    <t xml:space="preserve">Пуночка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</si>
</sst>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;@"/>
    <numFmt numFmtId="166" formatCode="0.0"/>
    <numFmt numFmtId="167" formatCode="0.00"/>
    <numFmt numFmtId="168" formatCode="@"/>
    <numFmt numFmtId="169" formatCode="dd/mm/yyyy"/>
  </numFmts>
  <fonts count="15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MS Sans Serif"/>
      <family val="0"/>
      <charset val="204"/>
    </font>
    <font>
      <sz val="10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8"/>
      <name val="Times New Roman"/>
      <family val="1"/>
      <charset val="204"/>
    </font>
    <font>
      <sz val="10"/>
      <color rgb="FF000000"/>
      <name val="Arial Cyr"/>
      <family val="0"/>
      <charset val="204"/>
    </font>
    <font>
      <sz val="10"/>
      <color rgb="FF3366FF"/>
      <name val="Arial Cyr"/>
      <family val="2"/>
      <charset val="204"/>
    </font>
    <font>
      <sz val="10"/>
      <name val="Arial Cyr"/>
      <family val="2"/>
      <charset val="204"/>
    </font>
    <font>
      <sz val="10"/>
      <color rgb="FF3366FF"/>
      <name val="Times New Roman"/>
      <family val="1"/>
      <charset val="204"/>
    </font>
    <font>
      <sz val="10"/>
      <color rgb="FF0000FF"/>
      <name val="Arial Cyr"/>
      <family val="2"/>
      <charset val="204"/>
    </font>
    <font>
      <sz val="10"/>
      <color rgb="FF0000FF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104857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F315" activeCellId="0" sqref="F315"/>
    </sheetView>
  </sheetViews>
  <sheetFormatPr defaultColWidth="8.8125" defaultRowHeight="14.65" customHeight="true" zeroHeight="false" outlineLevelRow="0" outlineLevelCol="0"/>
  <cols>
    <col collapsed="false" customWidth="true" hidden="false" outlineLevel="0" max="1" min="1" style="1" width="9.72"/>
    <col collapsed="false" customWidth="false" hidden="false" outlineLevel="0" max="2" min="2" style="2" width="8.81"/>
    <col collapsed="false" customWidth="true" hidden="false" outlineLevel="0" max="3" min="3" style="3" width="13.58"/>
    <col collapsed="false" customWidth="false" hidden="false" outlineLevel="0" max="4" min="4" style="4" width="8.81"/>
    <col collapsed="false" customWidth="false" hidden="false" outlineLevel="0" max="9" min="5" style="3" width="8.81"/>
    <col collapsed="false" customWidth="true" hidden="false" outlineLevel="0" max="10" min="10" style="3" width="8.72"/>
    <col collapsed="false" customWidth="false" hidden="false" outlineLevel="0" max="13" min="11" style="3" width="8.81"/>
    <col collapsed="false" customWidth="true" hidden="false" outlineLevel="0" max="14" min="14" style="3" width="8.72"/>
    <col collapsed="false" customWidth="false" hidden="false" outlineLevel="0" max="17" min="15" style="3" width="8.81"/>
    <col collapsed="false" customWidth="true" hidden="false" outlineLevel="0" max="18" min="18" style="3" width="8.72"/>
    <col collapsed="false" customWidth="false" hidden="false" outlineLevel="0" max="19" min="19" style="3" width="8.81"/>
    <col collapsed="false" customWidth="true" hidden="false" outlineLevel="0" max="20" min="20" style="3" width="11.81"/>
    <col collapsed="false" customWidth="false" hidden="false" outlineLevel="0" max="135" min="21" style="3" width="8.81"/>
    <col collapsed="false" customWidth="true" hidden="false" outlineLevel="0" max="16384" min="16263" style="0" width="11.53"/>
  </cols>
  <sheetData>
    <row r="1" customFormat="false" ht="92.5" hidden="false" customHeight="true" outlineLevel="0" collapsed="false">
      <c r="A1" s="5" t="s">
        <v>0</v>
      </c>
      <c r="B1" s="6" t="s">
        <v>1</v>
      </c>
      <c r="C1" s="7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1" t="s">
        <v>18</v>
      </c>
      <c r="T1" s="11" t="s">
        <v>19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</row>
    <row r="2" customFormat="false" ht="14.65" hidden="false" customHeight="true" outlineLevel="0" collapsed="false">
      <c r="A2" s="13" t="s">
        <v>20</v>
      </c>
      <c r="B2" s="14" t="n">
        <v>39976</v>
      </c>
      <c r="C2" s="15" t="s">
        <v>21</v>
      </c>
      <c r="D2" s="16" t="s">
        <v>22</v>
      </c>
      <c r="E2" s="3" t="n">
        <v>5</v>
      </c>
      <c r="F2" s="3" t="n">
        <v>0</v>
      </c>
      <c r="G2" s="3" t="n">
        <v>75</v>
      </c>
      <c r="I2" s="3" t="n">
        <f aca="false">_xlfn.IFS(G2="взв",11,G2="накл",24,G2="прокл",25,G2="пт",26,G2=90,10,G2=85,10,G2=80,9,G2=75,8,G2=70,8,G2=65,7,G2=60,7,G2=55,6,G2=50,6,G2=45,6,G2=40,5,G2=35,4,G2=30,4,G2=25,3,G2=20,2,G2=15,1,G2=10,1,G2=0,0)</f>
        <v>8</v>
      </c>
      <c r="J2" s="3" t="n">
        <f aca="false">IF(H2&lt;=1,0,IF(H2&lt;=10,11,IF(H2&lt;=14,12,IF(H2&lt;=17,13,IF(H2&lt;=20,14,IF(H2&lt;=22,15,IF(H2&lt;=25,16,IF(H2&lt;=27,17,IF(H2&lt;=29,18,IF(H2&lt;=32,19,IF(H2&lt;=34,20,IF(H2&lt;=36,21,IF(H2&lt;=40,22,24)))))))))))))</f>
        <v>0</v>
      </c>
      <c r="K2" s="3" t="n">
        <v>90</v>
      </c>
      <c r="M2" s="3" t="n">
        <f aca="false">_xlfn.IFS(K2="взв",11,K2="накл",24,K2="прокл",25,K2="пт",26,K2=90,10,K2=85,10,K2=80,9,K2=75,8,K2=70,8,K2=65,7,K2=60,7,K2=55,6,K2=50,6,K2=45,6,K2=40,5,K2=35,4,K2=30,4,K2=25,3,K2=20,2,K2=15,1,K2=10,1,K2=0,0)</f>
        <v>10</v>
      </c>
      <c r="N2" s="3" t="n">
        <f aca="false">IF(L2&lt;=1,0,IF(L2&lt;=10,11,IF(L2&lt;=14,12,IF(L2&lt;=17,13,IF(L2&lt;=20,14,IF(L2&lt;=22,15,IF(L2&lt;=25,16,IF(L2&lt;=27,17,IF(L2&lt;=29,18,IF(L2&lt;=32,19,IF(L2&lt;=34,20,IF(L2&lt;=36,21,IF(L2&lt;=40,22,24)))))))))))))</f>
        <v>0</v>
      </c>
      <c r="O2" s="3" t="n">
        <v>90</v>
      </c>
      <c r="Q2" s="3" t="n">
        <f aca="false">_xlfn.IFS(O2="взв",11,O2="накл",24,O2="прокл",25,O2="пт",26,O2=90,10,O2=85,10,O2=80,9,O2=75,8,O2=70,8,O2=65,7,O2=60,7,O2=55,6,O2=50,6,O2=45,6,O2=40,5,O2=35,4,O2=30,4,O2=25,3,O2=20,2,O2=15,1,O2=10,1,O2=0,0)</f>
        <v>10</v>
      </c>
      <c r="R2" s="3" t="n">
        <f aca="false">IF(P2&lt;=1,0,IF(P2&lt;=10,11,IF(P2&lt;=14,12,IF(P2&lt;=17,13,IF(P2&lt;=20,14,IF(P2&lt;=22,15,IF(P2&lt;=25,16,IF(P2&lt;=27,17,IF(P2&lt;=29,18,IF(P2&lt;=32,19,IF(P2&lt;=34,20,IF(P2&lt;=36,21,IF(P2&lt;=40,22,24)))))))))))))</f>
        <v>0</v>
      </c>
      <c r="S2" s="3" t="n">
        <f aca="false">ROUND((Q2+R2+I2+J2+M2+N2)/3,0)</f>
        <v>9</v>
      </c>
      <c r="T2" s="17" t="n">
        <f aca="false">F2*LOG10(S2+2)</f>
        <v>0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</row>
    <row r="3" customFormat="false" ht="14.65" hidden="false" customHeight="true" outlineLevel="0" collapsed="false">
      <c r="A3" s="13" t="s">
        <v>23</v>
      </c>
      <c r="B3" s="14" t="n">
        <v>39976</v>
      </c>
      <c r="C3" s="15" t="s">
        <v>21</v>
      </c>
      <c r="D3" s="16" t="s">
        <v>22</v>
      </c>
      <c r="E3" s="3" t="n">
        <v>4</v>
      </c>
      <c r="F3" s="3" t="n">
        <v>0</v>
      </c>
      <c r="G3" s="3" t="n">
        <v>90</v>
      </c>
      <c r="I3" s="3" t="n">
        <f aca="false">_xlfn.IFS(G3="взв",11,G3="накл",24,G3="прокл",25,G3="пт",26,G3=90,10,G3=85,10,G3=80,9,G3=75,8,G3=70,8,G3=65,7,G3=60,7,G3=55,6,G3=50,6,G3=45,6,G3=40,5,G3=35,4,G3=30,4,G3=25,3,G3=20,2,G3=15,1,G3=10,1,G3=0,0)</f>
        <v>10</v>
      </c>
      <c r="J3" s="3" t="n">
        <f aca="false">IF(H3&lt;=1,0,IF(H3&lt;=10,11,IF(H3&lt;=14,12,IF(H3&lt;=17,13,IF(H3&lt;=20,14,IF(H3&lt;=22,15,IF(H3&lt;=25,16,IF(H3&lt;=27,17,IF(H3&lt;=29,18,IF(H3&lt;=32,19,IF(H3&lt;=34,20,IF(H3&lt;=36,21,IF(H3&lt;=40,22,24)))))))))))))</f>
        <v>0</v>
      </c>
      <c r="K3" s="3" t="n">
        <v>75</v>
      </c>
      <c r="M3" s="3" t="n">
        <f aca="false">_xlfn.IFS(K3="взв",11,K3="накл",24,K3="прокл",25,K3="пт",26,K3=90,10,K3=85,10,K3=80,9,K3=75,8,K3=70,8,K3=65,7,K3=60,7,K3=55,6,K3=50,6,K3=45,6,K3=40,5,K3=35,4,K3=30,4,K3=25,3,K3=20,2,K3=15,1,K3=10,1,K3=0,0)</f>
        <v>8</v>
      </c>
      <c r="N3" s="3" t="n">
        <f aca="false">IF(L3&lt;=1,0,IF(L3&lt;=10,11,IF(L3&lt;=14,12,IF(L3&lt;=17,13,IF(L3&lt;=20,14,IF(L3&lt;=22,15,IF(L3&lt;=25,16,IF(L3&lt;=27,17,IF(L3&lt;=29,18,IF(L3&lt;=32,19,IF(L3&lt;=34,20,IF(L3&lt;=36,21,IF(L3&lt;=40,22,24)))))))))))))</f>
        <v>0</v>
      </c>
      <c r="O3" s="3" t="n">
        <v>90</v>
      </c>
      <c r="Q3" s="3" t="n">
        <f aca="false">_xlfn.IFS(O3="взв",11,O3="накл",24,O3="прокл",25,O3="пт",26,O3=90,10,O3=85,10,O3=80,9,O3=75,8,O3=70,8,O3=65,7,O3=60,7,O3=55,6,O3=50,6,O3=45,6,O3=40,5,O3=35,4,O3=30,4,O3=25,3,O3=20,2,O3=15,1,O3=10,1,O3=0,0)</f>
        <v>10</v>
      </c>
      <c r="R3" s="3" t="n">
        <f aca="false">IF(P3&lt;=1,0,IF(P3&lt;=10,11,IF(P3&lt;=14,12,IF(P3&lt;=17,13,IF(P3&lt;=20,14,IF(P3&lt;=22,15,IF(P3&lt;=25,16,IF(P3&lt;=27,17,IF(P3&lt;=29,18,IF(P3&lt;=32,19,IF(P3&lt;=34,20,IF(P3&lt;=36,21,IF(P3&lt;=40,22,24)))))))))))))</f>
        <v>0</v>
      </c>
      <c r="S3" s="3" t="n">
        <f aca="false">ROUND((Q3+R3+I3+J3+M3+N3)/3,0)</f>
        <v>9</v>
      </c>
      <c r="T3" s="17" t="n">
        <f aca="false">F3*LOG10(S3+2)</f>
        <v>0</v>
      </c>
    </row>
    <row r="4" customFormat="false" ht="14.65" hidden="false" customHeight="true" outlineLevel="0" collapsed="false">
      <c r="A4" s="13" t="s">
        <v>24</v>
      </c>
      <c r="B4" s="14" t="n">
        <v>39977</v>
      </c>
      <c r="C4" s="15" t="s">
        <v>21</v>
      </c>
      <c r="D4" s="16" t="s">
        <v>25</v>
      </c>
      <c r="E4" s="3" t="n">
        <v>5</v>
      </c>
      <c r="F4" s="3" t="n">
        <v>0</v>
      </c>
      <c r="H4" s="3" t="n">
        <v>36</v>
      </c>
      <c r="I4" s="3" t="n">
        <f aca="false">_xlfn.IFS(G4="взв",11,G4="накл",24,G4="прокл",25,G4="пт",26,G4=90,10,G4=85,10,G4=80,9,G4=75,8,G4=70,8,G4=65,7,G4=60,7,G4=55,6,G4=50,6,G4=45,6,G4=40,5,G4=35,4,G4=30,4,G4=25,3,G4=20,2,G4=15,1,G4=10,1,G4=0,0)</f>
        <v>0</v>
      </c>
      <c r="J4" s="3" t="n">
        <f aca="false">IF(H4&lt;=1,0,IF(H4&lt;=10,11,IF(H4&lt;=14,12,IF(H4&lt;=17,13,IF(H4&lt;=20,14,IF(H4&lt;=22,15,IF(H4&lt;=25,16,IF(H4&lt;=27,17,IF(H4&lt;=29,18,IF(H4&lt;=32,19,IF(H4&lt;=34,20,IF(H4&lt;=36,21,IF(H4&lt;=40,22,24)))))))))))))</f>
        <v>21</v>
      </c>
      <c r="L4" s="3" t="n">
        <v>35</v>
      </c>
      <c r="M4" s="3" t="n">
        <f aca="false">_xlfn.IFS(K4="взв",11,K4="накл",24,K4="прокл",25,K4="пт",26,K4=90,10,K4=85,10,K4=80,9,K4=75,8,K4=70,8,K4=65,7,K4=60,7,K4=55,6,K4=50,6,K4=45,6,K4=40,5,K4=35,4,K4=30,4,K4=25,3,K4=20,2,K4=15,1,K4=10,1,K4=0,0)</f>
        <v>0</v>
      </c>
      <c r="N4" s="3" t="n">
        <f aca="false">IF(L4&lt;=1,0,IF(L4&lt;=10,11,IF(L4&lt;=14,12,IF(L4&lt;=17,13,IF(L4&lt;=20,14,IF(L4&lt;=22,15,IF(L4&lt;=25,16,IF(L4&lt;=27,17,IF(L4&lt;=29,18,IF(L4&lt;=32,19,IF(L4&lt;=34,20,IF(L4&lt;=36,21,IF(L4&lt;=40,22,24)))))))))))))</f>
        <v>21</v>
      </c>
      <c r="P4" s="3" t="n">
        <v>41</v>
      </c>
      <c r="Q4" s="3" t="n">
        <f aca="false">_xlfn.IFS(O4="взв",11,O4="накл",24,O4="прокл",25,O4="пт",26,O4=90,10,O4=85,10,O4=80,9,O4=75,8,O4=70,8,O4=65,7,O4=60,7,O4=55,6,O4=50,6,O4=45,6,O4=40,5,O4=35,4,O4=30,4,O4=25,3,O4=20,2,O4=15,1,O4=10,1,O4=0,0)</f>
        <v>0</v>
      </c>
      <c r="R4" s="3" t="n">
        <f aca="false">IF(P4&lt;=1,0,IF(P4&lt;=10,11,IF(P4&lt;=14,12,IF(P4&lt;=17,13,IF(P4&lt;=20,14,IF(P4&lt;=22,15,IF(P4&lt;=25,16,IF(P4&lt;=27,17,IF(P4&lt;=29,18,IF(P4&lt;=32,19,IF(P4&lt;=34,20,IF(P4&lt;=36,21,IF(P4&lt;=40,22,24)))))))))))))</f>
        <v>24</v>
      </c>
      <c r="S4" s="3" t="n">
        <f aca="false">ROUND((Q4+R4+I4+J4+M4+N4)/3,0)</f>
        <v>22</v>
      </c>
      <c r="T4" s="17" t="n">
        <f aca="false">F4*LOG10(S4+2)</f>
        <v>0</v>
      </c>
    </row>
    <row r="5" customFormat="false" ht="14.65" hidden="false" customHeight="true" outlineLevel="0" collapsed="false">
      <c r="A5" s="13" t="s">
        <v>26</v>
      </c>
      <c r="B5" s="14" t="n">
        <v>39981</v>
      </c>
      <c r="C5" s="15" t="s">
        <v>27</v>
      </c>
      <c r="D5" s="4" t="s">
        <v>28</v>
      </c>
      <c r="E5" s="3" t="n">
        <v>2</v>
      </c>
      <c r="F5" s="3" t="n">
        <v>0</v>
      </c>
      <c r="H5" s="3" t="n">
        <v>41</v>
      </c>
      <c r="I5" s="3" t="n">
        <f aca="false">_xlfn.IFS(G5="взв",11,G5="накл",24,G5="прокл",25,G5="пт",26,G5=90,10,G5=85,10,G5=80,9,G5=75,8,G5=70,8,G5=65,7,G5=60,7,G5=55,6,G5=50,6,G5=45,6,G5=40,5,G5=35,4,G5=30,4,G5=25,3,G5=20,2,G5=15,1,G5=10,1,G5=0,0)</f>
        <v>0</v>
      </c>
      <c r="J5" s="3" t="n">
        <f aca="false">IF(H5&lt;=1,0,IF(H5&lt;=10,11,IF(H5&lt;=14,12,IF(H5&lt;=17,13,IF(H5&lt;=20,14,IF(H5&lt;=22,15,IF(H5&lt;=25,16,IF(H5&lt;=27,17,IF(H5&lt;=29,18,IF(H5&lt;=32,19,IF(H5&lt;=34,20,IF(H5&lt;=36,21,IF(H5&lt;=40,22,24)))))))))))))</f>
        <v>24</v>
      </c>
      <c r="L5" s="3" t="n">
        <v>39</v>
      </c>
      <c r="M5" s="3" t="n">
        <f aca="false">_xlfn.IFS(K5="взв",11,K5="накл",24,K5="прокл",25,K5="пт",26,K5=90,10,K5=85,10,K5=80,9,K5=75,8,K5=70,8,K5=65,7,K5=60,7,K5=55,6,K5=50,6,K5=45,6,K5=40,5,K5=35,4,K5=30,4,K5=25,3,K5=20,2,K5=15,1,K5=10,1,K5=0,0)</f>
        <v>0</v>
      </c>
      <c r="N5" s="3" t="n">
        <f aca="false">IF(L5&lt;=1,0,IF(L5&lt;=10,11,IF(L5&lt;=14,12,IF(L5&lt;=17,13,IF(L5&lt;=20,14,IF(L5&lt;=22,15,IF(L5&lt;=25,16,IF(L5&lt;=27,17,IF(L5&lt;=29,18,IF(L5&lt;=32,19,IF(L5&lt;=34,20,IF(L5&lt;=36,21,IF(L5&lt;=40,22,24)))))))))))))</f>
        <v>22</v>
      </c>
      <c r="Q5" s="3" t="n">
        <f aca="false">_xlfn.IFS(O5="взв",11,O5="накл",24,O5="прокл",25,O5="пт",26,O5=90,10,O5=85,10,O5=80,9,O5=75,8,O5=70,8,O5=65,7,O5=60,7,O5=55,6,O5=50,6,O5=45,6,O5=40,5,O5=35,4,O5=30,4,O5=25,3,O5=20,2,O5=15,1,O5=10,1,O5=0,0)</f>
        <v>0</v>
      </c>
      <c r="R5" s="3" t="n">
        <f aca="false">IF(P5&lt;=1,0,IF(P5&lt;=10,11,IF(P5&lt;=14,12,IF(P5&lt;=17,13,IF(P5&lt;=20,14,IF(P5&lt;=22,15,IF(P5&lt;=25,16,IF(P5&lt;=27,17,IF(P5&lt;=29,18,IF(P5&lt;=32,19,IF(P5&lt;=34,20,IF(P5&lt;=36,21,IF(P5&lt;=40,22,24)))))))))))))</f>
        <v>0</v>
      </c>
      <c r="S5" s="3" t="n">
        <f aca="false">ROUND((Q5+R5+I5+J5+M5+N5)/2,0)</f>
        <v>23</v>
      </c>
      <c r="T5" s="17" t="n">
        <f aca="false">F5*LOG10(S5+2)</f>
        <v>0</v>
      </c>
    </row>
    <row r="6" customFormat="false" ht="14.65" hidden="false" customHeight="true" outlineLevel="0" collapsed="false">
      <c r="A6" s="13" t="s">
        <v>29</v>
      </c>
      <c r="B6" s="14" t="n">
        <v>39981</v>
      </c>
      <c r="C6" s="15" t="s">
        <v>27</v>
      </c>
      <c r="D6" s="4" t="s">
        <v>28</v>
      </c>
      <c r="E6" s="3" t="n">
        <v>4</v>
      </c>
      <c r="F6" s="3" t="n">
        <v>0</v>
      </c>
      <c r="H6" s="3" t="n">
        <v>29</v>
      </c>
      <c r="I6" s="3" t="n">
        <f aca="false">_xlfn.IFS(G6="взв",11,G6="накл",24,G6="прокл",25,G6="пт",26,G6=90,10,G6=85,10,G6=80,9,G6=75,8,G6=70,8,G6=65,7,G6=60,7,G6=55,6,G6=50,6,G6=45,6,G6=40,5,G6=35,4,G6=30,4,G6=25,3,G6=20,2,G6=15,1,G6=10,1,G6=0,0)</f>
        <v>0</v>
      </c>
      <c r="J6" s="3" t="n">
        <f aca="false">IF(H6&lt;=1,0,IF(H6&lt;=10,11,IF(H6&lt;=14,12,IF(H6&lt;=17,13,IF(H6&lt;=20,14,IF(H6&lt;=22,15,IF(H6&lt;=25,16,IF(H6&lt;=27,17,IF(H6&lt;=29,18,IF(H6&lt;=32,19,IF(H6&lt;=34,20,IF(H6&lt;=36,21,IF(H6&lt;=40,22,24)))))))))))))</f>
        <v>18</v>
      </c>
      <c r="L6" s="3" t="n">
        <v>28</v>
      </c>
      <c r="M6" s="3" t="n">
        <f aca="false">_xlfn.IFS(K6="взв",11,K6="накл",24,K6="прокл",25,K6="пт",26,K6=90,10,K6=85,10,K6=80,9,K6=75,8,K6=70,8,K6=65,7,K6=60,7,K6=55,6,K6=50,6,K6=45,6,K6=40,5,K6=35,4,K6=30,4,K6=25,3,K6=20,2,K6=15,1,K6=10,1,K6=0,0)</f>
        <v>0</v>
      </c>
      <c r="N6" s="3" t="n">
        <f aca="false">IF(L6&lt;=1,0,IF(L6&lt;=10,11,IF(L6&lt;=14,12,IF(L6&lt;=17,13,IF(L6&lt;=20,14,IF(L6&lt;=22,15,IF(L6&lt;=25,16,IF(L6&lt;=27,17,IF(L6&lt;=29,18,IF(L6&lt;=32,19,IF(L6&lt;=34,20,IF(L6&lt;=36,21,IF(L6&lt;=40,22,24)))))))))))))</f>
        <v>18</v>
      </c>
      <c r="P6" s="3" t="n">
        <v>29</v>
      </c>
      <c r="Q6" s="3" t="n">
        <f aca="false">_xlfn.IFS(O6="взв",11,O6="накл",24,O6="прокл",25,O6="пт",26,O6=90,10,O6=85,10,O6=80,9,O6=75,8,O6=70,8,O6=65,7,O6=60,7,O6=55,6,O6=50,6,O6=45,6,O6=40,5,O6=35,4,O6=30,4,O6=25,3,O6=20,2,O6=15,1,O6=10,1,O6=0,0)</f>
        <v>0</v>
      </c>
      <c r="R6" s="3" t="n">
        <f aca="false">IF(P6&lt;=1,0,IF(P6&lt;=10,11,IF(P6&lt;=14,12,IF(P6&lt;=17,13,IF(P6&lt;=20,14,IF(P6&lt;=22,15,IF(P6&lt;=25,16,IF(P6&lt;=27,17,IF(P6&lt;=29,18,IF(P6&lt;=32,19,IF(P6&lt;=34,20,IF(P6&lt;=36,21,IF(P6&lt;=40,22,24)))))))))))))</f>
        <v>18</v>
      </c>
      <c r="S6" s="3" t="n">
        <f aca="false">ROUND((Q6+R6+I6+J6+M6+N6)/3,0)</f>
        <v>18</v>
      </c>
      <c r="T6" s="17" t="n">
        <f aca="false">F6*LOG10(S6+2)</f>
        <v>0</v>
      </c>
    </row>
    <row r="7" customFormat="false" ht="14.65" hidden="false" customHeight="true" outlineLevel="0" collapsed="false">
      <c r="A7" s="13" t="s">
        <v>30</v>
      </c>
      <c r="B7" s="14" t="n">
        <v>39985</v>
      </c>
      <c r="C7" s="15" t="s">
        <v>27</v>
      </c>
      <c r="D7" s="4" t="s">
        <v>31</v>
      </c>
      <c r="E7" s="3" t="n">
        <v>6</v>
      </c>
      <c r="F7" s="3" t="n">
        <v>0</v>
      </c>
      <c r="G7" s="3" t="n">
        <v>90</v>
      </c>
      <c r="I7" s="3" t="n">
        <f aca="false">_xlfn.IFS(G7="взв",11,G7="накл",24,G7="прокл",25,G7="пт",26,G7=90,10,G7=85,10,G7=80,9,G7=75,8,G7=70,8,G7=65,7,G7=60,7,G7=55,6,G7=50,6,G7=45,6,G7=40,5,G7=35,4,G7=30,4,G7=25,3,G7=20,2,G7=15,1,G7=10,1,G7=0,0)</f>
        <v>10</v>
      </c>
      <c r="J7" s="3" t="n">
        <f aca="false">IF(H7&lt;=1,0,IF(H7&lt;=10,11,IF(H7&lt;=14,12,IF(H7&lt;=17,13,IF(H7&lt;=20,14,IF(H7&lt;=22,15,IF(H7&lt;=25,16,IF(H7&lt;=27,17,IF(H7&lt;=29,18,IF(H7&lt;=32,19,IF(H7&lt;=34,20,IF(H7&lt;=36,21,IF(H7&lt;=40,22,24)))))))))))))</f>
        <v>0</v>
      </c>
      <c r="K7" s="3" t="n">
        <v>75</v>
      </c>
      <c r="M7" s="3" t="n">
        <f aca="false">_xlfn.IFS(K7="взв",11,K7="накл",24,K7="прокл",25,K7="пт",26,K7=90,10,K7=85,10,K7=80,9,K7=75,8,K7=70,8,K7=65,7,K7=60,7,K7=55,6,K7=50,6,K7=45,6,K7=40,5,K7=35,4,K7=30,4,K7=25,3,K7=20,2,K7=15,1,K7=10,1,K7=0,0)</f>
        <v>8</v>
      </c>
      <c r="N7" s="3" t="n">
        <f aca="false">IF(L7&lt;=1,0,IF(L7&lt;=10,11,IF(L7&lt;=14,12,IF(L7&lt;=17,13,IF(L7&lt;=20,14,IF(L7&lt;=22,15,IF(L7&lt;=25,16,IF(L7&lt;=27,17,IF(L7&lt;=29,18,IF(L7&lt;=32,19,IF(L7&lt;=34,20,IF(L7&lt;=36,21,IF(L7&lt;=40,22,24)))))))))))))</f>
        <v>0</v>
      </c>
      <c r="O7" s="3" t="n">
        <v>90</v>
      </c>
      <c r="Q7" s="3" t="n">
        <f aca="false">_xlfn.IFS(O7="взв",11,O7="накл",24,O7="прокл",25,O7="пт",26,O7=90,10,O7=85,10,O7=80,9,O7=75,8,O7=70,8,O7=65,7,O7=60,7,O7=55,6,O7=50,6,O7=45,6,O7=40,5,O7=35,4,O7=30,4,O7=25,3,O7=20,2,O7=15,1,O7=10,1,O7=0,0)</f>
        <v>10</v>
      </c>
      <c r="R7" s="3" t="n">
        <f aca="false">IF(P7&lt;=1,0,IF(P7&lt;=10,11,IF(P7&lt;=14,12,IF(P7&lt;=17,13,IF(P7&lt;=20,14,IF(P7&lt;=22,15,IF(P7&lt;=25,16,IF(P7&lt;=27,17,IF(P7&lt;=29,18,IF(P7&lt;=32,19,IF(P7&lt;=34,20,IF(P7&lt;=36,21,IF(P7&lt;=40,22,24)))))))))))))</f>
        <v>0</v>
      </c>
      <c r="S7" s="3" t="n">
        <f aca="false">ROUND((Q7+R7+I7+J7+M7+N7)/3,0)</f>
        <v>9</v>
      </c>
      <c r="T7" s="17" t="n">
        <f aca="false">F7*LOG10(S7+2)</f>
        <v>0</v>
      </c>
    </row>
    <row r="8" customFormat="false" ht="14.65" hidden="false" customHeight="true" outlineLevel="0" collapsed="false">
      <c r="A8" s="13" t="s">
        <v>32</v>
      </c>
      <c r="B8" s="14" t="n">
        <v>39985</v>
      </c>
      <c r="C8" s="15" t="s">
        <v>27</v>
      </c>
      <c r="D8" s="4" t="s">
        <v>31</v>
      </c>
      <c r="E8" s="3" t="n">
        <v>5</v>
      </c>
      <c r="F8" s="3" t="n">
        <v>0</v>
      </c>
      <c r="H8" s="3" t="n">
        <v>35</v>
      </c>
      <c r="I8" s="3" t="n">
        <f aca="false">_xlfn.IFS(G8="взв",11,G8="накл",24,G8="прокл",25,G8="пт",26,G8=90,10,G8=85,10,G8=80,9,G8=75,8,G8=70,8,G8=65,7,G8=60,7,G8=55,6,G8=50,6,G8=45,6,G8=40,5,G8=35,4,G8=30,4,G8=25,3,G8=20,2,G8=15,1,G8=10,1,G8=0,0)</f>
        <v>0</v>
      </c>
      <c r="J8" s="3" t="n">
        <f aca="false">IF(H8&lt;=1,0,IF(H8&lt;=10,11,IF(H8&lt;=14,12,IF(H8&lt;=17,13,IF(H8&lt;=20,14,IF(H8&lt;=22,15,IF(H8&lt;=25,16,IF(H8&lt;=27,17,IF(H8&lt;=29,18,IF(H8&lt;=32,19,IF(H8&lt;=34,20,IF(H8&lt;=36,21,IF(H8&lt;=40,22,24)))))))))))))</f>
        <v>21</v>
      </c>
      <c r="L8" s="3" t="n">
        <v>33</v>
      </c>
      <c r="M8" s="3" t="n">
        <f aca="false">_xlfn.IFS(K8="взв",11,K8="накл",24,K8="прокл",25,K8="пт",26,K8=90,10,K8=85,10,K8=80,9,K8=75,8,K8=70,8,K8=65,7,K8=60,7,K8=55,6,K8=50,6,K8=45,6,K8=40,5,K8=35,4,K8=30,4,K8=25,3,K8=20,2,K8=15,1,K8=10,1,K8=0,0)</f>
        <v>0</v>
      </c>
      <c r="N8" s="3" t="n">
        <f aca="false">IF(L8&lt;=1,0,IF(L8&lt;=10,11,IF(L8&lt;=14,12,IF(L8&lt;=17,13,IF(L8&lt;=20,14,IF(L8&lt;=22,15,IF(L8&lt;=25,16,IF(L8&lt;=27,17,IF(L8&lt;=29,18,IF(L8&lt;=32,19,IF(L8&lt;=34,20,IF(L8&lt;=36,21,IF(L8&lt;=40,22,24)))))))))))))</f>
        <v>20</v>
      </c>
      <c r="P8" s="3" t="n">
        <v>35</v>
      </c>
      <c r="Q8" s="3" t="n">
        <f aca="false">_xlfn.IFS(O8="взв",11,O8="накл",24,O8="прокл",25,O8="пт",26,O8=90,10,O8=85,10,O8=80,9,O8=75,8,O8=70,8,O8=65,7,O8=60,7,O8=55,6,O8=50,6,O8=45,6,O8=40,5,O8=35,4,O8=30,4,O8=25,3,O8=20,2,O8=15,1,O8=10,1,O8=0,0)</f>
        <v>0</v>
      </c>
      <c r="R8" s="3" t="n">
        <f aca="false">IF(P8&lt;=1,0,IF(P8&lt;=10,11,IF(P8&lt;=14,12,IF(P8&lt;=17,13,IF(P8&lt;=20,14,IF(P8&lt;=22,15,IF(P8&lt;=25,16,IF(P8&lt;=27,17,IF(P8&lt;=29,18,IF(P8&lt;=32,19,IF(P8&lt;=34,20,IF(P8&lt;=36,21,IF(P8&lt;=40,22,24)))))))))))))</f>
        <v>21</v>
      </c>
      <c r="S8" s="3" t="n">
        <f aca="false">ROUND((Q8+R8+I8+J8+M8+N8)/3,0)</f>
        <v>21</v>
      </c>
      <c r="T8" s="17" t="n">
        <f aca="false">F8*LOG10(S8+2)</f>
        <v>0</v>
      </c>
    </row>
    <row r="9" customFormat="false" ht="14.65" hidden="false" customHeight="true" outlineLevel="0" collapsed="false">
      <c r="A9" s="13" t="s">
        <v>33</v>
      </c>
      <c r="B9" s="2" t="n">
        <v>39996</v>
      </c>
      <c r="C9" s="15" t="s">
        <v>21</v>
      </c>
      <c r="D9" s="4" t="s">
        <v>34</v>
      </c>
      <c r="E9" s="3" t="n">
        <v>7</v>
      </c>
      <c r="F9" s="3" t="n">
        <v>0.5</v>
      </c>
      <c r="H9" s="3" t="n">
        <v>37</v>
      </c>
      <c r="I9" s="3" t="n">
        <f aca="false">_xlfn.IFS(G9="взв",11,G9="накл",24,G9="прокл",25,G9="пт",26,G9=90,10,G9=85,10,G9=80,9,G9=75,8,G9=70,8,G9=65,7,G9=60,7,G9=55,6,G9=50,6,G9=45,6,G9=40,5,G9=35,4,G9=30,4,G9=25,3,G9=20,2,G9=15,1,G9=10,1,G9=0,0)</f>
        <v>0</v>
      </c>
      <c r="J9" s="3" t="n">
        <f aca="false">IF(H9&lt;=1,0,IF(H9&lt;=10,11,IF(H9&lt;=14,12,IF(H9&lt;=17,13,IF(H9&lt;=20,14,IF(H9&lt;=22,15,IF(H9&lt;=25,16,IF(H9&lt;=27,17,IF(H9&lt;=29,18,IF(H9&lt;=32,19,IF(H9&lt;=34,20,IF(H9&lt;=36,21,IF(H9&lt;=40,22,24)))))))))))))</f>
        <v>22</v>
      </c>
      <c r="L9" s="3" t="n">
        <v>41</v>
      </c>
      <c r="M9" s="3" t="n">
        <f aca="false">_xlfn.IFS(K9="взв",11,K9="накл",24,K9="прокл",25,K9="пт",26,K9=90,10,K9=85,10,K9=80,9,K9=75,8,K9=70,8,K9=65,7,K9=60,7,K9=55,6,K9=50,6,K9=45,6,K9=40,5,K9=35,4,K9=30,4,K9=25,3,K9=20,2,K9=15,1,K9=10,1,K9=0,0)</f>
        <v>0</v>
      </c>
      <c r="N9" s="3" t="n">
        <f aca="false">IF(L9&lt;=1,0,IF(L9&lt;=10,11,IF(L9&lt;=14,12,IF(L9&lt;=17,13,IF(L9&lt;=20,14,IF(L9&lt;=22,15,IF(L9&lt;=25,16,IF(L9&lt;=27,17,IF(L9&lt;=29,18,IF(L9&lt;=32,19,IF(L9&lt;=34,20,IF(L9&lt;=36,21,IF(L9&lt;=40,22,24)))))))))))))</f>
        <v>24</v>
      </c>
      <c r="P9" s="3" t="n">
        <v>39</v>
      </c>
      <c r="Q9" s="3" t="n">
        <f aca="false">_xlfn.IFS(O9="взв",11,O9="накл",24,O9="прокл",25,O9="пт",26,O9=90,10,O9=85,10,O9=80,9,O9=75,8,O9=70,8,O9=65,7,O9=60,7,O9=55,6,O9=50,6,O9=45,6,O9=40,5,O9=35,4,O9=30,4,O9=25,3,O9=20,2,O9=15,1,O9=10,1,O9=0,0)</f>
        <v>0</v>
      </c>
      <c r="R9" s="3" t="n">
        <f aca="false">IF(P9&lt;=1,0,IF(P9&lt;=10,11,IF(P9&lt;=14,12,IF(P9&lt;=17,13,IF(P9&lt;=20,14,IF(P9&lt;=22,15,IF(P9&lt;=25,16,IF(P9&lt;=27,17,IF(P9&lt;=29,18,IF(P9&lt;=32,19,IF(P9&lt;=34,20,IF(P9&lt;=36,21,IF(P9&lt;=40,22,24)))))))))))))</f>
        <v>22</v>
      </c>
      <c r="S9" s="3" t="n">
        <f aca="false">ROUND((Q9+R9+I9+J9+M9+N9)/3,0)</f>
        <v>23</v>
      </c>
      <c r="T9" s="17" t="n">
        <f aca="false">F9*LOG10(S9+2)</f>
        <v>0.698970004336019</v>
      </c>
    </row>
    <row r="10" customFormat="false" ht="14.65" hidden="false" customHeight="true" outlineLevel="0" collapsed="false">
      <c r="A10" s="13" t="s">
        <v>35</v>
      </c>
      <c r="B10" s="2" t="n">
        <v>39996</v>
      </c>
      <c r="C10" s="15" t="s">
        <v>21</v>
      </c>
      <c r="D10" s="4" t="s">
        <v>34</v>
      </c>
      <c r="E10" s="3" t="n">
        <v>3</v>
      </c>
      <c r="F10" s="3" t="n">
        <v>0.5</v>
      </c>
      <c r="G10" s="3" t="s">
        <v>36</v>
      </c>
      <c r="I10" s="3" t="n">
        <f aca="false">_xlfn.IFS(G10="взв",11,G10="накл",24,G10="прокл",25,G10="пт",26,G10=90,10,G10=85,10,G10=80,9,G10=75,8,G10=70,8,G10=65,7,G10=60,7,G10=55,6,G10=50,6,G10=45,6,G10=40,5,G10=35,4,G10=30,4,G10=25,3,G10=20,2,G10=15,1,G10=10,1,G10=0,0)</f>
        <v>26</v>
      </c>
      <c r="J10" s="3" t="n">
        <f aca="false">IF(H10&lt;=1,0,IF(H10&lt;=10,11,IF(H10&lt;=14,12,IF(H10&lt;=17,13,IF(H10&lt;=20,14,IF(H10&lt;=22,15,IF(H10&lt;=25,16,IF(H10&lt;=27,17,IF(H10&lt;=29,18,IF(H10&lt;=32,19,IF(H10&lt;=34,20,IF(H10&lt;=36,21,IF(H10&lt;=40,22,24)))))))))))))</f>
        <v>0</v>
      </c>
      <c r="K10" s="3" t="s">
        <v>36</v>
      </c>
      <c r="M10" s="3" t="n">
        <f aca="false">_xlfn.IFS(K10="взв",11,K10="накл",24,K10="прокл",25,K10="пт",26,K10=90,10,K10=85,10,K10=80,9,K10=75,8,K10=70,8,K10=65,7,K10=60,7,K10=55,6,K10=50,6,K10=45,6,K10=40,5,K10=35,4,K10=30,4,K10=25,3,K10=20,2,K10=15,1,K10=10,1,K10=0,0)</f>
        <v>26</v>
      </c>
      <c r="N10" s="3" t="n">
        <f aca="false">IF(L10&lt;=1,0,IF(L10&lt;=10,11,IF(L10&lt;=14,12,IF(L10&lt;=17,13,IF(L10&lt;=20,14,IF(L10&lt;=22,15,IF(L10&lt;=25,16,IF(L10&lt;=27,17,IF(L10&lt;=29,18,IF(L10&lt;=32,19,IF(L10&lt;=34,20,IF(L10&lt;=36,21,IF(L10&lt;=40,22,24)))))))))))))</f>
        <v>0</v>
      </c>
      <c r="O10" s="3" t="s">
        <v>36</v>
      </c>
      <c r="Q10" s="3" t="n">
        <f aca="false">_xlfn.IFS(O10="взв",11,O10="накл",24,O10="прокл",25,O10="пт",26,O10=90,10,O10=85,10,O10=80,9,O10=75,8,O10=70,8,O10=65,7,O10=60,7,O10=55,6,O10=50,6,O10=45,6,O10=40,5,O10=35,4,O10=30,4,O10=25,3,O10=20,2,O10=15,1,O10=10,1,O10=0,0)</f>
        <v>26</v>
      </c>
      <c r="R10" s="3" t="n">
        <f aca="false">IF(P10&lt;=1,0,IF(P10&lt;=10,11,IF(P10&lt;=14,12,IF(P10&lt;=17,13,IF(P10&lt;=20,14,IF(P10&lt;=22,15,IF(P10&lt;=25,16,IF(P10&lt;=27,17,IF(P10&lt;=29,18,IF(P10&lt;=32,19,IF(P10&lt;=34,20,IF(P10&lt;=36,21,IF(P10&lt;=40,22,24)))))))))))))</f>
        <v>0</v>
      </c>
      <c r="S10" s="3" t="n">
        <f aca="false">ROUND((Q10+R10+I10+J10+M10+N10)/3,0)</f>
        <v>26</v>
      </c>
      <c r="T10" s="17" t="n">
        <f aca="false">F10*LOG10(S10+2)</f>
        <v>0.72357901567111</v>
      </c>
    </row>
    <row r="11" customFormat="false" ht="14.65" hidden="false" customHeight="true" outlineLevel="0" collapsed="false">
      <c r="A11" s="13" t="s">
        <v>37</v>
      </c>
      <c r="B11" s="2" t="n">
        <v>39996</v>
      </c>
      <c r="C11" s="15" t="s">
        <v>21</v>
      </c>
      <c r="D11" s="4" t="s">
        <v>34</v>
      </c>
      <c r="E11" s="3" t="n">
        <v>4</v>
      </c>
      <c r="F11" s="3" t="n">
        <v>0.5</v>
      </c>
      <c r="H11" s="3" t="n">
        <v>35</v>
      </c>
      <c r="I11" s="3" t="n">
        <f aca="false">_xlfn.IFS(G11="взв",11,G11="накл",24,G11="прокл",25,G11="пт",26,G11=90,10,G11=85,10,G11=80,9,G11=75,8,G11=70,8,G11=65,7,G11=60,7,G11=55,6,G11=50,6,G11=45,6,G11=40,5,G11=35,4,G11=30,4,G11=25,3,G11=20,2,G11=15,1,G11=10,1,G11=0,0)</f>
        <v>0</v>
      </c>
      <c r="J11" s="3" t="n">
        <f aca="false">IF(H11&lt;=1,0,IF(H11&lt;=10,11,IF(H11&lt;=14,12,IF(H11&lt;=17,13,IF(H11&lt;=20,14,IF(H11&lt;=22,15,IF(H11&lt;=25,16,IF(H11&lt;=27,17,IF(H11&lt;=29,18,IF(H11&lt;=32,19,IF(H11&lt;=34,20,IF(H11&lt;=36,21,IF(H11&lt;=40,22,24)))))))))))))</f>
        <v>21</v>
      </c>
      <c r="L11" s="3" t="n">
        <v>34</v>
      </c>
      <c r="M11" s="3" t="n">
        <f aca="false">_xlfn.IFS(K11="взв",11,K11="накл",24,K11="прокл",25,K11="пт",26,K11=90,10,K11=85,10,K11=80,9,K11=75,8,K11=70,8,K11=65,7,K11=60,7,K11=55,6,K11=50,6,K11=45,6,K11=40,5,K11=35,4,K11=30,4,K11=25,3,K11=20,2,K11=15,1,K11=10,1,K11=0,0)</f>
        <v>0</v>
      </c>
      <c r="N11" s="3" t="n">
        <f aca="false">IF(L11&lt;=1,0,IF(L11&lt;=10,11,IF(L11&lt;=14,12,IF(L11&lt;=17,13,IF(L11&lt;=20,14,IF(L11&lt;=22,15,IF(L11&lt;=25,16,IF(L11&lt;=27,17,IF(L11&lt;=29,18,IF(L11&lt;=32,19,IF(L11&lt;=34,20,IF(L11&lt;=36,21,IF(L11&lt;=40,22,24)))))))))))))</f>
        <v>20</v>
      </c>
      <c r="P11" s="3" t="n">
        <v>31</v>
      </c>
      <c r="Q11" s="3" t="n">
        <f aca="false">_xlfn.IFS(O11="взв",11,O11="накл",24,O11="прокл",25,O11="пт",26,O11=90,10,O11=85,10,O11=80,9,O11=75,8,O11=70,8,O11=65,7,O11=60,7,O11=55,6,O11=50,6,O11=45,6,O11=40,5,O11=35,4,O11=30,4,O11=25,3,O11=20,2,O11=15,1,O11=10,1,O11=0,0)</f>
        <v>0</v>
      </c>
      <c r="R11" s="3" t="n">
        <f aca="false">IF(P11&lt;=1,0,IF(P11&lt;=10,11,IF(P11&lt;=14,12,IF(P11&lt;=17,13,IF(P11&lt;=20,14,IF(P11&lt;=22,15,IF(P11&lt;=25,16,IF(P11&lt;=27,17,IF(P11&lt;=29,18,IF(P11&lt;=32,19,IF(P11&lt;=34,20,IF(P11&lt;=36,21,IF(P11&lt;=40,22,24)))))))))))))</f>
        <v>19</v>
      </c>
      <c r="S11" s="3" t="n">
        <f aca="false">ROUND((Q11+R11+I11+J11+M11+N11)/3,0)</f>
        <v>20</v>
      </c>
      <c r="T11" s="17" t="n">
        <f aca="false">F11*LOG10(S11+2)</f>
        <v>0.671211340411103</v>
      </c>
    </row>
    <row r="12" customFormat="false" ht="14.65" hidden="false" customHeight="true" outlineLevel="0" collapsed="false">
      <c r="A12" s="13" t="s">
        <v>38</v>
      </c>
      <c r="B12" s="2" t="n">
        <v>40003</v>
      </c>
      <c r="C12" s="15" t="s">
        <v>39</v>
      </c>
      <c r="D12" s="4" t="s">
        <v>40</v>
      </c>
      <c r="E12" s="3" t="n">
        <v>5</v>
      </c>
      <c r="F12" s="3" t="n">
        <v>0.5</v>
      </c>
      <c r="H12" s="3" t="n">
        <v>36</v>
      </c>
      <c r="I12" s="3" t="n">
        <f aca="false">_xlfn.IFS(G12="взв",11,G12="накл",24,G12="прокл",25,G12="пт",26,G12=90,10,G12=85,10,G12=80,9,G12=75,8,G12=70,8,G12=65,7,G12=60,7,G12=55,6,G12=50,6,G12=45,6,G12=40,5,G12=35,4,G12=30,4,G12=25,3,G12=20,2,G12=15,1,G12=10,1,G12=0,0)</f>
        <v>0</v>
      </c>
      <c r="J12" s="3" t="n">
        <f aca="false">IF(H12&lt;=1,0,IF(H12&lt;=10,11,IF(H12&lt;=14,12,IF(H12&lt;=17,13,IF(H12&lt;=20,14,IF(H12&lt;=22,15,IF(H12&lt;=25,16,IF(H12&lt;=27,17,IF(H12&lt;=29,18,IF(H12&lt;=32,19,IF(H12&lt;=34,20,IF(H12&lt;=36,21,IF(H12&lt;=40,22,24)))))))))))))</f>
        <v>21</v>
      </c>
      <c r="L12" s="3" t="n">
        <v>35</v>
      </c>
      <c r="M12" s="3" t="n">
        <f aca="false">_xlfn.IFS(K12="взв",11,K12="накл",24,K12="прокл",25,K12="пт",26,K12=90,10,K12=85,10,K12=80,9,K12=75,8,K12=70,8,K12=65,7,K12=60,7,K12=55,6,K12=50,6,K12=45,6,K12=40,5,K12=35,4,K12=30,4,K12=25,3,K12=20,2,K12=15,1,K12=10,1,K12=0,0)</f>
        <v>0</v>
      </c>
      <c r="N12" s="3" t="n">
        <f aca="false">IF(L12&lt;=1,0,IF(L12&lt;=10,11,IF(L12&lt;=14,12,IF(L12&lt;=17,13,IF(L12&lt;=20,14,IF(L12&lt;=22,15,IF(L12&lt;=25,16,IF(L12&lt;=27,17,IF(L12&lt;=29,18,IF(L12&lt;=32,19,IF(L12&lt;=34,20,IF(L12&lt;=36,21,IF(L12&lt;=40,22,24)))))))))))))</f>
        <v>21</v>
      </c>
      <c r="P12" s="3" t="n">
        <v>25</v>
      </c>
      <c r="Q12" s="3" t="n">
        <f aca="false">_xlfn.IFS(O12="взв",11,O12="накл",24,O12="прокл",25,O12="пт",26,O12=90,10,O12=85,10,O12=80,9,O12=75,8,O12=70,8,O12=65,7,O12=60,7,O12=55,6,O12=50,6,O12=45,6,O12=40,5,O12=35,4,O12=30,4,O12=25,3,O12=20,2,O12=15,1,O12=10,1,O12=0,0)</f>
        <v>0</v>
      </c>
      <c r="R12" s="3" t="n">
        <f aca="false">IF(P12&lt;=1,0,IF(P12&lt;=10,11,IF(P12&lt;=14,12,IF(P12&lt;=17,13,IF(P12&lt;=20,14,IF(P12&lt;=22,15,IF(P12&lt;=25,16,IF(P12&lt;=27,17,IF(P12&lt;=29,18,IF(P12&lt;=32,19,IF(P12&lt;=34,20,IF(P12&lt;=36,21,IF(P12&lt;=40,22,24)))))))))))))</f>
        <v>16</v>
      </c>
      <c r="S12" s="3" t="n">
        <f aca="false">ROUND((Q12+R12+I12+J12+M12+N12)/3,0)</f>
        <v>19</v>
      </c>
      <c r="T12" s="17" t="n">
        <f aca="false">F12*LOG10(S12+2)</f>
        <v>0.66110964736696</v>
      </c>
    </row>
    <row r="13" customFormat="false" ht="14.65" hidden="false" customHeight="true" outlineLevel="0" collapsed="false">
      <c r="A13" s="13" t="s">
        <v>41</v>
      </c>
      <c r="B13" s="14" t="n">
        <v>39977</v>
      </c>
      <c r="C13" s="15" t="s">
        <v>21</v>
      </c>
      <c r="D13" s="16" t="s">
        <v>42</v>
      </c>
      <c r="E13" s="3" t="n">
        <v>6</v>
      </c>
      <c r="F13" s="3" t="n">
        <v>1</v>
      </c>
      <c r="G13" s="3" t="s">
        <v>43</v>
      </c>
      <c r="I13" s="3" t="n">
        <f aca="false">_xlfn.IFS(G13="взв",11,G13="накл",24,G13="прокл",25,G13="пт",26,G13=90,10,G13=85,10,G13=80,9,G13=75,8,G13=70,8,G13=65,7,G13=60,7,G13=55,6,G13=50,6,G13=45,6,G13=40,5,G13=35,4,G13=30,4,G13=25,3,G13=20,2,G13=15,1,G13=10,1,G13=0,0)</f>
        <v>24</v>
      </c>
      <c r="J13" s="3" t="n">
        <f aca="false">IF(H13&lt;=1,0,IF(H13&lt;=10,11,IF(H13&lt;=14,12,IF(H13&lt;=17,13,IF(H13&lt;=20,14,IF(H13&lt;=22,15,IF(H13&lt;=25,16,IF(H13&lt;=27,17,IF(H13&lt;=29,18,IF(H13&lt;=32,19,IF(H13&lt;=34,20,IF(H13&lt;=36,21,IF(H13&lt;=40,22,24)))))))))))))</f>
        <v>0</v>
      </c>
      <c r="K13" s="3" t="s">
        <v>36</v>
      </c>
      <c r="M13" s="3" t="n">
        <f aca="false">_xlfn.IFS(K13="взв",11,K13="накл",24,K13="прокл",25,K13="пт",26,K13=90,10,K13=85,10,K13=80,9,K13=75,8,K13=70,8,K13=65,7,K13=60,7,K13=55,6,K13=50,6,K13=45,6,K13=40,5,K13=35,4,K13=30,4,K13=25,3,K13=20,2,K13=15,1,K13=10,1,K13=0,0)</f>
        <v>26</v>
      </c>
      <c r="N13" s="3" t="n">
        <f aca="false">IF(L13&lt;=1,0,IF(L13&lt;=10,11,IF(L13&lt;=14,12,IF(L13&lt;=17,13,IF(L13&lt;=20,14,IF(L13&lt;=22,15,IF(L13&lt;=25,16,IF(L13&lt;=27,17,IF(L13&lt;=29,18,IF(L13&lt;=32,19,IF(L13&lt;=34,20,IF(L13&lt;=36,21,IF(L13&lt;=40,22,24)))))))))))))</f>
        <v>0</v>
      </c>
      <c r="O13" s="3" t="s">
        <v>36</v>
      </c>
      <c r="Q13" s="3" t="n">
        <f aca="false">_xlfn.IFS(O13="взв",11,O13="накл",24,O13="прокл",25,O13="пт",26,O13=90,10,O13=85,10,O13=80,9,O13=75,8,O13=70,8,O13=65,7,O13=60,7,O13=55,6,O13=50,6,O13=45,6,O13=40,5,O13=35,4,O13=30,4,O13=25,3,O13=20,2,O13=15,1,O13=10,1,O13=0,0)</f>
        <v>26</v>
      </c>
      <c r="R13" s="3" t="n">
        <f aca="false">IF(P13&lt;=1,0,IF(P13&lt;=10,11,IF(P13&lt;=14,12,IF(P13&lt;=17,13,IF(P13&lt;=20,14,IF(P13&lt;=22,15,IF(P13&lt;=25,16,IF(P13&lt;=27,17,IF(P13&lt;=29,18,IF(P13&lt;=32,19,IF(P13&lt;=34,20,IF(P13&lt;=36,21,IF(P13&lt;=40,22,24)))))))))))))</f>
        <v>0</v>
      </c>
      <c r="S13" s="3" t="n">
        <f aca="false">ROUND((Q13+R13+I13+J13+M13+N13)/3,0)</f>
        <v>25</v>
      </c>
      <c r="T13" s="17" t="n">
        <f aca="false">F13*LOG10(S13+2)</f>
        <v>1.43136376415899</v>
      </c>
    </row>
    <row r="14" customFormat="false" ht="14.65" hidden="false" customHeight="true" outlineLevel="0" collapsed="false">
      <c r="A14" s="13" t="s">
        <v>44</v>
      </c>
      <c r="B14" s="14" t="n">
        <v>39981</v>
      </c>
      <c r="C14" s="15" t="s">
        <v>27</v>
      </c>
      <c r="D14" s="4" t="s">
        <v>45</v>
      </c>
      <c r="E14" s="3" t="n">
        <v>4</v>
      </c>
      <c r="F14" s="3" t="n">
        <v>1</v>
      </c>
      <c r="H14" s="3" t="n">
        <v>31</v>
      </c>
      <c r="I14" s="3" t="n">
        <f aca="false">_xlfn.IFS(G14="взв",11,G14="накл",24,G14="прокл",25,G14="пт",26,G14=90,10,G14=85,10,G14=80,9,G14=75,8,G14=70,8,G14=65,7,G14=60,7,G14=55,6,G14=50,6,G14=45,6,G14=40,5,G14=35,4,G14=30,4,G14=25,3,G14=20,2,G14=15,1,G14=10,1,G14=0,0)</f>
        <v>0</v>
      </c>
      <c r="J14" s="3" t="n">
        <f aca="false">IF(H14&lt;=1,0,IF(H14&lt;=10,11,IF(H14&lt;=14,12,IF(H14&lt;=17,13,IF(H14&lt;=20,14,IF(H14&lt;=22,15,IF(H14&lt;=25,16,IF(H14&lt;=27,17,IF(H14&lt;=29,18,IF(H14&lt;=32,19,IF(H14&lt;=34,20,IF(H14&lt;=36,21,IF(H14&lt;=40,22,24)))))))))))))</f>
        <v>19</v>
      </c>
      <c r="L14" s="3" t="n">
        <v>33</v>
      </c>
      <c r="M14" s="3" t="n">
        <f aca="false">_xlfn.IFS(K14="взв",11,K14="накл",24,K14="прокл",25,K14="пт",26,K14=90,10,K14=85,10,K14=80,9,K14=75,8,K14=70,8,K14=65,7,K14=60,7,K14=55,6,K14=50,6,K14=45,6,K14=40,5,K14=35,4,K14=30,4,K14=25,3,K14=20,2,K14=15,1,K14=10,1,K14=0,0)</f>
        <v>0</v>
      </c>
      <c r="N14" s="3" t="n">
        <f aca="false">IF(L14&lt;=1,0,IF(L14&lt;=10,11,IF(L14&lt;=14,12,IF(L14&lt;=17,13,IF(L14&lt;=20,14,IF(L14&lt;=22,15,IF(L14&lt;=25,16,IF(L14&lt;=27,17,IF(L14&lt;=29,18,IF(L14&lt;=32,19,IF(L14&lt;=34,20,IF(L14&lt;=36,21,IF(L14&lt;=40,22,24)))))))))))))</f>
        <v>20</v>
      </c>
      <c r="P14" s="3" t="n">
        <v>32</v>
      </c>
      <c r="Q14" s="3" t="n">
        <f aca="false">_xlfn.IFS(O14="взв",11,O14="накл",24,O14="прокл",25,O14="пт",26,O14=90,10,O14=85,10,O14=80,9,O14=75,8,O14=70,8,O14=65,7,O14=60,7,O14=55,6,O14=50,6,O14=45,6,O14=40,5,O14=35,4,O14=30,4,O14=25,3,O14=20,2,O14=15,1,O14=10,1,O14=0,0)</f>
        <v>0</v>
      </c>
      <c r="R14" s="3" t="n">
        <f aca="false">IF(P14&lt;=1,0,IF(P14&lt;=10,11,IF(P14&lt;=14,12,IF(P14&lt;=17,13,IF(P14&lt;=20,14,IF(P14&lt;=22,15,IF(P14&lt;=25,16,IF(P14&lt;=27,17,IF(P14&lt;=29,18,IF(P14&lt;=32,19,IF(P14&lt;=34,20,IF(P14&lt;=36,21,IF(P14&lt;=40,22,24)))))))))))))</f>
        <v>19</v>
      </c>
      <c r="S14" s="3" t="n">
        <f aca="false">ROUND((Q14+R14+I14+J14+M14+N14)/3,0)</f>
        <v>19</v>
      </c>
      <c r="T14" s="17" t="n">
        <f aca="false">F14*LOG10(S14+2)</f>
        <v>1.32221929473392</v>
      </c>
    </row>
    <row r="15" customFormat="false" ht="14.65" hidden="false" customHeight="true" outlineLevel="0" collapsed="false">
      <c r="A15" s="13" t="s">
        <v>46</v>
      </c>
      <c r="B15" s="14" t="n">
        <v>39981</v>
      </c>
      <c r="C15" s="15" t="s">
        <v>27</v>
      </c>
      <c r="D15" s="4" t="s">
        <v>47</v>
      </c>
      <c r="E15" s="3" t="n">
        <v>4</v>
      </c>
      <c r="F15" s="3" t="n">
        <v>1</v>
      </c>
      <c r="H15" s="3" t="n">
        <v>36</v>
      </c>
      <c r="I15" s="3" t="n">
        <f aca="false">_xlfn.IFS(G15="взв",11,G15="накл",24,G15="прокл",25,G15="пт",26,G15=90,10,G15=85,10,G15=80,9,G15=75,8,G15=70,8,G15=65,7,G15=60,7,G15=55,6,G15=50,6,G15=45,6,G15=40,5,G15=35,4,G15=30,4,G15=25,3,G15=20,2,G15=15,1,G15=10,1,G15=0,0)</f>
        <v>0</v>
      </c>
      <c r="J15" s="3" t="n">
        <f aca="false">IF(H15&lt;=1,0,IF(H15&lt;=10,11,IF(H15&lt;=14,12,IF(H15&lt;=17,13,IF(H15&lt;=20,14,IF(H15&lt;=22,15,IF(H15&lt;=25,16,IF(H15&lt;=27,17,IF(H15&lt;=29,18,IF(H15&lt;=32,19,IF(H15&lt;=34,20,IF(H15&lt;=36,21,IF(H15&lt;=40,22,24)))))))))))))</f>
        <v>21</v>
      </c>
      <c r="L15" s="3" t="n">
        <v>39</v>
      </c>
      <c r="M15" s="3" t="n">
        <f aca="false">_xlfn.IFS(K15="взв",11,K15="накл",24,K15="прокл",25,K15="пт",26,K15=90,10,K15=85,10,K15=80,9,K15=75,8,K15=70,8,K15=65,7,K15=60,7,K15=55,6,K15=50,6,K15=45,6,K15=40,5,K15=35,4,K15=30,4,K15=25,3,K15=20,2,K15=15,1,K15=10,1,K15=0,0)</f>
        <v>0</v>
      </c>
      <c r="N15" s="3" t="n">
        <f aca="false">IF(L15&lt;=1,0,IF(L15&lt;=10,11,IF(L15&lt;=14,12,IF(L15&lt;=17,13,IF(L15&lt;=20,14,IF(L15&lt;=22,15,IF(L15&lt;=25,16,IF(L15&lt;=27,17,IF(L15&lt;=29,18,IF(L15&lt;=32,19,IF(L15&lt;=34,20,IF(L15&lt;=36,21,IF(L15&lt;=40,22,24)))))))))))))</f>
        <v>22</v>
      </c>
      <c r="P15" s="3" t="n">
        <v>36</v>
      </c>
      <c r="Q15" s="3" t="n">
        <f aca="false">_xlfn.IFS(O15="взв",11,O15="накл",24,O15="прокл",25,O15="пт",26,O15=90,10,O15=85,10,O15=80,9,O15=75,8,O15=70,8,O15=65,7,O15=60,7,O15=55,6,O15=50,6,O15=45,6,O15=40,5,O15=35,4,O15=30,4,O15=25,3,O15=20,2,O15=15,1,O15=10,1,O15=0,0)</f>
        <v>0</v>
      </c>
      <c r="R15" s="3" t="n">
        <f aca="false">IF(P15&lt;=1,0,IF(P15&lt;=10,11,IF(P15&lt;=14,12,IF(P15&lt;=17,13,IF(P15&lt;=20,14,IF(P15&lt;=22,15,IF(P15&lt;=25,16,IF(P15&lt;=27,17,IF(P15&lt;=29,18,IF(P15&lt;=32,19,IF(P15&lt;=34,20,IF(P15&lt;=36,21,IF(P15&lt;=40,22,24)))))))))))))</f>
        <v>21</v>
      </c>
      <c r="S15" s="3" t="n">
        <f aca="false">ROUND((Q15+R15+I15+J15+M15+N15)/3,0)</f>
        <v>21</v>
      </c>
      <c r="T15" s="17" t="n">
        <f aca="false">F15*LOG10(S15+2)</f>
        <v>1.36172783601759</v>
      </c>
    </row>
    <row r="16" customFormat="false" ht="14.65" hidden="false" customHeight="true" outlineLevel="0" collapsed="false">
      <c r="A16" s="13" t="s">
        <v>48</v>
      </c>
      <c r="B16" s="14" t="n">
        <v>39981</v>
      </c>
      <c r="C16" s="15" t="s">
        <v>27</v>
      </c>
      <c r="D16" s="4" t="s">
        <v>49</v>
      </c>
      <c r="E16" s="3" t="n">
        <v>4</v>
      </c>
      <c r="F16" s="3" t="n">
        <v>1</v>
      </c>
      <c r="G16" s="3" t="n">
        <v>90</v>
      </c>
      <c r="I16" s="3" t="n">
        <f aca="false">_xlfn.IFS(G16="взв",11,G16="накл",24,G16="прокл",25,G16="пт",26,G16=90,10,G16=85,10,G16=80,9,G16=75,8,G16=70,8,G16=65,7,G16=60,7,G16=55,6,G16=50,6,G16=45,6,G16=40,5,G16=35,4,G16=30,4,G16=25,3,G16=20,2,G16=15,1,G16=10,1,G16=0,0)</f>
        <v>10</v>
      </c>
      <c r="J16" s="3" t="n">
        <f aca="false">IF(H16&lt;=1,0,IF(H16&lt;=10,11,IF(H16&lt;=14,12,IF(H16&lt;=17,13,IF(H16&lt;=20,14,IF(H16&lt;=22,15,IF(H16&lt;=25,16,IF(H16&lt;=27,17,IF(H16&lt;=29,18,IF(H16&lt;=32,19,IF(H16&lt;=34,20,IF(H16&lt;=36,21,IF(H16&lt;=40,22,24)))))))))))))</f>
        <v>0</v>
      </c>
      <c r="K16" s="3" t="n">
        <v>60</v>
      </c>
      <c r="M16" s="3" t="n">
        <f aca="false">_xlfn.IFS(K16="взв",11,K16="накл",24,K16="прокл",25,K16="пт",26,K16=90,10,K16=85,10,K16=80,9,K16=75,8,K16=70,8,K16=65,7,K16=60,7,K16=55,6,K16=50,6,K16=45,6,K16=40,5,K16=35,4,K16=30,4,K16=25,3,K16=20,2,K16=15,1,K16=10,1,K16=0,0)</f>
        <v>7</v>
      </c>
      <c r="N16" s="3" t="n">
        <f aca="false">IF(L16&lt;=1,0,IF(L16&lt;=10,11,IF(L16&lt;=14,12,IF(L16&lt;=17,13,IF(L16&lt;=20,14,IF(L16&lt;=22,15,IF(L16&lt;=25,16,IF(L16&lt;=27,17,IF(L16&lt;=29,18,IF(L16&lt;=32,19,IF(L16&lt;=34,20,IF(L16&lt;=36,21,IF(L16&lt;=40,22,24)))))))))))))</f>
        <v>0</v>
      </c>
      <c r="O16" s="3" t="n">
        <v>75</v>
      </c>
      <c r="Q16" s="3" t="n">
        <f aca="false">_xlfn.IFS(O16="взв",11,O16="накл",24,O16="прокл",25,O16="пт",26,O16=90,10,O16=85,10,O16=80,9,O16=75,8,O16=70,8,O16=65,7,O16=60,7,O16=55,6,O16=50,6,O16=45,6,O16=40,5,O16=35,4,O16=30,4,O16=25,3,O16=20,2,O16=15,1,O16=10,1,O16=0,0)</f>
        <v>8</v>
      </c>
      <c r="R16" s="3" t="n">
        <f aca="false">IF(P16&lt;=1,0,IF(P16&lt;=10,11,IF(P16&lt;=14,12,IF(P16&lt;=17,13,IF(P16&lt;=20,14,IF(P16&lt;=22,15,IF(P16&lt;=25,16,IF(P16&lt;=27,17,IF(P16&lt;=29,18,IF(P16&lt;=32,19,IF(P16&lt;=34,20,IF(P16&lt;=36,21,IF(P16&lt;=40,22,24)))))))))))))</f>
        <v>0</v>
      </c>
      <c r="S16" s="3" t="n">
        <f aca="false">ROUND((Q16+R16+I16+J16+M16+N16)/3,0)</f>
        <v>8</v>
      </c>
      <c r="T16" s="17" t="n">
        <f aca="false">F16*LOG10(S16+2)</f>
        <v>1</v>
      </c>
    </row>
    <row r="17" customFormat="false" ht="14.65" hidden="false" customHeight="true" outlineLevel="0" collapsed="false">
      <c r="A17" s="13" t="s">
        <v>50</v>
      </c>
      <c r="B17" s="14" t="n">
        <v>39981</v>
      </c>
      <c r="C17" s="15" t="s">
        <v>27</v>
      </c>
      <c r="D17" s="4" t="s">
        <v>51</v>
      </c>
      <c r="E17" s="3" t="n">
        <v>4</v>
      </c>
      <c r="F17" s="3" t="n">
        <v>1</v>
      </c>
      <c r="H17" s="3" t="n">
        <v>33</v>
      </c>
      <c r="I17" s="3" t="n">
        <f aca="false">_xlfn.IFS(G17="взв",11,G17="накл",24,G17="прокл",25,G17="пт",26,G17=90,10,G17=85,10,G17=80,9,G17=75,8,G17=70,8,G17=65,7,G17=60,7,G17=55,6,G17=50,6,G17=45,6,G17=40,5,G17=35,4,G17=30,4,G17=25,3,G17=20,2,G17=15,1,G17=10,1,G17=0,0)</f>
        <v>0</v>
      </c>
      <c r="J17" s="3" t="n">
        <f aca="false">IF(H17&lt;=1,0,IF(H17&lt;=10,11,IF(H17&lt;=14,12,IF(H17&lt;=17,13,IF(H17&lt;=20,14,IF(H17&lt;=22,15,IF(H17&lt;=25,16,IF(H17&lt;=27,17,IF(H17&lt;=29,18,IF(H17&lt;=32,19,IF(H17&lt;=34,20,IF(H17&lt;=36,21,IF(H17&lt;=40,22,24)))))))))))))</f>
        <v>20</v>
      </c>
      <c r="L17" s="3" t="n">
        <v>34</v>
      </c>
      <c r="M17" s="3" t="n">
        <f aca="false">_xlfn.IFS(K17="взв",11,K17="накл",24,K17="прокл",25,K17="пт",26,K17=90,10,K17=85,10,K17=80,9,K17=75,8,K17=70,8,K17=65,7,K17=60,7,K17=55,6,K17=50,6,K17=45,6,K17=40,5,K17=35,4,K17=30,4,K17=25,3,K17=20,2,K17=15,1,K17=10,1,K17=0,0)</f>
        <v>0</v>
      </c>
      <c r="N17" s="3" t="n">
        <f aca="false">IF(L17&lt;=1,0,IF(L17&lt;=10,11,IF(L17&lt;=14,12,IF(L17&lt;=17,13,IF(L17&lt;=20,14,IF(L17&lt;=22,15,IF(L17&lt;=25,16,IF(L17&lt;=27,17,IF(L17&lt;=29,18,IF(L17&lt;=32,19,IF(L17&lt;=34,20,IF(L17&lt;=36,21,IF(L17&lt;=40,22,24)))))))))))))</f>
        <v>20</v>
      </c>
      <c r="P17" s="3" t="n">
        <v>35</v>
      </c>
      <c r="Q17" s="3" t="n">
        <f aca="false">_xlfn.IFS(O17="взв",11,O17="накл",24,O17="прокл",25,O17="пт",26,O17=90,10,O17=85,10,O17=80,9,O17=75,8,O17=70,8,O17=65,7,O17=60,7,O17=55,6,O17=50,6,O17=45,6,O17=40,5,O17=35,4,O17=30,4,O17=25,3,O17=20,2,O17=15,1,O17=10,1,O17=0,0)</f>
        <v>0</v>
      </c>
      <c r="R17" s="3" t="n">
        <f aca="false">IF(P17&lt;=1,0,IF(P17&lt;=10,11,IF(P17&lt;=14,12,IF(P17&lt;=17,13,IF(P17&lt;=20,14,IF(P17&lt;=22,15,IF(P17&lt;=25,16,IF(P17&lt;=27,17,IF(P17&lt;=29,18,IF(P17&lt;=32,19,IF(P17&lt;=34,20,IF(P17&lt;=36,21,IF(P17&lt;=40,22,24)))))))))))))</f>
        <v>21</v>
      </c>
      <c r="S17" s="3" t="n">
        <f aca="false">ROUND((Q17+R17+I17+J17+M17+N17)/3,0)</f>
        <v>20</v>
      </c>
      <c r="T17" s="17" t="n">
        <f aca="false">F17*LOG10(S17+2)</f>
        <v>1.34242268082221</v>
      </c>
    </row>
    <row r="18" customFormat="false" ht="14.65" hidden="false" customHeight="true" outlineLevel="0" collapsed="false">
      <c r="A18" s="13" t="s">
        <v>52</v>
      </c>
      <c r="B18" s="14" t="n">
        <v>39981</v>
      </c>
      <c r="C18" s="15" t="s">
        <v>27</v>
      </c>
      <c r="D18" s="4" t="s">
        <v>51</v>
      </c>
      <c r="E18" s="3" t="n">
        <v>4</v>
      </c>
      <c r="F18" s="3" t="n">
        <v>1</v>
      </c>
      <c r="G18" s="3" t="n">
        <v>15</v>
      </c>
      <c r="I18" s="3" t="n">
        <f aca="false">_xlfn.IFS(G18="взв",11,G18="накл",24,G18="прокл",25,G18="пт",26,G18=90,10,G18=85,10,G18=80,9,G18=75,8,G18=70,8,G18=65,7,G18=60,7,G18=55,6,G18=50,6,G18=45,6,G18=40,5,G18=35,4,G18=30,4,G18=25,3,G18=20,2,G18=15,1,G18=10,1,G18=0,0)</f>
        <v>1</v>
      </c>
      <c r="J18" s="3" t="n">
        <f aca="false">IF(H18&lt;=1,0,IF(H18&lt;=10,11,IF(H18&lt;=14,12,IF(H18&lt;=17,13,IF(H18&lt;=20,14,IF(H18&lt;=22,15,IF(H18&lt;=25,16,IF(H18&lt;=27,17,IF(H18&lt;=29,18,IF(H18&lt;=32,19,IF(H18&lt;=34,20,IF(H18&lt;=36,21,IF(H18&lt;=40,22,24)))))))))))))</f>
        <v>0</v>
      </c>
      <c r="K18" s="3" t="n">
        <v>15</v>
      </c>
      <c r="M18" s="3" t="n">
        <f aca="false">_xlfn.IFS(K18="взв",11,K18="накл",24,K18="прокл",25,K18="пт",26,K18=90,10,K18=85,10,K18=80,9,K18=75,8,K18=70,8,K18=65,7,K18=60,7,K18=55,6,K18=50,6,K18=45,6,K18=40,5,K18=35,4,K18=30,4,K18=25,3,K18=20,2,K18=15,1,K18=10,1,K18=0,0)</f>
        <v>1</v>
      </c>
      <c r="N18" s="3" t="n">
        <f aca="false">IF(L18&lt;=1,0,IF(L18&lt;=10,11,IF(L18&lt;=14,12,IF(L18&lt;=17,13,IF(L18&lt;=20,14,IF(L18&lt;=22,15,IF(L18&lt;=25,16,IF(L18&lt;=27,17,IF(L18&lt;=29,18,IF(L18&lt;=32,19,IF(L18&lt;=34,20,IF(L18&lt;=36,21,IF(L18&lt;=40,22,24)))))))))))))</f>
        <v>0</v>
      </c>
      <c r="O18" s="3" t="n">
        <v>15</v>
      </c>
      <c r="Q18" s="3" t="n">
        <f aca="false">_xlfn.IFS(O18="взв",11,O18="накл",24,O18="прокл",25,O18="пт",26,O18=90,10,O18=85,10,O18=80,9,O18=75,8,O18=70,8,O18=65,7,O18=60,7,O18=55,6,O18=50,6,O18=45,6,O18=40,5,O18=35,4,O18=30,4,O18=25,3,O18=20,2,O18=15,1,O18=10,1,O18=0,0)</f>
        <v>1</v>
      </c>
      <c r="R18" s="3" t="n">
        <f aca="false">IF(P18&lt;=1,0,IF(P18&lt;=10,11,IF(P18&lt;=14,12,IF(P18&lt;=17,13,IF(P18&lt;=20,14,IF(P18&lt;=22,15,IF(P18&lt;=25,16,IF(P18&lt;=27,17,IF(P18&lt;=29,18,IF(P18&lt;=32,19,IF(P18&lt;=34,20,IF(P18&lt;=36,21,IF(P18&lt;=40,22,24)))))))))))))</f>
        <v>0</v>
      </c>
      <c r="S18" s="3" t="n">
        <f aca="false">ROUND((Q18+R18+I18+J18+M18+N18)/3,0)</f>
        <v>1</v>
      </c>
      <c r="T18" s="17" t="n">
        <f aca="false">F18*LOG10(S18+2)</f>
        <v>0.477121254719662</v>
      </c>
    </row>
    <row r="19" customFormat="false" ht="14.65" hidden="false" customHeight="true" outlineLevel="0" collapsed="false">
      <c r="A19" s="13" t="s">
        <v>53</v>
      </c>
      <c r="B19" s="14" t="n">
        <v>39981</v>
      </c>
      <c r="C19" s="15" t="s">
        <v>27</v>
      </c>
      <c r="D19" s="4" t="s">
        <v>47</v>
      </c>
      <c r="E19" s="3" t="n">
        <v>6</v>
      </c>
      <c r="F19" s="3" t="n">
        <v>1</v>
      </c>
      <c r="G19" s="3" t="s">
        <v>43</v>
      </c>
      <c r="I19" s="3" t="n">
        <f aca="false">_xlfn.IFS(G19="взв",11,G19="накл",24,G19="прокл",25,G19="пт",26,G19=90,10,G19=85,10,G19=80,9,G19=75,8,G19=70,8,G19=65,7,G19=60,7,G19=55,6,G19=50,6,G19=45,6,G19=40,5,G19=35,4,G19=30,4,G19=25,3,G19=20,2,G19=15,1,G19=10,1,G19=0,0)</f>
        <v>24</v>
      </c>
      <c r="J19" s="3" t="n">
        <f aca="false">IF(H19&lt;=1,0,IF(H19&lt;=10,11,IF(H19&lt;=14,12,IF(H19&lt;=17,13,IF(H19&lt;=20,14,IF(H19&lt;=22,15,IF(H19&lt;=25,16,IF(H19&lt;=27,17,IF(H19&lt;=29,18,IF(H19&lt;=32,19,IF(H19&lt;=34,20,IF(H19&lt;=36,21,IF(H19&lt;=40,22,24)))))))))))))</f>
        <v>0</v>
      </c>
      <c r="K19" s="3" t="s">
        <v>43</v>
      </c>
      <c r="M19" s="3" t="n">
        <f aca="false">_xlfn.IFS(K19="взв",11,K19="накл",24,K19="прокл",25,K19="пт",26,K19=90,10,K19=85,10,K19=80,9,K19=75,8,K19=70,8,K19=65,7,K19=60,7,K19=55,6,K19=50,6,K19=45,6,K19=40,5,K19=35,4,K19=30,4,K19=25,3,K19=20,2,K19=15,1,K19=10,1,K19=0,0)</f>
        <v>24</v>
      </c>
      <c r="N19" s="3" t="n">
        <f aca="false">IF(L19&lt;=1,0,IF(L19&lt;=10,11,IF(L19&lt;=14,12,IF(L19&lt;=17,13,IF(L19&lt;=20,14,IF(L19&lt;=22,15,IF(L19&lt;=25,16,IF(L19&lt;=27,17,IF(L19&lt;=29,18,IF(L19&lt;=32,19,IF(L19&lt;=34,20,IF(L19&lt;=36,21,IF(L19&lt;=40,22,24)))))))))))))</f>
        <v>0</v>
      </c>
      <c r="O19" s="3" t="s">
        <v>43</v>
      </c>
      <c r="Q19" s="3" t="n">
        <f aca="false">_xlfn.IFS(O19="взв",11,O19="накл",24,O19="прокл",25,O19="пт",26,O19=90,10,O19=85,10,O19=80,9,O19=75,8,O19=70,8,O19=65,7,O19=60,7,O19=55,6,O19=50,6,O19=45,6,O19=40,5,O19=35,4,O19=30,4,O19=25,3,O19=20,2,O19=15,1,O19=10,1,O19=0,0)</f>
        <v>24</v>
      </c>
      <c r="R19" s="3" t="n">
        <f aca="false">IF(P19&lt;=1,0,IF(P19&lt;=10,11,IF(P19&lt;=14,12,IF(P19&lt;=17,13,IF(P19&lt;=20,14,IF(P19&lt;=22,15,IF(P19&lt;=25,16,IF(P19&lt;=27,17,IF(P19&lt;=29,18,IF(P19&lt;=32,19,IF(P19&lt;=34,20,IF(P19&lt;=36,21,IF(P19&lt;=40,22,24)))))))))))))</f>
        <v>0</v>
      </c>
      <c r="S19" s="3" t="n">
        <f aca="false">ROUND((Q19+R19+I19+J19+M19+N19)/3,0)</f>
        <v>24</v>
      </c>
      <c r="T19" s="17" t="n">
        <f aca="false">F19*LOG10(S19+2)</f>
        <v>1.41497334797082</v>
      </c>
    </row>
    <row r="20" customFormat="false" ht="14.65" hidden="false" customHeight="true" outlineLevel="0" collapsed="false">
      <c r="A20" s="13" t="s">
        <v>54</v>
      </c>
      <c r="B20" s="14" t="n">
        <v>39981</v>
      </c>
      <c r="C20" s="15" t="s">
        <v>27</v>
      </c>
      <c r="D20" s="4" t="s">
        <v>47</v>
      </c>
      <c r="E20" s="3" t="n">
        <v>5</v>
      </c>
      <c r="F20" s="3" t="n">
        <v>1</v>
      </c>
      <c r="H20" s="3" t="n">
        <v>28</v>
      </c>
      <c r="I20" s="3" t="n">
        <f aca="false">_xlfn.IFS(G20="взв",11,G20="накл",24,G20="прокл",25,G20="пт",26,G20=90,10,G20=85,10,G20=80,9,G20=75,8,G20=70,8,G20=65,7,G20=60,7,G20=55,6,G20=50,6,G20=45,6,G20=40,5,G20=35,4,G20=30,4,G20=25,3,G20=20,2,G20=15,1,G20=10,1,G20=0,0)</f>
        <v>0</v>
      </c>
      <c r="J20" s="3" t="n">
        <f aca="false">IF(H20&lt;=1,0,IF(H20&lt;=10,11,IF(H20&lt;=14,12,IF(H20&lt;=17,13,IF(H20&lt;=20,14,IF(H20&lt;=22,15,IF(H20&lt;=25,16,IF(H20&lt;=27,17,IF(H20&lt;=29,18,IF(H20&lt;=32,19,IF(H20&lt;=34,20,IF(H20&lt;=36,21,IF(H20&lt;=40,22,24)))))))))))))</f>
        <v>18</v>
      </c>
      <c r="L20" s="3" t="n">
        <v>26</v>
      </c>
      <c r="M20" s="3" t="n">
        <f aca="false">_xlfn.IFS(K20="взв",11,K20="накл",24,K20="прокл",25,K20="пт",26,K20=90,10,K20=85,10,K20=80,9,K20=75,8,K20=70,8,K20=65,7,K20=60,7,K20=55,6,K20=50,6,K20=45,6,K20=40,5,K20=35,4,K20=30,4,K20=25,3,K20=20,2,K20=15,1,K20=10,1,K20=0,0)</f>
        <v>0</v>
      </c>
      <c r="N20" s="3" t="n">
        <f aca="false">IF(L20&lt;=1,0,IF(L20&lt;=10,11,IF(L20&lt;=14,12,IF(L20&lt;=17,13,IF(L20&lt;=20,14,IF(L20&lt;=22,15,IF(L20&lt;=25,16,IF(L20&lt;=27,17,IF(L20&lt;=29,18,IF(L20&lt;=32,19,IF(L20&lt;=34,20,IF(L20&lt;=36,21,IF(L20&lt;=40,22,24)))))))))))))</f>
        <v>17</v>
      </c>
      <c r="P20" s="3" t="n">
        <v>29</v>
      </c>
      <c r="Q20" s="3" t="n">
        <f aca="false">_xlfn.IFS(O20="взв",11,O20="накл",24,O20="прокл",25,O20="пт",26,O20=90,10,O20=85,10,O20=80,9,O20=75,8,O20=70,8,O20=65,7,O20=60,7,O20=55,6,O20=50,6,O20=45,6,O20=40,5,O20=35,4,O20=30,4,O20=25,3,O20=20,2,O20=15,1,O20=10,1,O20=0,0)</f>
        <v>0</v>
      </c>
      <c r="R20" s="3" t="n">
        <f aca="false">IF(P20&lt;=1,0,IF(P20&lt;=10,11,IF(P20&lt;=14,12,IF(P20&lt;=17,13,IF(P20&lt;=20,14,IF(P20&lt;=22,15,IF(P20&lt;=25,16,IF(P20&lt;=27,17,IF(P20&lt;=29,18,IF(P20&lt;=32,19,IF(P20&lt;=34,20,IF(P20&lt;=36,21,IF(P20&lt;=40,22,24)))))))))))))</f>
        <v>18</v>
      </c>
      <c r="S20" s="3" t="n">
        <f aca="false">ROUND((Q20+R20+I20+J20+M20+N20)/3,0)</f>
        <v>18</v>
      </c>
      <c r="T20" s="17" t="n">
        <f aca="false">F20*LOG10(S20+2)</f>
        <v>1.30102999566398</v>
      </c>
    </row>
    <row r="21" customFormat="false" ht="14.65" hidden="false" customHeight="true" outlineLevel="0" collapsed="false">
      <c r="A21" s="13" t="s">
        <v>55</v>
      </c>
      <c r="B21" s="14" t="n">
        <v>39981</v>
      </c>
      <c r="C21" s="15" t="s">
        <v>27</v>
      </c>
      <c r="D21" s="4" t="s">
        <v>47</v>
      </c>
      <c r="E21" s="3" t="n">
        <v>4</v>
      </c>
      <c r="F21" s="3" t="n">
        <v>1</v>
      </c>
      <c r="H21" s="3" t="n">
        <v>28</v>
      </c>
      <c r="I21" s="3" t="n">
        <f aca="false">_xlfn.IFS(G21="взв",11,G21="накл",24,G21="прокл",25,G21="пт",26,G21=90,10,G21=85,10,G21=80,9,G21=75,8,G21=70,8,G21=65,7,G21=60,7,G21=55,6,G21=50,6,G21=45,6,G21=40,5,G21=35,4,G21=30,4,G21=25,3,G21=20,2,G21=15,1,G21=10,1,G21=0,0)</f>
        <v>0</v>
      </c>
      <c r="J21" s="3" t="n">
        <f aca="false">IF(H21&lt;=1,0,IF(H21&lt;=10,11,IF(H21&lt;=14,12,IF(H21&lt;=17,13,IF(H21&lt;=20,14,IF(H21&lt;=22,15,IF(H21&lt;=25,16,IF(H21&lt;=27,17,IF(H21&lt;=29,18,IF(H21&lt;=32,19,IF(H21&lt;=34,20,IF(H21&lt;=36,21,IF(H21&lt;=40,22,24)))))))))))))</f>
        <v>18</v>
      </c>
      <c r="L21" s="3" t="n">
        <v>29</v>
      </c>
      <c r="M21" s="3" t="n">
        <f aca="false">_xlfn.IFS(K21="взв",11,K21="накл",24,K21="прокл",25,K21="пт",26,K21=90,10,K21=85,10,K21=80,9,K21=75,8,K21=70,8,K21=65,7,K21=60,7,K21=55,6,K21=50,6,K21=45,6,K21=40,5,K21=35,4,K21=30,4,K21=25,3,K21=20,2,K21=15,1,K21=10,1,K21=0,0)</f>
        <v>0</v>
      </c>
      <c r="N21" s="3" t="n">
        <f aca="false">IF(L21&lt;=1,0,IF(L21&lt;=10,11,IF(L21&lt;=14,12,IF(L21&lt;=17,13,IF(L21&lt;=20,14,IF(L21&lt;=22,15,IF(L21&lt;=25,16,IF(L21&lt;=27,17,IF(L21&lt;=29,18,IF(L21&lt;=32,19,IF(L21&lt;=34,20,IF(L21&lt;=36,21,IF(L21&lt;=40,22,24)))))))))))))</f>
        <v>18</v>
      </c>
      <c r="P21" s="3" t="n">
        <v>29</v>
      </c>
      <c r="Q21" s="3" t="n">
        <f aca="false">_xlfn.IFS(O21="взв",11,O21="накл",24,O21="прокл",25,O21="пт",26,O21=90,10,O21=85,10,O21=80,9,O21=75,8,O21=70,8,O21=65,7,O21=60,7,O21=55,6,O21=50,6,O21=45,6,O21=40,5,O21=35,4,O21=30,4,O21=25,3,O21=20,2,O21=15,1,O21=10,1,O21=0,0)</f>
        <v>0</v>
      </c>
      <c r="R21" s="3" t="n">
        <f aca="false">IF(P21&lt;=1,0,IF(P21&lt;=10,11,IF(P21&lt;=14,12,IF(P21&lt;=17,13,IF(P21&lt;=20,14,IF(P21&lt;=22,15,IF(P21&lt;=25,16,IF(P21&lt;=27,17,IF(P21&lt;=29,18,IF(P21&lt;=32,19,IF(P21&lt;=34,20,IF(P21&lt;=36,21,IF(P21&lt;=40,22,24)))))))))))))</f>
        <v>18</v>
      </c>
      <c r="S21" s="3" t="n">
        <f aca="false">ROUND((Q21+R21+I21+J21+M21+N21)/3,0)</f>
        <v>18</v>
      </c>
      <c r="T21" s="17" t="n">
        <f aca="false">F21*LOG10(S21+2)</f>
        <v>1.30102999566398</v>
      </c>
    </row>
    <row r="22" customFormat="false" ht="14.65" hidden="false" customHeight="true" outlineLevel="0" collapsed="false">
      <c r="A22" s="13" t="s">
        <v>56</v>
      </c>
      <c r="B22" s="14" t="n">
        <v>39981</v>
      </c>
      <c r="C22" s="15" t="s">
        <v>27</v>
      </c>
      <c r="D22" s="4" t="s">
        <v>47</v>
      </c>
      <c r="E22" s="3" t="n">
        <v>4</v>
      </c>
      <c r="F22" s="3" t="n">
        <v>1</v>
      </c>
      <c r="H22" s="3" t="n">
        <v>35</v>
      </c>
      <c r="I22" s="3" t="n">
        <f aca="false">_xlfn.IFS(G22="взв",11,G22="накл",24,G22="прокл",25,G22="пт",26,G22=90,10,G22=85,10,G22=80,9,G22=75,8,G22=70,8,G22=65,7,G22=60,7,G22=55,6,G22=50,6,G22=45,6,G22=40,5,G22=35,4,G22=30,4,G22=25,3,G22=20,2,G22=15,1,G22=10,1,G22=0,0)</f>
        <v>0</v>
      </c>
      <c r="J22" s="3" t="n">
        <f aca="false">IF(H22&lt;=1,0,IF(H22&lt;=10,11,IF(H22&lt;=14,12,IF(H22&lt;=17,13,IF(H22&lt;=20,14,IF(H22&lt;=22,15,IF(H22&lt;=25,16,IF(H22&lt;=27,17,IF(H22&lt;=29,18,IF(H22&lt;=32,19,IF(H22&lt;=34,20,IF(H22&lt;=36,21,IF(H22&lt;=40,22,24)))))))))))))</f>
        <v>21</v>
      </c>
      <c r="L22" s="3" t="n">
        <v>33</v>
      </c>
      <c r="M22" s="3" t="n">
        <f aca="false">_xlfn.IFS(K22="взв",11,K22="накл",24,K22="прокл",25,K22="пт",26,K22=90,10,K22=85,10,K22=80,9,K22=75,8,K22=70,8,K22=65,7,K22=60,7,K22=55,6,K22=50,6,K22=45,6,K22=40,5,K22=35,4,K22=30,4,K22=25,3,K22=20,2,K22=15,1,K22=10,1,K22=0,0)</f>
        <v>0</v>
      </c>
      <c r="N22" s="3" t="n">
        <f aca="false">IF(L22&lt;=1,0,IF(L22&lt;=10,11,IF(L22&lt;=14,12,IF(L22&lt;=17,13,IF(L22&lt;=20,14,IF(L22&lt;=22,15,IF(L22&lt;=25,16,IF(L22&lt;=27,17,IF(L22&lt;=29,18,IF(L22&lt;=32,19,IF(L22&lt;=34,20,IF(L22&lt;=36,21,IF(L22&lt;=40,22,24)))))))))))))</f>
        <v>20</v>
      </c>
      <c r="P22" s="3" t="n">
        <v>32</v>
      </c>
      <c r="Q22" s="3" t="n">
        <f aca="false">_xlfn.IFS(O22="взв",11,O22="накл",24,O22="прокл",25,O22="пт",26,O22=90,10,O22=85,10,O22=80,9,O22=75,8,O22=70,8,O22=65,7,O22=60,7,O22=55,6,O22=50,6,O22=45,6,O22=40,5,O22=35,4,O22=30,4,O22=25,3,O22=20,2,O22=15,1,O22=10,1,O22=0,0)</f>
        <v>0</v>
      </c>
      <c r="R22" s="3" t="n">
        <f aca="false">IF(P22&lt;=1,0,IF(P22&lt;=10,11,IF(P22&lt;=14,12,IF(P22&lt;=17,13,IF(P22&lt;=20,14,IF(P22&lt;=22,15,IF(P22&lt;=25,16,IF(P22&lt;=27,17,IF(P22&lt;=29,18,IF(P22&lt;=32,19,IF(P22&lt;=34,20,IF(P22&lt;=36,21,IF(P22&lt;=40,22,24)))))))))))))</f>
        <v>19</v>
      </c>
      <c r="S22" s="3" t="n">
        <f aca="false">ROUND((Q22+R22+I22+J22+M22+N22)/3,0)</f>
        <v>20</v>
      </c>
      <c r="T22" s="17" t="n">
        <f aca="false">F22*LOG10(S22+2)</f>
        <v>1.34242268082221</v>
      </c>
    </row>
    <row r="23" customFormat="false" ht="14.65" hidden="false" customHeight="true" outlineLevel="0" collapsed="false">
      <c r="A23" s="13" t="s">
        <v>57</v>
      </c>
      <c r="B23" s="14" t="n">
        <v>39981</v>
      </c>
      <c r="C23" s="15" t="s">
        <v>27</v>
      </c>
      <c r="D23" s="4" t="s">
        <v>47</v>
      </c>
      <c r="E23" s="3" t="n">
        <v>4</v>
      </c>
      <c r="F23" s="3" t="n">
        <v>1</v>
      </c>
      <c r="H23" s="3" t="n">
        <v>39</v>
      </c>
      <c r="I23" s="3" t="n">
        <f aca="false">_xlfn.IFS(G23="взв",11,G23="накл",24,G23="прокл",25,G23="пт",26,G23=90,10,G23=85,10,G23=80,9,G23=75,8,G23=70,8,G23=65,7,G23=60,7,G23=55,6,G23=50,6,G23=45,6,G23=40,5,G23=35,4,G23=30,4,G23=25,3,G23=20,2,G23=15,1,G23=10,1,G23=0,0)</f>
        <v>0</v>
      </c>
      <c r="J23" s="3" t="n">
        <f aca="false">IF(H23&lt;=1,0,IF(H23&lt;=10,11,IF(H23&lt;=14,12,IF(H23&lt;=17,13,IF(H23&lt;=20,14,IF(H23&lt;=22,15,IF(H23&lt;=25,16,IF(H23&lt;=27,17,IF(H23&lt;=29,18,IF(H23&lt;=32,19,IF(H23&lt;=34,20,IF(H23&lt;=36,21,IF(H23&lt;=40,22,24)))))))))))))</f>
        <v>22</v>
      </c>
      <c r="L23" s="3" t="n">
        <v>37</v>
      </c>
      <c r="M23" s="3" t="n">
        <f aca="false">_xlfn.IFS(K23="взв",11,K23="накл",24,K23="прокл",25,K23="пт",26,K23=90,10,K23=85,10,K23=80,9,K23=75,8,K23=70,8,K23=65,7,K23=60,7,K23=55,6,K23=50,6,K23=45,6,K23=40,5,K23=35,4,K23=30,4,K23=25,3,K23=20,2,K23=15,1,K23=10,1,K23=0,0)</f>
        <v>0</v>
      </c>
      <c r="N23" s="3" t="n">
        <f aca="false">IF(L23&lt;=1,0,IF(L23&lt;=10,11,IF(L23&lt;=14,12,IF(L23&lt;=17,13,IF(L23&lt;=20,14,IF(L23&lt;=22,15,IF(L23&lt;=25,16,IF(L23&lt;=27,17,IF(L23&lt;=29,18,IF(L23&lt;=32,19,IF(L23&lt;=34,20,IF(L23&lt;=36,21,IF(L23&lt;=40,22,24)))))))))))))</f>
        <v>22</v>
      </c>
      <c r="P23" s="3" t="n">
        <v>38</v>
      </c>
      <c r="Q23" s="3" t="n">
        <f aca="false">_xlfn.IFS(O23="взв",11,O23="накл",24,O23="прокл",25,O23="пт",26,O23=90,10,O23=85,10,O23=80,9,O23=75,8,O23=70,8,O23=65,7,O23=60,7,O23=55,6,O23=50,6,O23=45,6,O23=40,5,O23=35,4,O23=30,4,O23=25,3,O23=20,2,O23=15,1,O23=10,1,O23=0,0)</f>
        <v>0</v>
      </c>
      <c r="R23" s="3" t="n">
        <f aca="false">IF(P23&lt;=1,0,IF(P23&lt;=10,11,IF(P23&lt;=14,12,IF(P23&lt;=17,13,IF(P23&lt;=20,14,IF(P23&lt;=22,15,IF(P23&lt;=25,16,IF(P23&lt;=27,17,IF(P23&lt;=29,18,IF(P23&lt;=32,19,IF(P23&lt;=34,20,IF(P23&lt;=36,21,IF(P23&lt;=40,22,24)))))))))))))</f>
        <v>22</v>
      </c>
      <c r="S23" s="3" t="n">
        <f aca="false">ROUND((Q23+R23+I23+J23+M23+N23)/3,0)</f>
        <v>22</v>
      </c>
      <c r="T23" s="17" t="n">
        <f aca="false">F23*LOG10(S23+2)</f>
        <v>1.38021124171161</v>
      </c>
    </row>
    <row r="24" customFormat="false" ht="14.65" hidden="false" customHeight="true" outlineLevel="0" collapsed="false">
      <c r="A24" s="13" t="s">
        <v>58</v>
      </c>
      <c r="B24" s="14" t="n">
        <v>39981</v>
      </c>
      <c r="C24" s="15" t="s">
        <v>27</v>
      </c>
      <c r="D24" s="4" t="s">
        <v>47</v>
      </c>
      <c r="E24" s="3" t="n">
        <v>4</v>
      </c>
      <c r="F24" s="3" t="n">
        <v>1</v>
      </c>
      <c r="H24" s="3" t="n">
        <v>38</v>
      </c>
      <c r="I24" s="3" t="n">
        <f aca="false">_xlfn.IFS(G24="взв",11,G24="накл",24,G24="прокл",25,G24="пт",26,G24=90,10,G24=85,10,G24=80,9,G24=75,8,G24=70,8,G24=65,7,G24=60,7,G24=55,6,G24=50,6,G24=45,6,G24=40,5,G24=35,4,G24=30,4,G24=25,3,G24=20,2,G24=15,1,G24=10,1,G24=0,0)</f>
        <v>0</v>
      </c>
      <c r="J24" s="3" t="n">
        <f aca="false">IF(H24&lt;=1,0,IF(H24&lt;=10,11,IF(H24&lt;=14,12,IF(H24&lt;=17,13,IF(H24&lt;=20,14,IF(H24&lt;=22,15,IF(H24&lt;=25,16,IF(H24&lt;=27,17,IF(H24&lt;=29,18,IF(H24&lt;=32,19,IF(H24&lt;=34,20,IF(H24&lt;=36,21,IF(H24&lt;=40,22,24)))))))))))))</f>
        <v>22</v>
      </c>
      <c r="L24" s="3" t="n">
        <v>35</v>
      </c>
      <c r="M24" s="3" t="n">
        <f aca="false">_xlfn.IFS(K24="взв",11,K24="накл",24,K24="прокл",25,K24="пт",26,K24=90,10,K24=85,10,K24=80,9,K24=75,8,K24=70,8,K24=65,7,K24=60,7,K24=55,6,K24=50,6,K24=45,6,K24=40,5,K24=35,4,K24=30,4,K24=25,3,K24=20,2,K24=15,1,K24=10,1,K24=0,0)</f>
        <v>0</v>
      </c>
      <c r="N24" s="3" t="n">
        <f aca="false">IF(L24&lt;=1,0,IF(L24&lt;=10,11,IF(L24&lt;=14,12,IF(L24&lt;=17,13,IF(L24&lt;=20,14,IF(L24&lt;=22,15,IF(L24&lt;=25,16,IF(L24&lt;=27,17,IF(L24&lt;=29,18,IF(L24&lt;=32,19,IF(L24&lt;=34,20,IF(L24&lt;=36,21,IF(L24&lt;=40,22,24)))))))))))))</f>
        <v>21</v>
      </c>
      <c r="P24" s="3" t="n">
        <v>36</v>
      </c>
      <c r="Q24" s="3" t="n">
        <f aca="false">_xlfn.IFS(O24="взв",11,O24="накл",24,O24="прокл",25,O24="пт",26,O24=90,10,O24=85,10,O24=80,9,O24=75,8,O24=70,8,O24=65,7,O24=60,7,O24=55,6,O24=50,6,O24=45,6,O24=40,5,O24=35,4,O24=30,4,O24=25,3,O24=20,2,O24=15,1,O24=10,1,O24=0,0)</f>
        <v>0</v>
      </c>
      <c r="R24" s="3" t="n">
        <f aca="false">IF(P24&lt;=1,0,IF(P24&lt;=10,11,IF(P24&lt;=14,12,IF(P24&lt;=17,13,IF(P24&lt;=20,14,IF(P24&lt;=22,15,IF(P24&lt;=25,16,IF(P24&lt;=27,17,IF(P24&lt;=29,18,IF(P24&lt;=32,19,IF(P24&lt;=34,20,IF(P24&lt;=36,21,IF(P24&lt;=40,22,24)))))))))))))</f>
        <v>21</v>
      </c>
      <c r="S24" s="3" t="n">
        <f aca="false">ROUND((Q24+R24+I24+J24+M24+N24)/3,0)</f>
        <v>21</v>
      </c>
      <c r="T24" s="17" t="n">
        <f aca="false">F24*LOG10(S24+2)</f>
        <v>1.36172783601759</v>
      </c>
    </row>
    <row r="25" customFormat="false" ht="14.65" hidden="false" customHeight="true" outlineLevel="0" collapsed="false">
      <c r="A25" s="13" t="s">
        <v>59</v>
      </c>
      <c r="B25" s="14" t="n">
        <v>39981</v>
      </c>
      <c r="C25" s="15" t="s">
        <v>27</v>
      </c>
      <c r="D25" s="4" t="s">
        <v>60</v>
      </c>
      <c r="E25" s="3" t="n">
        <v>6</v>
      </c>
      <c r="F25" s="3" t="n">
        <v>1</v>
      </c>
      <c r="H25" s="3" t="n">
        <v>37</v>
      </c>
      <c r="I25" s="3" t="n">
        <f aca="false">_xlfn.IFS(G25="взв",11,G25="накл",24,G25="прокл",25,G25="пт",26,G25=90,10,G25=85,10,G25=80,9,G25=75,8,G25=70,8,G25=65,7,G25=60,7,G25=55,6,G25=50,6,G25=45,6,G25=40,5,G25=35,4,G25=30,4,G25=25,3,G25=20,2,G25=15,1,G25=10,1,G25=0,0)</f>
        <v>0</v>
      </c>
      <c r="J25" s="3" t="n">
        <f aca="false">IF(H25&lt;=1,0,IF(H25&lt;=10,11,IF(H25&lt;=14,12,IF(H25&lt;=17,13,IF(H25&lt;=20,14,IF(H25&lt;=22,15,IF(H25&lt;=25,16,IF(H25&lt;=27,17,IF(H25&lt;=29,18,IF(H25&lt;=32,19,IF(H25&lt;=34,20,IF(H25&lt;=36,21,IF(H25&lt;=40,22,24)))))))))))))</f>
        <v>22</v>
      </c>
      <c r="L25" s="3" t="n">
        <v>34</v>
      </c>
      <c r="M25" s="3" t="n">
        <f aca="false">_xlfn.IFS(K25="взв",11,K25="накл",24,K25="прокл",25,K25="пт",26,K25=90,10,K25=85,10,K25=80,9,K25=75,8,K25=70,8,K25=65,7,K25=60,7,K25=55,6,K25=50,6,K25=45,6,K25=40,5,K25=35,4,K25=30,4,K25=25,3,K25=20,2,K25=15,1,K25=10,1,K25=0,0)</f>
        <v>0</v>
      </c>
      <c r="N25" s="3" t="n">
        <f aca="false">IF(L25&lt;=1,0,IF(L25&lt;=10,11,IF(L25&lt;=14,12,IF(L25&lt;=17,13,IF(L25&lt;=20,14,IF(L25&lt;=22,15,IF(L25&lt;=25,16,IF(L25&lt;=27,17,IF(L25&lt;=29,18,IF(L25&lt;=32,19,IF(L25&lt;=34,20,IF(L25&lt;=36,21,IF(L25&lt;=40,22,24)))))))))))))</f>
        <v>20</v>
      </c>
      <c r="P25" s="3" t="n">
        <v>38</v>
      </c>
      <c r="Q25" s="3" t="n">
        <f aca="false">_xlfn.IFS(O25="взв",11,O25="накл",24,O25="прокл",25,O25="пт",26,O25=90,10,O25=85,10,O25=80,9,O25=75,8,O25=70,8,O25=65,7,O25=60,7,O25=55,6,O25=50,6,O25=45,6,O25=40,5,O25=35,4,O25=30,4,O25=25,3,O25=20,2,O25=15,1,O25=10,1,O25=0,0)</f>
        <v>0</v>
      </c>
      <c r="R25" s="3" t="n">
        <f aca="false">IF(P25&lt;=1,0,IF(P25&lt;=10,11,IF(P25&lt;=14,12,IF(P25&lt;=17,13,IF(P25&lt;=20,14,IF(P25&lt;=22,15,IF(P25&lt;=25,16,IF(P25&lt;=27,17,IF(P25&lt;=29,18,IF(P25&lt;=32,19,IF(P25&lt;=34,20,IF(P25&lt;=36,21,IF(P25&lt;=40,22,24)))))))))))))</f>
        <v>22</v>
      </c>
      <c r="S25" s="3" t="n">
        <f aca="false">ROUND((Q25+R25+I25+J25+M25+N25)/3,0)</f>
        <v>21</v>
      </c>
      <c r="T25" s="17" t="n">
        <f aca="false">F25*LOG10(S25+2)</f>
        <v>1.36172783601759</v>
      </c>
    </row>
    <row r="26" customFormat="false" ht="14.65" hidden="false" customHeight="true" outlineLevel="0" collapsed="false">
      <c r="A26" s="13" t="s">
        <v>61</v>
      </c>
      <c r="B26" s="14" t="n">
        <v>39981</v>
      </c>
      <c r="C26" s="15" t="s">
        <v>27</v>
      </c>
      <c r="D26" s="4" t="s">
        <v>60</v>
      </c>
      <c r="E26" s="3" t="n">
        <v>5</v>
      </c>
      <c r="F26" s="3" t="n">
        <v>1</v>
      </c>
      <c r="G26" s="3" t="s">
        <v>43</v>
      </c>
      <c r="I26" s="3" t="n">
        <f aca="false">_xlfn.IFS(G26="взв",11,G26="накл",24,G26="прокл",25,G26="пт",26,G26=90,10,G26=85,10,G26=80,9,G26=75,8,G26=70,8,G26=65,7,G26=60,7,G26=55,6,G26=50,6,G26=45,6,G26=40,5,G26=35,4,G26=30,4,G26=25,3,G26=20,2,G26=15,1,G26=10,1,G26=0,0)</f>
        <v>24</v>
      </c>
      <c r="J26" s="3" t="n">
        <f aca="false">IF(H26&lt;=1,0,IF(H26&lt;=10,11,IF(H26&lt;=14,12,IF(H26&lt;=17,13,IF(H26&lt;=20,14,IF(H26&lt;=22,15,IF(H26&lt;=25,16,IF(H26&lt;=27,17,IF(H26&lt;=29,18,IF(H26&lt;=32,19,IF(H26&lt;=34,20,IF(H26&lt;=36,21,IF(H26&lt;=40,22,24)))))))))))))</f>
        <v>0</v>
      </c>
      <c r="K26" s="3" t="s">
        <v>43</v>
      </c>
      <c r="M26" s="3" t="n">
        <f aca="false">_xlfn.IFS(K26="взв",11,K26="накл",24,K26="прокл",25,K26="пт",26,K26=90,10,K26=85,10,K26=80,9,K26=75,8,K26=70,8,K26=65,7,K26=60,7,K26=55,6,K26=50,6,K26=45,6,K26=40,5,K26=35,4,K26=30,4,K26=25,3,K26=20,2,K26=15,1,K26=10,1,K26=0,0)</f>
        <v>24</v>
      </c>
      <c r="N26" s="3" t="n">
        <f aca="false">IF(L26&lt;=1,0,IF(L26&lt;=10,11,IF(L26&lt;=14,12,IF(L26&lt;=17,13,IF(L26&lt;=20,14,IF(L26&lt;=22,15,IF(L26&lt;=25,16,IF(L26&lt;=27,17,IF(L26&lt;=29,18,IF(L26&lt;=32,19,IF(L26&lt;=34,20,IF(L26&lt;=36,21,IF(L26&lt;=40,22,24)))))))))))))</f>
        <v>0</v>
      </c>
      <c r="O26" s="3" t="s">
        <v>43</v>
      </c>
      <c r="Q26" s="3" t="n">
        <f aca="false">_xlfn.IFS(O26="взв",11,O26="накл",24,O26="прокл",25,O26="пт",26,O26=90,10,O26=85,10,O26=80,9,O26=75,8,O26=70,8,O26=65,7,O26=60,7,O26=55,6,O26=50,6,O26=45,6,O26=40,5,O26=35,4,O26=30,4,O26=25,3,O26=20,2,O26=15,1,O26=10,1,O26=0,0)</f>
        <v>24</v>
      </c>
      <c r="R26" s="3" t="n">
        <f aca="false">IF(P26&lt;=1,0,IF(P26&lt;=10,11,IF(P26&lt;=14,12,IF(P26&lt;=17,13,IF(P26&lt;=20,14,IF(P26&lt;=22,15,IF(P26&lt;=25,16,IF(P26&lt;=27,17,IF(P26&lt;=29,18,IF(P26&lt;=32,19,IF(P26&lt;=34,20,IF(P26&lt;=36,21,IF(P26&lt;=40,22,24)))))))))))))</f>
        <v>0</v>
      </c>
      <c r="S26" s="3" t="n">
        <f aca="false">ROUND((Q26+R26+I26+J26+M26+N26)/3,0)</f>
        <v>24</v>
      </c>
      <c r="T26" s="17" t="n">
        <f aca="false">F26*LOG10(S26+2)</f>
        <v>1.41497334797082</v>
      </c>
    </row>
    <row r="27" customFormat="false" ht="14.65" hidden="false" customHeight="true" outlineLevel="0" collapsed="false">
      <c r="A27" s="13" t="s">
        <v>62</v>
      </c>
      <c r="B27" s="14" t="n">
        <v>39981</v>
      </c>
      <c r="C27" s="15" t="s">
        <v>27</v>
      </c>
      <c r="D27" s="4" t="s">
        <v>60</v>
      </c>
      <c r="E27" s="3" t="n">
        <v>3</v>
      </c>
      <c r="F27" s="3" t="n">
        <v>1</v>
      </c>
      <c r="H27" s="3" t="n">
        <v>41</v>
      </c>
      <c r="I27" s="3" t="n">
        <f aca="false">_xlfn.IFS(G27="взв",11,G27="накл",24,G27="прокл",25,G27="пт",26,G27=90,10,G27=85,10,G27=80,9,G27=75,8,G27=70,8,G27=65,7,G27=60,7,G27=55,6,G27=50,6,G27=45,6,G27=40,5,G27=35,4,G27=30,4,G27=25,3,G27=20,2,G27=15,1,G27=10,1,G27=0,0)</f>
        <v>0</v>
      </c>
      <c r="J27" s="3" t="n">
        <f aca="false">IF(H27&lt;=1,0,IF(H27&lt;=10,11,IF(H27&lt;=14,12,IF(H27&lt;=17,13,IF(H27&lt;=20,14,IF(H27&lt;=22,15,IF(H27&lt;=25,16,IF(H27&lt;=27,17,IF(H27&lt;=29,18,IF(H27&lt;=32,19,IF(H27&lt;=34,20,IF(H27&lt;=36,21,IF(H27&lt;=40,22,24)))))))))))))</f>
        <v>24</v>
      </c>
      <c r="L27" s="3" t="n">
        <v>41</v>
      </c>
      <c r="M27" s="3" t="n">
        <f aca="false">_xlfn.IFS(K27="взв",11,K27="накл",24,K27="прокл",25,K27="пт",26,K27=90,10,K27=85,10,K27=80,9,K27=75,8,K27=70,8,K27=65,7,K27=60,7,K27=55,6,K27=50,6,K27=45,6,K27=40,5,K27=35,4,K27=30,4,K27=25,3,K27=20,2,K27=15,1,K27=10,1,K27=0,0)</f>
        <v>0</v>
      </c>
      <c r="N27" s="3" t="n">
        <f aca="false">IF(L27&lt;=1,0,IF(L27&lt;=10,11,IF(L27&lt;=14,12,IF(L27&lt;=17,13,IF(L27&lt;=20,14,IF(L27&lt;=22,15,IF(L27&lt;=25,16,IF(L27&lt;=27,17,IF(L27&lt;=29,18,IF(L27&lt;=32,19,IF(L27&lt;=34,20,IF(L27&lt;=36,21,IF(L27&lt;=40,22,24)))))))))))))</f>
        <v>24</v>
      </c>
      <c r="P27" s="3" t="n">
        <v>40</v>
      </c>
      <c r="Q27" s="3" t="n">
        <f aca="false">_xlfn.IFS(O27="взв",11,O27="накл",24,O27="прокл",25,O27="пт",26,O27=90,10,O27=85,10,O27=80,9,O27=75,8,O27=70,8,O27=65,7,O27=60,7,O27=55,6,O27=50,6,O27=45,6,O27=40,5,O27=35,4,O27=30,4,O27=25,3,O27=20,2,O27=15,1,O27=10,1,O27=0,0)</f>
        <v>0</v>
      </c>
      <c r="R27" s="3" t="n">
        <f aca="false">IF(P27&lt;=1,0,IF(P27&lt;=10,11,IF(P27&lt;=14,12,IF(P27&lt;=17,13,IF(P27&lt;=20,14,IF(P27&lt;=22,15,IF(P27&lt;=25,16,IF(P27&lt;=27,17,IF(P27&lt;=29,18,IF(P27&lt;=32,19,IF(P27&lt;=34,20,IF(P27&lt;=36,21,IF(P27&lt;=40,22,24)))))))))))))</f>
        <v>22</v>
      </c>
      <c r="S27" s="3" t="n">
        <f aca="false">ROUND((Q27+R27+I27+J27+M27+N27)/3,0)</f>
        <v>23</v>
      </c>
      <c r="T27" s="17" t="n">
        <f aca="false">F27*LOG10(S27+2)</f>
        <v>1.39794000867204</v>
      </c>
    </row>
    <row r="28" customFormat="false" ht="14.65" hidden="false" customHeight="true" outlineLevel="0" collapsed="false">
      <c r="A28" s="13" t="s">
        <v>63</v>
      </c>
      <c r="B28" s="14" t="n">
        <v>39985</v>
      </c>
      <c r="C28" s="15" t="s">
        <v>27</v>
      </c>
      <c r="D28" s="4" t="s">
        <v>64</v>
      </c>
      <c r="E28" s="3" t="n">
        <v>4</v>
      </c>
      <c r="F28" s="3" t="n">
        <v>1</v>
      </c>
      <c r="G28" s="3" t="s">
        <v>43</v>
      </c>
      <c r="I28" s="3" t="n">
        <f aca="false">_xlfn.IFS(G28="взв",11,G28="накл",24,G28="прокл",25,G28="пт",26,G28=90,10,G28=85,10,G28=80,9,G28=75,8,G28=70,8,G28=65,7,G28=60,7,G28=55,6,G28=50,6,G28=45,6,G28=40,5,G28=35,4,G28=30,4,G28=25,3,G28=20,2,G28=15,1,G28=10,1,G28=0,0)</f>
        <v>24</v>
      </c>
      <c r="J28" s="3" t="n">
        <f aca="false">IF(H28&lt;=1,0,IF(H28&lt;=10,11,IF(H28&lt;=14,12,IF(H28&lt;=17,13,IF(H28&lt;=20,14,IF(H28&lt;=22,15,IF(H28&lt;=25,16,IF(H28&lt;=27,17,IF(H28&lt;=29,18,IF(H28&lt;=32,19,IF(H28&lt;=34,20,IF(H28&lt;=36,21,IF(H28&lt;=40,22,24)))))))))))))</f>
        <v>0</v>
      </c>
      <c r="M28" s="3" t="n">
        <f aca="false">_xlfn.IFS(K28="взв",11,K28="накл",24,K28="прокл",25,K28="пт",26,K28=90,10,K28=85,10,K28=80,9,K28=75,8,K28=70,8,K28=65,7,K28=60,7,K28=55,6,K28=50,6,K28=45,6,K28=40,5,K28=35,4,K28=30,4,K28=25,3,K28=20,2,K28=15,1,K28=10,1,K28=0,0)</f>
        <v>0</v>
      </c>
      <c r="N28" s="3" t="n">
        <f aca="false">IF(L28&lt;=1,0,IF(L28&lt;=10,11,IF(L28&lt;=14,12,IF(L28&lt;=17,13,IF(L28&lt;=20,14,IF(L28&lt;=22,15,IF(L28&lt;=25,16,IF(L28&lt;=27,17,IF(L28&lt;=29,18,IF(L28&lt;=32,19,IF(L28&lt;=34,20,IF(L28&lt;=36,21,IF(L28&lt;=40,22,24)))))))))))))</f>
        <v>0</v>
      </c>
      <c r="Q28" s="3" t="n">
        <f aca="false">_xlfn.IFS(O28="взв",11,O28="накл",24,O28="прокл",25,O28="пт",26,O28=90,10,O28=85,10,O28=80,9,O28=75,8,O28=70,8,O28=65,7,O28=60,7,O28=55,6,O28=50,6,O28=45,6,O28=40,5,O28=35,4,O28=30,4,O28=25,3,O28=20,2,O28=15,1,O28=10,1,O28=0,0)</f>
        <v>0</v>
      </c>
      <c r="R28" s="3" t="n">
        <f aca="false">IF(P28&lt;=1,0,IF(P28&lt;=10,11,IF(P28&lt;=14,12,IF(P28&lt;=17,13,IF(P28&lt;=20,14,IF(P28&lt;=22,15,IF(P28&lt;=25,16,IF(P28&lt;=27,17,IF(P28&lt;=29,18,IF(P28&lt;=32,19,IF(P28&lt;=34,20,IF(P28&lt;=36,21,IF(P28&lt;=40,22,24)))))))))))))</f>
        <v>0</v>
      </c>
      <c r="S28" s="3" t="n">
        <v>24</v>
      </c>
      <c r="T28" s="17" t="n">
        <f aca="false">F28*LOG10(S28+2)</f>
        <v>1.41497334797082</v>
      </c>
    </row>
    <row r="29" customFormat="false" ht="14.65" hidden="false" customHeight="true" outlineLevel="0" collapsed="false">
      <c r="A29" s="13" t="s">
        <v>65</v>
      </c>
      <c r="B29" s="14" t="n">
        <v>39985</v>
      </c>
      <c r="C29" s="15" t="s">
        <v>27</v>
      </c>
      <c r="D29" s="4" t="s">
        <v>64</v>
      </c>
      <c r="E29" s="3" t="n">
        <v>7</v>
      </c>
      <c r="F29" s="3" t="n">
        <v>1</v>
      </c>
      <c r="G29" s="3" t="s">
        <v>36</v>
      </c>
      <c r="I29" s="3" t="n">
        <f aca="false">_xlfn.IFS(G29="взв",11,G29="накл",24,G29="прокл",25,G29="пт",26,G29=90,10,G29=85,10,G29=80,9,G29=75,8,G29=70,8,G29=65,7,G29=60,7,G29=55,6,G29=50,6,G29=45,6,G29=40,5,G29=35,4,G29=30,4,G29=25,3,G29=20,2,G29=15,1,G29=10,1,G29=0,0)</f>
        <v>26</v>
      </c>
      <c r="J29" s="3" t="n">
        <f aca="false">IF(H29&lt;=1,0,IF(H29&lt;=10,11,IF(H29&lt;=14,12,IF(H29&lt;=17,13,IF(H29&lt;=20,14,IF(H29&lt;=22,15,IF(H29&lt;=25,16,IF(H29&lt;=27,17,IF(H29&lt;=29,18,IF(H29&lt;=32,19,IF(H29&lt;=34,20,IF(H29&lt;=36,21,IF(H29&lt;=40,22,24)))))))))))))</f>
        <v>0</v>
      </c>
      <c r="K29" s="3" t="s">
        <v>36</v>
      </c>
      <c r="M29" s="3" t="n">
        <f aca="false">_xlfn.IFS(K29="взв",11,K29="накл",24,K29="прокл",25,K29="пт",26,K29=90,10,K29=85,10,K29=80,9,K29=75,8,K29=70,8,K29=65,7,K29=60,7,K29=55,6,K29=50,6,K29=45,6,K29=40,5,K29=35,4,K29=30,4,K29=25,3,K29=20,2,K29=15,1,K29=10,1,K29=0,0)</f>
        <v>26</v>
      </c>
      <c r="N29" s="3" t="n">
        <f aca="false">IF(L29&lt;=1,0,IF(L29&lt;=10,11,IF(L29&lt;=14,12,IF(L29&lt;=17,13,IF(L29&lt;=20,14,IF(L29&lt;=22,15,IF(L29&lt;=25,16,IF(L29&lt;=27,17,IF(L29&lt;=29,18,IF(L29&lt;=32,19,IF(L29&lt;=34,20,IF(L29&lt;=36,21,IF(L29&lt;=40,22,24)))))))))))))</f>
        <v>0</v>
      </c>
      <c r="O29" s="3" t="s">
        <v>36</v>
      </c>
      <c r="Q29" s="3" t="n">
        <f aca="false">_xlfn.IFS(O29="взв",11,O29="накл",24,O29="прокл",25,O29="пт",26,O29=90,10,O29=85,10,O29=80,9,O29=75,8,O29=70,8,O29=65,7,O29=60,7,O29=55,6,O29=50,6,O29=45,6,O29=40,5,O29=35,4,O29=30,4,O29=25,3,O29=20,2,O29=15,1,O29=10,1,O29=0,0)</f>
        <v>26</v>
      </c>
      <c r="R29" s="3" t="n">
        <f aca="false">IF(P29&lt;=1,0,IF(P29&lt;=10,11,IF(P29&lt;=14,12,IF(P29&lt;=17,13,IF(P29&lt;=20,14,IF(P29&lt;=22,15,IF(P29&lt;=25,16,IF(P29&lt;=27,17,IF(P29&lt;=29,18,IF(P29&lt;=32,19,IF(P29&lt;=34,20,IF(P29&lt;=36,21,IF(P29&lt;=40,22,24)))))))))))))</f>
        <v>0</v>
      </c>
      <c r="S29" s="3" t="n">
        <f aca="false">ROUND((Q29+R29+I29+J29+M29+N29)/3,0)</f>
        <v>26</v>
      </c>
      <c r="T29" s="17" t="n">
        <f aca="false">F29*LOG10(S29+2)</f>
        <v>1.44715803134222</v>
      </c>
    </row>
    <row r="30" customFormat="false" ht="14.65" hidden="false" customHeight="true" outlineLevel="0" collapsed="false">
      <c r="A30" s="13" t="s">
        <v>66</v>
      </c>
      <c r="B30" s="14" t="n">
        <v>39985</v>
      </c>
      <c r="C30" s="15" t="s">
        <v>27</v>
      </c>
      <c r="D30" s="4" t="s">
        <v>64</v>
      </c>
      <c r="E30" s="3" t="n">
        <v>4</v>
      </c>
      <c r="F30" s="3" t="n">
        <v>1</v>
      </c>
      <c r="G30" s="3" t="s">
        <v>43</v>
      </c>
      <c r="H30" s="0"/>
      <c r="I30" s="3" t="n">
        <f aca="false">_xlfn.IFS(G30="взв",11,G30="накл",24,G30="прокл",25,G30="пт",26,G30=90,10,G30=85,10,G30=80,9,G30=75,8,G30=70,8,G30=65,7,G30=60,7,G30=55,6,G30=50,6,G30=45,6,G30=40,5,G30=35,4,G30=30,4,G30=25,3,G30=20,2,G30=15,1,G30=10,1,G30=0,0)</f>
        <v>24</v>
      </c>
      <c r="J30" s="3" t="n">
        <f aca="false">IF(G30&lt;=1,0,IF(G30&lt;=10,11,IF(G30&lt;=14,12,IF(G30&lt;=17,13,IF(G30&lt;=20,14,IF(G30&lt;=22,15,IF(G30&lt;=25,16,IF(G30&lt;=27,17,IF(G30&lt;=29,18,IF(G30&lt;=32,19,IF(G30&lt;=34,20,IF(G30&lt;=36,21,IF(G30&lt;=40,22,24)))))))))))))</f>
        <v>24</v>
      </c>
      <c r="K30" s="3" t="s">
        <v>43</v>
      </c>
      <c r="L30" s="0"/>
      <c r="M30" s="3" t="n">
        <f aca="false">_xlfn.IFS(K30="взв",11,K30="накл",24,K30="прокл",25,K30="пт",26,K30=90,10,K30=85,10,K30=80,9,K30=75,8,K30=70,8,K30=65,7,K30=60,7,K30=55,6,K30=50,6,K30=45,6,K30=40,5,K30=35,4,K30=30,4,K30=25,3,K30=20,2,K30=15,1,K30=10,1,K30=0,0)</f>
        <v>24</v>
      </c>
      <c r="N30" s="3" t="n">
        <f aca="false">IF(K30&lt;=1,0,IF(K30&lt;=10,11,IF(K30&lt;=14,12,IF(K30&lt;=17,13,IF(K30&lt;=20,14,IF(K30&lt;=22,15,IF(K30&lt;=25,16,IF(K30&lt;=27,17,IF(K30&lt;=29,18,IF(K30&lt;=32,19,IF(K30&lt;=34,20,IF(K30&lt;=36,21,IF(K30&lt;=40,22,24)))))))))))))</f>
        <v>24</v>
      </c>
      <c r="O30" s="3" t="s">
        <v>43</v>
      </c>
      <c r="P30" s="0"/>
      <c r="Q30" s="3" t="n">
        <f aca="false">_xlfn.IFS(O30="взв",11,O30="накл",24,O30="прокл",25,O30="пт",26,O30=90,10,O30=85,10,O30=80,9,O30=75,8,O30=70,8,O30=65,7,O30=60,7,O30=55,6,O30=50,6,O30=45,6,O30=40,5,O30=35,4,O30=30,4,O30=25,3,O30=20,2,O30=15,1,O30=10,1,O30=0,0)</f>
        <v>24</v>
      </c>
      <c r="R30" s="3" t="n">
        <f aca="false">IF(O30&lt;=1,0,IF(O30&lt;=10,11,IF(O30&lt;=14,12,IF(O30&lt;=17,13,IF(O30&lt;=20,14,IF(O30&lt;=22,15,IF(O30&lt;=25,16,IF(O30&lt;=27,17,IF(O30&lt;=29,18,IF(O30&lt;=32,19,IF(O30&lt;=34,20,IF(O30&lt;=36,21,IF(O30&lt;=40,22,24)))))))))))))</f>
        <v>24</v>
      </c>
      <c r="S30" s="3" t="n">
        <f aca="false">ROUND((Q30+R30+I30+J30+M30+N30)/3,0)</f>
        <v>48</v>
      </c>
      <c r="T30" s="17" t="n">
        <f aca="false">F30*LOG10(S30+2)</f>
        <v>1.69897000433602</v>
      </c>
    </row>
    <row r="31" customFormat="false" ht="14.65" hidden="false" customHeight="true" outlineLevel="0" collapsed="false">
      <c r="A31" s="13" t="s">
        <v>67</v>
      </c>
      <c r="B31" s="14" t="n">
        <v>39985</v>
      </c>
      <c r="C31" s="15" t="s">
        <v>27</v>
      </c>
      <c r="D31" s="4" t="s">
        <v>64</v>
      </c>
      <c r="E31" s="3" t="n">
        <v>3</v>
      </c>
      <c r="F31" s="3" t="n">
        <v>1</v>
      </c>
      <c r="G31" s="3" t="s">
        <v>43</v>
      </c>
      <c r="H31" s="0"/>
      <c r="I31" s="3" t="n">
        <f aca="false">_xlfn.IFS(G31="взв",11,G31="накл",24,G31="прокл",25,G31="пт",26,G31=90,10,G31=85,10,G31=80,9,G31=75,8,G31=70,8,G31=65,7,G31=60,7,G31=55,6,G31=50,6,G31=45,6,G31=40,5,G31=35,4,G31=30,4,G31=25,3,G31=20,2,G31=15,1,G31=10,1,G31=0,0)</f>
        <v>24</v>
      </c>
      <c r="J31" s="3" t="n">
        <f aca="false">IF(G31&lt;=1,0,IF(G31&lt;=10,11,IF(G31&lt;=14,12,IF(G31&lt;=17,13,IF(G31&lt;=20,14,IF(G31&lt;=22,15,IF(G31&lt;=25,16,IF(G31&lt;=27,17,IF(G31&lt;=29,18,IF(G31&lt;=32,19,IF(G31&lt;=34,20,IF(G31&lt;=36,21,IF(G31&lt;=40,22,24)))))))))))))</f>
        <v>24</v>
      </c>
      <c r="K31" s="3" t="s">
        <v>43</v>
      </c>
      <c r="L31" s="0"/>
      <c r="M31" s="3" t="n">
        <f aca="false">_xlfn.IFS(K31="взв",11,K31="накл",24,K31="прокл",25,K31="пт",26,K31=90,10,K31=85,10,K31=80,9,K31=75,8,K31=70,8,K31=65,7,K31=60,7,K31=55,6,K31=50,6,K31=45,6,K31=40,5,K31=35,4,K31=30,4,K31=25,3,K31=20,2,K31=15,1,K31=10,1,K31=0,0)</f>
        <v>24</v>
      </c>
      <c r="N31" s="3" t="n">
        <f aca="false">IF(K31&lt;=1,0,IF(K31&lt;=10,11,IF(K31&lt;=14,12,IF(K31&lt;=17,13,IF(K31&lt;=20,14,IF(K31&lt;=22,15,IF(K31&lt;=25,16,IF(K31&lt;=27,17,IF(K31&lt;=29,18,IF(K31&lt;=32,19,IF(K31&lt;=34,20,IF(K31&lt;=36,21,IF(K31&lt;=40,22,24)))))))))))))</f>
        <v>24</v>
      </c>
      <c r="O31" s="3" t="s">
        <v>43</v>
      </c>
      <c r="P31" s="0"/>
      <c r="Q31" s="3" t="n">
        <f aca="false">_xlfn.IFS(O31="взв",11,O31="накл",24,O31="прокл",25,O31="пт",26,O31=90,10,O31=85,10,O31=80,9,O31=75,8,O31=70,8,O31=65,7,O31=60,7,O31=55,6,O31=50,6,O31=45,6,O31=40,5,O31=35,4,O31=30,4,O31=25,3,O31=20,2,O31=15,1,O31=10,1,O31=0,0)</f>
        <v>24</v>
      </c>
      <c r="R31" s="3" t="n">
        <f aca="false">IF(O31&lt;=1,0,IF(O31&lt;=10,11,IF(O31&lt;=14,12,IF(O31&lt;=17,13,IF(O31&lt;=20,14,IF(O31&lt;=22,15,IF(O31&lt;=25,16,IF(O31&lt;=27,17,IF(O31&lt;=29,18,IF(O31&lt;=32,19,IF(O31&lt;=34,20,IF(O31&lt;=36,21,IF(O31&lt;=40,22,24)))))))))))))</f>
        <v>24</v>
      </c>
      <c r="S31" s="3" t="n">
        <f aca="false">ROUND((Q31+R31+I31+J31+M31+N31)/3,0)</f>
        <v>48</v>
      </c>
      <c r="T31" s="17" t="n">
        <f aca="false">F31*LOG10(S31+2)</f>
        <v>1.69897000433602</v>
      </c>
    </row>
    <row r="32" customFormat="false" ht="14.65" hidden="false" customHeight="true" outlineLevel="0" collapsed="false">
      <c r="A32" s="13" t="s">
        <v>68</v>
      </c>
      <c r="B32" s="14" t="n">
        <v>39985</v>
      </c>
      <c r="C32" s="15" t="s">
        <v>27</v>
      </c>
      <c r="D32" s="4" t="s">
        <v>64</v>
      </c>
      <c r="E32" s="3" t="n">
        <v>4</v>
      </c>
      <c r="F32" s="3" t="n">
        <v>1</v>
      </c>
      <c r="G32" s="3" t="s">
        <v>43</v>
      </c>
      <c r="H32" s="0"/>
      <c r="I32" s="3" t="n">
        <f aca="false">_xlfn.IFS(G32="взв",11,G32="накл",24,G32="прокл",25,G32="пт",26,G32=90,10,G32=85,10,G32=80,9,G32=75,8,G32=70,8,G32=65,7,G32=60,7,G32=55,6,G32=50,6,G32=45,6,G32=40,5,G32=35,4,G32=30,4,G32=25,3,G32=20,2,G32=15,1,G32=10,1,G32=0,0)</f>
        <v>24</v>
      </c>
      <c r="J32" s="3" t="n">
        <f aca="false">IF(G32&lt;=1,0,IF(G32&lt;=10,11,IF(G32&lt;=14,12,IF(G32&lt;=17,13,IF(G32&lt;=20,14,IF(G32&lt;=22,15,IF(G32&lt;=25,16,IF(G32&lt;=27,17,IF(G32&lt;=29,18,IF(G32&lt;=32,19,IF(G32&lt;=34,20,IF(G32&lt;=36,21,IF(G32&lt;=40,22,24)))))))))))))</f>
        <v>24</v>
      </c>
      <c r="K32" s="3" t="s">
        <v>43</v>
      </c>
      <c r="L32" s="0"/>
      <c r="M32" s="3" t="n">
        <f aca="false">_xlfn.IFS(K32="взв",11,K32="накл",24,K32="прокл",25,K32="пт",26,K32=90,10,K32=85,10,K32=80,9,K32=75,8,K32=70,8,K32=65,7,K32=60,7,K32=55,6,K32=50,6,K32=45,6,K32=40,5,K32=35,4,K32=30,4,K32=25,3,K32=20,2,K32=15,1,K32=10,1,K32=0,0)</f>
        <v>24</v>
      </c>
      <c r="N32" s="3" t="n">
        <f aca="false">IF(K32&lt;=1,0,IF(K32&lt;=10,11,IF(K32&lt;=14,12,IF(K32&lt;=17,13,IF(K32&lt;=20,14,IF(K32&lt;=22,15,IF(K32&lt;=25,16,IF(K32&lt;=27,17,IF(K32&lt;=29,18,IF(K32&lt;=32,19,IF(K32&lt;=34,20,IF(K32&lt;=36,21,IF(K32&lt;=40,22,24)))))))))))))</f>
        <v>24</v>
      </c>
      <c r="O32" s="3" t="s">
        <v>43</v>
      </c>
      <c r="P32" s="0"/>
      <c r="Q32" s="3" t="n">
        <f aca="false">_xlfn.IFS(O32="взв",11,O32="накл",24,O32="прокл",25,O32="пт",26,O32=90,10,O32=85,10,O32=80,9,O32=75,8,O32=70,8,O32=65,7,O32=60,7,O32=55,6,O32=50,6,O32=45,6,O32=40,5,O32=35,4,O32=30,4,O32=25,3,O32=20,2,O32=15,1,O32=10,1,O32=0,0)</f>
        <v>24</v>
      </c>
      <c r="R32" s="3" t="n">
        <f aca="false">IF(O32&lt;=1,0,IF(O32&lt;=10,11,IF(O32&lt;=14,12,IF(O32&lt;=17,13,IF(O32&lt;=20,14,IF(O32&lt;=22,15,IF(O32&lt;=25,16,IF(O32&lt;=27,17,IF(O32&lt;=29,18,IF(O32&lt;=32,19,IF(O32&lt;=34,20,IF(O32&lt;=36,21,IF(O32&lt;=40,22,24)))))))))))))</f>
        <v>24</v>
      </c>
      <c r="S32" s="3" t="n">
        <f aca="false">ROUND((Q32+R32+I32+J32+M32+N32)/3,0)</f>
        <v>48</v>
      </c>
      <c r="T32" s="17" t="n">
        <f aca="false">F32*LOG10(S32+2)</f>
        <v>1.69897000433602</v>
      </c>
    </row>
    <row r="33" customFormat="false" ht="14.65" hidden="false" customHeight="true" outlineLevel="0" collapsed="false">
      <c r="A33" s="13" t="s">
        <v>69</v>
      </c>
      <c r="B33" s="14" t="n">
        <v>39985</v>
      </c>
      <c r="C33" s="15" t="s">
        <v>27</v>
      </c>
      <c r="D33" s="4" t="s">
        <v>70</v>
      </c>
      <c r="E33" s="3" t="n">
        <v>6</v>
      </c>
      <c r="F33" s="3" t="n">
        <v>1</v>
      </c>
      <c r="H33" s="3" t="n">
        <v>41</v>
      </c>
      <c r="I33" s="3" t="n">
        <f aca="false">_xlfn.IFS(G33="взв",11,G33="накл",24,G33="прокл",25,G33="пт",26,G33=90,10,G33=85,10,G33=80,9,G33=75,8,G33=70,8,G33=65,7,G33=60,7,G33=55,6,G33=50,6,G33=45,6,G33=40,5,G33=35,4,G33=30,4,G33=25,3,G33=20,2,G33=15,1,G33=10,1,G33=0,0)</f>
        <v>0</v>
      </c>
      <c r="J33" s="3" t="n">
        <f aca="false">IF(H33&lt;=1,0,IF(H33&lt;=10,11,IF(H33&lt;=14,12,IF(H33&lt;=17,13,IF(H33&lt;=20,14,IF(H33&lt;=22,15,IF(H33&lt;=25,16,IF(H33&lt;=27,17,IF(H33&lt;=29,18,IF(H33&lt;=32,19,IF(H33&lt;=34,20,IF(H33&lt;=36,21,IF(H33&lt;=40,22,24)))))))))))))</f>
        <v>24</v>
      </c>
      <c r="L33" s="3" t="n">
        <v>43</v>
      </c>
      <c r="M33" s="3" t="n">
        <f aca="false">_xlfn.IFS(K33="взв",11,K33="накл",24,K33="прокл",25,K33="пт",26,K33=90,10,K33=85,10,K33=80,9,K33=75,8,K33=70,8,K33=65,7,K33=60,7,K33=55,6,K33=50,6,K33=45,6,K33=40,5,K33=35,4,K33=30,4,K33=25,3,K33=20,2,K33=15,1,K33=10,1,K33=0,0)</f>
        <v>0</v>
      </c>
      <c r="N33" s="3" t="n">
        <f aca="false">IF(L33&lt;=1,0,IF(L33&lt;=10,11,IF(L33&lt;=14,12,IF(L33&lt;=17,13,IF(L33&lt;=20,14,IF(L33&lt;=22,15,IF(L33&lt;=25,16,IF(L33&lt;=27,17,IF(L33&lt;=29,18,IF(L33&lt;=32,19,IF(L33&lt;=34,20,IF(L33&lt;=36,21,IF(L33&lt;=40,22,24)))))))))))))</f>
        <v>24</v>
      </c>
      <c r="P33" s="3" t="n">
        <v>41</v>
      </c>
      <c r="Q33" s="3" t="n">
        <f aca="false">_xlfn.IFS(O33="взв",11,O33="накл",24,O33="прокл",25,O33="пт",26,O33=90,10,O33=85,10,O33=80,9,O33=75,8,O33=70,8,O33=65,7,O33=60,7,O33=55,6,O33=50,6,O33=45,6,O33=40,5,O33=35,4,O33=30,4,O33=25,3,O33=20,2,O33=15,1,O33=10,1,O33=0,0)</f>
        <v>0</v>
      </c>
      <c r="R33" s="3" t="n">
        <f aca="false">IF(P33&lt;=1,0,IF(P33&lt;=10,11,IF(P33&lt;=14,12,IF(P33&lt;=17,13,IF(P33&lt;=20,14,IF(P33&lt;=22,15,IF(P33&lt;=25,16,IF(P33&lt;=27,17,IF(P33&lt;=29,18,IF(P33&lt;=32,19,IF(P33&lt;=34,20,IF(P33&lt;=36,21,IF(P33&lt;=40,22,24)))))))))))))</f>
        <v>24</v>
      </c>
      <c r="S33" s="3" t="n">
        <f aca="false">ROUND((Q33+R33+I33+J33+M33+N33)/3,0)</f>
        <v>24</v>
      </c>
      <c r="T33" s="17" t="n">
        <f aca="false">F33*LOG10(S33+2)</f>
        <v>1.41497334797082</v>
      </c>
    </row>
    <row r="34" customFormat="false" ht="14.65" hidden="false" customHeight="true" outlineLevel="0" collapsed="false">
      <c r="A34" s="13" t="s">
        <v>71</v>
      </c>
      <c r="B34" s="14" t="n">
        <v>39985</v>
      </c>
      <c r="C34" s="15" t="s">
        <v>27</v>
      </c>
      <c r="D34" s="4" t="s">
        <v>70</v>
      </c>
      <c r="E34" s="3" t="n">
        <v>3</v>
      </c>
      <c r="F34" s="3" t="n">
        <v>1</v>
      </c>
      <c r="G34" s="3" t="n">
        <v>90</v>
      </c>
      <c r="I34" s="3" t="n">
        <f aca="false">_xlfn.IFS(G34="взв",11,G34="накл",24,G34="прокл",25,G34="пт",26,G34=90,10,G34=85,10,G34=80,9,G34=75,8,G34=70,8,G34=65,7,G34=60,7,G34=55,6,G34=50,6,G34=45,6,G34=40,5,G34=35,4,G34=30,4,G34=25,3,G34=20,2,G34=15,1,G34=10,1,G34=0,0)</f>
        <v>10</v>
      </c>
      <c r="J34" s="3" t="n">
        <f aca="false">IF(H34&lt;=1,0,IF(H34&lt;=10,11,IF(H34&lt;=14,12,IF(H34&lt;=17,13,IF(H34&lt;=20,14,IF(H34&lt;=22,15,IF(H34&lt;=25,16,IF(H34&lt;=27,17,IF(H34&lt;=29,18,IF(H34&lt;=32,19,IF(H34&lt;=34,20,IF(H34&lt;=36,21,IF(H34&lt;=40,22,24)))))))))))))</f>
        <v>0</v>
      </c>
      <c r="L34" s="3" t="n">
        <v>20</v>
      </c>
      <c r="M34" s="3" t="n">
        <f aca="false">_xlfn.IFS(K34="взв",11,K34="накл",24,K34="прокл",25,K34="пт",26,K34=90,10,K34=85,10,K34=80,9,K34=75,8,K34=70,8,K34=65,7,K34=60,7,K34=55,6,K34=50,6,K34=45,6,K34=40,5,K34=35,4,K34=30,4,K34=25,3,K34=20,2,K34=15,1,K34=10,1,K34=0,0)</f>
        <v>0</v>
      </c>
      <c r="N34" s="3" t="n">
        <f aca="false">IF(L34&lt;=1,0,IF(L34&lt;=10,11,IF(L34&lt;=14,12,IF(L34&lt;=17,13,IF(L34&lt;=20,14,IF(L34&lt;=22,15,IF(L34&lt;=25,16,IF(L34&lt;=27,17,IF(L34&lt;=29,18,IF(L34&lt;=32,19,IF(L34&lt;=34,20,IF(L34&lt;=36,21,IF(L34&lt;=40,22,24)))))))))))))</f>
        <v>14</v>
      </c>
      <c r="O34" s="3" t="s">
        <v>72</v>
      </c>
      <c r="Q34" s="3" t="n">
        <f aca="false">_xlfn.IFS(O34="взв",11,O34="накл",24,O34="прокл",25,O34="пт",26,O34=90,10,O34=85,10,O34=80,9,O34=75,8,O34=70,8,O34=65,7,O34=60,7,O34=55,6,O34=50,6,O34=45,6,O34=40,5,O34=35,4,O34=30,4,O34=25,3,O34=20,2,O34=15,1,O34=10,1,O34=0,0)</f>
        <v>11</v>
      </c>
      <c r="R34" s="3" t="n">
        <f aca="false">IF(P34&lt;=1,0,IF(P34&lt;=10,11,IF(P34&lt;=14,12,IF(P34&lt;=17,13,IF(P34&lt;=20,14,IF(P34&lt;=22,15,IF(P34&lt;=25,16,IF(P34&lt;=27,17,IF(P34&lt;=29,18,IF(P34&lt;=32,19,IF(P34&lt;=34,20,IF(P34&lt;=36,21,IF(P34&lt;=40,22,24)))))))))))))</f>
        <v>0</v>
      </c>
      <c r="S34" s="3" t="n">
        <f aca="false">ROUND((Q34+R34+I34+J34+M34+N34)/3,0)</f>
        <v>12</v>
      </c>
      <c r="T34" s="17" t="n">
        <f aca="false">F34*LOG10(S34+2)</f>
        <v>1.14612803567824</v>
      </c>
    </row>
    <row r="35" customFormat="false" ht="14.65" hidden="false" customHeight="true" outlineLevel="0" collapsed="false">
      <c r="A35" s="13" t="s">
        <v>73</v>
      </c>
      <c r="B35" s="14" t="n">
        <v>39985</v>
      </c>
      <c r="C35" s="15" t="s">
        <v>27</v>
      </c>
      <c r="D35" s="4" t="s">
        <v>31</v>
      </c>
      <c r="E35" s="3" t="s">
        <v>74</v>
      </c>
      <c r="F35" s="3" t="n">
        <v>1</v>
      </c>
      <c r="H35" s="3" t="n">
        <v>33</v>
      </c>
      <c r="I35" s="3" t="n">
        <f aca="false">_xlfn.IFS(G35="взв",11,G35="накл",24,G35="прокл",25,G35="пт",26,G35=90,10,G35=85,10,G35=80,9,G35=75,8,G35=70,8,G35=65,7,G35=60,7,G35=55,6,G35=50,6,G35=45,6,G35=40,5,G35=35,4,G35=30,4,G35=25,3,G35=20,2,G35=15,1,G35=10,1,G35=0,0)</f>
        <v>0</v>
      </c>
      <c r="J35" s="3" t="n">
        <f aca="false">IF(H35&lt;=1,0,IF(H35&lt;=10,11,IF(H35&lt;=14,12,IF(H35&lt;=17,13,IF(H35&lt;=20,14,IF(H35&lt;=22,15,IF(H35&lt;=25,16,IF(H35&lt;=27,17,IF(H35&lt;=29,18,IF(H35&lt;=32,19,IF(H35&lt;=34,20,IF(H35&lt;=36,21,IF(H35&lt;=40,22,24)))))))))))))</f>
        <v>20</v>
      </c>
      <c r="L35" s="3" t="n">
        <v>34</v>
      </c>
      <c r="M35" s="3" t="n">
        <f aca="false">_xlfn.IFS(K35="взв",11,K35="накл",24,K35="прокл",25,K35="пт",26,K35=90,10,K35=85,10,K35=80,9,K35=75,8,K35=70,8,K35=65,7,K35=60,7,K35=55,6,K35=50,6,K35=45,6,K35=40,5,K35=35,4,K35=30,4,K35=25,3,K35=20,2,K35=15,1,K35=10,1,K35=0,0)</f>
        <v>0</v>
      </c>
      <c r="N35" s="3" t="n">
        <f aca="false">IF(L35&lt;=1,0,IF(L35&lt;=10,11,IF(L35&lt;=14,12,IF(L35&lt;=17,13,IF(L35&lt;=20,14,IF(L35&lt;=22,15,IF(L35&lt;=25,16,IF(L35&lt;=27,17,IF(L35&lt;=29,18,IF(L35&lt;=32,19,IF(L35&lt;=34,20,IF(L35&lt;=36,21,IF(L35&lt;=40,22,24)))))))))))))</f>
        <v>20</v>
      </c>
      <c r="P35" s="3" t="n">
        <v>41</v>
      </c>
      <c r="Q35" s="3" t="n">
        <f aca="false">_xlfn.IFS(O35="взв",11,O35="накл",24,O35="прокл",25,O35="пт",26,O35=90,10,O35=85,10,O35=80,9,O35=75,8,O35=70,8,O35=65,7,O35=60,7,O35=55,6,O35=50,6,O35=45,6,O35=40,5,O35=35,4,O35=30,4,O35=25,3,O35=20,2,O35=15,1,O35=10,1,O35=0,0)</f>
        <v>0</v>
      </c>
      <c r="R35" s="3" t="n">
        <f aca="false">IF(P35&lt;=1,0,IF(P35&lt;=10,11,IF(P35&lt;=14,12,IF(P35&lt;=17,13,IF(P35&lt;=20,14,IF(P35&lt;=22,15,IF(P35&lt;=25,16,IF(P35&lt;=27,17,IF(P35&lt;=29,18,IF(P35&lt;=32,19,IF(P35&lt;=34,20,IF(P35&lt;=36,21,IF(P35&lt;=40,22,24)))))))))))))</f>
        <v>24</v>
      </c>
      <c r="S35" s="3" t="n">
        <f aca="false">ROUND((Q35+R35+I35+J35+M35+N35)/3,0)</f>
        <v>21</v>
      </c>
      <c r="T35" s="17" t="n">
        <f aca="false">F35*LOG10(S35+2)</f>
        <v>1.36172783601759</v>
      </c>
    </row>
    <row r="36" customFormat="false" ht="14.65" hidden="false" customHeight="true" outlineLevel="0" collapsed="false">
      <c r="A36" s="13" t="s">
        <v>75</v>
      </c>
      <c r="B36" s="14" t="n">
        <v>39985</v>
      </c>
      <c r="C36" s="15" t="s">
        <v>27</v>
      </c>
      <c r="D36" s="4" t="s">
        <v>31</v>
      </c>
      <c r="E36" s="3" t="n">
        <v>5</v>
      </c>
      <c r="F36" s="3" t="n">
        <v>1</v>
      </c>
      <c r="G36" s="3" t="n">
        <v>30</v>
      </c>
      <c r="I36" s="3" t="n">
        <f aca="false">_xlfn.IFS(G36="взв",11,G36="накл",24,G36="прокл",25,G36="пт",26,G36=90,10,G36=85,10,G36=80,9,G36=75,8,G36=70,8,G36=65,7,G36=60,7,G36=55,6,G36=50,6,G36=45,6,G36=40,5,G36=35,4,G36=30,4,G36=25,3,G36=20,2,G36=15,1,G36=10,1,G36=0,0)</f>
        <v>4</v>
      </c>
      <c r="J36" s="3" t="n">
        <f aca="false">IF(H36&lt;=1,0,IF(H36&lt;=10,11,IF(H36&lt;=14,12,IF(H36&lt;=17,13,IF(H36&lt;=20,14,IF(H36&lt;=22,15,IF(H36&lt;=25,16,IF(H36&lt;=27,17,IF(H36&lt;=29,18,IF(H36&lt;=32,19,IF(H36&lt;=34,20,IF(H36&lt;=36,21,IF(H36&lt;=40,22,24)))))))))))))</f>
        <v>0</v>
      </c>
      <c r="K36" s="3" t="n">
        <v>30</v>
      </c>
      <c r="M36" s="3" t="n">
        <f aca="false">_xlfn.IFS(K36="взв",11,K36="накл",24,K36="прокл",25,K36="пт",26,K36=90,10,K36=85,10,K36=80,9,K36=75,8,K36=70,8,K36=65,7,K36=60,7,K36=55,6,K36=50,6,K36=45,6,K36=40,5,K36=35,4,K36=30,4,K36=25,3,K36=20,2,K36=15,1,K36=10,1,K36=0,0)</f>
        <v>4</v>
      </c>
      <c r="N36" s="3" t="n">
        <f aca="false">IF(L36&lt;=1,0,IF(L36&lt;=10,11,IF(L36&lt;=14,12,IF(L36&lt;=17,13,IF(L36&lt;=20,14,IF(L36&lt;=22,15,IF(L36&lt;=25,16,IF(L36&lt;=27,17,IF(L36&lt;=29,18,IF(L36&lt;=32,19,IF(L36&lt;=34,20,IF(L36&lt;=36,21,IF(L36&lt;=40,22,24)))))))))))))</f>
        <v>0</v>
      </c>
      <c r="O36" s="3" t="n">
        <v>30</v>
      </c>
      <c r="Q36" s="3" t="n">
        <f aca="false">_xlfn.IFS(O36="взв",11,O36="накл",24,O36="прокл",25,O36="пт",26,O36=90,10,O36=85,10,O36=80,9,O36=75,8,O36=70,8,O36=65,7,O36=60,7,O36=55,6,O36=50,6,O36=45,6,O36=40,5,O36=35,4,O36=30,4,O36=25,3,O36=20,2,O36=15,1,O36=10,1,O36=0,0)</f>
        <v>4</v>
      </c>
      <c r="R36" s="3" t="n">
        <f aca="false">IF(P36&lt;=1,0,IF(P36&lt;=10,11,IF(P36&lt;=14,12,IF(P36&lt;=17,13,IF(P36&lt;=20,14,IF(P36&lt;=22,15,IF(P36&lt;=25,16,IF(P36&lt;=27,17,IF(P36&lt;=29,18,IF(P36&lt;=32,19,IF(P36&lt;=34,20,IF(P36&lt;=36,21,IF(P36&lt;=40,22,24)))))))))))))</f>
        <v>0</v>
      </c>
      <c r="S36" s="3" t="n">
        <f aca="false">ROUND((Q36+R36+I36+J36+M36+N36)/3,0)</f>
        <v>4</v>
      </c>
      <c r="T36" s="17" t="n">
        <f aca="false">F36*LOG10(S36+2)</f>
        <v>0.778151250383644</v>
      </c>
    </row>
    <row r="37" customFormat="false" ht="14.65" hidden="false" customHeight="true" outlineLevel="0" collapsed="false">
      <c r="A37" s="13" t="s">
        <v>76</v>
      </c>
      <c r="B37" s="14" t="n">
        <v>39985</v>
      </c>
      <c r="C37" s="15" t="s">
        <v>27</v>
      </c>
      <c r="D37" s="4" t="s">
        <v>31</v>
      </c>
      <c r="E37" s="3" t="n">
        <v>5</v>
      </c>
      <c r="F37" s="3" t="n">
        <v>1</v>
      </c>
      <c r="H37" s="3" t="n">
        <v>34</v>
      </c>
      <c r="I37" s="3" t="n">
        <f aca="false">_xlfn.IFS(G37="взв",11,G37="накл",24,G37="прокл",25,G37="пт",26,G37=90,10,G37=85,10,G37=80,9,G37=75,8,G37=70,8,G37=65,7,G37=60,7,G37=55,6,G37=50,6,G37=45,6,G37=40,5,G37=35,4,G37=30,4,G37=25,3,G37=20,2,G37=15,1,G37=10,1,G37=0,0)</f>
        <v>0</v>
      </c>
      <c r="J37" s="3" t="n">
        <f aca="false">IF(H37&lt;=1,0,IF(H37&lt;=10,11,IF(H37&lt;=14,12,IF(H37&lt;=17,13,IF(H37&lt;=20,14,IF(H37&lt;=22,15,IF(H37&lt;=25,16,IF(H37&lt;=27,17,IF(H37&lt;=29,18,IF(H37&lt;=32,19,IF(H37&lt;=34,20,IF(H37&lt;=36,21,IF(H37&lt;=40,22,24)))))))))))))</f>
        <v>20</v>
      </c>
      <c r="L37" s="3" t="n">
        <v>36</v>
      </c>
      <c r="M37" s="3" t="n">
        <f aca="false">_xlfn.IFS(K37="взв",11,K37="накл",24,K37="прокл",25,K37="пт",26,K37=90,10,K37=85,10,K37=80,9,K37=75,8,K37=70,8,K37=65,7,K37=60,7,K37=55,6,K37=50,6,K37=45,6,K37=40,5,K37=35,4,K37=30,4,K37=25,3,K37=20,2,K37=15,1,K37=10,1,K37=0,0)</f>
        <v>0</v>
      </c>
      <c r="N37" s="3" t="n">
        <f aca="false">IF(L37&lt;=1,0,IF(L37&lt;=10,11,IF(L37&lt;=14,12,IF(L37&lt;=17,13,IF(L37&lt;=20,14,IF(L37&lt;=22,15,IF(L37&lt;=25,16,IF(L37&lt;=27,17,IF(L37&lt;=29,18,IF(L37&lt;=32,19,IF(L37&lt;=34,20,IF(L37&lt;=36,21,IF(L37&lt;=40,22,24)))))))))))))</f>
        <v>21</v>
      </c>
      <c r="P37" s="3" t="n">
        <v>36</v>
      </c>
      <c r="Q37" s="3" t="n">
        <f aca="false">_xlfn.IFS(O37="взв",11,O37="накл",24,O37="прокл",25,O37="пт",26,O37=90,10,O37=85,10,O37=80,9,O37=75,8,O37=70,8,O37=65,7,O37=60,7,O37=55,6,O37=50,6,O37=45,6,O37=40,5,O37=35,4,O37=30,4,O37=25,3,O37=20,2,O37=15,1,O37=10,1,O37=0,0)</f>
        <v>0</v>
      </c>
      <c r="R37" s="3" t="n">
        <f aca="false">IF(P37&lt;=1,0,IF(P37&lt;=10,11,IF(P37&lt;=14,12,IF(P37&lt;=17,13,IF(P37&lt;=20,14,IF(P37&lt;=22,15,IF(P37&lt;=25,16,IF(P37&lt;=27,17,IF(P37&lt;=29,18,IF(P37&lt;=32,19,IF(P37&lt;=34,20,IF(P37&lt;=36,21,IF(P37&lt;=40,22,24)))))))))))))</f>
        <v>21</v>
      </c>
      <c r="S37" s="3" t="n">
        <f aca="false">ROUND((Q37+R37+I37+J37+M37+N37)/3,0)</f>
        <v>21</v>
      </c>
      <c r="T37" s="17" t="n">
        <f aca="false">F37*LOG10(S37+2)</f>
        <v>1.36172783601759</v>
      </c>
    </row>
    <row r="38" customFormat="false" ht="14.65" hidden="false" customHeight="true" outlineLevel="0" collapsed="false">
      <c r="A38" s="13" t="s">
        <v>77</v>
      </c>
      <c r="B38" s="14" t="n">
        <v>39993</v>
      </c>
      <c r="C38" s="15" t="s">
        <v>78</v>
      </c>
      <c r="D38" s="4" t="s">
        <v>79</v>
      </c>
      <c r="E38" s="3" t="n">
        <v>4</v>
      </c>
      <c r="F38" s="3" t="n">
        <v>1</v>
      </c>
      <c r="H38" s="3" t="n">
        <v>18</v>
      </c>
      <c r="I38" s="3" t="n">
        <f aca="false">_xlfn.IFS(G38="взв",11,G38="накл",24,G38="прокл",25,G38="пт",26,G38=90,10,G38=85,10,G38=80,9,G38=75,8,G38=70,8,G38=65,7,G38=60,7,G38=55,6,G38=50,6,G38=45,6,G38=40,5,G38=35,4,G38=30,4,G38=25,3,G38=20,2,G38=15,1,G38=10,1,G38=0,0)</f>
        <v>0</v>
      </c>
      <c r="J38" s="3" t="n">
        <f aca="false">IF(H38&lt;=1,0,IF(H38&lt;=10,11,IF(H38&lt;=14,12,IF(H38&lt;=17,13,IF(H38&lt;=20,14,IF(H38&lt;=22,15,IF(H38&lt;=25,16,IF(H38&lt;=27,17,IF(H38&lt;=29,18,IF(H38&lt;=32,19,IF(H38&lt;=34,20,IF(H38&lt;=36,21,IF(H38&lt;=40,22,24)))))))))))))</f>
        <v>14</v>
      </c>
      <c r="L38" s="3" t="n">
        <v>17</v>
      </c>
      <c r="M38" s="3" t="n">
        <f aca="false">_xlfn.IFS(K38="взв",11,K38="накл",24,K38="прокл",25,K38="пт",26,K38=90,10,K38=85,10,K38=80,9,K38=75,8,K38=70,8,K38=65,7,K38=60,7,K38=55,6,K38=50,6,K38=45,6,K38=40,5,K38=35,4,K38=30,4,K38=25,3,K38=20,2,K38=15,1,K38=10,1,K38=0,0)</f>
        <v>0</v>
      </c>
      <c r="N38" s="3" t="n">
        <f aca="false">IF(L38&lt;=1,0,IF(L38&lt;=10,11,IF(L38&lt;=14,12,IF(L38&lt;=17,13,IF(L38&lt;=20,14,IF(L38&lt;=22,15,IF(L38&lt;=25,16,IF(L38&lt;=27,17,IF(L38&lt;=29,18,IF(L38&lt;=32,19,IF(L38&lt;=34,20,IF(L38&lt;=36,21,IF(L38&lt;=40,22,24)))))))))))))</f>
        <v>13</v>
      </c>
      <c r="P38" s="3" t="n">
        <v>18</v>
      </c>
      <c r="Q38" s="3" t="n">
        <f aca="false">_xlfn.IFS(O38="взв",11,O38="накл",24,O38="прокл",25,O38="пт",26,O38=90,10,O38=85,10,O38=80,9,O38=75,8,O38=70,8,O38=65,7,O38=60,7,O38=55,6,O38=50,6,O38=45,6,O38=40,5,O38=35,4,O38=30,4,O38=25,3,O38=20,2,O38=15,1,O38=10,1,O38=0,0)</f>
        <v>0</v>
      </c>
      <c r="R38" s="3" t="n">
        <f aca="false">IF(P38&lt;=1,0,IF(P38&lt;=10,11,IF(P38&lt;=14,12,IF(P38&lt;=17,13,IF(P38&lt;=20,14,IF(P38&lt;=22,15,IF(P38&lt;=25,16,IF(P38&lt;=27,17,IF(P38&lt;=29,18,IF(P38&lt;=32,19,IF(P38&lt;=34,20,IF(P38&lt;=36,21,IF(P38&lt;=40,22,24)))))))))))))</f>
        <v>14</v>
      </c>
      <c r="S38" s="3" t="n">
        <f aca="false">ROUND((Q38+R38+I38+J38+M38+N38)/3,0)</f>
        <v>14</v>
      </c>
      <c r="T38" s="17" t="n">
        <f aca="false">F38*LOG10(S38+2)</f>
        <v>1.20411998265592</v>
      </c>
    </row>
    <row r="39" customFormat="false" ht="14.65" hidden="false" customHeight="true" outlineLevel="0" collapsed="false">
      <c r="A39" s="13" t="s">
        <v>80</v>
      </c>
      <c r="B39" s="2" t="n">
        <v>39996</v>
      </c>
      <c r="C39" s="15" t="s">
        <v>21</v>
      </c>
      <c r="D39" s="4" t="s">
        <v>34</v>
      </c>
      <c r="E39" s="3" t="n">
        <v>6</v>
      </c>
      <c r="F39" s="3" t="n">
        <v>1</v>
      </c>
      <c r="G39" s="3" t="s">
        <v>81</v>
      </c>
      <c r="I39" s="3" t="n">
        <f aca="false">_xlfn.IFS(G39="взв",11,G39="накл",24,G39="прокл",25,G39="пт",26,G39=90,10,G39=85,10,G39=80,9,G39=75,8,G39=70,8,G39=65,7,G39=60,7,G39=55,6,G39=50,6,G39=45,6,G39=40,5,G39=35,4,G39=30,4,G39=25,3,G39=20,2,G39=15,1,G39=10,1,G39=0,0)</f>
        <v>25</v>
      </c>
      <c r="J39" s="3" t="n">
        <f aca="false">IF(H39&lt;=1,0,IF(H39&lt;=10,11,IF(H39&lt;=14,12,IF(H39&lt;=17,13,IF(H39&lt;=20,14,IF(H39&lt;=22,15,IF(H39&lt;=25,16,IF(H39&lt;=27,17,IF(H39&lt;=29,18,IF(H39&lt;=32,19,IF(H39&lt;=34,20,IF(H39&lt;=36,21,IF(H39&lt;=40,22,24)))))))))))))</f>
        <v>0</v>
      </c>
      <c r="K39" s="3" t="s">
        <v>36</v>
      </c>
      <c r="M39" s="3" t="n">
        <f aca="false">_xlfn.IFS(K39="взв",11,K39="накл",24,K39="прокл",25,K39="пт",26,K39=90,10,K39=85,10,K39=80,9,K39=75,8,K39=70,8,K39=65,7,K39=60,7,K39=55,6,K39=50,6,K39=45,6,K39=40,5,K39=35,4,K39=30,4,K39=25,3,K39=20,2,K39=15,1,K39=10,1,K39=0,0)</f>
        <v>26</v>
      </c>
      <c r="N39" s="3" t="n">
        <f aca="false">IF(L39&lt;=1,0,IF(L39&lt;=10,11,IF(L39&lt;=14,12,IF(L39&lt;=17,13,IF(L39&lt;=20,14,IF(L39&lt;=22,15,IF(L39&lt;=25,16,IF(L39&lt;=27,17,IF(L39&lt;=29,18,IF(L39&lt;=32,19,IF(L39&lt;=34,20,IF(L39&lt;=36,21,IF(L39&lt;=40,22,24)))))))))))))</f>
        <v>0</v>
      </c>
      <c r="O39" s="3" t="s">
        <v>36</v>
      </c>
      <c r="Q39" s="3" t="n">
        <f aca="false">_xlfn.IFS(O39="взв",11,O39="накл",24,O39="прокл",25,O39="пт",26,O39=90,10,O39=85,10,O39=80,9,O39=75,8,O39=70,8,O39=65,7,O39=60,7,O39=55,6,O39=50,6,O39=45,6,O39=40,5,O39=35,4,O39=30,4,O39=25,3,O39=20,2,O39=15,1,O39=10,1,O39=0,0)</f>
        <v>26</v>
      </c>
      <c r="R39" s="3" t="n">
        <f aca="false">IF(P39&lt;=1,0,IF(P39&lt;=10,11,IF(P39&lt;=14,12,IF(P39&lt;=17,13,IF(P39&lt;=20,14,IF(P39&lt;=22,15,IF(P39&lt;=25,16,IF(P39&lt;=27,17,IF(P39&lt;=29,18,IF(P39&lt;=32,19,IF(P39&lt;=34,20,IF(P39&lt;=36,21,IF(P39&lt;=40,22,24)))))))))))))</f>
        <v>0</v>
      </c>
      <c r="S39" s="3" t="n">
        <f aca="false">ROUND((Q39+R39+I39+J39+M39+N39)/3,0)</f>
        <v>26</v>
      </c>
      <c r="T39" s="17" t="n">
        <f aca="false">F39*LOG10(S39+2)</f>
        <v>1.44715803134222</v>
      </c>
    </row>
    <row r="40" customFormat="false" ht="14.65" hidden="false" customHeight="true" outlineLevel="0" collapsed="false">
      <c r="A40" s="13" t="s">
        <v>82</v>
      </c>
      <c r="B40" s="2" t="n">
        <v>40003</v>
      </c>
      <c r="C40" s="15" t="s">
        <v>39</v>
      </c>
      <c r="D40" s="4" t="s">
        <v>40</v>
      </c>
      <c r="E40" s="3" t="n">
        <v>4</v>
      </c>
      <c r="F40" s="3" t="n">
        <v>1</v>
      </c>
      <c r="H40" s="3" t="n">
        <v>26</v>
      </c>
      <c r="I40" s="3" t="n">
        <f aca="false">_xlfn.IFS(G40="взв",11,G40="накл",24,G40="прокл",25,G40="пт",26,G40=90,10,G40=85,10,G40=80,9,G40=75,8,G40=70,8,G40=65,7,G40=60,7,G40=55,6,G40=50,6,G40=45,6,G40=40,5,G40=35,4,G40=30,4,G40=25,3,G40=20,2,G40=15,1,G40=10,1,G40=0,0)</f>
        <v>0</v>
      </c>
      <c r="J40" s="3" t="n">
        <f aca="false">IF(H40&lt;=1,0,IF(H40&lt;=10,11,IF(H40&lt;=14,12,IF(H40&lt;=17,13,IF(H40&lt;=20,14,IF(H40&lt;=22,15,IF(H40&lt;=25,16,IF(H40&lt;=27,17,IF(H40&lt;=29,18,IF(H40&lt;=32,19,IF(H40&lt;=34,20,IF(H40&lt;=36,21,IF(H40&lt;=40,22,24)))))))))))))</f>
        <v>17</v>
      </c>
      <c r="L40" s="3" t="n">
        <v>27</v>
      </c>
      <c r="M40" s="3" t="n">
        <f aca="false">_xlfn.IFS(K40="взв",11,K40="накл",24,K40="прокл",25,K40="пт",26,K40=90,10,K40=85,10,K40=80,9,K40=75,8,K40=70,8,K40=65,7,K40=60,7,K40=55,6,K40=50,6,K40=45,6,K40=40,5,K40=35,4,K40=30,4,K40=25,3,K40=20,2,K40=15,1,K40=10,1,K40=0,0)</f>
        <v>0</v>
      </c>
      <c r="N40" s="3" t="n">
        <f aca="false">IF(L40&lt;=1,0,IF(L40&lt;=10,11,IF(L40&lt;=14,12,IF(L40&lt;=17,13,IF(L40&lt;=20,14,IF(L40&lt;=22,15,IF(L40&lt;=25,16,IF(L40&lt;=27,17,IF(L40&lt;=29,18,IF(L40&lt;=32,19,IF(L40&lt;=34,20,IF(L40&lt;=36,21,IF(L40&lt;=40,22,24)))))))))))))</f>
        <v>17</v>
      </c>
      <c r="P40" s="3" t="n">
        <v>32</v>
      </c>
      <c r="Q40" s="3" t="n">
        <f aca="false">_xlfn.IFS(O40="взв",11,O40="накл",24,O40="прокл",25,O40="пт",26,O40=90,10,O40=85,10,O40=80,9,O40=75,8,O40=70,8,O40=65,7,O40=60,7,O40=55,6,O40=50,6,O40=45,6,O40=40,5,O40=35,4,O40=30,4,O40=25,3,O40=20,2,O40=15,1,O40=10,1,O40=0,0)</f>
        <v>0</v>
      </c>
      <c r="R40" s="3" t="n">
        <f aca="false">IF(P40&lt;=1,0,IF(P40&lt;=10,11,IF(P40&lt;=14,12,IF(P40&lt;=17,13,IF(P40&lt;=20,14,IF(P40&lt;=22,15,IF(P40&lt;=25,16,IF(P40&lt;=27,17,IF(P40&lt;=29,18,IF(P40&lt;=32,19,IF(P40&lt;=34,20,IF(P40&lt;=36,21,IF(P40&lt;=40,22,24)))))))))))))</f>
        <v>19</v>
      </c>
      <c r="S40" s="3" t="n">
        <f aca="false">ROUND((Q40+R40+I40+J40+M40+N40)/3,0)</f>
        <v>18</v>
      </c>
      <c r="T40" s="17" t="n">
        <f aca="false">F40*LOG10(S40+2)</f>
        <v>1.30102999566398</v>
      </c>
    </row>
    <row r="41" customFormat="false" ht="14.65" hidden="false" customHeight="true" outlineLevel="0" collapsed="false">
      <c r="A41" s="13" t="s">
        <v>83</v>
      </c>
      <c r="B41" s="14" t="n">
        <v>39979</v>
      </c>
      <c r="C41" s="15" t="s">
        <v>27</v>
      </c>
      <c r="D41" s="4" t="s">
        <v>84</v>
      </c>
      <c r="E41" s="3" t="n">
        <v>3</v>
      </c>
      <c r="F41" s="3" t="n">
        <v>1.5</v>
      </c>
      <c r="G41" s="3" t="s">
        <v>81</v>
      </c>
      <c r="I41" s="3" t="n">
        <f aca="false">_xlfn.IFS(G41="взв",11,G41="накл",24,G41="прокл",25,G41="пт",26,G41=90,10,G41=85,10,G41=80,9,G41=75,8,G41=70,8,G41=65,7,G41=60,7,G41=55,6,G41=50,6,G41=45,6,G41=40,5,G41=35,4,G41=30,4,G41=25,3,G41=20,2,G41=15,1,G41=10,1,G41=0,0)</f>
        <v>25</v>
      </c>
      <c r="J41" s="3" t="n">
        <f aca="false">IF(H41&lt;=1,0,IF(H41&lt;=10,11,IF(H41&lt;=14,12,IF(H41&lt;=17,13,IF(H41&lt;=20,14,IF(H41&lt;=22,15,IF(H41&lt;=25,16,IF(H41&lt;=27,17,IF(H41&lt;=29,18,IF(H41&lt;=32,19,IF(H41&lt;=34,20,IF(H41&lt;=36,21,IF(H41&lt;=40,22,24)))))))))))))</f>
        <v>0</v>
      </c>
      <c r="M41" s="3" t="n">
        <f aca="false">_xlfn.IFS(K41="взв",11,K41="накл",24,K41="прокл",25,K41="пт",26,K41=90,10,K41=85,10,K41=80,9,K41=75,8,K41=70,8,K41=65,7,K41=60,7,K41=55,6,K41=50,6,K41=45,6,K41=40,5,K41=35,4,K41=30,4,K41=25,3,K41=20,2,K41=15,1,K41=10,1,K41=0,0)</f>
        <v>0</v>
      </c>
      <c r="N41" s="3" t="n">
        <f aca="false">IF(L41&lt;=1,0,IF(L41&lt;=10,11,IF(L41&lt;=14,12,IF(L41&lt;=17,13,IF(L41&lt;=20,14,IF(L41&lt;=22,15,IF(L41&lt;=25,16,IF(L41&lt;=27,17,IF(L41&lt;=29,18,IF(L41&lt;=32,19,IF(L41&lt;=34,20,IF(L41&lt;=36,21,IF(L41&lt;=40,22,24)))))))))))))</f>
        <v>0</v>
      </c>
      <c r="Q41" s="3" t="n">
        <f aca="false">_xlfn.IFS(O41="взв",11,O41="накл",24,O41="прокл",25,O41="пт",26,O41=90,10,O41=85,10,O41=80,9,O41=75,8,O41=70,8,O41=65,7,O41=60,7,O41=55,6,O41=50,6,O41=45,6,O41=40,5,O41=35,4,O41=30,4,O41=25,3,O41=20,2,O41=15,1,O41=10,1,O41=0,0)</f>
        <v>0</v>
      </c>
      <c r="R41" s="3" t="n">
        <f aca="false">IF(P41&lt;=1,0,IF(P41&lt;=10,11,IF(P41&lt;=14,12,IF(P41&lt;=17,13,IF(P41&lt;=20,14,IF(P41&lt;=22,15,IF(P41&lt;=25,16,IF(P41&lt;=27,17,IF(P41&lt;=29,18,IF(P41&lt;=32,19,IF(P41&lt;=34,20,IF(P41&lt;=36,21,IF(P41&lt;=40,22,24)))))))))))))</f>
        <v>0</v>
      </c>
      <c r="S41" s="3" t="n">
        <v>24</v>
      </c>
      <c r="T41" s="17" t="n">
        <f aca="false">F41*LOG10(S41+2)</f>
        <v>2.12246002195623</v>
      </c>
    </row>
    <row r="42" customFormat="false" ht="14.65" hidden="false" customHeight="true" outlineLevel="0" collapsed="false">
      <c r="A42" s="13" t="s">
        <v>85</v>
      </c>
      <c r="B42" s="14" t="n">
        <v>39981</v>
      </c>
      <c r="C42" s="15" t="s">
        <v>27</v>
      </c>
      <c r="D42" s="4" t="s">
        <v>45</v>
      </c>
      <c r="E42" s="3" t="n">
        <v>4</v>
      </c>
      <c r="F42" s="3" t="n">
        <v>1.5</v>
      </c>
      <c r="G42" s="3" t="s">
        <v>72</v>
      </c>
      <c r="I42" s="3" t="n">
        <f aca="false">_xlfn.IFS(G42="взв",11,G42="накл",24,G42="прокл",25,G42="пт",26,G42=90,10,G42=85,10,G42=80,9,G42=75,8,G42=70,8,G42=65,7,G42=60,7,G42=55,6,G42=50,6,G42=45,6,G42=40,5,G42=35,4,G42=30,4,G42=25,3,G42=20,2,G42=15,1,G42=10,1,G42=0,0)</f>
        <v>11</v>
      </c>
      <c r="J42" s="3" t="n">
        <f aca="false">IF(H42&lt;=1,0,IF(H42&lt;=10,11,IF(H42&lt;=14,12,IF(H42&lt;=17,13,IF(H42&lt;=20,14,IF(H42&lt;=22,15,IF(H42&lt;=25,16,IF(H42&lt;=27,17,IF(H42&lt;=29,18,IF(H42&lt;=32,19,IF(H42&lt;=34,20,IF(H42&lt;=36,21,IF(H42&lt;=40,22,24)))))))))))))</f>
        <v>0</v>
      </c>
      <c r="K42" s="3" t="n">
        <v>90</v>
      </c>
      <c r="M42" s="3" t="n">
        <f aca="false">_xlfn.IFS(K42="взв",11,K42="накл",24,K42="прокл",25,K42="пт",26,K42=90,10,K42=85,10,K42=80,9,K42=75,8,K42=70,8,K42=65,7,K42=60,7,K42=55,6,K42=50,6,K42=45,6,K42=40,5,K42=35,4,K42=30,4,K42=25,3,K42=20,2,K42=15,1,K42=10,1,K42=0,0)</f>
        <v>10</v>
      </c>
      <c r="N42" s="3" t="n">
        <f aca="false">IF(L42&lt;=1,0,IF(L42&lt;=10,11,IF(L42&lt;=14,12,IF(L42&lt;=17,13,IF(L42&lt;=20,14,IF(L42&lt;=22,15,IF(L42&lt;=25,16,IF(L42&lt;=27,17,IF(L42&lt;=29,18,IF(L42&lt;=32,19,IF(L42&lt;=34,20,IF(L42&lt;=36,21,IF(L42&lt;=40,22,24)))))))))))))</f>
        <v>0</v>
      </c>
      <c r="O42" s="3" t="s">
        <v>72</v>
      </c>
      <c r="Q42" s="3" t="n">
        <f aca="false">_xlfn.IFS(O42="взв",11,O42="накл",24,O42="прокл",25,O42="пт",26,O42=90,10,O42=85,10,O42=80,9,O42=75,8,O42=70,8,O42=65,7,O42=60,7,O42=55,6,O42=50,6,O42=45,6,O42=40,5,O42=35,4,O42=30,4,O42=25,3,O42=20,2,O42=15,1,O42=10,1,O42=0,0)</f>
        <v>11</v>
      </c>
      <c r="R42" s="3" t="n">
        <f aca="false">IF(P42&lt;=1,0,IF(P42&lt;=10,11,IF(P42&lt;=14,12,IF(P42&lt;=17,13,IF(P42&lt;=20,14,IF(P42&lt;=22,15,IF(P42&lt;=25,16,IF(P42&lt;=27,17,IF(P42&lt;=29,18,IF(P42&lt;=32,19,IF(P42&lt;=34,20,IF(P42&lt;=36,21,IF(P42&lt;=40,22,24)))))))))))))</f>
        <v>0</v>
      </c>
      <c r="S42" s="3" t="n">
        <f aca="false">ROUND((Q42+R42+I42+J42+M42+N42)/3,0)</f>
        <v>11</v>
      </c>
      <c r="T42" s="17" t="n">
        <f aca="false">F42*LOG10(S42+2)</f>
        <v>1.67091502846026</v>
      </c>
    </row>
    <row r="43" customFormat="false" ht="14.65" hidden="false" customHeight="true" outlineLevel="0" collapsed="false">
      <c r="A43" s="13" t="s">
        <v>86</v>
      </c>
      <c r="B43" s="14" t="n">
        <v>39981</v>
      </c>
      <c r="C43" s="15" t="s">
        <v>27</v>
      </c>
      <c r="D43" s="4" t="s">
        <v>45</v>
      </c>
      <c r="E43" s="3" t="n">
        <v>3</v>
      </c>
      <c r="F43" s="3" t="n">
        <v>1.5</v>
      </c>
      <c r="G43" s="3" t="s">
        <v>72</v>
      </c>
      <c r="I43" s="3" t="n">
        <f aca="false">_xlfn.IFS(G43="взв",11,G43="накл",24,G43="прокл",25,G43="пт",26,G43=90,10,G43=85,10,G43=80,9,G43=75,8,G43=70,8,G43=65,7,G43=60,7,G43=55,6,G43=50,6,G43=45,6,G43=40,5,G43=35,4,G43=30,4,G43=25,3,G43=20,2,G43=15,1,G43=10,1,G43=0,0)</f>
        <v>11</v>
      </c>
      <c r="J43" s="3" t="n">
        <f aca="false">IF(H43&lt;=1,0,IF(H43&lt;=10,11,IF(H43&lt;=14,12,IF(H43&lt;=17,13,IF(H43&lt;=20,14,IF(H43&lt;=22,15,IF(H43&lt;=25,16,IF(H43&lt;=27,17,IF(H43&lt;=29,18,IF(H43&lt;=32,19,IF(H43&lt;=34,20,IF(H43&lt;=36,21,IF(H43&lt;=40,22,24)))))))))))))</f>
        <v>0</v>
      </c>
      <c r="K43" s="3" t="n">
        <v>90</v>
      </c>
      <c r="M43" s="3" t="n">
        <f aca="false">_xlfn.IFS(K43="взв",11,K43="накл",24,K43="прокл",25,K43="пт",26,K43=90,10,K43=85,10,K43=80,9,K43=75,8,K43=70,8,K43=65,7,K43=60,7,K43=55,6,K43=50,6,K43=45,6,K43=40,5,K43=35,4,K43=30,4,K43=25,3,K43=20,2,K43=15,1,K43=10,1,K43=0,0)</f>
        <v>10</v>
      </c>
      <c r="N43" s="3" t="n">
        <f aca="false">IF(L43&lt;=1,0,IF(L43&lt;=10,11,IF(L43&lt;=14,12,IF(L43&lt;=17,13,IF(L43&lt;=20,14,IF(L43&lt;=22,15,IF(L43&lt;=25,16,IF(L43&lt;=27,17,IF(L43&lt;=29,18,IF(L43&lt;=32,19,IF(L43&lt;=34,20,IF(L43&lt;=36,21,IF(L43&lt;=40,22,24)))))))))))))</f>
        <v>0</v>
      </c>
      <c r="O43" s="3" t="n">
        <v>90</v>
      </c>
      <c r="Q43" s="3" t="n">
        <f aca="false">_xlfn.IFS(O43="взв",11,O43="накл",24,O43="прокл",25,O43="пт",26,O43=90,10,O43=85,10,O43=80,9,O43=75,8,O43=70,8,O43=65,7,O43=60,7,O43=55,6,O43=50,6,O43=45,6,O43=40,5,O43=35,4,O43=30,4,O43=25,3,O43=20,2,O43=15,1,O43=10,1,O43=0,0)</f>
        <v>10</v>
      </c>
      <c r="R43" s="3" t="n">
        <f aca="false">IF(P43&lt;=1,0,IF(P43&lt;=10,11,IF(P43&lt;=14,12,IF(P43&lt;=17,13,IF(P43&lt;=20,14,IF(P43&lt;=22,15,IF(P43&lt;=25,16,IF(P43&lt;=27,17,IF(P43&lt;=29,18,IF(P43&lt;=32,19,IF(P43&lt;=34,20,IF(P43&lt;=36,21,IF(P43&lt;=40,22,24)))))))))))))</f>
        <v>0</v>
      </c>
      <c r="S43" s="3" t="n">
        <f aca="false">ROUND((Q43+R43+I43+J43+M43+N43)/3,0)</f>
        <v>10</v>
      </c>
      <c r="T43" s="17" t="n">
        <f aca="false">F43*LOG10(S43+2)</f>
        <v>1.61877186907144</v>
      </c>
    </row>
    <row r="44" customFormat="false" ht="14.65" hidden="false" customHeight="true" outlineLevel="0" collapsed="false">
      <c r="A44" s="13" t="s">
        <v>87</v>
      </c>
      <c r="B44" s="14" t="n">
        <v>39981</v>
      </c>
      <c r="C44" s="15" t="s">
        <v>27</v>
      </c>
      <c r="D44" s="4" t="s">
        <v>28</v>
      </c>
      <c r="E44" s="3" t="n">
        <v>3</v>
      </c>
      <c r="F44" s="3" t="n">
        <v>1.5</v>
      </c>
      <c r="H44" s="3" t="n">
        <v>25</v>
      </c>
      <c r="I44" s="3" t="n">
        <f aca="false">_xlfn.IFS(G44="взв",11,G44="накл",24,G44="прокл",25,G44="пт",26,G44=90,10,G44=85,10,G44=80,9,G44=75,8,G44=70,8,G44=65,7,G44=60,7,G44=55,6,G44=50,6,G44=45,6,G44=40,5,G44=35,4,G44=30,4,G44=25,3,G44=20,2,G44=15,1,G44=10,1,G44=0,0)</f>
        <v>0</v>
      </c>
      <c r="J44" s="3" t="n">
        <f aca="false">IF(H44&lt;=1,0,IF(H44&lt;=10,11,IF(H44&lt;=14,12,IF(H44&lt;=17,13,IF(H44&lt;=20,14,IF(H44&lt;=22,15,IF(H44&lt;=25,16,IF(H44&lt;=27,17,IF(H44&lt;=29,18,IF(H44&lt;=32,19,IF(H44&lt;=34,20,IF(H44&lt;=36,21,IF(H44&lt;=40,22,24)))))))))))))</f>
        <v>16</v>
      </c>
      <c r="L44" s="3" t="n">
        <v>26</v>
      </c>
      <c r="M44" s="3" t="n">
        <f aca="false">_xlfn.IFS(K44="взв",11,K44="накл",24,K44="прокл",25,K44="пт",26,K44=90,10,K44=85,10,K44=80,9,K44=75,8,K44=70,8,K44=65,7,K44=60,7,K44=55,6,K44=50,6,K44=45,6,K44=40,5,K44=35,4,K44=30,4,K44=25,3,K44=20,2,K44=15,1,K44=10,1,K44=0,0)</f>
        <v>0</v>
      </c>
      <c r="N44" s="3" t="n">
        <f aca="false">IF(L44&lt;=1,0,IF(L44&lt;=10,11,IF(L44&lt;=14,12,IF(L44&lt;=17,13,IF(L44&lt;=20,14,IF(L44&lt;=22,15,IF(L44&lt;=25,16,IF(L44&lt;=27,17,IF(L44&lt;=29,18,IF(L44&lt;=32,19,IF(L44&lt;=34,20,IF(L44&lt;=36,21,IF(L44&lt;=40,22,24)))))))))))))</f>
        <v>17</v>
      </c>
      <c r="P44" s="3" t="n">
        <v>28</v>
      </c>
      <c r="Q44" s="3" t="n">
        <f aca="false">_xlfn.IFS(O44="взв",11,O44="накл",24,O44="прокл",25,O44="пт",26,O44=90,10,O44=85,10,O44=80,9,O44=75,8,O44=70,8,O44=65,7,O44=60,7,O44=55,6,O44=50,6,O44=45,6,O44=40,5,O44=35,4,O44=30,4,O44=25,3,O44=20,2,O44=15,1,O44=10,1,O44=0,0)</f>
        <v>0</v>
      </c>
      <c r="R44" s="3" t="n">
        <f aca="false">IF(P44&lt;=1,0,IF(P44&lt;=10,11,IF(P44&lt;=14,12,IF(P44&lt;=17,13,IF(P44&lt;=20,14,IF(P44&lt;=22,15,IF(P44&lt;=25,16,IF(P44&lt;=27,17,IF(P44&lt;=29,18,IF(P44&lt;=32,19,IF(P44&lt;=34,20,IF(P44&lt;=36,21,IF(P44&lt;=40,22,24)))))))))))))</f>
        <v>18</v>
      </c>
      <c r="S44" s="3" t="n">
        <f aca="false">ROUND((Q44+R44+I44+J44+M44+N44)/3,0)</f>
        <v>17</v>
      </c>
      <c r="T44" s="17" t="n">
        <f aca="false">F44*LOG10(S44+2)</f>
        <v>1.91813040142924</v>
      </c>
    </row>
    <row r="45" customFormat="false" ht="14.65" hidden="false" customHeight="true" outlineLevel="0" collapsed="false">
      <c r="A45" s="13" t="s">
        <v>88</v>
      </c>
      <c r="B45" s="14" t="n">
        <v>39981</v>
      </c>
      <c r="C45" s="15" t="s">
        <v>27</v>
      </c>
      <c r="D45" s="4" t="s">
        <v>47</v>
      </c>
      <c r="E45" s="3" t="n">
        <v>3</v>
      </c>
      <c r="F45" s="3" t="n">
        <v>1.5</v>
      </c>
      <c r="G45" s="3" t="s">
        <v>72</v>
      </c>
      <c r="I45" s="3" t="n">
        <f aca="false">_xlfn.IFS(G45="взв",11,G45="накл",24,G45="прокл",25,G45="пт",26,G45=90,10,G45=85,10,G45=80,9,G45=75,8,G45=70,8,G45=65,7,G45=60,7,G45=55,6,G45=50,6,G45=45,6,G45=40,5,G45=35,4,G45=30,4,G45=25,3,G45=20,2,G45=15,1,G45=10,1,G45=0,0)</f>
        <v>11</v>
      </c>
      <c r="J45" s="3" t="n">
        <f aca="false">IF(H45&lt;=1,0,IF(H45&lt;=10,11,IF(H45&lt;=14,12,IF(H45&lt;=17,13,IF(H45&lt;=20,14,IF(H45&lt;=22,15,IF(H45&lt;=25,16,IF(H45&lt;=27,17,IF(H45&lt;=29,18,IF(H45&lt;=32,19,IF(H45&lt;=34,20,IF(H45&lt;=36,21,IF(H45&lt;=40,22,24)))))))))))))</f>
        <v>0</v>
      </c>
      <c r="K45" s="3" t="n">
        <v>75</v>
      </c>
      <c r="M45" s="3" t="n">
        <f aca="false">_xlfn.IFS(K45="взв",11,K45="накл",24,K45="прокл",25,K45="пт",26,K45=90,10,K45=85,10,K45=80,9,K45=75,8,K45=70,8,K45=65,7,K45=60,7,K45=55,6,K45=50,6,K45=45,6,K45=40,5,K45=35,4,K45=30,4,K45=25,3,K45=20,2,K45=15,1,K45=10,1,K45=0,0)</f>
        <v>8</v>
      </c>
      <c r="N45" s="3" t="n">
        <f aca="false">IF(L45&lt;=1,0,IF(L45&lt;=10,11,IF(L45&lt;=14,12,IF(L45&lt;=17,13,IF(L45&lt;=20,14,IF(L45&lt;=22,15,IF(L45&lt;=25,16,IF(L45&lt;=27,17,IF(L45&lt;=29,18,IF(L45&lt;=32,19,IF(L45&lt;=34,20,IF(L45&lt;=36,21,IF(L45&lt;=40,22,24)))))))))))))</f>
        <v>0</v>
      </c>
      <c r="O45" s="3" t="n">
        <v>90</v>
      </c>
      <c r="Q45" s="3" t="n">
        <f aca="false">_xlfn.IFS(O45="взв",11,O45="накл",24,O45="прокл",25,O45="пт",26,O45=90,10,O45=85,10,O45=80,9,O45=75,8,O45=70,8,O45=65,7,O45=60,7,O45=55,6,O45=50,6,O45=45,6,O45=40,5,O45=35,4,O45=30,4,O45=25,3,O45=20,2,O45=15,1,O45=10,1,O45=0,0)</f>
        <v>10</v>
      </c>
      <c r="R45" s="3" t="n">
        <f aca="false">IF(P45&lt;=1,0,IF(P45&lt;=10,11,IF(P45&lt;=14,12,IF(P45&lt;=17,13,IF(P45&lt;=20,14,IF(P45&lt;=22,15,IF(P45&lt;=25,16,IF(P45&lt;=27,17,IF(P45&lt;=29,18,IF(P45&lt;=32,19,IF(P45&lt;=34,20,IF(P45&lt;=36,21,IF(P45&lt;=40,22,24)))))))))))))</f>
        <v>0</v>
      </c>
      <c r="S45" s="3" t="n">
        <f aca="false">ROUND((Q45+R45+I45+J45+M45+N45)/3,0)</f>
        <v>10</v>
      </c>
      <c r="T45" s="17" t="n">
        <f aca="false">F45*LOG10(S45+2)</f>
        <v>1.61877186907144</v>
      </c>
    </row>
    <row r="46" customFormat="false" ht="14.65" hidden="false" customHeight="true" outlineLevel="0" collapsed="false">
      <c r="A46" s="13" t="s">
        <v>89</v>
      </c>
      <c r="B46" s="2" t="n">
        <v>39996</v>
      </c>
      <c r="C46" s="15" t="s">
        <v>21</v>
      </c>
      <c r="D46" s="4" t="s">
        <v>34</v>
      </c>
      <c r="E46" s="3" t="n">
        <v>6</v>
      </c>
      <c r="F46" s="3" t="n">
        <v>1.5</v>
      </c>
      <c r="H46" s="3" t="n">
        <v>32</v>
      </c>
      <c r="I46" s="3" t="n">
        <f aca="false">_xlfn.IFS(G46="взв",11,G46="накл",24,G46="прокл",25,G46="пт",26,G46=90,10,G46=85,10,G46=80,9,G46=75,8,G46=70,8,G46=65,7,G46=60,7,G46=55,6,G46=50,6,G46=45,6,G46=40,5,G46=35,4,G46=30,4,G46=25,3,G46=20,2,G46=15,1,G46=10,1,G46=0,0)</f>
        <v>0</v>
      </c>
      <c r="J46" s="3" t="n">
        <f aca="false">IF(H46&lt;=1,0,IF(H46&lt;=10,11,IF(H46&lt;=14,12,IF(H46&lt;=17,13,IF(H46&lt;=20,14,IF(H46&lt;=22,15,IF(H46&lt;=25,16,IF(H46&lt;=27,17,IF(H46&lt;=29,18,IF(H46&lt;=32,19,IF(H46&lt;=34,20,IF(H46&lt;=36,21,IF(H46&lt;=40,22,24)))))))))))))</f>
        <v>19</v>
      </c>
      <c r="L46" s="3" t="n">
        <v>32</v>
      </c>
      <c r="M46" s="3" t="n">
        <f aca="false">_xlfn.IFS(K46="взв",11,K46="накл",24,K46="прокл",25,K46="пт",26,K46=90,10,K46=85,10,K46=80,9,K46=75,8,K46=70,8,K46=65,7,K46=60,7,K46=55,6,K46=50,6,K46=45,6,K46=40,5,K46=35,4,K46=30,4,K46=25,3,K46=20,2,K46=15,1,K46=10,1,K46=0,0)</f>
        <v>0</v>
      </c>
      <c r="N46" s="3" t="n">
        <f aca="false">IF(L46&lt;=1,0,IF(L46&lt;=10,11,IF(L46&lt;=14,12,IF(L46&lt;=17,13,IF(L46&lt;=20,14,IF(L46&lt;=22,15,IF(L46&lt;=25,16,IF(L46&lt;=27,17,IF(L46&lt;=29,18,IF(L46&lt;=32,19,IF(L46&lt;=34,20,IF(L46&lt;=36,21,IF(L46&lt;=40,22,24)))))))))))))</f>
        <v>19</v>
      </c>
      <c r="P46" s="3" t="n">
        <v>29</v>
      </c>
      <c r="Q46" s="3" t="n">
        <f aca="false">_xlfn.IFS(O46="взв",11,O46="накл",24,O46="прокл",25,O46="пт",26,O46=90,10,O46=85,10,O46=80,9,O46=75,8,O46=70,8,O46=65,7,O46=60,7,O46=55,6,O46=50,6,O46=45,6,O46=40,5,O46=35,4,O46=30,4,O46=25,3,O46=20,2,O46=15,1,O46=10,1,O46=0,0)</f>
        <v>0</v>
      </c>
      <c r="R46" s="3" t="n">
        <f aca="false">IF(P46&lt;=1,0,IF(P46&lt;=10,11,IF(P46&lt;=14,12,IF(P46&lt;=17,13,IF(P46&lt;=20,14,IF(P46&lt;=22,15,IF(P46&lt;=25,16,IF(P46&lt;=27,17,IF(P46&lt;=29,18,IF(P46&lt;=32,19,IF(P46&lt;=34,20,IF(P46&lt;=36,21,IF(P46&lt;=40,22,24)))))))))))))</f>
        <v>18</v>
      </c>
      <c r="S46" s="3" t="n">
        <f aca="false">ROUND((Q46+R46+I46+J46+M46+N46)/3,0)</f>
        <v>19</v>
      </c>
      <c r="T46" s="17" t="n">
        <f aca="false">F46*LOG10(S46+2)</f>
        <v>1.98332894210088</v>
      </c>
    </row>
    <row r="47" customFormat="false" ht="14.65" hidden="false" customHeight="true" outlineLevel="0" collapsed="false">
      <c r="A47" s="13" t="s">
        <v>90</v>
      </c>
      <c r="B47" s="2" t="n">
        <v>39996</v>
      </c>
      <c r="C47" s="15" t="s">
        <v>21</v>
      </c>
      <c r="D47" s="4" t="s">
        <v>34</v>
      </c>
      <c r="E47" s="3" t="n">
        <v>2</v>
      </c>
      <c r="F47" s="3" t="n">
        <v>1.5</v>
      </c>
      <c r="G47" s="3" t="n">
        <v>45</v>
      </c>
      <c r="I47" s="3" t="n">
        <f aca="false">_xlfn.IFS(G47="взв",11,G47="накл",24,G47="прокл",25,G47="пт",26,G47=90,10,G47=85,10,G47=80,9,G47=75,8,G47=70,8,G47=65,7,G47=60,7,G47=55,6,G47=50,6,G47=45,6,G47=40,5,G47=35,4,G47=30,4,G47=25,3,G47=20,2,G47=15,1,G47=10,1,G47=0,0)</f>
        <v>6</v>
      </c>
      <c r="J47" s="3" t="n">
        <f aca="false">IF(H47&lt;=1,0,IF(H47&lt;=10,11,IF(H47&lt;=14,12,IF(H47&lt;=17,13,IF(H47&lt;=20,14,IF(H47&lt;=22,15,IF(H47&lt;=25,16,IF(H47&lt;=27,17,IF(H47&lt;=29,18,IF(H47&lt;=32,19,IF(H47&lt;=34,20,IF(H47&lt;=36,21,IF(H47&lt;=40,22,24)))))))))))))</f>
        <v>0</v>
      </c>
      <c r="K47" s="3" t="n">
        <v>75</v>
      </c>
      <c r="M47" s="3" t="n">
        <f aca="false">_xlfn.IFS(K47="взв",11,K47="накл",24,K47="прокл",25,K47="пт",26,K47=90,10,K47=85,10,K47=80,9,K47=75,8,K47=70,8,K47=65,7,K47=60,7,K47=55,6,K47=50,6,K47=45,6,K47=40,5,K47=35,4,K47=30,4,K47=25,3,K47=20,2,K47=15,1,K47=10,1,K47=0,0)</f>
        <v>8</v>
      </c>
      <c r="N47" s="3" t="n">
        <f aca="false">IF(L47&lt;=1,0,IF(L47&lt;=10,11,IF(L47&lt;=14,12,IF(L47&lt;=17,13,IF(L47&lt;=20,14,IF(L47&lt;=22,15,IF(L47&lt;=25,16,IF(L47&lt;=27,17,IF(L47&lt;=29,18,IF(L47&lt;=32,19,IF(L47&lt;=34,20,IF(L47&lt;=36,21,IF(L47&lt;=40,22,24)))))))))))))</f>
        <v>0</v>
      </c>
      <c r="Q47" s="3" t="n">
        <f aca="false">_xlfn.IFS(O47="взв",11,O47="накл",24,O47="прокл",25,O47="пт",26,O47=90,10,O47=85,10,O47=80,9,O47=75,8,O47=70,8,O47=65,7,O47=60,7,O47=55,6,O47=50,6,O47=45,6,O47=40,5,O47=35,4,O47=30,4,O47=25,3,O47=20,2,O47=15,1,O47=10,1,O47=0,0)</f>
        <v>0</v>
      </c>
      <c r="R47" s="3" t="n">
        <f aca="false">IF(P47&lt;=1,0,IF(P47&lt;=10,11,IF(P47&lt;=14,12,IF(P47&lt;=17,13,IF(P47&lt;=20,14,IF(P47&lt;=22,15,IF(P47&lt;=25,16,IF(P47&lt;=27,17,IF(P47&lt;=29,18,IF(P47&lt;=32,19,IF(P47&lt;=34,20,IF(P47&lt;=36,21,IF(P47&lt;=40,22,24)))))))))))))</f>
        <v>0</v>
      </c>
      <c r="S47" s="3" t="n">
        <f aca="false">ROUND((Q47+R47+I47+J47+M47+N47)/2,0)</f>
        <v>7</v>
      </c>
      <c r="T47" s="17" t="n">
        <f aca="false">F47*LOG10(S47+2)</f>
        <v>1.43136376415899</v>
      </c>
    </row>
    <row r="48" customFormat="false" ht="14.65" hidden="false" customHeight="true" outlineLevel="0" collapsed="false">
      <c r="A48" s="13" t="s">
        <v>91</v>
      </c>
      <c r="B48" s="14" t="n">
        <v>39976</v>
      </c>
      <c r="C48" s="15" t="s">
        <v>21</v>
      </c>
      <c r="D48" s="16" t="s">
        <v>92</v>
      </c>
      <c r="E48" s="3" t="s">
        <v>93</v>
      </c>
      <c r="F48" s="3" t="n">
        <v>2</v>
      </c>
      <c r="G48" s="3" t="n">
        <v>75</v>
      </c>
      <c r="I48" s="3" t="n">
        <f aca="false">_xlfn.IFS(G48="взв",11,G48="накл",24,G48="прокл",25,G48="пт",26,G48=90,10,G48=85,10,G48=80,9,G48=75,8,G48=70,8,G48=65,7,G48=60,7,G48=55,6,G48=50,6,G48=45,6,G48=40,5,G48=35,4,G48=30,4,G48=25,3,G48=20,2,G48=15,1,G48=10,1,G48=0,0)</f>
        <v>8</v>
      </c>
      <c r="J48" s="3" t="n">
        <f aca="false">IF(H48&lt;=1,0,IF(H48&lt;=10,11,IF(H48&lt;=14,12,IF(H48&lt;=17,13,IF(H48&lt;=20,14,IF(H48&lt;=22,15,IF(H48&lt;=25,16,IF(H48&lt;=27,17,IF(H48&lt;=29,18,IF(H48&lt;=32,19,IF(H48&lt;=34,20,IF(H48&lt;=36,21,IF(H48&lt;=40,22,24)))))))))))))</f>
        <v>0</v>
      </c>
      <c r="K48" s="3" t="n">
        <v>75</v>
      </c>
      <c r="M48" s="3" t="n">
        <f aca="false">_xlfn.IFS(K48="взв",11,K48="накл",24,K48="прокл",25,K48="пт",26,K48=90,10,K48=85,10,K48=80,9,K48=75,8,K48=70,8,K48=65,7,K48=60,7,K48=55,6,K48=50,6,K48=45,6,K48=40,5,K48=35,4,K48=30,4,K48=25,3,K48=20,2,K48=15,1,K48=10,1,K48=0,0)</f>
        <v>8</v>
      </c>
      <c r="N48" s="3" t="n">
        <f aca="false">IF(L48&lt;=1,0,IF(L48&lt;=10,11,IF(L48&lt;=14,12,IF(L48&lt;=17,13,IF(L48&lt;=20,14,IF(L48&lt;=22,15,IF(L48&lt;=25,16,IF(L48&lt;=27,17,IF(L48&lt;=29,18,IF(L48&lt;=32,19,IF(L48&lt;=34,20,IF(L48&lt;=36,21,IF(L48&lt;=40,22,24)))))))))))))</f>
        <v>0</v>
      </c>
      <c r="O48" s="3" t="n">
        <v>75</v>
      </c>
      <c r="Q48" s="3" t="n">
        <f aca="false">_xlfn.IFS(O48="взв",11,O48="накл",24,O48="прокл",25,O48="пт",26,O48=90,10,O48=85,10,O48=80,9,O48=75,8,O48=70,8,O48=65,7,O48=60,7,O48=55,6,O48=50,6,O48=45,6,O48=40,5,O48=35,4,O48=30,4,O48=25,3,O48=20,2,O48=15,1,O48=10,1,O48=0,0)</f>
        <v>8</v>
      </c>
      <c r="R48" s="3" t="n">
        <f aca="false">IF(P48&lt;=1,0,IF(P48&lt;=10,11,IF(P48&lt;=14,12,IF(P48&lt;=17,13,IF(P48&lt;=20,14,IF(P48&lt;=22,15,IF(P48&lt;=25,16,IF(P48&lt;=27,17,IF(P48&lt;=29,18,IF(P48&lt;=32,19,IF(P48&lt;=34,20,IF(P48&lt;=36,21,IF(P48&lt;=40,22,24)))))))))))))</f>
        <v>0</v>
      </c>
      <c r="S48" s="3" t="n">
        <f aca="false">ROUND((Q48+R48+I48+J48+M48+N48)/3,0)</f>
        <v>8</v>
      </c>
      <c r="T48" s="17" t="n">
        <f aca="false">F48*LOG10(S48+2)</f>
        <v>2</v>
      </c>
    </row>
    <row r="49" customFormat="false" ht="14.65" hidden="false" customHeight="true" outlineLevel="0" collapsed="false">
      <c r="A49" s="13" t="s">
        <v>94</v>
      </c>
      <c r="B49" s="14" t="n">
        <v>39976</v>
      </c>
      <c r="C49" s="15" t="s">
        <v>21</v>
      </c>
      <c r="D49" s="16" t="s">
        <v>92</v>
      </c>
      <c r="E49" s="3" t="n">
        <v>5</v>
      </c>
      <c r="F49" s="3" t="n">
        <v>2</v>
      </c>
      <c r="H49" s="3" t="n">
        <v>33</v>
      </c>
      <c r="I49" s="3" t="n">
        <f aca="false">_xlfn.IFS(G49="взв",11,G49="накл",24,G49="прокл",25,G49="пт",26,G49=90,10,G49=85,10,G49=80,9,G49=75,8,G49=70,8,G49=65,7,G49=60,7,G49=55,6,G49=50,6,G49=45,6,G49=40,5,G49=35,4,G49=30,4,G49=25,3,G49=20,2,G49=15,1,G49=10,1,G49=0,0)</f>
        <v>0</v>
      </c>
      <c r="J49" s="3" t="n">
        <f aca="false">IF(H49&lt;=1,0,IF(H49&lt;=10,11,IF(H49&lt;=14,12,IF(H49&lt;=17,13,IF(H49&lt;=20,14,IF(H49&lt;=22,15,IF(H49&lt;=25,16,IF(H49&lt;=27,17,IF(H49&lt;=29,18,IF(H49&lt;=32,19,IF(H49&lt;=34,20,IF(H49&lt;=36,21,IF(H49&lt;=40,22,24)))))))))))))</f>
        <v>20</v>
      </c>
      <c r="L49" s="3" t="n">
        <v>36</v>
      </c>
      <c r="M49" s="3" t="n">
        <f aca="false">_xlfn.IFS(K49="взв",11,K49="накл",24,K49="прокл",25,K49="пт",26,K49=90,10,K49=85,10,K49=80,9,K49=75,8,K49=70,8,K49=65,7,K49=60,7,K49=55,6,K49=50,6,K49=45,6,K49=40,5,K49=35,4,K49=30,4,K49=25,3,K49=20,2,K49=15,1,K49=10,1,K49=0,0)</f>
        <v>0</v>
      </c>
      <c r="N49" s="3" t="n">
        <f aca="false">IF(L49&lt;=1,0,IF(L49&lt;=10,11,IF(L49&lt;=14,12,IF(L49&lt;=17,13,IF(L49&lt;=20,14,IF(L49&lt;=22,15,IF(L49&lt;=25,16,IF(L49&lt;=27,17,IF(L49&lt;=29,18,IF(L49&lt;=32,19,IF(L49&lt;=34,20,IF(L49&lt;=36,21,IF(L49&lt;=40,22,24)))))))))))))</f>
        <v>21</v>
      </c>
      <c r="P49" s="3" t="n">
        <v>33</v>
      </c>
      <c r="Q49" s="3" t="n">
        <f aca="false">_xlfn.IFS(O49="взв",11,O49="накл",24,O49="прокл",25,O49="пт",26,O49=90,10,O49=85,10,O49=80,9,O49=75,8,O49=70,8,O49=65,7,O49=60,7,O49=55,6,O49=50,6,O49=45,6,O49=40,5,O49=35,4,O49=30,4,O49=25,3,O49=20,2,O49=15,1,O49=10,1,O49=0,0)</f>
        <v>0</v>
      </c>
      <c r="R49" s="3" t="n">
        <f aca="false">IF(P49&lt;=1,0,IF(P49&lt;=10,11,IF(P49&lt;=14,12,IF(P49&lt;=17,13,IF(P49&lt;=20,14,IF(P49&lt;=22,15,IF(P49&lt;=25,16,IF(P49&lt;=27,17,IF(P49&lt;=29,18,IF(P49&lt;=32,19,IF(P49&lt;=34,20,IF(P49&lt;=36,21,IF(P49&lt;=40,22,24)))))))))))))</f>
        <v>20</v>
      </c>
      <c r="S49" s="3" t="n">
        <f aca="false">ROUND((Q49+R49+I49+J49+M49+N49)/3,0)</f>
        <v>20</v>
      </c>
      <c r="T49" s="17" t="n">
        <f aca="false">F49*LOG10(S49+2)</f>
        <v>2.68484536164441</v>
      </c>
    </row>
    <row r="50" customFormat="false" ht="14.65" hidden="false" customHeight="true" outlineLevel="0" collapsed="false">
      <c r="A50" s="13" t="s">
        <v>95</v>
      </c>
      <c r="B50" s="14" t="n">
        <v>39976</v>
      </c>
      <c r="C50" s="15" t="s">
        <v>21</v>
      </c>
      <c r="D50" s="16" t="s">
        <v>96</v>
      </c>
      <c r="E50" s="3" t="n">
        <v>5</v>
      </c>
      <c r="F50" s="3" t="n">
        <v>2</v>
      </c>
      <c r="H50" s="3" t="n">
        <v>34</v>
      </c>
      <c r="I50" s="3" t="n">
        <f aca="false">_xlfn.IFS(G50="взв",11,G50="накл",24,G50="прокл",25,G50="пт",26,G50=90,10,G50=85,10,G50=80,9,G50=75,8,G50=70,8,G50=65,7,G50=60,7,G50=55,6,G50=50,6,G50=45,6,G50=40,5,G50=35,4,G50=30,4,G50=25,3,G50=20,2,G50=15,1,G50=10,1,G50=0,0)</f>
        <v>0</v>
      </c>
      <c r="J50" s="3" t="n">
        <f aca="false">IF(H50&lt;=1,0,IF(H50&lt;=10,11,IF(H50&lt;=14,12,IF(H50&lt;=17,13,IF(H50&lt;=20,14,IF(H50&lt;=22,15,IF(H50&lt;=25,16,IF(H50&lt;=27,17,IF(H50&lt;=29,18,IF(H50&lt;=32,19,IF(H50&lt;=34,20,IF(H50&lt;=36,21,IF(H50&lt;=40,22,24)))))))))))))</f>
        <v>20</v>
      </c>
      <c r="L50" s="3" t="n">
        <v>34</v>
      </c>
      <c r="M50" s="3" t="n">
        <f aca="false">_xlfn.IFS(K50="взв",11,K50="накл",24,K50="прокл",25,K50="пт",26,K50=90,10,K50=85,10,K50=80,9,K50=75,8,K50=70,8,K50=65,7,K50=60,7,K50=55,6,K50=50,6,K50=45,6,K50=40,5,K50=35,4,K50=30,4,K50=25,3,K50=20,2,K50=15,1,K50=10,1,K50=0,0)</f>
        <v>0</v>
      </c>
      <c r="N50" s="3" t="n">
        <f aca="false">IF(L50&lt;=1,0,IF(L50&lt;=10,11,IF(L50&lt;=14,12,IF(L50&lt;=17,13,IF(L50&lt;=20,14,IF(L50&lt;=22,15,IF(L50&lt;=25,16,IF(L50&lt;=27,17,IF(L50&lt;=29,18,IF(L50&lt;=32,19,IF(L50&lt;=34,20,IF(L50&lt;=36,21,IF(L50&lt;=40,22,24)))))))))))))</f>
        <v>20</v>
      </c>
      <c r="P50" s="3" t="n">
        <v>35</v>
      </c>
      <c r="Q50" s="3" t="n">
        <f aca="false">_xlfn.IFS(O50="взв",11,O50="накл",24,O50="прокл",25,O50="пт",26,O50=90,10,O50=85,10,O50=80,9,O50=75,8,O50=70,8,O50=65,7,O50=60,7,O50=55,6,O50=50,6,O50=45,6,O50=40,5,O50=35,4,O50=30,4,O50=25,3,O50=20,2,O50=15,1,O50=10,1,O50=0,0)</f>
        <v>0</v>
      </c>
      <c r="R50" s="3" t="n">
        <f aca="false">IF(P50&lt;=1,0,IF(P50&lt;=10,11,IF(P50&lt;=14,12,IF(P50&lt;=17,13,IF(P50&lt;=20,14,IF(P50&lt;=22,15,IF(P50&lt;=25,16,IF(P50&lt;=27,17,IF(P50&lt;=29,18,IF(P50&lt;=32,19,IF(P50&lt;=34,20,IF(P50&lt;=36,21,IF(P50&lt;=40,22,24)))))))))))))</f>
        <v>21</v>
      </c>
      <c r="S50" s="3" t="n">
        <f aca="false">ROUND((Q50+R50+I50+J50+M50+N50)/3,0)</f>
        <v>20</v>
      </c>
      <c r="T50" s="17" t="n">
        <f aca="false">F50*LOG10(S50+2)</f>
        <v>2.68484536164441</v>
      </c>
    </row>
    <row r="51" customFormat="false" ht="14.65" hidden="false" customHeight="true" outlineLevel="0" collapsed="false">
      <c r="A51" s="13" t="s">
        <v>97</v>
      </c>
      <c r="B51" s="14" t="n">
        <v>39976</v>
      </c>
      <c r="C51" s="15" t="s">
        <v>21</v>
      </c>
      <c r="D51" s="16" t="s">
        <v>96</v>
      </c>
      <c r="E51" s="3" t="n">
        <v>3</v>
      </c>
      <c r="F51" s="3" t="n">
        <v>2</v>
      </c>
      <c r="G51" s="3" t="s">
        <v>72</v>
      </c>
      <c r="I51" s="3" t="n">
        <f aca="false">_xlfn.IFS(G51="взв",11,G51="накл",24,G51="прокл",25,G51="пт",26,G51=90,10,G51=85,10,G51=80,9,G51=75,8,G51=70,8,G51=65,7,G51=60,7,G51=55,6,G51=50,6,G51=45,6,G51=40,5,G51=35,4,G51=30,4,G51=25,3,G51=20,2,G51=15,1,G51=10,1,G51=0,0)</f>
        <v>11</v>
      </c>
      <c r="J51" s="3" t="n">
        <f aca="false">IF(H51&lt;=1,0,IF(H51&lt;=10,11,IF(H51&lt;=14,12,IF(H51&lt;=17,13,IF(H51&lt;=20,14,IF(H51&lt;=22,15,IF(H51&lt;=25,16,IF(H51&lt;=27,17,IF(H51&lt;=29,18,IF(H51&lt;=32,19,IF(H51&lt;=34,20,IF(H51&lt;=36,21,IF(H51&lt;=40,22,24)))))))))))))</f>
        <v>0</v>
      </c>
      <c r="L51" s="3" t="n">
        <v>12</v>
      </c>
      <c r="M51" s="3" t="n">
        <f aca="false">_xlfn.IFS(K51="взв",11,K51="накл",24,K51="прокл",25,K51="пт",26,K51=90,10,K51=85,10,K51=80,9,K51=75,8,K51=70,8,K51=65,7,K51=60,7,K51=55,6,K51=50,6,K51=45,6,K51=40,5,K51=35,4,K51=30,4,K51=25,3,K51=20,2,K51=15,1,K51=10,1,K51=0,0)</f>
        <v>0</v>
      </c>
      <c r="N51" s="3" t="n">
        <f aca="false">IF(L51&lt;=1,0,IF(L51&lt;=10,11,IF(L51&lt;=14,12,IF(L51&lt;=17,13,IF(L51&lt;=20,14,IF(L51&lt;=22,15,IF(L51&lt;=25,16,IF(L51&lt;=27,17,IF(L51&lt;=29,18,IF(L51&lt;=32,19,IF(L51&lt;=34,20,IF(L51&lt;=36,21,IF(L51&lt;=40,22,24)))))))))))))</f>
        <v>12</v>
      </c>
      <c r="O51" s="3" t="n">
        <v>90</v>
      </c>
      <c r="Q51" s="3" t="n">
        <f aca="false">_xlfn.IFS(O51="взв",11,O51="накл",24,O51="прокл",25,O51="пт",26,O51=90,10,O51=85,10,O51=80,9,O51=75,8,O51=70,8,O51=65,7,O51=60,7,O51=55,6,O51=50,6,O51=45,6,O51=40,5,O51=35,4,O51=30,4,O51=25,3,O51=20,2,O51=15,1,O51=10,1,O51=0,0)</f>
        <v>10</v>
      </c>
      <c r="R51" s="3" t="n">
        <f aca="false">IF(P51&lt;=1,0,IF(P51&lt;=10,11,IF(P51&lt;=14,12,IF(P51&lt;=17,13,IF(P51&lt;=20,14,IF(P51&lt;=22,15,IF(P51&lt;=25,16,IF(P51&lt;=27,17,IF(P51&lt;=29,18,IF(P51&lt;=32,19,IF(P51&lt;=34,20,IF(P51&lt;=36,21,IF(P51&lt;=40,22,24)))))))))))))</f>
        <v>0</v>
      </c>
      <c r="S51" s="3" t="n">
        <f aca="false">ROUND((Q51+R51+I51+J51+M51+N51)/3,0)</f>
        <v>11</v>
      </c>
      <c r="T51" s="17" t="n">
        <f aca="false">F51*LOG10(S51+2)</f>
        <v>2.22788670461367</v>
      </c>
    </row>
    <row r="52" customFormat="false" ht="14.65" hidden="false" customHeight="true" outlineLevel="0" collapsed="false">
      <c r="A52" s="13" t="s">
        <v>98</v>
      </c>
      <c r="B52" s="14" t="n">
        <v>39976</v>
      </c>
      <c r="C52" s="15" t="s">
        <v>21</v>
      </c>
      <c r="D52" s="16" t="s">
        <v>22</v>
      </c>
      <c r="E52" s="3" t="n">
        <v>6</v>
      </c>
      <c r="F52" s="3" t="n">
        <v>2</v>
      </c>
      <c r="H52" s="3" t="n">
        <v>21</v>
      </c>
      <c r="I52" s="3" t="n">
        <f aca="false">_xlfn.IFS(G52="взв",11,G52="накл",24,G52="прокл",25,G52="пт",26,G52=90,10,G52=85,10,G52=80,9,G52=75,8,G52=70,8,G52=65,7,G52=60,7,G52=55,6,G52=50,6,G52=45,6,G52=40,5,G52=35,4,G52=30,4,G52=25,3,G52=20,2,G52=15,1,G52=10,1,G52=0,0)</f>
        <v>0</v>
      </c>
      <c r="J52" s="3" t="n">
        <f aca="false">IF(H52&lt;=1,0,IF(H52&lt;=10,11,IF(H52&lt;=14,12,IF(H52&lt;=17,13,IF(H52&lt;=20,14,IF(H52&lt;=22,15,IF(H52&lt;=25,16,IF(H52&lt;=27,17,IF(H52&lt;=29,18,IF(H52&lt;=32,19,IF(H52&lt;=34,20,IF(H52&lt;=36,21,IF(H52&lt;=40,22,24)))))))))))))</f>
        <v>15</v>
      </c>
      <c r="L52" s="3" t="n">
        <v>20</v>
      </c>
      <c r="M52" s="3" t="n">
        <f aca="false">_xlfn.IFS(K52="взв",11,K52="накл",24,K52="прокл",25,K52="пт",26,K52=90,10,K52=85,10,K52=80,9,K52=75,8,K52=70,8,K52=65,7,K52=60,7,K52=55,6,K52=50,6,K52=45,6,K52=40,5,K52=35,4,K52=30,4,K52=25,3,K52=20,2,K52=15,1,K52=10,1,K52=0,0)</f>
        <v>0</v>
      </c>
      <c r="N52" s="3" t="n">
        <f aca="false">IF(L52&lt;=1,0,IF(L52&lt;=10,11,IF(L52&lt;=14,12,IF(L52&lt;=17,13,IF(L52&lt;=20,14,IF(L52&lt;=22,15,IF(L52&lt;=25,16,IF(L52&lt;=27,17,IF(L52&lt;=29,18,IF(L52&lt;=32,19,IF(L52&lt;=34,20,IF(L52&lt;=36,21,IF(L52&lt;=40,22,24)))))))))))))</f>
        <v>14</v>
      </c>
      <c r="P52" s="3" t="n">
        <v>21</v>
      </c>
      <c r="Q52" s="3" t="n">
        <f aca="false">_xlfn.IFS(O52="взв",11,O52="накл",24,O52="прокл",25,O52="пт",26,O52=90,10,O52=85,10,O52=80,9,O52=75,8,O52=70,8,O52=65,7,O52=60,7,O52=55,6,O52=50,6,O52=45,6,O52=40,5,O52=35,4,O52=30,4,O52=25,3,O52=20,2,O52=15,1,O52=10,1,O52=0,0)</f>
        <v>0</v>
      </c>
      <c r="R52" s="3" t="n">
        <f aca="false">IF(P52&lt;=1,0,IF(P52&lt;=10,11,IF(P52&lt;=14,12,IF(P52&lt;=17,13,IF(P52&lt;=20,14,IF(P52&lt;=22,15,IF(P52&lt;=25,16,IF(P52&lt;=27,17,IF(P52&lt;=29,18,IF(P52&lt;=32,19,IF(P52&lt;=34,20,IF(P52&lt;=36,21,IF(P52&lt;=40,22,24)))))))))))))</f>
        <v>15</v>
      </c>
      <c r="S52" s="3" t="n">
        <f aca="false">ROUND((Q52+R52+I52+J52+M52+N52)/3,0)</f>
        <v>15</v>
      </c>
      <c r="T52" s="17" t="n">
        <f aca="false">F52*LOG10(S52+2)</f>
        <v>2.46089784275655</v>
      </c>
    </row>
    <row r="53" customFormat="false" ht="14.65" hidden="false" customHeight="true" outlineLevel="0" collapsed="false">
      <c r="A53" s="13" t="s">
        <v>99</v>
      </c>
      <c r="B53" s="14" t="n">
        <v>39977</v>
      </c>
      <c r="C53" s="15" t="s">
        <v>21</v>
      </c>
      <c r="D53" s="16" t="s">
        <v>100</v>
      </c>
      <c r="E53" s="3" t="n">
        <v>4</v>
      </c>
      <c r="F53" s="3" t="n">
        <v>2</v>
      </c>
      <c r="H53" s="3" t="n">
        <v>19</v>
      </c>
      <c r="I53" s="3" t="n">
        <f aca="false">_xlfn.IFS(G53="взв",11,G53="накл",24,G53="прокл",25,G53="пт",26,G53=90,10,G53=85,10,G53=80,9,G53=75,8,G53=70,8,G53=65,7,G53=60,7,G53=55,6,G53=50,6,G53=45,6,G53=40,5,G53=35,4,G53=30,4,G53=25,3,G53=20,2,G53=15,1,G53=10,1,G53=0,0)</f>
        <v>0</v>
      </c>
      <c r="J53" s="3" t="n">
        <f aca="false">IF(H53&lt;=1,0,IF(H53&lt;=10,11,IF(H53&lt;=14,12,IF(H53&lt;=17,13,IF(H53&lt;=20,14,IF(H53&lt;=22,15,IF(H53&lt;=25,16,IF(H53&lt;=27,17,IF(H53&lt;=29,18,IF(H53&lt;=32,19,IF(H53&lt;=34,20,IF(H53&lt;=36,21,IF(H53&lt;=40,22,24)))))))))))))</f>
        <v>14</v>
      </c>
      <c r="L53" s="3" t="n">
        <v>23</v>
      </c>
      <c r="M53" s="3" t="n">
        <f aca="false">_xlfn.IFS(K53="взв",11,K53="накл",24,K53="прокл",25,K53="пт",26,K53=90,10,K53=85,10,K53=80,9,K53=75,8,K53=70,8,K53=65,7,K53=60,7,K53=55,6,K53=50,6,K53=45,6,K53=40,5,K53=35,4,K53=30,4,K53=25,3,K53=20,2,K53=15,1,K53=10,1,K53=0,0)</f>
        <v>0</v>
      </c>
      <c r="N53" s="3" t="n">
        <f aca="false">IF(L53&lt;=1,0,IF(L53&lt;=10,11,IF(L53&lt;=14,12,IF(L53&lt;=17,13,IF(L53&lt;=20,14,IF(L53&lt;=22,15,IF(L53&lt;=25,16,IF(L53&lt;=27,17,IF(L53&lt;=29,18,IF(L53&lt;=32,19,IF(L53&lt;=34,20,IF(L53&lt;=36,21,IF(L53&lt;=40,22,24)))))))))))))</f>
        <v>16</v>
      </c>
      <c r="O53" s="3" t="n">
        <v>90</v>
      </c>
      <c r="Q53" s="3" t="n">
        <f aca="false">_xlfn.IFS(O53="взв",11,O53="накл",24,O53="прокл",25,O53="пт",26,O53=90,10,O53=85,10,O53=80,9,O53=75,8,O53=70,8,O53=65,7,O53=60,7,O53=55,6,O53=50,6,O53=45,6,O53=40,5,O53=35,4,O53=30,4,O53=25,3,O53=20,2,O53=15,1,O53=10,1,O53=0,0)</f>
        <v>10</v>
      </c>
      <c r="R53" s="3" t="n">
        <f aca="false">IF(P53&lt;=1,0,IF(P53&lt;=10,11,IF(P53&lt;=14,12,IF(P53&lt;=17,13,IF(P53&lt;=20,14,IF(P53&lt;=22,15,IF(P53&lt;=25,16,IF(P53&lt;=27,17,IF(P53&lt;=29,18,IF(P53&lt;=32,19,IF(P53&lt;=34,20,IF(P53&lt;=36,21,IF(P53&lt;=40,22,24)))))))))))))</f>
        <v>0</v>
      </c>
      <c r="S53" s="3" t="n">
        <f aca="false">ROUND((Q53+R53+I53+J53+M53+N53)/3,0)</f>
        <v>13</v>
      </c>
      <c r="T53" s="17" t="n">
        <f aca="false">F53*LOG10(S53+2)</f>
        <v>2.35218251811136</v>
      </c>
    </row>
    <row r="54" customFormat="false" ht="14.65" hidden="false" customHeight="true" outlineLevel="0" collapsed="false">
      <c r="A54" s="13" t="s">
        <v>101</v>
      </c>
      <c r="B54" s="14" t="n">
        <v>39977</v>
      </c>
      <c r="C54" s="15" t="s">
        <v>21</v>
      </c>
      <c r="D54" s="16" t="s">
        <v>100</v>
      </c>
      <c r="E54" s="3" t="n">
        <v>5</v>
      </c>
      <c r="F54" s="3" t="n">
        <v>2</v>
      </c>
      <c r="G54" s="3" t="n">
        <v>75</v>
      </c>
      <c r="I54" s="3" t="n">
        <f aca="false">_xlfn.IFS(G54="взв",11,G54="накл",24,G54="прокл",25,G54="пт",26,G54=90,10,G54=85,10,G54=80,9,G54=75,8,G54=70,8,G54=65,7,G54=60,7,G54=55,6,G54=50,6,G54=45,6,G54=40,5,G54=35,4,G54=30,4,G54=25,3,G54=20,2,G54=15,1,G54=10,1,G54=0,0)</f>
        <v>8</v>
      </c>
      <c r="J54" s="3" t="n">
        <f aca="false">IF(H54&lt;=1,0,IF(H54&lt;=10,11,IF(H54&lt;=14,12,IF(H54&lt;=17,13,IF(H54&lt;=20,14,IF(H54&lt;=22,15,IF(H54&lt;=25,16,IF(H54&lt;=27,17,IF(H54&lt;=29,18,IF(H54&lt;=32,19,IF(H54&lt;=34,20,IF(H54&lt;=36,21,IF(H54&lt;=40,22,24)))))))))))))</f>
        <v>0</v>
      </c>
      <c r="K54" s="3" t="n">
        <v>30</v>
      </c>
      <c r="M54" s="3" t="n">
        <f aca="false">_xlfn.IFS(K54="взв",11,K54="накл",24,K54="прокл",25,K54="пт",26,K54=90,10,K54=85,10,K54=80,9,K54=75,8,K54=70,8,K54=65,7,K54=60,7,K54=55,6,K54=50,6,K54=45,6,K54=40,5,K54=35,4,K54=30,4,K54=25,3,K54=20,2,K54=15,1,K54=10,1,K54=0,0)</f>
        <v>4</v>
      </c>
      <c r="N54" s="3" t="n">
        <f aca="false">IF(L54&lt;=1,0,IF(L54&lt;=10,11,IF(L54&lt;=14,12,IF(L54&lt;=17,13,IF(L54&lt;=20,14,IF(L54&lt;=22,15,IF(L54&lt;=25,16,IF(L54&lt;=27,17,IF(L54&lt;=29,18,IF(L54&lt;=32,19,IF(L54&lt;=34,20,IF(L54&lt;=36,21,IF(L54&lt;=40,22,24)))))))))))))</f>
        <v>0</v>
      </c>
      <c r="O54" s="3" t="n">
        <v>45</v>
      </c>
      <c r="Q54" s="3" t="n">
        <f aca="false">_xlfn.IFS(O54="взв",11,O54="накл",24,O54="прокл",25,O54="пт",26,O54=90,10,O54=85,10,O54=80,9,O54=75,8,O54=70,8,O54=65,7,O54=60,7,O54=55,6,O54=50,6,O54=45,6,O54=40,5,O54=35,4,O54=30,4,O54=25,3,O54=20,2,O54=15,1,O54=10,1,O54=0,0)</f>
        <v>6</v>
      </c>
      <c r="R54" s="3" t="n">
        <f aca="false">IF(P54&lt;=1,0,IF(P54&lt;=10,11,IF(P54&lt;=14,12,IF(P54&lt;=17,13,IF(P54&lt;=20,14,IF(P54&lt;=22,15,IF(P54&lt;=25,16,IF(P54&lt;=27,17,IF(P54&lt;=29,18,IF(P54&lt;=32,19,IF(P54&lt;=34,20,IF(P54&lt;=36,21,IF(P54&lt;=40,22,24)))))))))))))</f>
        <v>0</v>
      </c>
      <c r="S54" s="3" t="n">
        <f aca="false">ROUND((Q54+R54+I54+J54+M54+N54)/3,0)</f>
        <v>6</v>
      </c>
      <c r="T54" s="17" t="n">
        <f aca="false">F54*LOG10(S54+2)</f>
        <v>1.80617997398389</v>
      </c>
    </row>
    <row r="55" customFormat="false" ht="14.65" hidden="false" customHeight="true" outlineLevel="0" collapsed="false">
      <c r="A55" s="13" t="s">
        <v>102</v>
      </c>
      <c r="B55" s="14" t="n">
        <v>39977</v>
      </c>
      <c r="C55" s="15" t="s">
        <v>21</v>
      </c>
      <c r="D55" s="16" t="s">
        <v>100</v>
      </c>
      <c r="E55" s="3" t="n">
        <v>6</v>
      </c>
      <c r="F55" s="3" t="n">
        <v>2</v>
      </c>
      <c r="H55" s="3" t="n">
        <v>22</v>
      </c>
      <c r="I55" s="3" t="n">
        <f aca="false">_xlfn.IFS(G55="взв",11,G55="накл",24,G55="прокл",25,G55="пт",26,G55=90,10,G55=85,10,G55=80,9,G55=75,8,G55=70,8,G55=65,7,G55=60,7,G55=55,6,G55=50,6,G55=45,6,G55=40,5,G55=35,4,G55=30,4,G55=25,3,G55=20,2,G55=15,1,G55=10,1,G55=0,0)</f>
        <v>0</v>
      </c>
      <c r="J55" s="3" t="n">
        <f aca="false">IF(H55&lt;=1,0,IF(H55&lt;=10,11,IF(H55&lt;=14,12,IF(H55&lt;=17,13,IF(H55&lt;=20,14,IF(H55&lt;=22,15,IF(H55&lt;=25,16,IF(H55&lt;=27,17,IF(H55&lt;=29,18,IF(H55&lt;=32,19,IF(H55&lt;=34,20,IF(H55&lt;=36,21,IF(H55&lt;=40,22,24)))))))))))))</f>
        <v>15</v>
      </c>
      <c r="L55" s="3" t="n">
        <v>30</v>
      </c>
      <c r="M55" s="3" t="n">
        <f aca="false">_xlfn.IFS(K55="взв",11,K55="накл",24,K55="прокл",25,K55="пт",26,K55=90,10,K55=85,10,K55=80,9,K55=75,8,K55=70,8,K55=65,7,K55=60,7,K55=55,6,K55=50,6,K55=45,6,K55=40,5,K55=35,4,K55=30,4,K55=25,3,K55=20,2,K55=15,1,K55=10,1,K55=0,0)</f>
        <v>0</v>
      </c>
      <c r="N55" s="3" t="n">
        <f aca="false">IF(L55&lt;=1,0,IF(L55&lt;=10,11,IF(L55&lt;=14,12,IF(L55&lt;=17,13,IF(L55&lt;=20,14,IF(L55&lt;=22,15,IF(L55&lt;=25,16,IF(L55&lt;=27,17,IF(L55&lt;=29,18,IF(L55&lt;=32,19,IF(L55&lt;=34,20,IF(L55&lt;=36,21,IF(L55&lt;=40,22,24)))))))))))))</f>
        <v>19</v>
      </c>
      <c r="P55" s="3" t="n">
        <v>36</v>
      </c>
      <c r="Q55" s="3" t="n">
        <f aca="false">_xlfn.IFS(O55="взв",11,O55="накл",24,O55="прокл",25,O55="пт",26,O55=90,10,O55=85,10,O55=80,9,O55=75,8,O55=70,8,O55=65,7,O55=60,7,O55=55,6,O55=50,6,O55=45,6,O55=40,5,O55=35,4,O55=30,4,O55=25,3,O55=20,2,O55=15,1,O55=10,1,O55=0,0)</f>
        <v>0</v>
      </c>
      <c r="R55" s="3" t="n">
        <f aca="false">IF(P55&lt;=1,0,IF(P55&lt;=10,11,IF(P55&lt;=14,12,IF(P55&lt;=17,13,IF(P55&lt;=20,14,IF(P55&lt;=22,15,IF(P55&lt;=25,16,IF(P55&lt;=27,17,IF(P55&lt;=29,18,IF(P55&lt;=32,19,IF(P55&lt;=34,20,IF(P55&lt;=36,21,IF(P55&lt;=40,22,24)))))))))))))</f>
        <v>21</v>
      </c>
      <c r="S55" s="3" t="n">
        <f aca="false">ROUND((Q55+R55+I55+J55+M55+N55)/3,0)</f>
        <v>18</v>
      </c>
      <c r="T55" s="17" t="n">
        <f aca="false">F55*LOG10(S55+2)</f>
        <v>2.60205999132796</v>
      </c>
    </row>
    <row r="56" customFormat="false" ht="14.65" hidden="false" customHeight="true" outlineLevel="0" collapsed="false">
      <c r="A56" s="13" t="s">
        <v>103</v>
      </c>
      <c r="B56" s="14" t="n">
        <v>39977</v>
      </c>
      <c r="C56" s="15" t="s">
        <v>21</v>
      </c>
      <c r="D56" s="16" t="s">
        <v>42</v>
      </c>
      <c r="E56" s="3" t="n">
        <v>5</v>
      </c>
      <c r="F56" s="3" t="n">
        <v>2</v>
      </c>
      <c r="H56" s="3" t="n">
        <v>41</v>
      </c>
      <c r="I56" s="3" t="n">
        <f aca="false">_xlfn.IFS(G56="взв",11,G56="накл",24,G56="прокл",25,G56="пт",26,G56=90,10,G56=85,10,G56=80,9,G56=75,8,G56=70,8,G56=65,7,G56=60,7,G56=55,6,G56=50,6,G56=45,6,G56=40,5,G56=35,4,G56=30,4,G56=25,3,G56=20,2,G56=15,1,G56=10,1,G56=0,0)</f>
        <v>0</v>
      </c>
      <c r="J56" s="3" t="n">
        <f aca="false">IF(H56&lt;=1,0,IF(H56&lt;=10,11,IF(H56&lt;=14,12,IF(H56&lt;=17,13,IF(H56&lt;=20,14,IF(H56&lt;=22,15,IF(H56&lt;=25,16,IF(H56&lt;=27,17,IF(H56&lt;=29,18,IF(H56&lt;=32,19,IF(H56&lt;=34,20,IF(H56&lt;=36,21,IF(H56&lt;=40,22,24)))))))))))))</f>
        <v>24</v>
      </c>
      <c r="L56" s="3" t="n">
        <v>42</v>
      </c>
      <c r="M56" s="3" t="n">
        <f aca="false">_xlfn.IFS(K56="взв",11,K56="накл",24,K56="прокл",25,K56="пт",26,K56=90,10,K56=85,10,K56=80,9,K56=75,8,K56=70,8,K56=65,7,K56=60,7,K56=55,6,K56=50,6,K56=45,6,K56=40,5,K56=35,4,K56=30,4,K56=25,3,K56=20,2,K56=15,1,K56=10,1,K56=0,0)</f>
        <v>0</v>
      </c>
      <c r="N56" s="3" t="n">
        <f aca="false">IF(L56&lt;=1,0,IF(L56&lt;=10,11,IF(L56&lt;=14,12,IF(L56&lt;=17,13,IF(L56&lt;=20,14,IF(L56&lt;=22,15,IF(L56&lt;=25,16,IF(L56&lt;=27,17,IF(L56&lt;=29,18,IF(L56&lt;=32,19,IF(L56&lt;=34,20,IF(L56&lt;=36,21,IF(L56&lt;=40,22,24)))))))))))))</f>
        <v>24</v>
      </c>
      <c r="O56" s="3" t="s">
        <v>43</v>
      </c>
      <c r="Q56" s="3" t="n">
        <f aca="false">_xlfn.IFS(O56="взв",11,O56="накл",24,O56="прокл",25,O56="пт",26,O56=90,10,O56=85,10,O56=80,9,O56=75,8,O56=70,8,O56=65,7,O56=60,7,O56=55,6,O56=50,6,O56=45,6,O56=40,5,O56=35,4,O56=30,4,O56=25,3,O56=20,2,O56=15,1,O56=10,1,O56=0,0)</f>
        <v>24</v>
      </c>
      <c r="R56" s="3" t="n">
        <f aca="false">IF(P56&lt;=1,0,IF(P56&lt;=10,11,IF(P56&lt;=14,12,IF(P56&lt;=17,13,IF(P56&lt;=20,14,IF(P56&lt;=22,15,IF(P56&lt;=25,16,IF(P56&lt;=27,17,IF(P56&lt;=29,18,IF(P56&lt;=32,19,IF(P56&lt;=34,20,IF(P56&lt;=36,21,IF(P56&lt;=40,22,24)))))))))))))</f>
        <v>0</v>
      </c>
      <c r="S56" s="3" t="n">
        <f aca="false">ROUND((Q56+R56+I56+J56+M56+N56)/3,0)</f>
        <v>24</v>
      </c>
      <c r="T56" s="17" t="n">
        <f aca="false">F56*LOG10(S56+2)</f>
        <v>2.82994669594164</v>
      </c>
    </row>
    <row r="57" customFormat="false" ht="14.65" hidden="false" customHeight="true" outlineLevel="0" collapsed="false">
      <c r="A57" s="13" t="s">
        <v>104</v>
      </c>
      <c r="B57" s="14" t="n">
        <v>39977</v>
      </c>
      <c r="C57" s="15" t="s">
        <v>21</v>
      </c>
      <c r="D57" s="16" t="s">
        <v>42</v>
      </c>
      <c r="E57" s="3" t="n">
        <v>6</v>
      </c>
      <c r="F57" s="3" t="n">
        <v>2</v>
      </c>
      <c r="H57" s="3" t="n">
        <v>35</v>
      </c>
      <c r="I57" s="3" t="n">
        <f aca="false">_xlfn.IFS(G57="взв",11,G57="накл",24,G57="прокл",25,G57="пт",26,G57=90,10,G57=85,10,G57=80,9,G57=75,8,G57=70,8,G57=65,7,G57=60,7,G57=55,6,G57=50,6,G57=45,6,G57=40,5,G57=35,4,G57=30,4,G57=25,3,G57=20,2,G57=15,1,G57=10,1,G57=0,0)</f>
        <v>0</v>
      </c>
      <c r="J57" s="3" t="n">
        <f aca="false">IF(H57&lt;=1,0,IF(H57&lt;=10,11,IF(H57&lt;=14,12,IF(H57&lt;=17,13,IF(H57&lt;=20,14,IF(H57&lt;=22,15,IF(H57&lt;=25,16,IF(H57&lt;=27,17,IF(H57&lt;=29,18,IF(H57&lt;=32,19,IF(H57&lt;=34,20,IF(H57&lt;=36,21,IF(H57&lt;=40,22,24)))))))))))))</f>
        <v>21</v>
      </c>
      <c r="L57" s="3" t="n">
        <v>34</v>
      </c>
      <c r="M57" s="3" t="n">
        <f aca="false">_xlfn.IFS(K57="взв",11,K57="накл",24,K57="прокл",25,K57="пт",26,K57=90,10,K57=85,10,K57=80,9,K57=75,8,K57=70,8,K57=65,7,K57=60,7,K57=55,6,K57=50,6,K57=45,6,K57=40,5,K57=35,4,K57=30,4,K57=25,3,K57=20,2,K57=15,1,K57=10,1,K57=0,0)</f>
        <v>0</v>
      </c>
      <c r="N57" s="3" t="n">
        <f aca="false">IF(L57&lt;=1,0,IF(L57&lt;=10,11,IF(L57&lt;=14,12,IF(L57&lt;=17,13,IF(L57&lt;=20,14,IF(L57&lt;=22,15,IF(L57&lt;=25,16,IF(L57&lt;=27,17,IF(L57&lt;=29,18,IF(L57&lt;=32,19,IF(L57&lt;=34,20,IF(L57&lt;=36,21,IF(L57&lt;=40,22,24)))))))))))))</f>
        <v>20</v>
      </c>
      <c r="P57" s="3" t="n">
        <v>36</v>
      </c>
      <c r="Q57" s="3" t="n">
        <f aca="false">_xlfn.IFS(O57="взв",11,O57="накл",24,O57="прокл",25,O57="пт",26,O57=90,10,O57=85,10,O57=80,9,O57=75,8,O57=70,8,O57=65,7,O57=60,7,O57=55,6,O57=50,6,O57=45,6,O57=40,5,O57=35,4,O57=30,4,O57=25,3,O57=20,2,O57=15,1,O57=10,1,O57=0,0)</f>
        <v>0</v>
      </c>
      <c r="R57" s="3" t="n">
        <f aca="false">IF(P57&lt;=1,0,IF(P57&lt;=10,11,IF(P57&lt;=14,12,IF(P57&lt;=17,13,IF(P57&lt;=20,14,IF(P57&lt;=22,15,IF(P57&lt;=25,16,IF(P57&lt;=27,17,IF(P57&lt;=29,18,IF(P57&lt;=32,19,IF(P57&lt;=34,20,IF(P57&lt;=36,21,IF(P57&lt;=40,22,24)))))))))))))</f>
        <v>21</v>
      </c>
      <c r="S57" s="3" t="n">
        <f aca="false">ROUND((Q57+R57+I57+J57+M57+N57)/3,0)</f>
        <v>21</v>
      </c>
      <c r="T57" s="17" t="n">
        <f aca="false">F57*LOG10(S57+2)</f>
        <v>2.72345567203519</v>
      </c>
    </row>
    <row r="58" customFormat="false" ht="14.65" hidden="false" customHeight="true" outlineLevel="0" collapsed="false">
      <c r="A58" s="13" t="s">
        <v>105</v>
      </c>
      <c r="B58" s="14" t="n">
        <v>39977</v>
      </c>
      <c r="C58" s="15" t="s">
        <v>21</v>
      </c>
      <c r="D58" s="16" t="s">
        <v>106</v>
      </c>
      <c r="E58" s="3" t="n">
        <v>3</v>
      </c>
      <c r="F58" s="3" t="n">
        <v>2</v>
      </c>
      <c r="H58" s="3" t="n">
        <v>35</v>
      </c>
      <c r="I58" s="3" t="n">
        <f aca="false">_xlfn.IFS(G58="взв",11,G58="накл",24,G58="прокл",25,G58="пт",26,G58=90,10,G58=85,10,G58=80,9,G58=75,8,G58=70,8,G58=65,7,G58=60,7,G58=55,6,G58=50,6,G58=45,6,G58=40,5,G58=35,4,G58=30,4,G58=25,3,G58=20,2,G58=15,1,G58=10,1,G58=0,0)</f>
        <v>0</v>
      </c>
      <c r="J58" s="3" t="n">
        <f aca="false">IF(H58&lt;=1,0,IF(H58&lt;=10,11,IF(H58&lt;=14,12,IF(H58&lt;=17,13,IF(H58&lt;=20,14,IF(H58&lt;=22,15,IF(H58&lt;=25,16,IF(H58&lt;=27,17,IF(H58&lt;=29,18,IF(H58&lt;=32,19,IF(H58&lt;=34,20,IF(H58&lt;=36,21,IF(H58&lt;=40,22,24)))))))))))))</f>
        <v>21</v>
      </c>
      <c r="L58" s="3" t="n">
        <v>40</v>
      </c>
      <c r="M58" s="3" t="n">
        <f aca="false">_xlfn.IFS(K58="взв",11,K58="накл",24,K58="прокл",25,K58="пт",26,K58=90,10,K58=85,10,K58=80,9,K58=75,8,K58=70,8,K58=65,7,K58=60,7,K58=55,6,K58=50,6,K58=45,6,K58=40,5,K58=35,4,K58=30,4,K58=25,3,K58=20,2,K58=15,1,K58=10,1,K58=0,0)</f>
        <v>0</v>
      </c>
      <c r="N58" s="3" t="n">
        <f aca="false">IF(L58&lt;=1,0,IF(L58&lt;=10,11,IF(L58&lt;=14,12,IF(L58&lt;=17,13,IF(L58&lt;=20,14,IF(L58&lt;=22,15,IF(L58&lt;=25,16,IF(L58&lt;=27,17,IF(L58&lt;=29,18,IF(L58&lt;=32,19,IF(L58&lt;=34,20,IF(L58&lt;=36,21,IF(L58&lt;=40,22,24)))))))))))))</f>
        <v>22</v>
      </c>
      <c r="O58" s="3" t="n">
        <v>30</v>
      </c>
      <c r="Q58" s="3" t="n">
        <f aca="false">_xlfn.IFS(O58="взв",11,O58="накл",24,O58="прокл",25,O58="пт",26,O58=90,10,O58=85,10,O58=80,9,O58=75,8,O58=70,8,O58=65,7,O58=60,7,O58=55,6,O58=50,6,O58=45,6,O58=40,5,O58=35,4,O58=30,4,O58=25,3,O58=20,2,O58=15,1,O58=10,1,O58=0,0)</f>
        <v>4</v>
      </c>
      <c r="R58" s="3" t="n">
        <f aca="false">IF(P58&lt;=1,0,IF(P58&lt;=10,11,IF(P58&lt;=14,12,IF(P58&lt;=17,13,IF(P58&lt;=20,14,IF(P58&lt;=22,15,IF(P58&lt;=25,16,IF(P58&lt;=27,17,IF(P58&lt;=29,18,IF(P58&lt;=32,19,IF(P58&lt;=34,20,IF(P58&lt;=36,21,IF(P58&lt;=40,22,24)))))))))))))</f>
        <v>0</v>
      </c>
      <c r="S58" s="3" t="n">
        <f aca="false">ROUND((Q58+R58+I58+J58+M58+N58)/3,0)</f>
        <v>16</v>
      </c>
      <c r="T58" s="17" t="n">
        <f aca="false">F58*LOG10(S58+2)</f>
        <v>2.51054501020661</v>
      </c>
    </row>
    <row r="59" customFormat="false" ht="14.65" hidden="false" customHeight="true" outlineLevel="0" collapsed="false">
      <c r="A59" s="13" t="s">
        <v>107</v>
      </c>
      <c r="B59" s="14" t="n">
        <v>39977</v>
      </c>
      <c r="C59" s="15" t="s">
        <v>21</v>
      </c>
      <c r="D59" s="16" t="s">
        <v>108</v>
      </c>
      <c r="E59" s="3" t="n">
        <v>5</v>
      </c>
      <c r="F59" s="3" t="n">
        <v>2</v>
      </c>
      <c r="G59" s="3" t="n">
        <v>90</v>
      </c>
      <c r="I59" s="3" t="n">
        <f aca="false">_xlfn.IFS(G59="взв",11,G59="накл",24,G59="прокл",25,G59="пт",26,G59=90,10,G59=85,10,G59=80,9,G59=75,8,G59=70,8,G59=65,7,G59=60,7,G59=55,6,G59=50,6,G59=45,6,G59=40,5,G59=35,4,G59=30,4,G59=25,3,G59=20,2,G59=15,1,G59=10,1,G59=0,0)</f>
        <v>10</v>
      </c>
      <c r="J59" s="3" t="n">
        <f aca="false">IF(H59&lt;=1,0,IF(H59&lt;=10,11,IF(H59&lt;=14,12,IF(H59&lt;=17,13,IF(H59&lt;=20,14,IF(H59&lt;=22,15,IF(H59&lt;=25,16,IF(H59&lt;=27,17,IF(H59&lt;=29,18,IF(H59&lt;=32,19,IF(H59&lt;=34,20,IF(H59&lt;=36,21,IF(H59&lt;=40,22,24)))))))))))))</f>
        <v>0</v>
      </c>
      <c r="K59" s="3" t="n">
        <v>90</v>
      </c>
      <c r="M59" s="3" t="n">
        <f aca="false">_xlfn.IFS(K59="взв",11,K59="накл",24,K59="прокл",25,K59="пт",26,K59=90,10,K59=85,10,K59=80,9,K59=75,8,K59=70,8,K59=65,7,K59=60,7,K59=55,6,K59=50,6,K59=45,6,K59=40,5,K59=35,4,K59=30,4,K59=25,3,K59=20,2,K59=15,1,K59=10,1,K59=0,0)</f>
        <v>10</v>
      </c>
      <c r="N59" s="3" t="n">
        <f aca="false">IF(L59&lt;=1,0,IF(L59&lt;=10,11,IF(L59&lt;=14,12,IF(L59&lt;=17,13,IF(L59&lt;=20,14,IF(L59&lt;=22,15,IF(L59&lt;=25,16,IF(L59&lt;=27,17,IF(L59&lt;=29,18,IF(L59&lt;=32,19,IF(L59&lt;=34,20,IF(L59&lt;=36,21,IF(L59&lt;=40,22,24)))))))))))))</f>
        <v>0</v>
      </c>
      <c r="O59" s="3" t="n">
        <v>75</v>
      </c>
      <c r="Q59" s="3" t="n">
        <f aca="false">_xlfn.IFS(O59="взв",11,O59="накл",24,O59="прокл",25,O59="пт",26,O59=90,10,O59=85,10,O59=80,9,O59=75,8,O59=70,8,O59=65,7,O59=60,7,O59=55,6,O59=50,6,O59=45,6,O59=40,5,O59=35,4,O59=30,4,O59=25,3,O59=20,2,O59=15,1,O59=10,1,O59=0,0)</f>
        <v>8</v>
      </c>
      <c r="R59" s="3" t="n">
        <f aca="false">IF(P59&lt;=1,0,IF(P59&lt;=10,11,IF(P59&lt;=14,12,IF(P59&lt;=17,13,IF(P59&lt;=20,14,IF(P59&lt;=22,15,IF(P59&lt;=25,16,IF(P59&lt;=27,17,IF(P59&lt;=29,18,IF(P59&lt;=32,19,IF(P59&lt;=34,20,IF(P59&lt;=36,21,IF(P59&lt;=40,22,24)))))))))))))</f>
        <v>0</v>
      </c>
      <c r="S59" s="3" t="n">
        <f aca="false">ROUND((Q59+R59+I59+J59+M59+N59)/3,0)</f>
        <v>9</v>
      </c>
      <c r="T59" s="17" t="n">
        <f aca="false">F59*LOG10(S59+2)</f>
        <v>2.08278537031645</v>
      </c>
    </row>
    <row r="60" customFormat="false" ht="14.65" hidden="false" customHeight="true" outlineLevel="0" collapsed="false">
      <c r="A60" s="13" t="s">
        <v>109</v>
      </c>
      <c r="B60" s="14" t="n">
        <v>39977</v>
      </c>
      <c r="C60" s="15" t="s">
        <v>21</v>
      </c>
      <c r="D60" s="16" t="s">
        <v>108</v>
      </c>
      <c r="E60" s="3" t="n">
        <v>6</v>
      </c>
      <c r="F60" s="3" t="n">
        <v>2</v>
      </c>
      <c r="G60" s="3" t="n">
        <v>0</v>
      </c>
      <c r="I60" s="3" t="n">
        <f aca="false">_xlfn.IFS(G60="взв",11,G60="накл",24,G60="прокл",25,G60="пт",26,G60=90,10,G60=85,10,G60=80,9,G60=75,8,G60=70,8,G60=65,7,G60=60,7,G60=55,6,G60=50,6,G60=45,6,G60=40,5,G60=35,4,G60=30,4,G60=25,3,G60=20,2,G60=15,1,G60=10,1,G60=0,0)</f>
        <v>0</v>
      </c>
      <c r="J60" s="3" t="n">
        <f aca="false">IF(H60&lt;=1,0,IF(H60&lt;=10,11,IF(H60&lt;=14,12,IF(H60&lt;=17,13,IF(H60&lt;=20,14,IF(H60&lt;=22,15,IF(H60&lt;=25,16,IF(H60&lt;=27,17,IF(H60&lt;=29,18,IF(H60&lt;=32,19,IF(H60&lt;=34,20,IF(H60&lt;=36,21,IF(H60&lt;=40,22,24)))))))))))))</f>
        <v>0</v>
      </c>
      <c r="K60" s="3" t="n">
        <v>15</v>
      </c>
      <c r="M60" s="3" t="n">
        <f aca="false">_xlfn.IFS(K60="взв",11,K60="накл",24,K60="прокл",25,K60="пт",26,K60=90,10,K60=85,10,K60=80,9,K60=75,8,K60=70,8,K60=65,7,K60=60,7,K60=55,6,K60=50,6,K60=45,6,K60=40,5,K60=35,4,K60=30,4,K60=25,3,K60=20,2,K60=15,1,K60=10,1,K60=0,0)</f>
        <v>1</v>
      </c>
      <c r="N60" s="3" t="n">
        <f aca="false">IF(L60&lt;=1,0,IF(L60&lt;=10,11,IF(L60&lt;=14,12,IF(L60&lt;=17,13,IF(L60&lt;=20,14,IF(L60&lt;=22,15,IF(L60&lt;=25,16,IF(L60&lt;=27,17,IF(L60&lt;=29,18,IF(L60&lt;=32,19,IF(L60&lt;=34,20,IF(L60&lt;=36,21,IF(L60&lt;=40,22,24)))))))))))))</f>
        <v>0</v>
      </c>
      <c r="O60" s="3" t="n">
        <v>15</v>
      </c>
      <c r="Q60" s="3" t="n">
        <f aca="false">_xlfn.IFS(O60="взв",11,O60="накл",24,O60="прокл",25,O60="пт",26,O60=90,10,O60=85,10,O60=80,9,O60=75,8,O60=70,8,O60=65,7,O60=60,7,O60=55,6,O60=50,6,O60=45,6,O60=40,5,O60=35,4,O60=30,4,O60=25,3,O60=20,2,O60=15,1,O60=10,1,O60=0,0)</f>
        <v>1</v>
      </c>
      <c r="R60" s="3" t="n">
        <f aca="false">IF(P60&lt;=1,0,IF(P60&lt;=10,11,IF(P60&lt;=14,12,IF(P60&lt;=17,13,IF(P60&lt;=20,14,IF(P60&lt;=22,15,IF(P60&lt;=25,16,IF(P60&lt;=27,17,IF(P60&lt;=29,18,IF(P60&lt;=32,19,IF(P60&lt;=34,20,IF(P60&lt;=36,21,IF(P60&lt;=40,22,24)))))))))))))</f>
        <v>0</v>
      </c>
      <c r="S60" s="3" t="n">
        <f aca="false">ROUND((Q60+R60+I60+J60+M60+N60)/3,0)</f>
        <v>1</v>
      </c>
      <c r="T60" s="17" t="n">
        <f aca="false">F60*LOG10(S60+2)</f>
        <v>0.954242509439325</v>
      </c>
    </row>
    <row r="61" customFormat="false" ht="14.65" hidden="false" customHeight="true" outlineLevel="0" collapsed="false">
      <c r="A61" s="13" t="s">
        <v>110</v>
      </c>
      <c r="B61" s="14" t="n">
        <v>39977</v>
      </c>
      <c r="C61" s="15" t="s">
        <v>21</v>
      </c>
      <c r="D61" s="16" t="s">
        <v>108</v>
      </c>
      <c r="E61" s="3" t="n">
        <v>9</v>
      </c>
      <c r="F61" s="3" t="n">
        <v>2</v>
      </c>
      <c r="H61" s="3" t="n">
        <v>28</v>
      </c>
      <c r="I61" s="3" t="n">
        <f aca="false">_xlfn.IFS(G61="взв",11,G61="накл",24,G61="прокл",25,G61="пт",26,G61=90,10,G61=85,10,G61=80,9,G61=75,8,G61=70,8,G61=65,7,G61=60,7,G61=55,6,G61=50,6,G61=45,6,G61=40,5,G61=35,4,G61=30,4,G61=25,3,G61=20,2,G61=15,1,G61=10,1,G61=0,0)</f>
        <v>0</v>
      </c>
      <c r="J61" s="3" t="n">
        <f aca="false">IF(H61&lt;=1,0,IF(H61&lt;=10,11,IF(H61&lt;=14,12,IF(H61&lt;=17,13,IF(H61&lt;=20,14,IF(H61&lt;=22,15,IF(H61&lt;=25,16,IF(H61&lt;=27,17,IF(H61&lt;=29,18,IF(H61&lt;=32,19,IF(H61&lt;=34,20,IF(H61&lt;=36,21,IF(H61&lt;=40,22,24)))))))))))))</f>
        <v>18</v>
      </c>
      <c r="L61" s="3" t="n">
        <v>30</v>
      </c>
      <c r="M61" s="3" t="n">
        <f aca="false">_xlfn.IFS(K61="взв",11,K61="накл",24,K61="прокл",25,K61="пт",26,K61=90,10,K61=85,10,K61=80,9,K61=75,8,K61=70,8,K61=65,7,K61=60,7,K61=55,6,K61=50,6,K61=45,6,K61=40,5,K61=35,4,K61=30,4,K61=25,3,K61=20,2,K61=15,1,K61=10,1,K61=0,0)</f>
        <v>0</v>
      </c>
      <c r="N61" s="3" t="n">
        <f aca="false">IF(L61&lt;=1,0,IF(L61&lt;=10,11,IF(L61&lt;=14,12,IF(L61&lt;=17,13,IF(L61&lt;=20,14,IF(L61&lt;=22,15,IF(L61&lt;=25,16,IF(L61&lt;=27,17,IF(L61&lt;=29,18,IF(L61&lt;=32,19,IF(L61&lt;=34,20,IF(L61&lt;=36,21,IF(L61&lt;=40,22,24)))))))))))))</f>
        <v>19</v>
      </c>
      <c r="P61" s="3" t="n">
        <v>25</v>
      </c>
      <c r="Q61" s="3" t="n">
        <f aca="false">_xlfn.IFS(O61="взв",11,O61="накл",24,O61="прокл",25,O61="пт",26,O61=90,10,O61=85,10,O61=80,9,O61=75,8,O61=70,8,O61=65,7,O61=60,7,O61=55,6,O61=50,6,O61=45,6,O61=40,5,O61=35,4,O61=30,4,O61=25,3,O61=20,2,O61=15,1,O61=10,1,O61=0,0)</f>
        <v>0</v>
      </c>
      <c r="R61" s="3" t="n">
        <f aca="false">IF(P61&lt;=1,0,IF(P61&lt;=10,11,IF(P61&lt;=14,12,IF(P61&lt;=17,13,IF(P61&lt;=20,14,IF(P61&lt;=22,15,IF(P61&lt;=25,16,IF(P61&lt;=27,17,IF(P61&lt;=29,18,IF(P61&lt;=32,19,IF(P61&lt;=34,20,IF(P61&lt;=36,21,IF(P61&lt;=40,22,24)))))))))))))</f>
        <v>16</v>
      </c>
      <c r="S61" s="3" t="n">
        <f aca="false">ROUND((Q61+R61+I61+J61+M61+N61)/3,0)</f>
        <v>18</v>
      </c>
      <c r="T61" s="17" t="n">
        <f aca="false">F61*LOG10(S61+2)</f>
        <v>2.60205999132796</v>
      </c>
    </row>
    <row r="62" customFormat="false" ht="14.65" hidden="false" customHeight="true" outlineLevel="0" collapsed="false">
      <c r="A62" s="13" t="s">
        <v>111</v>
      </c>
      <c r="B62" s="14" t="n">
        <v>39979</v>
      </c>
      <c r="C62" s="15" t="s">
        <v>27</v>
      </c>
      <c r="D62" s="4" t="s">
        <v>112</v>
      </c>
      <c r="E62" s="3" t="n">
        <v>6</v>
      </c>
      <c r="F62" s="3" t="n">
        <v>2</v>
      </c>
      <c r="H62" s="3" t="n">
        <v>35</v>
      </c>
      <c r="I62" s="3" t="n">
        <f aca="false">_xlfn.IFS(G62="взв",11,G62="накл",24,G62="прокл",25,G62="пт",26,G62=90,10,G62=85,10,G62=80,9,G62=75,8,G62=70,8,G62=65,7,G62=60,7,G62=55,6,G62=50,6,G62=45,6,G62=40,5,G62=35,4,G62=30,4,G62=25,3,G62=20,2,G62=15,1,G62=10,1,G62=0,0)</f>
        <v>0</v>
      </c>
      <c r="J62" s="3" t="n">
        <f aca="false">IF(H62&lt;=1,0,IF(H62&lt;=10,11,IF(H62&lt;=14,12,IF(H62&lt;=17,13,IF(H62&lt;=20,14,IF(H62&lt;=22,15,IF(H62&lt;=25,16,IF(H62&lt;=27,17,IF(H62&lt;=29,18,IF(H62&lt;=32,19,IF(H62&lt;=34,20,IF(H62&lt;=36,21,IF(H62&lt;=40,22,24)))))))))))))</f>
        <v>21</v>
      </c>
      <c r="L62" s="3" t="n">
        <v>36</v>
      </c>
      <c r="M62" s="3" t="n">
        <f aca="false">_xlfn.IFS(K62="взв",11,K62="накл",24,K62="прокл",25,K62="пт",26,K62=90,10,K62=85,10,K62=80,9,K62=75,8,K62=70,8,K62=65,7,K62=60,7,K62=55,6,K62=50,6,K62=45,6,K62=40,5,K62=35,4,K62=30,4,K62=25,3,K62=20,2,K62=15,1,K62=10,1,K62=0,0)</f>
        <v>0</v>
      </c>
      <c r="N62" s="3" t="n">
        <f aca="false">IF(L62&lt;=1,0,IF(L62&lt;=10,11,IF(L62&lt;=14,12,IF(L62&lt;=17,13,IF(L62&lt;=20,14,IF(L62&lt;=22,15,IF(L62&lt;=25,16,IF(L62&lt;=27,17,IF(L62&lt;=29,18,IF(L62&lt;=32,19,IF(L62&lt;=34,20,IF(L62&lt;=36,21,IF(L62&lt;=40,22,24)))))))))))))</f>
        <v>21</v>
      </c>
      <c r="P62" s="3" t="n">
        <v>37</v>
      </c>
      <c r="Q62" s="3" t="n">
        <f aca="false">_xlfn.IFS(O62="взв",11,O62="накл",24,O62="прокл",25,O62="пт",26,O62=90,10,O62=85,10,O62=80,9,O62=75,8,O62=70,8,O62=65,7,O62=60,7,O62=55,6,O62=50,6,O62=45,6,O62=40,5,O62=35,4,O62=30,4,O62=25,3,O62=20,2,O62=15,1,O62=10,1,O62=0,0)</f>
        <v>0</v>
      </c>
      <c r="R62" s="3" t="n">
        <f aca="false">IF(P62&lt;=1,0,IF(P62&lt;=10,11,IF(P62&lt;=14,12,IF(P62&lt;=17,13,IF(P62&lt;=20,14,IF(P62&lt;=22,15,IF(P62&lt;=25,16,IF(P62&lt;=27,17,IF(P62&lt;=29,18,IF(P62&lt;=32,19,IF(P62&lt;=34,20,IF(P62&lt;=36,21,IF(P62&lt;=40,22,24)))))))))))))</f>
        <v>22</v>
      </c>
      <c r="S62" s="3" t="n">
        <f aca="false">ROUND((Q62+R62+I62+J62+M62+N62)/3,0)</f>
        <v>21</v>
      </c>
      <c r="T62" s="17" t="n">
        <f aca="false">F62*LOG10(S62+2)</f>
        <v>2.72345567203519</v>
      </c>
    </row>
    <row r="63" customFormat="false" ht="14.65" hidden="false" customHeight="true" outlineLevel="0" collapsed="false">
      <c r="A63" s="13" t="s">
        <v>113</v>
      </c>
      <c r="B63" s="14" t="n">
        <v>39979</v>
      </c>
      <c r="C63" s="15" t="s">
        <v>27</v>
      </c>
      <c r="D63" s="4" t="s">
        <v>84</v>
      </c>
      <c r="E63" s="3" t="n">
        <v>5</v>
      </c>
      <c r="F63" s="3" t="n">
        <v>2</v>
      </c>
      <c r="G63" s="3" t="n">
        <v>60</v>
      </c>
      <c r="I63" s="3" t="n">
        <f aca="false">_xlfn.IFS(G63="взв",11,G63="накл",24,G63="прокл",25,G63="пт",26,G63=90,10,G63=85,10,G63=80,9,G63=75,8,G63=70,8,G63=65,7,G63=60,7,G63=55,6,G63=50,6,G63=45,6,G63=40,5,G63=35,4,G63=30,4,G63=25,3,G63=20,2,G63=15,1,G63=10,1,G63=0,0)</f>
        <v>7</v>
      </c>
      <c r="J63" s="3" t="n">
        <f aca="false">IF(H63&lt;=1,0,IF(H63&lt;=10,11,IF(H63&lt;=14,12,IF(H63&lt;=17,13,IF(H63&lt;=20,14,IF(H63&lt;=22,15,IF(H63&lt;=25,16,IF(H63&lt;=27,17,IF(H63&lt;=29,18,IF(H63&lt;=32,19,IF(H63&lt;=34,20,IF(H63&lt;=36,21,IF(H63&lt;=40,22,24)))))))))))))</f>
        <v>0</v>
      </c>
      <c r="K63" s="3" t="n">
        <v>60</v>
      </c>
      <c r="M63" s="3" t="n">
        <f aca="false">_xlfn.IFS(K63="взв",11,K63="накл",24,K63="прокл",25,K63="пт",26,K63=90,10,K63=85,10,K63=80,9,K63=75,8,K63=70,8,K63=65,7,K63=60,7,K63=55,6,K63=50,6,K63=45,6,K63=40,5,K63=35,4,K63=30,4,K63=25,3,K63=20,2,K63=15,1,K63=10,1,K63=0,0)</f>
        <v>7</v>
      </c>
      <c r="N63" s="3" t="n">
        <f aca="false">IF(L63&lt;=1,0,IF(L63&lt;=10,11,IF(L63&lt;=14,12,IF(L63&lt;=17,13,IF(L63&lt;=20,14,IF(L63&lt;=22,15,IF(L63&lt;=25,16,IF(L63&lt;=27,17,IF(L63&lt;=29,18,IF(L63&lt;=32,19,IF(L63&lt;=34,20,IF(L63&lt;=36,21,IF(L63&lt;=40,22,24)))))))))))))</f>
        <v>0</v>
      </c>
      <c r="O63" s="3" t="n">
        <v>45</v>
      </c>
      <c r="Q63" s="3" t="n">
        <f aca="false">_xlfn.IFS(O63="взв",11,O63="накл",24,O63="прокл",25,O63="пт",26,O63=90,10,O63=85,10,O63=80,9,O63=75,8,O63=70,8,O63=65,7,O63=60,7,O63=55,6,O63=50,6,O63=45,6,O63=40,5,O63=35,4,O63=30,4,O63=25,3,O63=20,2,O63=15,1,O63=10,1,O63=0,0)</f>
        <v>6</v>
      </c>
      <c r="R63" s="3" t="n">
        <f aca="false">IF(P63&lt;=1,0,IF(P63&lt;=10,11,IF(P63&lt;=14,12,IF(P63&lt;=17,13,IF(P63&lt;=20,14,IF(P63&lt;=22,15,IF(P63&lt;=25,16,IF(P63&lt;=27,17,IF(P63&lt;=29,18,IF(P63&lt;=32,19,IF(P63&lt;=34,20,IF(P63&lt;=36,21,IF(P63&lt;=40,22,24)))))))))))))</f>
        <v>0</v>
      </c>
      <c r="S63" s="3" t="n">
        <f aca="false">ROUND((Q63+R63+I63+J63+M63+N63)/3,0)</f>
        <v>7</v>
      </c>
      <c r="T63" s="17" t="n">
        <f aca="false">F63*LOG10(S63+2)</f>
        <v>1.90848501887865</v>
      </c>
    </row>
    <row r="64" customFormat="false" ht="14.65" hidden="false" customHeight="true" outlineLevel="0" collapsed="false">
      <c r="A64" s="13" t="s">
        <v>114</v>
      </c>
      <c r="B64" s="14" t="n">
        <v>39979</v>
      </c>
      <c r="C64" s="15" t="s">
        <v>27</v>
      </c>
      <c r="D64" s="4" t="s">
        <v>84</v>
      </c>
      <c r="E64" s="3" t="n">
        <v>5</v>
      </c>
      <c r="F64" s="3" t="n">
        <v>2</v>
      </c>
      <c r="H64" s="3" t="n">
        <v>28</v>
      </c>
      <c r="I64" s="3" t="n">
        <f aca="false">_xlfn.IFS(G64="взв",11,G64="накл",24,G64="прокл",25,G64="пт",26,G64=90,10,G64=85,10,G64=80,9,G64=75,8,G64=70,8,G64=65,7,G64=60,7,G64=55,6,G64=50,6,G64=45,6,G64=40,5,G64=35,4,G64=30,4,G64=25,3,G64=20,2,G64=15,1,G64=10,1,G64=0,0)</f>
        <v>0</v>
      </c>
      <c r="J64" s="3" t="n">
        <f aca="false">IF(H64&lt;=1,0,IF(H64&lt;=10,11,IF(H64&lt;=14,12,IF(H64&lt;=17,13,IF(H64&lt;=20,14,IF(H64&lt;=22,15,IF(H64&lt;=25,16,IF(H64&lt;=27,17,IF(H64&lt;=29,18,IF(H64&lt;=32,19,IF(H64&lt;=34,20,IF(H64&lt;=36,21,IF(H64&lt;=40,22,24)))))))))))))</f>
        <v>18</v>
      </c>
      <c r="L64" s="3" t="n">
        <v>27</v>
      </c>
      <c r="M64" s="3" t="n">
        <f aca="false">_xlfn.IFS(K64="взв",11,K64="накл",24,K64="прокл",25,K64="пт",26,K64=90,10,K64=85,10,K64=80,9,K64=75,8,K64=70,8,K64=65,7,K64=60,7,K64=55,6,K64=50,6,K64=45,6,K64=40,5,K64=35,4,K64=30,4,K64=25,3,K64=20,2,K64=15,1,K64=10,1,K64=0,0)</f>
        <v>0</v>
      </c>
      <c r="N64" s="3" t="n">
        <f aca="false">IF(L64&lt;=1,0,IF(L64&lt;=10,11,IF(L64&lt;=14,12,IF(L64&lt;=17,13,IF(L64&lt;=20,14,IF(L64&lt;=22,15,IF(L64&lt;=25,16,IF(L64&lt;=27,17,IF(L64&lt;=29,18,IF(L64&lt;=32,19,IF(L64&lt;=34,20,IF(L64&lt;=36,21,IF(L64&lt;=40,22,24)))))))))))))</f>
        <v>17</v>
      </c>
      <c r="P64" s="3" t="n">
        <v>23</v>
      </c>
      <c r="Q64" s="3" t="n">
        <f aca="false">_xlfn.IFS(O64="взв",11,O64="накл",24,O64="прокл",25,O64="пт",26,O64=90,10,O64=85,10,O64=80,9,O64=75,8,O64=70,8,O64=65,7,O64=60,7,O64=55,6,O64=50,6,O64=45,6,O64=40,5,O64=35,4,O64=30,4,O64=25,3,O64=20,2,O64=15,1,O64=10,1,O64=0,0)</f>
        <v>0</v>
      </c>
      <c r="R64" s="3" t="n">
        <f aca="false">IF(P64&lt;=1,0,IF(P64&lt;=10,11,IF(P64&lt;=14,12,IF(P64&lt;=17,13,IF(P64&lt;=20,14,IF(P64&lt;=22,15,IF(P64&lt;=25,16,IF(P64&lt;=27,17,IF(P64&lt;=29,18,IF(P64&lt;=32,19,IF(P64&lt;=34,20,IF(P64&lt;=36,21,IF(P64&lt;=40,22,24)))))))))))))</f>
        <v>16</v>
      </c>
      <c r="S64" s="3" t="n">
        <f aca="false">ROUND((Q64+R64+I64+J64+M64+N64)/3,0)</f>
        <v>17</v>
      </c>
      <c r="T64" s="17" t="n">
        <f aca="false">F64*LOG10(S64+2)</f>
        <v>2.55750720190566</v>
      </c>
    </row>
    <row r="65" customFormat="false" ht="14.65" hidden="false" customHeight="true" outlineLevel="0" collapsed="false">
      <c r="A65" s="13" t="s">
        <v>115</v>
      </c>
      <c r="B65" s="14" t="n">
        <v>39979</v>
      </c>
      <c r="C65" s="15" t="s">
        <v>27</v>
      </c>
      <c r="D65" s="4" t="s">
        <v>84</v>
      </c>
      <c r="E65" s="3" t="n">
        <v>5</v>
      </c>
      <c r="F65" s="3" t="n">
        <v>2</v>
      </c>
      <c r="H65" s="3" t="n">
        <v>44</v>
      </c>
      <c r="I65" s="3" t="n">
        <f aca="false">_xlfn.IFS(G65="взв",11,G65="накл",24,G65="прокл",25,G65="пт",26,G65=90,10,G65=85,10,G65=80,9,G65=75,8,G65=70,8,G65=65,7,G65=60,7,G65=55,6,G65=50,6,G65=45,6,G65=40,5,G65=35,4,G65=30,4,G65=25,3,G65=20,2,G65=15,1,G65=10,1,G65=0,0)</f>
        <v>0</v>
      </c>
      <c r="J65" s="3" t="n">
        <f aca="false">IF(H65&lt;=1,0,IF(H65&lt;=10,11,IF(H65&lt;=14,12,IF(H65&lt;=17,13,IF(H65&lt;=20,14,IF(H65&lt;=22,15,IF(H65&lt;=25,16,IF(H65&lt;=27,17,IF(H65&lt;=29,18,IF(H65&lt;=32,19,IF(H65&lt;=34,20,IF(H65&lt;=36,21,IF(H65&lt;=40,22,24)))))))))))))</f>
        <v>24</v>
      </c>
      <c r="L65" s="3" t="n">
        <v>40</v>
      </c>
      <c r="M65" s="3" t="n">
        <f aca="false">_xlfn.IFS(K65="взв",11,K65="накл",24,K65="прокл",25,K65="пт",26,K65=90,10,K65=85,10,K65=80,9,K65=75,8,K65=70,8,K65=65,7,K65=60,7,K65=55,6,K65=50,6,K65=45,6,K65=40,5,K65=35,4,K65=30,4,K65=25,3,K65=20,2,K65=15,1,K65=10,1,K65=0,0)</f>
        <v>0</v>
      </c>
      <c r="N65" s="3" t="n">
        <f aca="false">IF(L65&lt;=1,0,IF(L65&lt;=10,11,IF(L65&lt;=14,12,IF(L65&lt;=17,13,IF(L65&lt;=20,14,IF(L65&lt;=22,15,IF(L65&lt;=25,16,IF(L65&lt;=27,17,IF(L65&lt;=29,18,IF(L65&lt;=32,19,IF(L65&lt;=34,20,IF(L65&lt;=36,21,IF(L65&lt;=40,22,24)))))))))))))</f>
        <v>22</v>
      </c>
      <c r="P65" s="3" t="n">
        <v>40</v>
      </c>
      <c r="Q65" s="3" t="n">
        <f aca="false">_xlfn.IFS(O65="взв",11,O65="накл",24,O65="прокл",25,O65="пт",26,O65=90,10,O65=85,10,O65=80,9,O65=75,8,O65=70,8,O65=65,7,O65=60,7,O65=55,6,O65=50,6,O65=45,6,O65=40,5,O65=35,4,O65=30,4,O65=25,3,O65=20,2,O65=15,1,O65=10,1,O65=0,0)</f>
        <v>0</v>
      </c>
      <c r="R65" s="3" t="n">
        <f aca="false">IF(P65&lt;=1,0,IF(P65&lt;=10,11,IF(P65&lt;=14,12,IF(P65&lt;=17,13,IF(P65&lt;=20,14,IF(P65&lt;=22,15,IF(P65&lt;=25,16,IF(P65&lt;=27,17,IF(P65&lt;=29,18,IF(P65&lt;=32,19,IF(P65&lt;=34,20,IF(P65&lt;=36,21,IF(P65&lt;=40,22,24)))))))))))))</f>
        <v>22</v>
      </c>
      <c r="S65" s="3" t="n">
        <f aca="false">ROUND((Q65+R65+I65+J65+M65+N65)/3,0)</f>
        <v>23</v>
      </c>
      <c r="T65" s="17" t="n">
        <f aca="false">F65*LOG10(S65+2)</f>
        <v>2.79588001734408</v>
      </c>
    </row>
    <row r="66" customFormat="false" ht="14.65" hidden="false" customHeight="true" outlineLevel="0" collapsed="false">
      <c r="A66" s="13" t="s">
        <v>116</v>
      </c>
      <c r="B66" s="14" t="n">
        <v>39981</v>
      </c>
      <c r="C66" s="15" t="s">
        <v>27</v>
      </c>
      <c r="D66" s="4" t="s">
        <v>45</v>
      </c>
      <c r="E66" s="3" t="s">
        <v>117</v>
      </c>
      <c r="F66" s="3" t="n">
        <v>2</v>
      </c>
      <c r="H66" s="3" t="n">
        <v>28</v>
      </c>
      <c r="I66" s="3" t="n">
        <f aca="false">_xlfn.IFS(G66="взв",11,G66="накл",24,G66="прокл",25,G66="пт",26,G66=90,10,G66=85,10,G66=80,9,G66=75,8,G66=70,8,G66=65,7,G66=60,7,G66=55,6,G66=50,6,G66=45,6,G66=40,5,G66=35,4,G66=30,4,G66=25,3,G66=20,2,G66=15,1,G66=10,1,G66=0,0)</f>
        <v>0</v>
      </c>
      <c r="J66" s="3" t="n">
        <f aca="false">IF(H66&lt;=1,0,IF(H66&lt;=10,11,IF(H66&lt;=14,12,IF(H66&lt;=17,13,IF(H66&lt;=20,14,IF(H66&lt;=22,15,IF(H66&lt;=25,16,IF(H66&lt;=27,17,IF(H66&lt;=29,18,IF(H66&lt;=32,19,IF(H66&lt;=34,20,IF(H66&lt;=36,21,IF(H66&lt;=40,22,24)))))))))))))</f>
        <v>18</v>
      </c>
      <c r="L66" s="3" t="n">
        <v>28</v>
      </c>
      <c r="M66" s="3" t="n">
        <f aca="false">_xlfn.IFS(K66="взв",11,K66="накл",24,K66="прокл",25,K66="пт",26,K66=90,10,K66=85,10,K66=80,9,K66=75,8,K66=70,8,K66=65,7,K66=60,7,K66=55,6,K66=50,6,K66=45,6,K66=40,5,K66=35,4,K66=30,4,K66=25,3,K66=20,2,K66=15,1,K66=10,1,K66=0,0)</f>
        <v>0</v>
      </c>
      <c r="N66" s="3" t="n">
        <f aca="false">IF(L66&lt;=1,0,IF(L66&lt;=10,11,IF(L66&lt;=14,12,IF(L66&lt;=17,13,IF(L66&lt;=20,14,IF(L66&lt;=22,15,IF(L66&lt;=25,16,IF(L66&lt;=27,17,IF(L66&lt;=29,18,IF(L66&lt;=32,19,IF(L66&lt;=34,20,IF(L66&lt;=36,21,IF(L66&lt;=40,22,24)))))))))))))</f>
        <v>18</v>
      </c>
      <c r="P66" s="3" t="n">
        <v>23</v>
      </c>
      <c r="Q66" s="3" t="n">
        <f aca="false">_xlfn.IFS(O66="взв",11,O66="накл",24,O66="прокл",25,O66="пт",26,O66=90,10,O66=85,10,O66=80,9,O66=75,8,O66=70,8,O66=65,7,O66=60,7,O66=55,6,O66=50,6,O66=45,6,O66=40,5,O66=35,4,O66=30,4,O66=25,3,O66=20,2,O66=15,1,O66=10,1,O66=0,0)</f>
        <v>0</v>
      </c>
      <c r="R66" s="3" t="n">
        <f aca="false">IF(P66&lt;=1,0,IF(P66&lt;=10,11,IF(P66&lt;=14,12,IF(P66&lt;=17,13,IF(P66&lt;=20,14,IF(P66&lt;=22,15,IF(P66&lt;=25,16,IF(P66&lt;=27,17,IF(P66&lt;=29,18,IF(P66&lt;=32,19,IF(P66&lt;=34,20,IF(P66&lt;=36,21,IF(P66&lt;=40,22,24)))))))))))))</f>
        <v>16</v>
      </c>
      <c r="S66" s="3" t="n">
        <f aca="false">ROUND((Q66+R66+I66+J66+M66+N66)/3,0)</f>
        <v>17</v>
      </c>
      <c r="T66" s="17" t="n">
        <f aca="false">F66*LOG10(S66+2)</f>
        <v>2.55750720190566</v>
      </c>
    </row>
    <row r="67" customFormat="false" ht="14.65" hidden="false" customHeight="true" outlineLevel="0" collapsed="false">
      <c r="A67" s="13" t="s">
        <v>118</v>
      </c>
      <c r="B67" s="14" t="n">
        <v>39981</v>
      </c>
      <c r="C67" s="15" t="s">
        <v>27</v>
      </c>
      <c r="D67" s="4" t="s">
        <v>51</v>
      </c>
      <c r="E67" s="3" t="n">
        <v>3</v>
      </c>
      <c r="F67" s="3" t="n">
        <v>2</v>
      </c>
      <c r="G67" s="3" t="s">
        <v>72</v>
      </c>
      <c r="I67" s="3" t="n">
        <f aca="false">_xlfn.IFS(G67="взв",11,G67="накл",24,G67="прокл",25,G67="пт",26,G67=90,10,G67=85,10,G67=80,9,G67=75,8,G67=70,8,G67=65,7,G67=60,7,G67=55,6,G67=50,6,G67=45,6,G67=40,5,G67=35,4,G67=30,4,G67=25,3,G67=20,2,G67=15,1,G67=10,1,G67=0,0)</f>
        <v>11</v>
      </c>
      <c r="J67" s="3" t="n">
        <f aca="false">IF(H67&lt;=1,0,IF(H67&lt;=10,11,IF(H67&lt;=14,12,IF(H67&lt;=17,13,IF(H67&lt;=20,14,IF(H67&lt;=22,15,IF(H67&lt;=25,16,IF(H67&lt;=27,17,IF(H67&lt;=29,18,IF(H67&lt;=32,19,IF(H67&lt;=34,20,IF(H67&lt;=36,21,IF(H67&lt;=40,22,24)))))))))))))</f>
        <v>0</v>
      </c>
      <c r="K67" s="3" t="n">
        <v>90</v>
      </c>
      <c r="M67" s="3" t="n">
        <f aca="false">_xlfn.IFS(K67="взв",11,K67="накл",24,K67="прокл",25,K67="пт",26,K67=90,10,K67=85,10,K67=80,9,K67=75,8,K67=70,8,K67=65,7,K67=60,7,K67=55,6,K67=50,6,K67=45,6,K67=40,5,K67=35,4,K67=30,4,K67=25,3,K67=20,2,K67=15,1,K67=10,1,K67=0,0)</f>
        <v>10</v>
      </c>
      <c r="N67" s="3" t="n">
        <f aca="false">IF(L67&lt;=1,0,IF(L67&lt;=10,11,IF(L67&lt;=14,12,IF(L67&lt;=17,13,IF(L67&lt;=20,14,IF(L67&lt;=22,15,IF(L67&lt;=25,16,IF(L67&lt;=27,17,IF(L67&lt;=29,18,IF(L67&lt;=32,19,IF(L67&lt;=34,20,IF(L67&lt;=36,21,IF(L67&lt;=40,22,24)))))))))))))</f>
        <v>0</v>
      </c>
      <c r="O67" s="3" t="n">
        <v>90</v>
      </c>
      <c r="Q67" s="3" t="n">
        <f aca="false">_xlfn.IFS(O67="взв",11,O67="накл",24,O67="прокл",25,O67="пт",26,O67=90,10,O67=85,10,O67=80,9,O67=75,8,O67=70,8,O67=65,7,O67=60,7,O67=55,6,O67=50,6,O67=45,6,O67=40,5,O67=35,4,O67=30,4,O67=25,3,O67=20,2,O67=15,1,O67=10,1,O67=0,0)</f>
        <v>10</v>
      </c>
      <c r="R67" s="3" t="n">
        <f aca="false">IF(P67&lt;=1,0,IF(P67&lt;=10,11,IF(P67&lt;=14,12,IF(P67&lt;=17,13,IF(P67&lt;=20,14,IF(P67&lt;=22,15,IF(P67&lt;=25,16,IF(P67&lt;=27,17,IF(P67&lt;=29,18,IF(P67&lt;=32,19,IF(P67&lt;=34,20,IF(P67&lt;=36,21,IF(P67&lt;=40,22,24)))))))))))))</f>
        <v>0</v>
      </c>
      <c r="S67" s="3" t="n">
        <f aca="false">ROUND((Q67+R67+I67+J67+M67+N67)/3,0)</f>
        <v>10</v>
      </c>
      <c r="T67" s="17" t="n">
        <f aca="false">F67*LOG10(S67+2)</f>
        <v>2.15836249209525</v>
      </c>
    </row>
    <row r="68" customFormat="false" ht="14.65" hidden="false" customHeight="true" outlineLevel="0" collapsed="false">
      <c r="A68" s="13" t="s">
        <v>119</v>
      </c>
      <c r="B68" s="14" t="n">
        <v>39981</v>
      </c>
      <c r="C68" s="15" t="s">
        <v>27</v>
      </c>
      <c r="D68" s="4" t="s">
        <v>51</v>
      </c>
      <c r="E68" s="3" t="n">
        <v>4</v>
      </c>
      <c r="F68" s="3" t="n">
        <v>2</v>
      </c>
      <c r="G68" s="3" t="n">
        <v>90</v>
      </c>
      <c r="I68" s="3" t="n">
        <f aca="false">_xlfn.IFS(G68="взв",11,G68="накл",24,G68="прокл",25,G68="пт",26,G68=90,10,G68=85,10,G68=80,9,G68=75,8,G68=70,8,G68=65,7,G68=60,7,G68=55,6,G68=50,6,G68=45,6,G68=40,5,G68=35,4,G68=30,4,G68=25,3,G68=20,2,G68=15,1,G68=10,1,G68=0,0)</f>
        <v>10</v>
      </c>
      <c r="J68" s="3" t="n">
        <f aca="false">IF(H68&lt;=1,0,IF(H68&lt;=10,11,IF(H68&lt;=14,12,IF(H68&lt;=17,13,IF(H68&lt;=20,14,IF(H68&lt;=22,15,IF(H68&lt;=25,16,IF(H68&lt;=27,17,IF(H68&lt;=29,18,IF(H68&lt;=32,19,IF(H68&lt;=34,20,IF(H68&lt;=36,21,IF(H68&lt;=40,22,24)))))))))))))</f>
        <v>0</v>
      </c>
      <c r="K68" s="3" t="n">
        <v>90</v>
      </c>
      <c r="M68" s="3" t="n">
        <f aca="false">_xlfn.IFS(K68="взв",11,K68="накл",24,K68="прокл",25,K68="пт",26,K68=90,10,K68=85,10,K68=80,9,K68=75,8,K68=70,8,K68=65,7,K68=60,7,K68=55,6,K68=50,6,K68=45,6,K68=40,5,K68=35,4,K68=30,4,K68=25,3,K68=20,2,K68=15,1,K68=10,1,K68=0,0)</f>
        <v>10</v>
      </c>
      <c r="N68" s="3" t="n">
        <f aca="false">IF(L68&lt;=1,0,IF(L68&lt;=10,11,IF(L68&lt;=14,12,IF(L68&lt;=17,13,IF(L68&lt;=20,14,IF(L68&lt;=22,15,IF(L68&lt;=25,16,IF(L68&lt;=27,17,IF(L68&lt;=29,18,IF(L68&lt;=32,19,IF(L68&lt;=34,20,IF(L68&lt;=36,21,IF(L68&lt;=40,22,24)))))))))))))</f>
        <v>0</v>
      </c>
      <c r="O68" s="3" t="s">
        <v>72</v>
      </c>
      <c r="Q68" s="3" t="n">
        <f aca="false">_xlfn.IFS(O68="взв",11,O68="накл",24,O68="прокл",25,O68="пт",26,O68=90,10,O68=85,10,O68=80,9,O68=75,8,O68=70,8,O68=65,7,O68=60,7,O68=55,6,O68=50,6,O68=45,6,O68=40,5,O68=35,4,O68=30,4,O68=25,3,O68=20,2,O68=15,1,O68=10,1,O68=0,0)</f>
        <v>11</v>
      </c>
      <c r="R68" s="3" t="n">
        <f aca="false">IF(P68&lt;=1,0,IF(P68&lt;=10,11,IF(P68&lt;=14,12,IF(P68&lt;=17,13,IF(P68&lt;=20,14,IF(P68&lt;=22,15,IF(P68&lt;=25,16,IF(P68&lt;=27,17,IF(P68&lt;=29,18,IF(P68&lt;=32,19,IF(P68&lt;=34,20,IF(P68&lt;=36,21,IF(P68&lt;=40,22,24)))))))))))))</f>
        <v>0</v>
      </c>
      <c r="S68" s="3" t="n">
        <f aca="false">ROUND((Q68+R68+I68+J68+M68+N68)/3,0)</f>
        <v>10</v>
      </c>
      <c r="T68" s="17" t="n">
        <f aca="false">F68*LOG10(S68+2)</f>
        <v>2.15836249209525</v>
      </c>
    </row>
    <row r="69" customFormat="false" ht="14.65" hidden="false" customHeight="true" outlineLevel="0" collapsed="false">
      <c r="A69" s="13" t="s">
        <v>120</v>
      </c>
      <c r="B69" s="14" t="n">
        <v>39981</v>
      </c>
      <c r="C69" s="15" t="s">
        <v>27</v>
      </c>
      <c r="D69" s="4" t="s">
        <v>51</v>
      </c>
      <c r="E69" s="3" t="n">
        <v>4</v>
      </c>
      <c r="F69" s="3" t="n">
        <v>2</v>
      </c>
      <c r="G69" s="3" t="n">
        <v>90</v>
      </c>
      <c r="I69" s="3" t="n">
        <f aca="false">_xlfn.IFS(G69="взв",11,G69="накл",24,G69="прокл",25,G69="пт",26,G69=90,10,G69=85,10,G69=80,9,G69=75,8,G69=70,8,G69=65,7,G69=60,7,G69=55,6,G69=50,6,G69=45,6,G69=40,5,G69=35,4,G69=30,4,G69=25,3,G69=20,2,G69=15,1,G69=10,1,G69=0,0)</f>
        <v>10</v>
      </c>
      <c r="J69" s="3" t="n">
        <f aca="false">IF(H69&lt;=1,0,IF(H69&lt;=10,11,IF(H69&lt;=14,12,IF(H69&lt;=17,13,IF(H69&lt;=20,14,IF(H69&lt;=22,15,IF(H69&lt;=25,16,IF(H69&lt;=27,17,IF(H69&lt;=29,18,IF(H69&lt;=32,19,IF(H69&lt;=34,20,IF(H69&lt;=36,21,IF(H69&lt;=40,22,24)))))))))))))</f>
        <v>0</v>
      </c>
      <c r="K69" s="3" t="s">
        <v>72</v>
      </c>
      <c r="M69" s="3" t="n">
        <f aca="false">_xlfn.IFS(K69="взв",11,K69="накл",24,K69="прокл",25,K69="пт",26,K69=90,10,K69=85,10,K69=80,9,K69=75,8,K69=70,8,K69=65,7,K69=60,7,K69=55,6,K69=50,6,K69=45,6,K69=40,5,K69=35,4,K69=30,4,K69=25,3,K69=20,2,K69=15,1,K69=10,1,K69=0,0)</f>
        <v>11</v>
      </c>
      <c r="N69" s="3" t="n">
        <f aca="false">IF(L69&lt;=1,0,IF(L69&lt;=10,11,IF(L69&lt;=14,12,IF(L69&lt;=17,13,IF(L69&lt;=20,14,IF(L69&lt;=22,15,IF(L69&lt;=25,16,IF(L69&lt;=27,17,IF(L69&lt;=29,18,IF(L69&lt;=32,19,IF(L69&lt;=34,20,IF(L69&lt;=36,21,IF(L69&lt;=40,22,24)))))))))))))</f>
        <v>0</v>
      </c>
      <c r="O69" s="3" t="n">
        <v>90</v>
      </c>
      <c r="Q69" s="3" t="n">
        <f aca="false">_xlfn.IFS(O69="взв",11,O69="накл",24,O69="прокл",25,O69="пт",26,O69=90,10,O69=85,10,O69=80,9,O69=75,8,O69=70,8,O69=65,7,O69=60,7,O69=55,6,O69=50,6,O69=45,6,O69=40,5,O69=35,4,O69=30,4,O69=25,3,O69=20,2,O69=15,1,O69=10,1,O69=0,0)</f>
        <v>10</v>
      </c>
      <c r="R69" s="3" t="n">
        <f aca="false">IF(P69&lt;=1,0,IF(P69&lt;=10,11,IF(P69&lt;=14,12,IF(P69&lt;=17,13,IF(P69&lt;=20,14,IF(P69&lt;=22,15,IF(P69&lt;=25,16,IF(P69&lt;=27,17,IF(P69&lt;=29,18,IF(P69&lt;=32,19,IF(P69&lt;=34,20,IF(P69&lt;=36,21,IF(P69&lt;=40,22,24)))))))))))))</f>
        <v>0</v>
      </c>
      <c r="S69" s="3" t="n">
        <f aca="false">ROUND((Q69+R69+I69+J69+M69+N69)/3,0)</f>
        <v>10</v>
      </c>
      <c r="T69" s="17" t="n">
        <f aca="false">F69*LOG10(S69+2)</f>
        <v>2.15836249209525</v>
      </c>
    </row>
    <row r="70" customFormat="false" ht="14.65" hidden="false" customHeight="true" outlineLevel="0" collapsed="false">
      <c r="A70" s="13" t="s">
        <v>121</v>
      </c>
      <c r="B70" s="14" t="n">
        <v>39981</v>
      </c>
      <c r="C70" s="15" t="s">
        <v>27</v>
      </c>
      <c r="D70" s="4" t="s">
        <v>47</v>
      </c>
      <c r="E70" s="3" t="n">
        <v>4</v>
      </c>
      <c r="F70" s="3" t="n">
        <v>2</v>
      </c>
      <c r="H70" s="3" t="n">
        <v>34</v>
      </c>
      <c r="I70" s="3" t="n">
        <f aca="false">_xlfn.IFS(G70="взв",11,G70="накл",24,G70="прокл",25,G70="пт",26,G70=90,10,G70=85,10,G70=80,9,G70=75,8,G70=70,8,G70=65,7,G70=60,7,G70=55,6,G70=50,6,G70=45,6,G70=40,5,G70=35,4,G70=30,4,G70=25,3,G70=20,2,G70=15,1,G70=10,1,G70=0,0)</f>
        <v>0</v>
      </c>
      <c r="J70" s="3" t="n">
        <f aca="false">IF(H70&lt;=1,0,IF(H70&lt;=10,11,IF(H70&lt;=14,12,IF(H70&lt;=17,13,IF(H70&lt;=20,14,IF(H70&lt;=22,15,IF(H70&lt;=25,16,IF(H70&lt;=27,17,IF(H70&lt;=29,18,IF(H70&lt;=32,19,IF(H70&lt;=34,20,IF(H70&lt;=36,21,IF(H70&lt;=40,22,24)))))))))))))</f>
        <v>20</v>
      </c>
      <c r="L70" s="3" t="n">
        <v>34</v>
      </c>
      <c r="M70" s="3" t="n">
        <f aca="false">_xlfn.IFS(K70="взв",11,K70="накл",24,K70="прокл",25,K70="пт",26,K70=90,10,K70=85,10,K70=80,9,K70=75,8,K70=70,8,K70=65,7,K70=60,7,K70=55,6,K70=50,6,K70=45,6,K70=40,5,K70=35,4,K70=30,4,K70=25,3,K70=20,2,K70=15,1,K70=10,1,K70=0,0)</f>
        <v>0</v>
      </c>
      <c r="N70" s="3" t="n">
        <f aca="false">IF(L70&lt;=1,0,IF(L70&lt;=10,11,IF(L70&lt;=14,12,IF(L70&lt;=17,13,IF(L70&lt;=20,14,IF(L70&lt;=22,15,IF(L70&lt;=25,16,IF(L70&lt;=27,17,IF(L70&lt;=29,18,IF(L70&lt;=32,19,IF(L70&lt;=34,20,IF(L70&lt;=36,21,IF(L70&lt;=40,22,24)))))))))))))</f>
        <v>20</v>
      </c>
      <c r="P70" s="3" t="n">
        <v>33</v>
      </c>
      <c r="Q70" s="3" t="n">
        <f aca="false">_xlfn.IFS(O70="взв",11,O70="накл",24,O70="прокл",25,O70="пт",26,O70=90,10,O70=85,10,O70=80,9,O70=75,8,O70=70,8,O70=65,7,O70=60,7,O70=55,6,O70=50,6,O70=45,6,O70=40,5,O70=35,4,O70=30,4,O70=25,3,O70=20,2,O70=15,1,O70=10,1,O70=0,0)</f>
        <v>0</v>
      </c>
      <c r="R70" s="3" t="n">
        <f aca="false">IF(P70&lt;=1,0,IF(P70&lt;=10,11,IF(P70&lt;=14,12,IF(P70&lt;=17,13,IF(P70&lt;=20,14,IF(P70&lt;=22,15,IF(P70&lt;=25,16,IF(P70&lt;=27,17,IF(P70&lt;=29,18,IF(P70&lt;=32,19,IF(P70&lt;=34,20,IF(P70&lt;=36,21,IF(P70&lt;=40,22,24)))))))))))))</f>
        <v>20</v>
      </c>
      <c r="S70" s="3" t="n">
        <f aca="false">ROUND((Q70+R70+I70+J70+M70+N70)/3,0)</f>
        <v>20</v>
      </c>
      <c r="T70" s="17" t="n">
        <f aca="false">F70*LOG10(S70+2)</f>
        <v>2.68484536164441</v>
      </c>
    </row>
    <row r="71" customFormat="false" ht="14.65" hidden="false" customHeight="true" outlineLevel="0" collapsed="false">
      <c r="A71" s="13" t="s">
        <v>122</v>
      </c>
      <c r="B71" s="14" t="n">
        <v>39981</v>
      </c>
      <c r="C71" s="15" t="s">
        <v>27</v>
      </c>
      <c r="D71" s="4" t="s">
        <v>47</v>
      </c>
      <c r="E71" s="3" t="n">
        <v>4</v>
      </c>
      <c r="F71" s="3" t="n">
        <v>2</v>
      </c>
      <c r="G71" s="3" t="s">
        <v>43</v>
      </c>
      <c r="H71" s="0"/>
      <c r="I71" s="3" t="n">
        <f aca="false">_xlfn.IFS(G71="взв",11,G71="накл",24,G71="прокл",25,G71="пт",26,G71=90,10,G71=85,10,G71=80,9,G71=75,8,G71=70,8,G71=65,7,G71=60,7,G71=55,6,G71=50,6,G71=45,6,G71=40,5,G71=35,4,G71=30,4,G71=25,3,G71=20,2,G71=15,1,G71=10,1,G71=0,0)</f>
        <v>24</v>
      </c>
      <c r="J71" s="3" t="n">
        <f aca="false">IF(G71&lt;=1,0,IF(G71&lt;=10,11,IF(G71&lt;=14,12,IF(G71&lt;=17,13,IF(G71&lt;=20,14,IF(G71&lt;=22,15,IF(G71&lt;=25,16,IF(G71&lt;=27,17,IF(G71&lt;=29,18,IF(G71&lt;=32,19,IF(G71&lt;=34,20,IF(G71&lt;=36,21,IF(G71&lt;=40,22,24)))))))))))))</f>
        <v>24</v>
      </c>
      <c r="K71" s="3" t="s">
        <v>43</v>
      </c>
      <c r="L71" s="0"/>
      <c r="M71" s="3" t="n">
        <f aca="false">_xlfn.IFS(K71="взв",11,K71="накл",24,K71="прокл",25,K71="пт",26,K71=90,10,K71=85,10,K71=80,9,K71=75,8,K71=70,8,K71=65,7,K71=60,7,K71=55,6,K71=50,6,K71=45,6,K71=40,5,K71=35,4,K71=30,4,K71=25,3,K71=20,2,K71=15,1,K71=10,1,K71=0,0)</f>
        <v>24</v>
      </c>
      <c r="N71" s="3" t="n">
        <f aca="false">IF(K71&lt;=1,0,IF(K71&lt;=10,11,IF(K71&lt;=14,12,IF(K71&lt;=17,13,IF(K71&lt;=20,14,IF(K71&lt;=22,15,IF(K71&lt;=25,16,IF(K71&lt;=27,17,IF(K71&lt;=29,18,IF(K71&lt;=32,19,IF(K71&lt;=34,20,IF(K71&lt;=36,21,IF(K71&lt;=40,22,24)))))))))))))</f>
        <v>24</v>
      </c>
      <c r="O71" s="3" t="s">
        <v>43</v>
      </c>
      <c r="Q71" s="3" t="n">
        <f aca="false">_xlfn.IFS(O71="взв",11,O71="накл",24,O71="прокл",25,O71="пт",26,O71=90,10,O71=85,10,O71=80,9,O71=75,8,O71=70,8,O71=65,7,O71=60,7,O71=55,6,O71=50,6,O71=45,6,O71=40,5,O71=35,4,O71=30,4,O71=25,3,O71=20,2,O71=15,1,O71=10,1,O71=0,0)</f>
        <v>24</v>
      </c>
      <c r="R71" s="3" t="n">
        <f aca="false">IF(P71&lt;=1,0,IF(P71&lt;=10,11,IF(P71&lt;=14,12,IF(P71&lt;=17,13,IF(P71&lt;=20,14,IF(P71&lt;=22,15,IF(P71&lt;=25,16,IF(P71&lt;=27,17,IF(P71&lt;=29,18,IF(P71&lt;=32,19,IF(P71&lt;=34,20,IF(P71&lt;=36,21,IF(P71&lt;=40,22,24)))))))))))))</f>
        <v>0</v>
      </c>
      <c r="S71" s="3" t="n">
        <f aca="false">ROUND((Q71+R71+I71+J71+M71+N71)/3,0)</f>
        <v>40</v>
      </c>
      <c r="T71" s="17" t="n">
        <f aca="false">F71*LOG10(S71+2)</f>
        <v>3.2464985807958</v>
      </c>
    </row>
    <row r="72" customFormat="false" ht="14.65" hidden="false" customHeight="true" outlineLevel="0" collapsed="false">
      <c r="A72" s="13" t="s">
        <v>123</v>
      </c>
      <c r="B72" s="14" t="n">
        <v>39981</v>
      </c>
      <c r="C72" s="15" t="s">
        <v>27</v>
      </c>
      <c r="D72" s="4" t="s">
        <v>47</v>
      </c>
      <c r="E72" s="3" t="n">
        <v>5</v>
      </c>
      <c r="F72" s="3" t="n">
        <v>2</v>
      </c>
      <c r="G72" s="3" t="s">
        <v>43</v>
      </c>
      <c r="H72" s="0"/>
      <c r="I72" s="3" t="n">
        <f aca="false">_xlfn.IFS(G72="взв",11,G72="накл",24,G72="прокл",25,G72="пт",26,G72=90,10,G72=85,10,G72=80,9,G72=75,8,G72=70,8,G72=65,7,G72=60,7,G72=55,6,G72=50,6,G72=45,6,G72=40,5,G72=35,4,G72=30,4,G72=25,3,G72=20,2,G72=15,1,G72=10,1,G72=0,0)</f>
        <v>24</v>
      </c>
      <c r="J72" s="3" t="n">
        <f aca="false">IF(G72&lt;=1,0,IF(G72&lt;=10,11,IF(G72&lt;=14,12,IF(G72&lt;=17,13,IF(G72&lt;=20,14,IF(G72&lt;=22,15,IF(G72&lt;=25,16,IF(G72&lt;=27,17,IF(G72&lt;=29,18,IF(G72&lt;=32,19,IF(G72&lt;=34,20,IF(G72&lt;=36,21,IF(G72&lt;=40,22,24)))))))))))))</f>
        <v>24</v>
      </c>
      <c r="K72" s="3" t="s">
        <v>43</v>
      </c>
      <c r="L72" s="0"/>
      <c r="M72" s="3" t="n">
        <f aca="false">_xlfn.IFS(K72="взв",11,K72="накл",24,K72="прокл",25,K72="пт",26,K72=90,10,K72=85,10,K72=80,9,K72=75,8,K72=70,8,K72=65,7,K72=60,7,K72=55,6,K72=50,6,K72=45,6,K72=40,5,K72=35,4,K72=30,4,K72=25,3,K72=20,2,K72=15,1,K72=10,1,K72=0,0)</f>
        <v>24</v>
      </c>
      <c r="N72" s="3" t="n">
        <f aca="false">IF(K72&lt;=1,0,IF(K72&lt;=10,11,IF(K72&lt;=14,12,IF(K72&lt;=17,13,IF(K72&lt;=20,14,IF(K72&lt;=22,15,IF(K72&lt;=25,16,IF(K72&lt;=27,17,IF(K72&lt;=29,18,IF(K72&lt;=32,19,IF(K72&lt;=34,20,IF(K72&lt;=36,21,IF(K72&lt;=40,22,24)))))))))))))</f>
        <v>24</v>
      </c>
      <c r="O72" s="3" t="s">
        <v>43</v>
      </c>
      <c r="P72" s="0"/>
      <c r="Q72" s="3" t="n">
        <f aca="false">_xlfn.IFS(O72="взв",11,O72="накл",24,O72="прокл",25,O72="пт",26,O72=90,10,O72=85,10,O72=80,9,O72=75,8,O72=70,8,O72=65,7,O72=60,7,O72=55,6,O72=50,6,O72=45,6,O72=40,5,O72=35,4,O72=30,4,O72=25,3,O72=20,2,O72=15,1,O72=10,1,O72=0,0)</f>
        <v>24</v>
      </c>
      <c r="R72" s="3" t="n">
        <f aca="false">IF(O72&lt;=1,0,IF(O72&lt;=10,11,IF(O72&lt;=14,12,IF(O72&lt;=17,13,IF(O72&lt;=20,14,IF(O72&lt;=22,15,IF(O72&lt;=25,16,IF(O72&lt;=27,17,IF(O72&lt;=29,18,IF(O72&lt;=32,19,IF(O72&lt;=34,20,IF(O72&lt;=36,21,IF(O72&lt;=40,22,24)))))))))))))</f>
        <v>24</v>
      </c>
      <c r="S72" s="3" t="n">
        <f aca="false">ROUND((Q72+R72+I72+J72+M72+N72)/3,0)</f>
        <v>48</v>
      </c>
      <c r="T72" s="17" t="n">
        <f aca="false">F72*LOG10(S72+2)</f>
        <v>3.39794000867204</v>
      </c>
    </row>
    <row r="73" customFormat="false" ht="14.65" hidden="false" customHeight="true" outlineLevel="0" collapsed="false">
      <c r="A73" s="13" t="s">
        <v>124</v>
      </c>
      <c r="B73" s="14" t="n">
        <v>39981</v>
      </c>
      <c r="C73" s="15" t="s">
        <v>27</v>
      </c>
      <c r="D73" s="4" t="s">
        <v>49</v>
      </c>
      <c r="E73" s="3" t="n">
        <v>2</v>
      </c>
      <c r="F73" s="3" t="n">
        <v>2</v>
      </c>
      <c r="H73" s="3" t="n">
        <v>0</v>
      </c>
      <c r="I73" s="3" t="n">
        <f aca="false">_xlfn.IFS(G73="взв",11,G73="накл",24,G73="прокл",25,G73="пт",26,G73=90,10,G73=85,10,G73=80,9,G73=75,8,G73=70,8,G73=65,7,G73=60,7,G73=55,6,G73=50,6,G73=45,6,G73=40,5,G73=35,4,G73=30,4,G73=25,3,G73=20,2,G73=15,1,G73=10,1,G73=0,0)</f>
        <v>0</v>
      </c>
      <c r="J73" s="3" t="n">
        <f aca="false">IF(H73&lt;=1,0,IF(H73&lt;=10,11,IF(H73&lt;=14,12,IF(H73&lt;=17,13,IF(H73&lt;=20,14,IF(H73&lt;=22,15,IF(H73&lt;=25,16,IF(H73&lt;=27,17,IF(H73&lt;=29,18,IF(H73&lt;=32,19,IF(H73&lt;=34,20,IF(H73&lt;=36,21,IF(H73&lt;=40,22,24)))))))))))))</f>
        <v>0</v>
      </c>
      <c r="K73" s="3" t="n">
        <v>15</v>
      </c>
      <c r="M73" s="3" t="n">
        <f aca="false">_xlfn.IFS(K73="взв",11,K73="накл",24,K73="прокл",25,K73="пт",26,K73=90,10,K73=85,10,K73=80,9,K73=75,8,K73=70,8,K73=65,7,K73=60,7,K73=55,6,K73=50,6,K73=45,6,K73=40,5,K73=35,4,K73=30,4,K73=25,3,K73=20,2,K73=15,1,K73=10,1,K73=0,0)</f>
        <v>1</v>
      </c>
      <c r="N73" s="3" t="n">
        <f aca="false">IF(L73&lt;=1,0,IF(L73&lt;=10,11,IF(L73&lt;=14,12,IF(L73&lt;=17,13,IF(L73&lt;=20,14,IF(L73&lt;=22,15,IF(L73&lt;=25,16,IF(L73&lt;=27,17,IF(L73&lt;=29,18,IF(L73&lt;=32,19,IF(L73&lt;=34,20,IF(L73&lt;=36,21,IF(L73&lt;=40,22,24)))))))))))))</f>
        <v>0</v>
      </c>
      <c r="Q73" s="3" t="n">
        <f aca="false">_xlfn.IFS(O73="взв",11,O73="накл",24,O73="прокл",25,O73="пт",26,O73=90,10,O73=85,10,O73=80,9,O73=75,8,O73=70,8,O73=65,7,O73=60,7,O73=55,6,O73=50,6,O73=45,6,O73=40,5,O73=35,4,O73=30,4,O73=25,3,O73=20,2,O73=15,1,O73=10,1,O73=0,0)</f>
        <v>0</v>
      </c>
      <c r="R73" s="3" t="n">
        <f aca="false">IF(P73&lt;=1,0,IF(P73&lt;=10,11,IF(P73&lt;=14,12,IF(P73&lt;=17,13,IF(P73&lt;=20,14,IF(P73&lt;=22,15,IF(P73&lt;=25,16,IF(P73&lt;=27,17,IF(P73&lt;=29,18,IF(P73&lt;=32,19,IF(P73&lt;=34,20,IF(P73&lt;=36,21,IF(P73&lt;=40,22,24)))))))))))))</f>
        <v>0</v>
      </c>
      <c r="S73" s="3" t="n">
        <f aca="false">ROUND((Q73+R73+I73+J73+M73+N73)/3,0)</f>
        <v>0</v>
      </c>
      <c r="T73" s="17" t="n">
        <f aca="false">F73*LOG10(S73+2)</f>
        <v>0.602059991327962</v>
      </c>
    </row>
    <row r="74" customFormat="false" ht="14.65" hidden="false" customHeight="true" outlineLevel="0" collapsed="false">
      <c r="A74" s="13" t="s">
        <v>125</v>
      </c>
      <c r="B74" s="14" t="n">
        <v>39981</v>
      </c>
      <c r="C74" s="15" t="s">
        <v>27</v>
      </c>
      <c r="D74" s="4" t="s">
        <v>49</v>
      </c>
      <c r="E74" s="3" t="n">
        <v>5</v>
      </c>
      <c r="F74" s="3" t="n">
        <v>2</v>
      </c>
      <c r="H74" s="3" t="n">
        <v>37</v>
      </c>
      <c r="I74" s="3" t="n">
        <f aca="false">_xlfn.IFS(G74="взв",11,G74="накл",24,G74="прокл",25,G74="пт",26,G74=90,10,G74=85,10,G74=80,9,G74=75,8,G74=70,8,G74=65,7,G74=60,7,G74=55,6,G74=50,6,G74=45,6,G74=40,5,G74=35,4,G74=30,4,G74=25,3,G74=20,2,G74=15,1,G74=10,1,G74=0,0)</f>
        <v>0</v>
      </c>
      <c r="J74" s="3" t="n">
        <f aca="false">IF(H74&lt;=1,0,IF(H74&lt;=10,11,IF(H74&lt;=14,12,IF(H74&lt;=17,13,IF(H74&lt;=20,14,IF(H74&lt;=22,15,IF(H74&lt;=25,16,IF(H74&lt;=27,17,IF(H74&lt;=29,18,IF(H74&lt;=32,19,IF(H74&lt;=34,20,IF(H74&lt;=36,21,IF(H74&lt;=40,22,24)))))))))))))</f>
        <v>22</v>
      </c>
      <c r="L74" s="3" t="n">
        <v>37</v>
      </c>
      <c r="M74" s="3" t="n">
        <f aca="false">_xlfn.IFS(K74="взв",11,K74="накл",24,K74="прокл",25,K74="пт",26,K74=90,10,K74=85,10,K74=80,9,K74=75,8,K74=70,8,K74=65,7,K74=60,7,K74=55,6,K74=50,6,K74=45,6,K74=40,5,K74=35,4,K74=30,4,K74=25,3,K74=20,2,K74=15,1,K74=10,1,K74=0,0)</f>
        <v>0</v>
      </c>
      <c r="N74" s="3" t="n">
        <f aca="false">IF(L74&lt;=1,0,IF(L74&lt;=10,11,IF(L74&lt;=14,12,IF(L74&lt;=17,13,IF(L74&lt;=20,14,IF(L74&lt;=22,15,IF(L74&lt;=25,16,IF(L74&lt;=27,17,IF(L74&lt;=29,18,IF(L74&lt;=32,19,IF(L74&lt;=34,20,IF(L74&lt;=36,21,IF(L74&lt;=40,22,24)))))))))))))</f>
        <v>22</v>
      </c>
      <c r="P74" s="3" t="n">
        <v>41</v>
      </c>
      <c r="Q74" s="3" t="n">
        <f aca="false">_xlfn.IFS(O74="взв",11,O74="накл",24,O74="прокл",25,O74="пт",26,O74=90,10,O74=85,10,O74=80,9,O74=75,8,O74=70,8,O74=65,7,O74=60,7,O74=55,6,O74=50,6,O74=45,6,O74=40,5,O74=35,4,O74=30,4,O74=25,3,O74=20,2,O74=15,1,O74=10,1,O74=0,0)</f>
        <v>0</v>
      </c>
      <c r="R74" s="3" t="n">
        <f aca="false">IF(P74&lt;=1,0,IF(P74&lt;=10,11,IF(P74&lt;=14,12,IF(P74&lt;=17,13,IF(P74&lt;=20,14,IF(P74&lt;=22,15,IF(P74&lt;=25,16,IF(P74&lt;=27,17,IF(P74&lt;=29,18,IF(P74&lt;=32,19,IF(P74&lt;=34,20,IF(P74&lt;=36,21,IF(P74&lt;=40,22,24)))))))))))))</f>
        <v>24</v>
      </c>
      <c r="S74" s="3" t="n">
        <f aca="false">ROUND((Q74+R74+I74+J74+M74+N74)/3,0)</f>
        <v>23</v>
      </c>
      <c r="T74" s="17" t="n">
        <f aca="false">F74*LOG10(S74+2)</f>
        <v>2.79588001734408</v>
      </c>
    </row>
    <row r="75" customFormat="false" ht="14.65" hidden="false" customHeight="true" outlineLevel="0" collapsed="false">
      <c r="A75" s="13" t="s">
        <v>126</v>
      </c>
      <c r="B75" s="14" t="n">
        <v>39981</v>
      </c>
      <c r="C75" s="15" t="s">
        <v>27</v>
      </c>
      <c r="D75" s="4" t="s">
        <v>45</v>
      </c>
      <c r="E75" s="3" t="n">
        <v>7</v>
      </c>
      <c r="F75" s="3" t="n">
        <v>2</v>
      </c>
      <c r="H75" s="3" t="n">
        <v>40</v>
      </c>
      <c r="I75" s="3" t="n">
        <f aca="false">_xlfn.IFS(G75="взв",11,G75="накл",24,G75="прокл",25,G75="пт",26,G75=90,10,G75=85,10,G75=80,9,G75=75,8,G75=70,8,G75=65,7,G75=60,7,G75=55,6,G75=50,6,G75=45,6,G75=40,5,G75=35,4,G75=30,4,G75=25,3,G75=20,2,G75=15,1,G75=10,1,G75=0,0)</f>
        <v>0</v>
      </c>
      <c r="J75" s="3" t="n">
        <f aca="false">IF(H75&lt;=1,0,IF(H75&lt;=10,11,IF(H75&lt;=14,12,IF(H75&lt;=17,13,IF(H75&lt;=20,14,IF(H75&lt;=22,15,IF(H75&lt;=25,16,IF(H75&lt;=27,17,IF(H75&lt;=29,18,IF(H75&lt;=32,19,IF(H75&lt;=34,20,IF(H75&lt;=36,21,IF(H75&lt;=40,22,24)))))))))))))</f>
        <v>22</v>
      </c>
      <c r="L75" s="3" t="n">
        <v>37</v>
      </c>
      <c r="M75" s="3" t="n">
        <f aca="false">_xlfn.IFS(K75="взв",11,K75="накл",24,K75="прокл",25,K75="пт",26,K75=90,10,K75=85,10,K75=80,9,K75=75,8,K75=70,8,K75=65,7,K75=60,7,K75=55,6,K75=50,6,K75=45,6,K75=40,5,K75=35,4,K75=30,4,K75=25,3,K75=20,2,K75=15,1,K75=10,1,K75=0,0)</f>
        <v>0</v>
      </c>
      <c r="N75" s="3" t="n">
        <f aca="false">IF(L75&lt;=1,0,IF(L75&lt;=10,11,IF(L75&lt;=14,12,IF(L75&lt;=17,13,IF(L75&lt;=20,14,IF(L75&lt;=22,15,IF(L75&lt;=25,16,IF(L75&lt;=27,17,IF(L75&lt;=29,18,IF(L75&lt;=32,19,IF(L75&lt;=34,20,IF(L75&lt;=36,21,IF(L75&lt;=40,22,24)))))))))))))</f>
        <v>22</v>
      </c>
      <c r="P75" s="3" t="n">
        <v>38</v>
      </c>
      <c r="Q75" s="3" t="n">
        <f aca="false">_xlfn.IFS(O75="взв",11,O75="накл",24,O75="прокл",25,O75="пт",26,O75=90,10,O75=85,10,O75=80,9,O75=75,8,O75=70,8,O75=65,7,O75=60,7,O75=55,6,O75=50,6,O75=45,6,O75=40,5,O75=35,4,O75=30,4,O75=25,3,O75=20,2,O75=15,1,O75=10,1,O75=0,0)</f>
        <v>0</v>
      </c>
      <c r="R75" s="3" t="n">
        <f aca="false">IF(P75&lt;=1,0,IF(P75&lt;=10,11,IF(P75&lt;=14,12,IF(P75&lt;=17,13,IF(P75&lt;=20,14,IF(P75&lt;=22,15,IF(P75&lt;=25,16,IF(P75&lt;=27,17,IF(P75&lt;=29,18,IF(P75&lt;=32,19,IF(P75&lt;=34,20,IF(P75&lt;=36,21,IF(P75&lt;=40,22,24)))))))))))))</f>
        <v>22</v>
      </c>
      <c r="S75" s="3" t="n">
        <f aca="false">ROUND((Q75+R75+I75+J75+M75+N75)/3,0)</f>
        <v>22</v>
      </c>
      <c r="T75" s="17" t="n">
        <f aca="false">F75*LOG10(S75+2)</f>
        <v>2.76042248342321</v>
      </c>
    </row>
    <row r="76" customFormat="false" ht="14.65" hidden="false" customHeight="true" outlineLevel="0" collapsed="false">
      <c r="A76" s="13" t="s">
        <v>127</v>
      </c>
      <c r="B76" s="14" t="n">
        <v>39981</v>
      </c>
      <c r="C76" s="15" t="s">
        <v>27</v>
      </c>
      <c r="D76" s="4" t="s">
        <v>51</v>
      </c>
      <c r="E76" s="3" t="n">
        <v>4</v>
      </c>
      <c r="F76" s="3" t="n">
        <v>2</v>
      </c>
      <c r="G76" s="3" t="n">
        <v>75</v>
      </c>
      <c r="I76" s="3" t="n">
        <f aca="false">_xlfn.IFS(G76="взв",11,G76="накл",24,G76="прокл",25,G76="пт",26,G76=90,10,G76=85,10,G76=80,9,G76=75,8,G76=70,8,G76=65,7,G76=60,7,G76=55,6,G76=50,6,G76=45,6,G76=40,5,G76=35,4,G76=30,4,G76=25,3,G76=20,2,G76=15,1,G76=10,1,G76=0,0)</f>
        <v>8</v>
      </c>
      <c r="J76" s="3" t="n">
        <f aca="false">IF(H76&lt;=1,0,IF(H76&lt;=10,11,IF(H76&lt;=14,12,IF(H76&lt;=17,13,IF(H76&lt;=20,14,IF(H76&lt;=22,15,IF(H76&lt;=25,16,IF(H76&lt;=27,17,IF(H76&lt;=29,18,IF(H76&lt;=32,19,IF(H76&lt;=34,20,IF(H76&lt;=36,21,IF(H76&lt;=40,22,24)))))))))))))</f>
        <v>0</v>
      </c>
      <c r="K76" s="3" t="n">
        <v>75</v>
      </c>
      <c r="M76" s="3" t="n">
        <f aca="false">_xlfn.IFS(K76="взв",11,K76="накл",24,K76="прокл",25,K76="пт",26,K76=90,10,K76=85,10,K76=80,9,K76=75,8,K76=70,8,K76=65,7,K76=60,7,K76=55,6,K76=50,6,K76=45,6,K76=40,5,K76=35,4,K76=30,4,K76=25,3,K76=20,2,K76=15,1,K76=10,1,K76=0,0)</f>
        <v>8</v>
      </c>
      <c r="N76" s="3" t="n">
        <f aca="false">IF(L76&lt;=1,0,IF(L76&lt;=10,11,IF(L76&lt;=14,12,IF(L76&lt;=17,13,IF(L76&lt;=20,14,IF(L76&lt;=22,15,IF(L76&lt;=25,16,IF(L76&lt;=27,17,IF(L76&lt;=29,18,IF(L76&lt;=32,19,IF(L76&lt;=34,20,IF(L76&lt;=36,21,IF(L76&lt;=40,22,24)))))))))))))</f>
        <v>0</v>
      </c>
      <c r="O76" s="3" t="n">
        <v>60</v>
      </c>
      <c r="Q76" s="3" t="n">
        <f aca="false">_xlfn.IFS(O76="взв",11,O76="накл",24,O76="прокл",25,O76="пт",26,O76=90,10,O76=85,10,O76=80,9,O76=75,8,O76=70,8,O76=65,7,O76=60,7,O76=55,6,O76=50,6,O76=45,6,O76=40,5,O76=35,4,O76=30,4,O76=25,3,O76=20,2,O76=15,1,O76=10,1,O76=0,0)</f>
        <v>7</v>
      </c>
      <c r="R76" s="3" t="n">
        <f aca="false">IF(P76&lt;=1,0,IF(P76&lt;=10,11,IF(P76&lt;=14,12,IF(P76&lt;=17,13,IF(P76&lt;=20,14,IF(P76&lt;=22,15,IF(P76&lt;=25,16,IF(P76&lt;=27,17,IF(P76&lt;=29,18,IF(P76&lt;=32,19,IF(P76&lt;=34,20,IF(P76&lt;=36,21,IF(P76&lt;=40,22,24)))))))))))))</f>
        <v>0</v>
      </c>
      <c r="S76" s="3" t="n">
        <f aca="false">ROUND((Q76+R76+I76+J76+M76+N76)/3,0)</f>
        <v>8</v>
      </c>
      <c r="T76" s="17" t="n">
        <f aca="false">F76*LOG10(S76+2)</f>
        <v>2</v>
      </c>
    </row>
    <row r="77" customFormat="false" ht="14.65" hidden="false" customHeight="true" outlineLevel="0" collapsed="false">
      <c r="A77" s="13" t="s">
        <v>128</v>
      </c>
      <c r="B77" s="14" t="n">
        <v>39981</v>
      </c>
      <c r="C77" s="15" t="s">
        <v>27</v>
      </c>
      <c r="D77" s="4" t="s">
        <v>28</v>
      </c>
      <c r="E77" s="3" t="n">
        <v>4</v>
      </c>
      <c r="F77" s="3" t="n">
        <v>2</v>
      </c>
      <c r="H77" s="3" t="n">
        <v>36</v>
      </c>
      <c r="I77" s="3" t="n">
        <f aca="false">_xlfn.IFS(G77="взв",11,G77="накл",24,G77="прокл",25,G77="пт",26,G77=90,10,G77=85,10,G77=80,9,G77=75,8,G77=70,8,G77=65,7,G77=60,7,G77=55,6,G77=50,6,G77=45,6,G77=40,5,G77=35,4,G77=30,4,G77=25,3,G77=20,2,G77=15,1,G77=10,1,G77=0,0)</f>
        <v>0</v>
      </c>
      <c r="J77" s="3" t="n">
        <f aca="false">IF(H77&lt;=1,0,IF(H77&lt;=10,11,IF(H77&lt;=14,12,IF(H77&lt;=17,13,IF(H77&lt;=20,14,IF(H77&lt;=22,15,IF(H77&lt;=25,16,IF(H77&lt;=27,17,IF(H77&lt;=29,18,IF(H77&lt;=32,19,IF(H77&lt;=34,20,IF(H77&lt;=36,21,IF(H77&lt;=40,22,24)))))))))))))</f>
        <v>21</v>
      </c>
      <c r="L77" s="3" t="n">
        <v>41</v>
      </c>
      <c r="M77" s="3" t="n">
        <f aca="false">_xlfn.IFS(K77="взв",11,K77="накл",24,K77="прокл",25,K77="пт",26,K77=90,10,K77=85,10,K77=80,9,K77=75,8,K77=70,8,K77=65,7,K77=60,7,K77=55,6,K77=50,6,K77=45,6,K77=40,5,K77=35,4,K77=30,4,K77=25,3,K77=20,2,K77=15,1,K77=10,1,K77=0,0)</f>
        <v>0</v>
      </c>
      <c r="N77" s="3" t="n">
        <f aca="false">IF(L77&lt;=1,0,IF(L77&lt;=10,11,IF(L77&lt;=14,12,IF(L77&lt;=17,13,IF(L77&lt;=20,14,IF(L77&lt;=22,15,IF(L77&lt;=25,16,IF(L77&lt;=27,17,IF(L77&lt;=29,18,IF(L77&lt;=32,19,IF(L77&lt;=34,20,IF(L77&lt;=36,21,IF(L77&lt;=40,22,24)))))))))))))</f>
        <v>24</v>
      </c>
      <c r="P77" s="3" t="n">
        <v>38</v>
      </c>
      <c r="Q77" s="3" t="n">
        <f aca="false">_xlfn.IFS(O77="взв",11,O77="накл",24,O77="прокл",25,O77="пт",26,O77=90,10,O77=85,10,O77=80,9,O77=75,8,O77=70,8,O77=65,7,O77=60,7,O77=55,6,O77=50,6,O77=45,6,O77=40,5,O77=35,4,O77=30,4,O77=25,3,O77=20,2,O77=15,1,O77=10,1,O77=0,0)</f>
        <v>0</v>
      </c>
      <c r="R77" s="3" t="n">
        <f aca="false">IF(P77&lt;=1,0,IF(P77&lt;=10,11,IF(P77&lt;=14,12,IF(P77&lt;=17,13,IF(P77&lt;=20,14,IF(P77&lt;=22,15,IF(P77&lt;=25,16,IF(P77&lt;=27,17,IF(P77&lt;=29,18,IF(P77&lt;=32,19,IF(P77&lt;=34,20,IF(P77&lt;=36,21,IF(P77&lt;=40,22,24)))))))))))))</f>
        <v>22</v>
      </c>
      <c r="S77" s="3" t="n">
        <f aca="false">ROUND((Q77+R77+I77+J77+M77+N77)/3,0)</f>
        <v>22</v>
      </c>
      <c r="T77" s="17" t="n">
        <f aca="false">F77*LOG10(S77+2)</f>
        <v>2.76042248342321</v>
      </c>
    </row>
    <row r="78" customFormat="false" ht="14.65" hidden="false" customHeight="true" outlineLevel="0" collapsed="false">
      <c r="A78" s="13" t="s">
        <v>129</v>
      </c>
      <c r="B78" s="14" t="n">
        <v>39981</v>
      </c>
      <c r="C78" s="15" t="s">
        <v>27</v>
      </c>
      <c r="D78" s="4" t="s">
        <v>28</v>
      </c>
      <c r="E78" s="3" t="n">
        <v>3</v>
      </c>
      <c r="F78" s="3" t="n">
        <v>2</v>
      </c>
      <c r="G78" s="3" t="s">
        <v>72</v>
      </c>
      <c r="I78" s="3" t="n">
        <f aca="false">_xlfn.IFS(G78="взв",11,G78="накл",24,G78="прокл",25,G78="пт",26,G78=90,10,G78=85,10,G78=80,9,G78=75,8,G78=70,8,G78=65,7,G78=60,7,G78=55,6,G78=50,6,G78=45,6,G78=40,5,G78=35,4,G78=30,4,G78=25,3,G78=20,2,G78=15,1,G78=10,1,G78=0,0)</f>
        <v>11</v>
      </c>
      <c r="J78" s="3" t="n">
        <f aca="false">IF(H78&lt;=1,0,IF(H78&lt;=10,11,IF(H78&lt;=14,12,IF(H78&lt;=17,13,IF(H78&lt;=20,14,IF(H78&lt;=22,15,IF(H78&lt;=25,16,IF(H78&lt;=27,17,IF(H78&lt;=29,18,IF(H78&lt;=32,19,IF(H78&lt;=34,20,IF(H78&lt;=36,21,IF(H78&lt;=40,22,24)))))))))))))</f>
        <v>0</v>
      </c>
      <c r="K78" s="3" t="s">
        <v>72</v>
      </c>
      <c r="M78" s="3" t="n">
        <f aca="false">_xlfn.IFS(K78="взв",11,K78="накл",24,K78="прокл",25,K78="пт",26,K78=90,10,K78=85,10,K78=80,9,K78=75,8,K78=70,8,K78=65,7,K78=60,7,K78=55,6,K78=50,6,K78=45,6,K78=40,5,K78=35,4,K78=30,4,K78=25,3,K78=20,2,K78=15,1,K78=10,1,K78=0,0)</f>
        <v>11</v>
      </c>
      <c r="N78" s="3" t="n">
        <f aca="false">IF(L78&lt;=1,0,IF(L78&lt;=10,11,IF(L78&lt;=14,12,IF(L78&lt;=17,13,IF(L78&lt;=20,14,IF(L78&lt;=22,15,IF(L78&lt;=25,16,IF(L78&lt;=27,17,IF(L78&lt;=29,18,IF(L78&lt;=32,19,IF(L78&lt;=34,20,IF(L78&lt;=36,21,IF(L78&lt;=40,22,24)))))))))))))</f>
        <v>0</v>
      </c>
      <c r="P78" s="3" t="n">
        <v>20</v>
      </c>
      <c r="Q78" s="3" t="n">
        <f aca="false">_xlfn.IFS(O78="взв",11,O78="накл",24,O78="прокл",25,O78="пт",26,O78=90,10,O78=85,10,O78=80,9,O78=75,8,O78=70,8,O78=65,7,O78=60,7,O78=55,6,O78=50,6,O78=45,6,O78=40,5,O78=35,4,O78=30,4,O78=25,3,O78=20,2,O78=15,1,O78=10,1,O78=0,0)</f>
        <v>0</v>
      </c>
      <c r="R78" s="3" t="n">
        <f aca="false">IF(P78&lt;=1,0,IF(P78&lt;=10,11,IF(P78&lt;=14,12,IF(P78&lt;=17,13,IF(P78&lt;=20,14,IF(P78&lt;=22,15,IF(P78&lt;=25,16,IF(P78&lt;=27,17,IF(P78&lt;=29,18,IF(P78&lt;=32,19,IF(P78&lt;=34,20,IF(P78&lt;=36,21,IF(P78&lt;=40,22,24)))))))))))))</f>
        <v>14</v>
      </c>
      <c r="S78" s="3" t="n">
        <f aca="false">ROUND((Q78+R78+I78+J78+M78+N78)/3,0)</f>
        <v>12</v>
      </c>
      <c r="T78" s="17" t="n">
        <f aca="false">F78*LOG10(S78+2)</f>
        <v>2.29225607135648</v>
      </c>
    </row>
    <row r="79" customFormat="false" ht="14.65" hidden="false" customHeight="true" outlineLevel="0" collapsed="false">
      <c r="A79" s="13" t="s">
        <v>130</v>
      </c>
      <c r="B79" s="14" t="n">
        <v>39981</v>
      </c>
      <c r="C79" s="15" t="s">
        <v>27</v>
      </c>
      <c r="D79" s="4" t="s">
        <v>47</v>
      </c>
      <c r="E79" s="3" t="n">
        <v>1</v>
      </c>
      <c r="F79" s="3" t="n">
        <v>2</v>
      </c>
      <c r="H79" s="3" t="n">
        <v>38</v>
      </c>
      <c r="I79" s="3" t="n">
        <f aca="false">_xlfn.IFS(G79="взв",11,G79="накл",24,G79="прокл",25,G79="пт",26,G79=90,10,G79=85,10,G79=80,9,G79=75,8,G79=70,8,G79=65,7,G79=60,7,G79=55,6,G79=50,6,G79=45,6,G79=40,5,G79=35,4,G79=30,4,G79=25,3,G79=20,2,G79=15,1,G79=10,1,G79=0,0)</f>
        <v>0</v>
      </c>
      <c r="J79" s="3" t="n">
        <f aca="false">IF(H79&lt;=1,0,IF(H79&lt;=10,11,IF(H79&lt;=14,12,IF(H79&lt;=17,13,IF(H79&lt;=20,14,IF(H79&lt;=22,15,IF(H79&lt;=25,16,IF(H79&lt;=27,17,IF(H79&lt;=29,18,IF(H79&lt;=32,19,IF(H79&lt;=34,20,IF(H79&lt;=36,21,IF(H79&lt;=40,22,24)))))))))))))</f>
        <v>22</v>
      </c>
      <c r="M79" s="3" t="n">
        <f aca="false">_xlfn.IFS(K79="взв",11,K79="накл",24,K79="прокл",25,K79="пт",26,K79=90,10,K79=85,10,K79=80,9,K79=75,8,K79=70,8,K79=65,7,K79=60,7,K79=55,6,K79=50,6,K79=45,6,K79=40,5,K79=35,4,K79=30,4,K79=25,3,K79=20,2,K79=15,1,K79=10,1,K79=0,0)</f>
        <v>0</v>
      </c>
      <c r="N79" s="3" t="n">
        <f aca="false">IF(L79&lt;=1,0,IF(L79&lt;=10,11,IF(L79&lt;=14,12,IF(L79&lt;=17,13,IF(L79&lt;=20,14,IF(L79&lt;=22,15,IF(L79&lt;=25,16,IF(L79&lt;=27,17,IF(L79&lt;=29,18,IF(L79&lt;=32,19,IF(L79&lt;=34,20,IF(L79&lt;=36,21,IF(L79&lt;=40,22,24)))))))))))))</f>
        <v>0</v>
      </c>
      <c r="Q79" s="3" t="n">
        <f aca="false">_xlfn.IFS(O79="взв",11,O79="накл",24,O79="прокл",25,O79="пт",26,O79=90,10,O79=85,10,O79=80,9,O79=75,8,O79=70,8,O79=65,7,O79=60,7,O79=55,6,O79=50,6,O79=45,6,O79=40,5,O79=35,4,O79=30,4,O79=25,3,O79=20,2,O79=15,1,O79=10,1,O79=0,0)</f>
        <v>0</v>
      </c>
      <c r="R79" s="3" t="n">
        <f aca="false">IF(P79&lt;=1,0,IF(P79&lt;=10,11,IF(P79&lt;=14,12,IF(P79&lt;=17,13,IF(P79&lt;=20,14,IF(P79&lt;=22,15,IF(P79&lt;=25,16,IF(P79&lt;=27,17,IF(P79&lt;=29,18,IF(P79&lt;=32,19,IF(P79&lt;=34,20,IF(P79&lt;=36,21,IF(P79&lt;=40,22,24)))))))))))))</f>
        <v>0</v>
      </c>
      <c r="S79" s="3" t="n">
        <f aca="false">ROUND((Q79+R79+I79+J79+M79+N79)/3,0)</f>
        <v>7</v>
      </c>
      <c r="T79" s="17" t="n">
        <f aca="false">F79*LOG10(S79+2)</f>
        <v>1.90848501887865</v>
      </c>
    </row>
    <row r="80" customFormat="false" ht="14.65" hidden="false" customHeight="true" outlineLevel="0" collapsed="false">
      <c r="A80" s="13" t="s">
        <v>131</v>
      </c>
      <c r="B80" s="14" t="n">
        <v>39985</v>
      </c>
      <c r="C80" s="15" t="s">
        <v>27</v>
      </c>
      <c r="D80" s="4" t="s">
        <v>64</v>
      </c>
      <c r="E80" s="3" t="n">
        <v>4</v>
      </c>
      <c r="F80" s="3" t="n">
        <v>2</v>
      </c>
      <c r="G80" s="3" t="s">
        <v>43</v>
      </c>
      <c r="H80" s="0"/>
      <c r="I80" s="3" t="n">
        <f aca="false">_xlfn.IFS(G80="взв",11,G80="накл",24,G80="прокл",25,G80="пт",26,G80=90,10,G80=85,10,G80=80,9,G80=75,8,G80=70,8,G80=65,7,G80=60,7,G80=55,6,G80=50,6,G80=45,6,G80=40,5,G80=35,4,G80=30,4,G80=25,3,G80=20,2,G80=15,1,G80=10,1,G80=0,0)</f>
        <v>24</v>
      </c>
      <c r="J80" s="3" t="n">
        <f aca="false">IF(H80&lt;=1,0,IF(H80&lt;=10,11,IF(H80&lt;=14,12,IF(H80&lt;=17,13,IF(H80&lt;=20,14,IF(H80&lt;=22,15,IF(H80&lt;=25,16,IF(H80&lt;=27,17,IF(H80&lt;=29,18,IF(H80&lt;=32,19,IF(H80&lt;=34,20,IF(H80&lt;=36,21,IF(H80&lt;=40,22,24)))))))))))))</f>
        <v>0</v>
      </c>
      <c r="K80" s="3" t="s">
        <v>43</v>
      </c>
      <c r="L80" s="0"/>
      <c r="M80" s="3" t="n">
        <f aca="false">_xlfn.IFS(K80="взв",11,K80="накл",24,K80="прокл",25,K80="пт",26,K80=90,10,K80=85,10,K80=80,9,K80=75,8,K80=70,8,K80=65,7,K80=60,7,K80=55,6,K80=50,6,K80=45,6,K80=40,5,K80=35,4,K80=30,4,K80=25,3,K80=20,2,K80=15,1,K80=10,1,K80=0,0)</f>
        <v>24</v>
      </c>
      <c r="N80" s="3" t="n">
        <f aca="false">IF(L80&lt;=1,0,IF(L80&lt;=10,11,IF(L80&lt;=14,12,IF(L80&lt;=17,13,IF(L80&lt;=20,14,IF(L80&lt;=22,15,IF(L80&lt;=25,16,IF(L80&lt;=27,17,IF(L80&lt;=29,18,IF(L80&lt;=32,19,IF(L80&lt;=34,20,IF(L80&lt;=36,21,IF(L80&lt;=40,22,24)))))))))))))</f>
        <v>0</v>
      </c>
      <c r="O80" s="3" t="s">
        <v>43</v>
      </c>
      <c r="Q80" s="3" t="n">
        <f aca="false">_xlfn.IFS(O80="взв",11,O80="накл",24,O80="прокл",25,O80="пт",26,O80=90,10,O80=85,10,O80=80,9,O80=75,8,O80=70,8,O80=65,7,O80=60,7,O80=55,6,O80=50,6,O80=45,6,O80=40,5,O80=35,4,O80=30,4,O80=25,3,O80=20,2,O80=15,1,O80=10,1,O80=0,0)</f>
        <v>24</v>
      </c>
      <c r="R80" s="3" t="n">
        <f aca="false">IF(P80&lt;=1,0,IF(P80&lt;=10,11,IF(P80&lt;=14,12,IF(P80&lt;=17,13,IF(P80&lt;=20,14,IF(P80&lt;=22,15,IF(P80&lt;=25,16,IF(P80&lt;=27,17,IF(P80&lt;=29,18,IF(P80&lt;=32,19,IF(P80&lt;=34,20,IF(P80&lt;=36,21,IF(P80&lt;=40,22,24)))))))))))))</f>
        <v>0</v>
      </c>
      <c r="S80" s="3" t="n">
        <f aca="false">ROUND((Q80+R80+I80+J80+M80+N80)/3,0)</f>
        <v>24</v>
      </c>
      <c r="T80" s="17" t="n">
        <f aca="false">F80*LOG10(S80+2)</f>
        <v>2.82994669594164</v>
      </c>
    </row>
    <row r="81" customFormat="false" ht="14.65" hidden="false" customHeight="true" outlineLevel="0" collapsed="false">
      <c r="A81" s="13" t="s">
        <v>132</v>
      </c>
      <c r="B81" s="14" t="n">
        <v>39985</v>
      </c>
      <c r="C81" s="15" t="s">
        <v>27</v>
      </c>
      <c r="D81" s="4" t="s">
        <v>64</v>
      </c>
      <c r="E81" s="3" t="n">
        <v>4</v>
      </c>
      <c r="F81" s="3" t="n">
        <v>2</v>
      </c>
      <c r="G81" s="3" t="s">
        <v>43</v>
      </c>
      <c r="H81" s="0"/>
      <c r="I81" s="3" t="n">
        <f aca="false">_xlfn.IFS(G81="взв",11,G81="накл",24,G81="прокл",25,G81="пт",26,G81=90,10,G81=85,10,G81=80,9,G81=75,8,G81=70,8,G81=65,7,G81=60,7,G81=55,6,G81=50,6,G81=45,6,G81=40,5,G81=35,4,G81=30,4,G81=25,3,G81=20,2,G81=15,1,G81=10,1,G81=0,0)</f>
        <v>24</v>
      </c>
      <c r="J81" s="3" t="n">
        <f aca="false">IF(H81&lt;=1,0,IF(H81&lt;=10,11,IF(H81&lt;=14,12,IF(H81&lt;=17,13,IF(H81&lt;=20,14,IF(H81&lt;=22,15,IF(H81&lt;=25,16,IF(H81&lt;=27,17,IF(H81&lt;=29,18,IF(H81&lt;=32,19,IF(H81&lt;=34,20,IF(H81&lt;=36,21,IF(H81&lt;=40,22,24)))))))))))))</f>
        <v>0</v>
      </c>
      <c r="K81" s="3" t="s">
        <v>43</v>
      </c>
      <c r="L81" s="0"/>
      <c r="M81" s="3" t="n">
        <f aca="false">_xlfn.IFS(K81="взв",11,K81="накл",24,K81="прокл",25,K81="пт",26,K81=90,10,K81=85,10,K81=80,9,K81=75,8,K81=70,8,K81=65,7,K81=60,7,K81=55,6,K81=50,6,K81=45,6,K81=40,5,K81=35,4,K81=30,4,K81=25,3,K81=20,2,K81=15,1,K81=10,1,K81=0,0)</f>
        <v>24</v>
      </c>
      <c r="N81" s="3" t="n">
        <f aca="false">IF(L81&lt;=1,0,IF(L81&lt;=10,11,IF(L81&lt;=14,12,IF(L81&lt;=17,13,IF(L81&lt;=20,14,IF(L81&lt;=22,15,IF(L81&lt;=25,16,IF(L81&lt;=27,17,IF(L81&lt;=29,18,IF(L81&lt;=32,19,IF(L81&lt;=34,20,IF(L81&lt;=36,21,IF(L81&lt;=40,22,24)))))))))))))</f>
        <v>0</v>
      </c>
      <c r="O81" s="3" t="s">
        <v>43</v>
      </c>
      <c r="Q81" s="3" t="n">
        <f aca="false">_xlfn.IFS(O81="взв",11,O81="накл",24,O81="прокл",25,O81="пт",26,O81=90,10,O81=85,10,O81=80,9,O81=75,8,O81=70,8,O81=65,7,O81=60,7,O81=55,6,O81=50,6,O81=45,6,O81=40,5,O81=35,4,O81=30,4,O81=25,3,O81=20,2,O81=15,1,O81=10,1,O81=0,0)</f>
        <v>24</v>
      </c>
      <c r="R81" s="3" t="n">
        <f aca="false">IF(P81&lt;=1,0,IF(P81&lt;=10,11,IF(P81&lt;=14,12,IF(P81&lt;=17,13,IF(P81&lt;=20,14,IF(P81&lt;=22,15,IF(P81&lt;=25,16,IF(P81&lt;=27,17,IF(P81&lt;=29,18,IF(P81&lt;=32,19,IF(P81&lt;=34,20,IF(P81&lt;=36,21,IF(P81&lt;=40,22,24)))))))))))))</f>
        <v>0</v>
      </c>
      <c r="S81" s="3" t="n">
        <f aca="false">ROUND((Q81+R81+I81+J81+M81+N81)/3,0)</f>
        <v>24</v>
      </c>
      <c r="T81" s="17" t="n">
        <f aca="false">F81*LOG10(S81+2)</f>
        <v>2.82994669594164</v>
      </c>
    </row>
    <row r="82" customFormat="false" ht="14.65" hidden="false" customHeight="true" outlineLevel="0" collapsed="false">
      <c r="A82" s="13" t="s">
        <v>133</v>
      </c>
      <c r="B82" s="14" t="n">
        <v>39985</v>
      </c>
      <c r="C82" s="15" t="s">
        <v>27</v>
      </c>
      <c r="D82" s="4" t="s">
        <v>64</v>
      </c>
      <c r="E82" s="3" t="n">
        <v>5</v>
      </c>
      <c r="F82" s="3" t="n">
        <v>2</v>
      </c>
      <c r="H82" s="3" t="n">
        <v>27</v>
      </c>
      <c r="I82" s="3" t="n">
        <f aca="false">_xlfn.IFS(G82="взв",11,G82="накл",24,G82="прокл",25,G82="пт",26,G82=90,10,G82=85,10,G82=80,9,G82=75,8,G82=70,8,G82=65,7,G82=60,7,G82=55,6,G82=50,6,G82=45,6,G82=40,5,G82=35,4,G82=30,4,G82=25,3,G82=20,2,G82=15,1,G82=10,1,G82=0,0)</f>
        <v>0</v>
      </c>
      <c r="J82" s="3" t="n">
        <f aca="false">IF(H82&lt;=1,0,IF(H82&lt;=10,11,IF(H82&lt;=14,12,IF(H82&lt;=17,13,IF(H82&lt;=20,14,IF(H82&lt;=22,15,IF(H82&lt;=25,16,IF(H82&lt;=27,17,IF(H82&lt;=29,18,IF(H82&lt;=32,19,IF(H82&lt;=34,20,IF(H82&lt;=36,21,IF(H82&lt;=40,22,24)))))))))))))</f>
        <v>17</v>
      </c>
      <c r="L82" s="3" t="n">
        <v>35</v>
      </c>
      <c r="M82" s="3" t="n">
        <f aca="false">_xlfn.IFS(K82="взв",11,K82="накл",24,K82="прокл",25,K82="пт",26,K82=90,10,K82=85,10,K82=80,9,K82=75,8,K82=70,8,K82=65,7,K82=60,7,K82=55,6,K82=50,6,K82=45,6,K82=40,5,K82=35,4,K82=30,4,K82=25,3,K82=20,2,K82=15,1,K82=10,1,K82=0,0)</f>
        <v>0</v>
      </c>
      <c r="N82" s="3" t="n">
        <f aca="false">IF(L82&lt;=1,0,IF(L82&lt;=10,11,IF(L82&lt;=14,12,IF(L82&lt;=17,13,IF(L82&lt;=20,14,IF(L82&lt;=22,15,IF(L82&lt;=25,16,IF(L82&lt;=27,17,IF(L82&lt;=29,18,IF(L82&lt;=32,19,IF(L82&lt;=34,20,IF(L82&lt;=36,21,IF(L82&lt;=40,22,24)))))))))))))</f>
        <v>21</v>
      </c>
      <c r="P82" s="3" t="n">
        <v>35</v>
      </c>
      <c r="Q82" s="3" t="n">
        <f aca="false">_xlfn.IFS(O82="взв",11,O82="накл",24,O82="прокл",25,O82="пт",26,O82=90,10,O82=85,10,O82=80,9,O82=75,8,O82=70,8,O82=65,7,O82=60,7,O82=55,6,O82=50,6,O82=45,6,O82=40,5,O82=35,4,O82=30,4,O82=25,3,O82=20,2,O82=15,1,O82=10,1,O82=0,0)</f>
        <v>0</v>
      </c>
      <c r="R82" s="3" t="n">
        <f aca="false">IF(P82&lt;=1,0,IF(P82&lt;=10,11,IF(P82&lt;=14,12,IF(P82&lt;=17,13,IF(P82&lt;=20,14,IF(P82&lt;=22,15,IF(P82&lt;=25,16,IF(P82&lt;=27,17,IF(P82&lt;=29,18,IF(P82&lt;=32,19,IF(P82&lt;=34,20,IF(P82&lt;=36,21,IF(P82&lt;=40,22,24)))))))))))))</f>
        <v>21</v>
      </c>
      <c r="S82" s="3" t="n">
        <f aca="false">ROUND((Q82+R82+I82+J82+M82+N82)/3,0)</f>
        <v>20</v>
      </c>
      <c r="T82" s="17" t="n">
        <f aca="false">F82*LOG10(S82+2)</f>
        <v>2.68484536164441</v>
      </c>
    </row>
    <row r="83" customFormat="false" ht="14.65" hidden="false" customHeight="true" outlineLevel="0" collapsed="false">
      <c r="A83" s="13" t="s">
        <v>134</v>
      </c>
      <c r="B83" s="14" t="n">
        <v>39985</v>
      </c>
      <c r="C83" s="15" t="s">
        <v>27</v>
      </c>
      <c r="D83" s="4" t="s">
        <v>64</v>
      </c>
      <c r="E83" s="3" t="n">
        <v>3</v>
      </c>
      <c r="F83" s="3" t="n">
        <v>2</v>
      </c>
      <c r="G83" s="3" t="s">
        <v>81</v>
      </c>
      <c r="H83" s="0"/>
      <c r="I83" s="3" t="n">
        <f aca="false">_xlfn.IFS(G83="взв",11,G83="накл",24,G83="прокл",25,G83="пт",26,G83=90,10,G83=85,10,G83=80,9,G83=75,8,G83=70,8,G83=65,7,G83=60,7,G83=55,6,G83=50,6,G83=45,6,G83=40,5,G83=35,4,G83=30,4,G83=25,3,G83=20,2,G83=15,1,G83=10,1,G83=0,0)</f>
        <v>25</v>
      </c>
      <c r="J83" s="3" t="n">
        <f aca="false">IF(G83&lt;=1,0,IF(G83&lt;=10,11,IF(G83&lt;=14,12,IF(G83&lt;=17,13,IF(G83&lt;=20,14,IF(G83&lt;=22,15,IF(G83&lt;=25,16,IF(G83&lt;=27,17,IF(G83&lt;=29,18,IF(G83&lt;=32,19,IF(G83&lt;=34,20,IF(G83&lt;=36,21,IF(G83&lt;=40,22,24)))))))))))))</f>
        <v>24</v>
      </c>
      <c r="K83" s="3" t="s">
        <v>43</v>
      </c>
      <c r="L83" s="0"/>
      <c r="M83" s="3" t="n">
        <f aca="false">_xlfn.IFS(K83="взв",11,K83="накл",24,K83="прокл",25,K83="пт",26,K83=90,10,K83=85,10,K83=80,9,K83=75,8,K83=70,8,K83=65,7,K83=60,7,K83=55,6,K83=50,6,K83=45,6,K83=40,5,K83=35,4,K83=30,4,K83=25,3,K83=20,2,K83=15,1,K83=10,1,K83=0,0)</f>
        <v>24</v>
      </c>
      <c r="N83" s="3" t="n">
        <f aca="false">IF(K83&lt;=1,0,IF(K83&lt;=10,11,IF(K83&lt;=14,12,IF(K83&lt;=17,13,IF(K83&lt;=20,14,IF(K83&lt;=22,15,IF(K83&lt;=25,16,IF(K83&lt;=27,17,IF(K83&lt;=29,18,IF(K83&lt;=32,19,IF(K83&lt;=34,20,IF(K83&lt;=36,21,IF(K83&lt;=40,22,24)))))))))))))</f>
        <v>24</v>
      </c>
      <c r="O83" s="3" t="s">
        <v>43</v>
      </c>
      <c r="P83" s="0"/>
      <c r="Q83" s="3" t="n">
        <f aca="false">_xlfn.IFS(O83="взв",11,O83="накл",24,O83="прокл",25,O83="пт",26,O83=90,10,O83=85,10,O83=80,9,O83=75,8,O83=70,8,O83=65,7,O83=60,7,O83=55,6,O83=50,6,O83=45,6,O83=40,5,O83=35,4,O83=30,4,O83=25,3,O83=20,2,O83=15,1,O83=10,1,O83=0,0)</f>
        <v>24</v>
      </c>
      <c r="R83" s="3" t="n">
        <f aca="false">IF(O83&lt;=1,0,IF(O83&lt;=10,11,IF(O83&lt;=14,12,IF(O83&lt;=17,13,IF(O83&lt;=20,14,IF(O83&lt;=22,15,IF(O83&lt;=25,16,IF(O83&lt;=27,17,IF(O83&lt;=29,18,IF(O83&lt;=32,19,IF(O83&lt;=34,20,IF(O83&lt;=36,21,IF(O83&lt;=40,22,24)))))))))))))</f>
        <v>24</v>
      </c>
      <c r="S83" s="3" t="n">
        <f aca="false">ROUND((Q83+R83+I83+J83+M83+N83)/3,0)</f>
        <v>48</v>
      </c>
      <c r="T83" s="17" t="n">
        <f aca="false">F83*LOG10(S83+2)</f>
        <v>3.39794000867204</v>
      </c>
    </row>
    <row r="84" customFormat="false" ht="14.65" hidden="false" customHeight="true" outlineLevel="0" collapsed="false">
      <c r="A84" s="13" t="s">
        <v>135</v>
      </c>
      <c r="B84" s="14" t="n">
        <v>39985</v>
      </c>
      <c r="C84" s="15" t="s">
        <v>27</v>
      </c>
      <c r="D84" s="4" t="s">
        <v>64</v>
      </c>
      <c r="E84" s="3" t="n">
        <v>4</v>
      </c>
      <c r="F84" s="3" t="n">
        <v>2</v>
      </c>
      <c r="G84" s="3" t="s">
        <v>81</v>
      </c>
      <c r="H84" s="0"/>
      <c r="I84" s="3" t="n">
        <f aca="false">_xlfn.IFS(G84="взв",11,G84="накл",24,G84="прокл",25,G84="пт",26,G84=90,10,G84=85,10,G84=80,9,G84=75,8,G84=70,8,G84=65,7,G84=60,7,G84=55,6,G84=50,6,G84=45,6,G84=40,5,G84=35,4,G84=30,4,G84=25,3,G84=20,2,G84=15,1,G84=10,1,G84=0,0)</f>
        <v>25</v>
      </c>
      <c r="J84" s="3" t="n">
        <f aca="false">IF(G84&lt;=1,0,IF(G84&lt;=10,11,IF(G84&lt;=14,12,IF(G84&lt;=17,13,IF(G84&lt;=20,14,IF(G84&lt;=22,15,IF(G84&lt;=25,16,IF(G84&lt;=27,17,IF(G84&lt;=29,18,IF(G84&lt;=32,19,IF(G84&lt;=34,20,IF(G84&lt;=36,21,IF(G84&lt;=40,22,24)))))))))))))</f>
        <v>24</v>
      </c>
      <c r="K84" s="3" t="s">
        <v>43</v>
      </c>
      <c r="L84" s="0"/>
      <c r="M84" s="3" t="n">
        <f aca="false">_xlfn.IFS(K84="взв",11,K84="накл",24,K84="прокл",25,K84="пт",26,K84=90,10,K84=85,10,K84=80,9,K84=75,8,K84=70,8,K84=65,7,K84=60,7,K84=55,6,K84=50,6,K84=45,6,K84=40,5,K84=35,4,K84=30,4,K84=25,3,K84=20,2,K84=15,1,K84=10,1,K84=0,0)</f>
        <v>24</v>
      </c>
      <c r="N84" s="3" t="n">
        <f aca="false">IF(K84&lt;=1,0,IF(K84&lt;=10,11,IF(K84&lt;=14,12,IF(K84&lt;=17,13,IF(K84&lt;=20,14,IF(K84&lt;=22,15,IF(K84&lt;=25,16,IF(K84&lt;=27,17,IF(K84&lt;=29,18,IF(K84&lt;=32,19,IF(K84&lt;=34,20,IF(K84&lt;=36,21,IF(K84&lt;=40,22,24)))))))))))))</f>
        <v>24</v>
      </c>
      <c r="O84" s="3" t="s">
        <v>36</v>
      </c>
      <c r="Q84" s="3" t="n">
        <f aca="false">_xlfn.IFS(O84="взв",11,O84="накл",24,O84="прокл",25,O84="пт",26,O84=90,10,O84=85,10,O84=80,9,O84=75,8,O84=70,8,O84=65,7,O84=60,7,O84=55,6,O84=50,6,O84=45,6,O84=40,5,O84=35,4,O84=30,4,O84=25,3,O84=20,2,O84=15,1,O84=10,1,O84=0,0)</f>
        <v>26</v>
      </c>
      <c r="R84" s="3" t="n">
        <f aca="false">IF(P84&lt;=1,0,IF(P84&lt;=10,11,IF(P84&lt;=14,12,IF(P84&lt;=17,13,IF(P84&lt;=20,14,IF(P84&lt;=22,15,IF(P84&lt;=25,16,IF(P84&lt;=27,17,IF(P84&lt;=29,18,IF(P84&lt;=32,19,IF(P84&lt;=34,20,IF(P84&lt;=36,21,IF(P84&lt;=40,22,24)))))))))))))</f>
        <v>0</v>
      </c>
      <c r="S84" s="3" t="n">
        <f aca="false">ROUND((Q84+R84+I84+J84+M84+N84)/3,0)</f>
        <v>41</v>
      </c>
      <c r="T84" s="17" t="n">
        <f aca="false">F84*LOG10(S84+2)</f>
        <v>3.26693691115917</v>
      </c>
    </row>
    <row r="85" customFormat="false" ht="14.65" hidden="false" customHeight="true" outlineLevel="0" collapsed="false">
      <c r="A85" s="13" t="s">
        <v>136</v>
      </c>
      <c r="B85" s="14" t="n">
        <v>39985</v>
      </c>
      <c r="C85" s="15" t="s">
        <v>27</v>
      </c>
      <c r="D85" s="4" t="s">
        <v>64</v>
      </c>
      <c r="E85" s="3" t="n">
        <v>5</v>
      </c>
      <c r="F85" s="3" t="n">
        <v>2</v>
      </c>
      <c r="H85" s="3" t="n">
        <v>33</v>
      </c>
      <c r="I85" s="3" t="n">
        <f aca="false">_xlfn.IFS(G85="взв",11,G85="накл",24,G85="прокл",25,G85="пт",26,G85=90,10,G85=85,10,G85=80,9,G85=75,8,G85=70,8,G85=65,7,G85=60,7,G85=55,6,G85=50,6,G85=45,6,G85=40,5,G85=35,4,G85=30,4,G85=25,3,G85=20,2,G85=15,1,G85=10,1,G85=0,0)</f>
        <v>0</v>
      </c>
      <c r="J85" s="3" t="n">
        <f aca="false">IF(H85&lt;=1,0,IF(H85&lt;=10,11,IF(H85&lt;=14,12,IF(H85&lt;=17,13,IF(H85&lt;=20,14,IF(H85&lt;=22,15,IF(H85&lt;=25,16,IF(H85&lt;=27,17,IF(H85&lt;=29,18,IF(H85&lt;=32,19,IF(H85&lt;=34,20,IF(H85&lt;=36,21,IF(H85&lt;=40,22,24)))))))))))))</f>
        <v>20</v>
      </c>
      <c r="L85" s="3" t="n">
        <v>34</v>
      </c>
      <c r="M85" s="3" t="n">
        <f aca="false">_xlfn.IFS(K85="взв",11,K85="накл",24,K85="прокл",25,K85="пт",26,K85=90,10,K85=85,10,K85=80,9,K85=75,8,K85=70,8,K85=65,7,K85=60,7,K85=55,6,K85=50,6,K85=45,6,K85=40,5,K85=35,4,K85=30,4,K85=25,3,K85=20,2,K85=15,1,K85=10,1,K85=0,0)</f>
        <v>0</v>
      </c>
      <c r="N85" s="3" t="n">
        <f aca="false">IF(L85&lt;=1,0,IF(L85&lt;=10,11,IF(L85&lt;=14,12,IF(L85&lt;=17,13,IF(L85&lt;=20,14,IF(L85&lt;=22,15,IF(L85&lt;=25,16,IF(L85&lt;=27,17,IF(L85&lt;=29,18,IF(L85&lt;=32,19,IF(L85&lt;=34,20,IF(L85&lt;=36,21,IF(L85&lt;=40,22,24)))))))))))))</f>
        <v>20</v>
      </c>
      <c r="P85" s="3" t="n">
        <v>33</v>
      </c>
      <c r="Q85" s="3" t="n">
        <f aca="false">_xlfn.IFS(O85="взв",11,O85="накл",24,O85="прокл",25,O85="пт",26,O85=90,10,O85=85,10,O85=80,9,O85=75,8,O85=70,8,O85=65,7,O85=60,7,O85=55,6,O85=50,6,O85=45,6,O85=40,5,O85=35,4,O85=30,4,O85=25,3,O85=20,2,O85=15,1,O85=10,1,O85=0,0)</f>
        <v>0</v>
      </c>
      <c r="R85" s="3" t="n">
        <f aca="false">IF(P85&lt;=1,0,IF(P85&lt;=10,11,IF(P85&lt;=14,12,IF(P85&lt;=17,13,IF(P85&lt;=20,14,IF(P85&lt;=22,15,IF(P85&lt;=25,16,IF(P85&lt;=27,17,IF(P85&lt;=29,18,IF(P85&lt;=32,19,IF(P85&lt;=34,20,IF(P85&lt;=36,21,IF(P85&lt;=40,22,24)))))))))))))</f>
        <v>20</v>
      </c>
      <c r="S85" s="3" t="n">
        <f aca="false">ROUND((Q85+R85+I85+J85+M85+N85)/3,0)</f>
        <v>20</v>
      </c>
      <c r="T85" s="17" t="n">
        <f aca="false">F85*LOG10(S85+2)</f>
        <v>2.68484536164441</v>
      </c>
    </row>
    <row r="86" customFormat="false" ht="14.65" hidden="false" customHeight="true" outlineLevel="0" collapsed="false">
      <c r="A86" s="13" t="s">
        <v>137</v>
      </c>
      <c r="B86" s="14" t="n">
        <v>39985</v>
      </c>
      <c r="C86" s="15" t="s">
        <v>27</v>
      </c>
      <c r="D86" s="4" t="s">
        <v>64</v>
      </c>
      <c r="E86" s="3" t="n">
        <v>5</v>
      </c>
      <c r="F86" s="3" t="n">
        <v>2</v>
      </c>
      <c r="G86" s="3" t="s">
        <v>43</v>
      </c>
      <c r="I86" s="3" t="n">
        <f aca="false">_xlfn.IFS(G86="взв",11,G86="накл",24,G86="прокл",25,G86="пт",26,G86=90,10,G86=85,10,G86=80,9,G86=75,8,G86=70,8,G86=65,7,G86=60,7,G86=55,6,G86=50,6,G86=45,6,G86=40,5,G86=35,4,G86=30,4,G86=25,3,G86=20,2,G86=15,1,G86=10,1,G86=0,0)</f>
        <v>24</v>
      </c>
      <c r="J86" s="3" t="n">
        <f aca="false">IF(H86&lt;=1,0,IF(H86&lt;=10,11,IF(H86&lt;=14,12,IF(H86&lt;=17,13,IF(H86&lt;=20,14,IF(H86&lt;=22,15,IF(H86&lt;=25,16,IF(H86&lt;=27,17,IF(H86&lt;=29,18,IF(H86&lt;=32,19,IF(H86&lt;=34,20,IF(H86&lt;=36,21,IF(H86&lt;=40,22,24)))))))))))))</f>
        <v>0</v>
      </c>
      <c r="K86" s="3" t="s">
        <v>43</v>
      </c>
      <c r="M86" s="3" t="n">
        <f aca="false">_xlfn.IFS(K86="взв",11,K86="накл",24,K86="прокл",25,K86="пт",26,K86=90,10,K86=85,10,K86=80,9,K86=75,8,K86=70,8,K86=65,7,K86=60,7,K86=55,6,K86=50,6,K86=45,6,K86=40,5,K86=35,4,K86=30,4,K86=25,3,K86=20,2,K86=15,1,K86=10,1,K86=0,0)</f>
        <v>24</v>
      </c>
      <c r="N86" s="3" t="n">
        <f aca="false">IF(L86&lt;=1,0,IF(L86&lt;=10,11,IF(L86&lt;=14,12,IF(L86&lt;=17,13,IF(L86&lt;=20,14,IF(L86&lt;=22,15,IF(L86&lt;=25,16,IF(L86&lt;=27,17,IF(L86&lt;=29,18,IF(L86&lt;=32,19,IF(L86&lt;=34,20,IF(L86&lt;=36,21,IF(L86&lt;=40,22,24)))))))))))))</f>
        <v>0</v>
      </c>
      <c r="O86" s="3" t="s">
        <v>43</v>
      </c>
      <c r="Q86" s="3" t="n">
        <f aca="false">_xlfn.IFS(O86="взв",11,O86="накл",24,O86="прокл",25,O86="пт",26,O86=90,10,O86=85,10,O86=80,9,O86=75,8,O86=70,8,O86=65,7,O86=60,7,O86=55,6,O86=50,6,O86=45,6,O86=40,5,O86=35,4,O86=30,4,O86=25,3,O86=20,2,O86=15,1,O86=10,1,O86=0,0)</f>
        <v>24</v>
      </c>
      <c r="R86" s="3" t="n">
        <f aca="false">IF(P86&lt;=1,0,IF(P86&lt;=10,11,IF(P86&lt;=14,12,IF(P86&lt;=17,13,IF(P86&lt;=20,14,IF(P86&lt;=22,15,IF(P86&lt;=25,16,IF(P86&lt;=27,17,IF(P86&lt;=29,18,IF(P86&lt;=32,19,IF(P86&lt;=34,20,IF(P86&lt;=36,21,IF(P86&lt;=40,22,24)))))))))))))</f>
        <v>0</v>
      </c>
      <c r="S86" s="3" t="n">
        <f aca="false">ROUND((Q86+R86+I86+J86+M86+N86)/3,0)</f>
        <v>24</v>
      </c>
      <c r="T86" s="17" t="n">
        <f aca="false">F86*LOG10(S86+2)</f>
        <v>2.82994669594164</v>
      </c>
    </row>
    <row r="87" customFormat="false" ht="14.65" hidden="false" customHeight="true" outlineLevel="0" collapsed="false">
      <c r="A87" s="13" t="s">
        <v>138</v>
      </c>
      <c r="B87" s="14" t="n">
        <v>39985</v>
      </c>
      <c r="C87" s="15" t="s">
        <v>27</v>
      </c>
      <c r="D87" s="4" t="s">
        <v>70</v>
      </c>
      <c r="E87" s="3" t="n">
        <v>1</v>
      </c>
      <c r="F87" s="3" t="n">
        <v>2</v>
      </c>
      <c r="G87" s="3" t="s">
        <v>36</v>
      </c>
      <c r="I87" s="3" t="n">
        <f aca="false">_xlfn.IFS(G87="взв",11,G87="накл",24,G87="прокл",25,G87="пт",26,G87=90,10,G87=85,10,G87=80,9,G87=75,8,G87=70,8,G87=65,7,G87=60,7,G87=55,6,G87=50,6,G87=45,6,G87=40,5,G87=35,4,G87=30,4,G87=25,3,G87=20,2,G87=15,1,G87=10,1,G87=0,0)</f>
        <v>26</v>
      </c>
      <c r="J87" s="3" t="n">
        <f aca="false">IF(H87&lt;=1,0,IF(H87&lt;=10,11,IF(H87&lt;=14,12,IF(H87&lt;=17,13,IF(H87&lt;=20,14,IF(H87&lt;=22,15,IF(H87&lt;=25,16,IF(H87&lt;=27,17,IF(H87&lt;=29,18,IF(H87&lt;=32,19,IF(H87&lt;=34,20,IF(H87&lt;=36,21,IF(H87&lt;=40,22,24)))))))))))))</f>
        <v>0</v>
      </c>
      <c r="M87" s="3" t="n">
        <f aca="false">_xlfn.IFS(K87="взв",11,K87="накл",24,K87="прокл",25,K87="пт",26,K87=90,10,K87=85,10,K87=80,9,K87=75,8,K87=70,8,K87=65,7,K87=60,7,K87=55,6,K87=50,6,K87=45,6,K87=40,5,K87=35,4,K87=30,4,K87=25,3,K87=20,2,K87=15,1,K87=10,1,K87=0,0)</f>
        <v>0</v>
      </c>
      <c r="N87" s="3" t="n">
        <f aca="false">IF(L87&lt;=1,0,IF(L87&lt;=10,11,IF(L87&lt;=14,12,IF(L87&lt;=17,13,IF(L87&lt;=20,14,IF(L87&lt;=22,15,IF(L87&lt;=25,16,IF(L87&lt;=27,17,IF(L87&lt;=29,18,IF(L87&lt;=32,19,IF(L87&lt;=34,20,IF(L87&lt;=36,21,IF(L87&lt;=40,22,24)))))))))))))</f>
        <v>0</v>
      </c>
      <c r="Q87" s="3" t="n">
        <f aca="false">_xlfn.IFS(O87="взв",11,O87="накл",24,O87="прокл",25,O87="пт",26,O87=90,10,O87=85,10,O87=80,9,O87=75,8,O87=70,8,O87=65,7,O87=60,7,O87=55,6,O87=50,6,O87=45,6,O87=40,5,O87=35,4,O87=30,4,O87=25,3,O87=20,2,O87=15,1,O87=10,1,O87=0,0)</f>
        <v>0</v>
      </c>
      <c r="R87" s="3" t="n">
        <f aca="false">IF(P87&lt;=1,0,IF(P87&lt;=10,11,IF(P87&lt;=14,12,IF(P87&lt;=17,13,IF(P87&lt;=20,14,IF(P87&lt;=22,15,IF(P87&lt;=25,16,IF(P87&lt;=27,17,IF(P87&lt;=29,18,IF(P87&lt;=32,19,IF(P87&lt;=34,20,IF(P87&lt;=36,21,IF(P87&lt;=40,22,24)))))))))))))</f>
        <v>0</v>
      </c>
      <c r="S87" s="3" t="n">
        <v>26</v>
      </c>
      <c r="T87" s="17" t="n">
        <f aca="false">F87*LOG10(S87+2)</f>
        <v>2.89431606268444</v>
      </c>
    </row>
    <row r="88" customFormat="false" ht="14.65" hidden="false" customHeight="true" outlineLevel="0" collapsed="false">
      <c r="A88" s="13" t="s">
        <v>139</v>
      </c>
      <c r="B88" s="14" t="n">
        <v>39985</v>
      </c>
      <c r="C88" s="15" t="s">
        <v>27</v>
      </c>
      <c r="D88" s="4" t="s">
        <v>70</v>
      </c>
      <c r="E88" s="3" t="n">
        <v>4</v>
      </c>
      <c r="F88" s="3" t="n">
        <v>2</v>
      </c>
      <c r="H88" s="3" t="n">
        <v>37</v>
      </c>
      <c r="I88" s="3" t="n">
        <f aca="false">_xlfn.IFS(G88="взв",11,G88="накл",24,G88="прокл",25,G88="пт",26,G88=90,10,G88=85,10,G88=80,9,G88=75,8,G88=70,8,G88=65,7,G88=60,7,G88=55,6,G88=50,6,G88=45,6,G88=40,5,G88=35,4,G88=30,4,G88=25,3,G88=20,2,G88=15,1,G88=10,1,G88=0,0)</f>
        <v>0</v>
      </c>
      <c r="J88" s="3" t="n">
        <f aca="false">IF(H88&lt;=1,0,IF(H88&lt;=10,11,IF(H88&lt;=14,12,IF(H88&lt;=17,13,IF(H88&lt;=20,14,IF(H88&lt;=22,15,IF(H88&lt;=25,16,IF(H88&lt;=27,17,IF(H88&lt;=29,18,IF(H88&lt;=32,19,IF(H88&lt;=34,20,IF(H88&lt;=36,21,IF(H88&lt;=40,22,24)))))))))))))</f>
        <v>22</v>
      </c>
      <c r="L88" s="3" t="n">
        <v>36</v>
      </c>
      <c r="M88" s="3" t="n">
        <f aca="false">_xlfn.IFS(K88="взв",11,K88="накл",24,K88="прокл",25,K88="пт",26,K88=90,10,K88=85,10,K88=80,9,K88=75,8,K88=70,8,K88=65,7,K88=60,7,K88=55,6,K88=50,6,K88=45,6,K88=40,5,K88=35,4,K88=30,4,K88=25,3,K88=20,2,K88=15,1,K88=10,1,K88=0,0)</f>
        <v>0</v>
      </c>
      <c r="N88" s="3" t="n">
        <f aca="false">IF(L88&lt;=1,0,IF(L88&lt;=10,11,IF(L88&lt;=14,12,IF(L88&lt;=17,13,IF(L88&lt;=20,14,IF(L88&lt;=22,15,IF(L88&lt;=25,16,IF(L88&lt;=27,17,IF(L88&lt;=29,18,IF(L88&lt;=32,19,IF(L88&lt;=34,20,IF(L88&lt;=36,21,IF(L88&lt;=40,22,24)))))))))))))</f>
        <v>21</v>
      </c>
      <c r="P88" s="3" t="n">
        <v>38</v>
      </c>
      <c r="Q88" s="3" t="n">
        <f aca="false">_xlfn.IFS(O88="взв",11,O88="накл",24,O88="прокл",25,O88="пт",26,O88=90,10,O88=85,10,O88=80,9,O88=75,8,O88=70,8,O88=65,7,O88=60,7,O88=55,6,O88=50,6,O88=45,6,O88=40,5,O88=35,4,O88=30,4,O88=25,3,O88=20,2,O88=15,1,O88=10,1,O88=0,0)</f>
        <v>0</v>
      </c>
      <c r="R88" s="3" t="n">
        <f aca="false">IF(P88&lt;=1,0,IF(P88&lt;=10,11,IF(P88&lt;=14,12,IF(P88&lt;=17,13,IF(P88&lt;=20,14,IF(P88&lt;=22,15,IF(P88&lt;=25,16,IF(P88&lt;=27,17,IF(P88&lt;=29,18,IF(P88&lt;=32,19,IF(P88&lt;=34,20,IF(P88&lt;=36,21,IF(P88&lt;=40,22,24)))))))))))))</f>
        <v>22</v>
      </c>
      <c r="S88" s="3" t="n">
        <f aca="false">ROUND((Q88+R88+I88+J88+M88+N88)/3,0)</f>
        <v>22</v>
      </c>
      <c r="T88" s="17" t="n">
        <f aca="false">F88*LOG10(S88+2)</f>
        <v>2.76042248342321</v>
      </c>
    </row>
    <row r="89" customFormat="false" ht="14.65" hidden="false" customHeight="true" outlineLevel="0" collapsed="false">
      <c r="A89" s="13" t="s">
        <v>140</v>
      </c>
      <c r="B89" s="14" t="n">
        <v>39985</v>
      </c>
      <c r="C89" s="15" t="s">
        <v>27</v>
      </c>
      <c r="D89" s="4" t="s">
        <v>70</v>
      </c>
      <c r="E89" s="3" t="n">
        <v>6</v>
      </c>
      <c r="F89" s="3" t="n">
        <v>2</v>
      </c>
      <c r="H89" s="3" t="n">
        <v>36</v>
      </c>
      <c r="I89" s="3" t="n">
        <f aca="false">_xlfn.IFS(G89="взв",11,G89="накл",24,G89="прокл",25,G89="пт",26,G89=90,10,G89=85,10,G89=80,9,G89=75,8,G89=70,8,G89=65,7,G89=60,7,G89=55,6,G89=50,6,G89=45,6,G89=40,5,G89=35,4,G89=30,4,G89=25,3,G89=20,2,G89=15,1,G89=10,1,G89=0,0)</f>
        <v>0</v>
      </c>
      <c r="J89" s="3" t="n">
        <f aca="false">IF(H89&lt;=1,0,IF(H89&lt;=10,11,IF(H89&lt;=14,12,IF(H89&lt;=17,13,IF(H89&lt;=20,14,IF(H89&lt;=22,15,IF(H89&lt;=25,16,IF(H89&lt;=27,17,IF(H89&lt;=29,18,IF(H89&lt;=32,19,IF(H89&lt;=34,20,IF(H89&lt;=36,21,IF(H89&lt;=40,22,24)))))))))))))</f>
        <v>21</v>
      </c>
      <c r="L89" s="3" t="n">
        <v>38</v>
      </c>
      <c r="M89" s="3" t="n">
        <f aca="false">_xlfn.IFS(K89="взв",11,K89="накл",24,K89="прокл",25,K89="пт",26,K89=90,10,K89=85,10,K89=80,9,K89=75,8,K89=70,8,K89=65,7,K89=60,7,K89=55,6,K89=50,6,K89=45,6,K89=40,5,K89=35,4,K89=30,4,K89=25,3,K89=20,2,K89=15,1,K89=10,1,K89=0,0)</f>
        <v>0</v>
      </c>
      <c r="N89" s="3" t="n">
        <f aca="false">IF(L89&lt;=1,0,IF(L89&lt;=10,11,IF(L89&lt;=14,12,IF(L89&lt;=17,13,IF(L89&lt;=20,14,IF(L89&lt;=22,15,IF(L89&lt;=25,16,IF(L89&lt;=27,17,IF(L89&lt;=29,18,IF(L89&lt;=32,19,IF(L89&lt;=34,20,IF(L89&lt;=36,21,IF(L89&lt;=40,22,24)))))))))))))</f>
        <v>22</v>
      </c>
      <c r="P89" s="3" t="n">
        <v>37</v>
      </c>
      <c r="Q89" s="3" t="n">
        <f aca="false">_xlfn.IFS(O89="взв",11,O89="накл",24,O89="прокл",25,O89="пт",26,O89=90,10,O89=85,10,O89=80,9,O89=75,8,O89=70,8,O89=65,7,O89=60,7,O89=55,6,O89=50,6,O89=45,6,O89=40,5,O89=35,4,O89=30,4,O89=25,3,O89=20,2,O89=15,1,O89=10,1,O89=0,0)</f>
        <v>0</v>
      </c>
      <c r="R89" s="3" t="n">
        <f aca="false">IF(P89&lt;=1,0,IF(P89&lt;=10,11,IF(P89&lt;=14,12,IF(P89&lt;=17,13,IF(P89&lt;=20,14,IF(P89&lt;=22,15,IF(P89&lt;=25,16,IF(P89&lt;=27,17,IF(P89&lt;=29,18,IF(P89&lt;=32,19,IF(P89&lt;=34,20,IF(P89&lt;=36,21,IF(P89&lt;=40,22,24)))))))))))))</f>
        <v>22</v>
      </c>
      <c r="S89" s="3" t="n">
        <f aca="false">ROUND((Q89+R89+I89+J89+M89+N89)/3,0)</f>
        <v>22</v>
      </c>
      <c r="T89" s="17" t="n">
        <f aca="false">F89*LOG10(S89+2)</f>
        <v>2.76042248342321</v>
      </c>
    </row>
    <row r="90" customFormat="false" ht="14.65" hidden="false" customHeight="true" outlineLevel="0" collapsed="false">
      <c r="A90" s="13" t="s">
        <v>141</v>
      </c>
      <c r="B90" s="14" t="n">
        <v>39985</v>
      </c>
      <c r="C90" s="15" t="s">
        <v>27</v>
      </c>
      <c r="D90" s="4" t="s">
        <v>70</v>
      </c>
      <c r="E90" s="3" t="n">
        <v>1</v>
      </c>
      <c r="F90" s="3" t="n">
        <v>2</v>
      </c>
      <c r="G90" s="3" t="s">
        <v>36</v>
      </c>
      <c r="I90" s="3" t="n">
        <f aca="false">_xlfn.IFS(G90="взв",11,G90="накл",24,G90="прокл",25,G90="пт",26,G90=90,10,G90=85,10,G90=80,9,G90=75,8,G90=70,8,G90=65,7,G90=60,7,G90=55,6,G90=50,6,G90=45,6,G90=40,5,G90=35,4,G90=30,4,G90=25,3,G90=20,2,G90=15,1,G90=10,1,G90=0,0)</f>
        <v>26</v>
      </c>
      <c r="J90" s="3" t="n">
        <f aca="false">IF(H90&lt;=1,0,IF(H90&lt;=10,11,IF(H90&lt;=14,12,IF(H90&lt;=17,13,IF(H90&lt;=20,14,IF(H90&lt;=22,15,IF(H90&lt;=25,16,IF(H90&lt;=27,17,IF(H90&lt;=29,18,IF(H90&lt;=32,19,IF(H90&lt;=34,20,IF(H90&lt;=36,21,IF(H90&lt;=40,22,24)))))))))))))</f>
        <v>0</v>
      </c>
      <c r="M90" s="3" t="n">
        <f aca="false">_xlfn.IFS(K90="взв",11,K90="накл",24,K90="прокл",25,K90="пт",26,K90=90,10,K90=85,10,K90=80,9,K90=75,8,K90=70,8,K90=65,7,K90=60,7,K90=55,6,K90=50,6,K90=45,6,K90=40,5,K90=35,4,K90=30,4,K90=25,3,K90=20,2,K90=15,1,K90=10,1,K90=0,0)</f>
        <v>0</v>
      </c>
      <c r="N90" s="3" t="n">
        <f aca="false">IF(L90&lt;=1,0,IF(L90&lt;=10,11,IF(L90&lt;=14,12,IF(L90&lt;=17,13,IF(L90&lt;=20,14,IF(L90&lt;=22,15,IF(L90&lt;=25,16,IF(L90&lt;=27,17,IF(L90&lt;=29,18,IF(L90&lt;=32,19,IF(L90&lt;=34,20,IF(L90&lt;=36,21,IF(L90&lt;=40,22,24)))))))))))))</f>
        <v>0</v>
      </c>
      <c r="Q90" s="3" t="n">
        <f aca="false">_xlfn.IFS(O90="взв",11,O90="накл",24,O90="прокл",25,O90="пт",26,O90=90,10,O90=85,10,O90=80,9,O90=75,8,O90=70,8,O90=65,7,O90=60,7,O90=55,6,O90=50,6,O90=45,6,O90=40,5,O90=35,4,O90=30,4,O90=25,3,O90=20,2,O90=15,1,O90=10,1,O90=0,0)</f>
        <v>0</v>
      </c>
      <c r="R90" s="3" t="n">
        <f aca="false">IF(P90&lt;=1,0,IF(P90&lt;=10,11,IF(P90&lt;=14,12,IF(P90&lt;=17,13,IF(P90&lt;=20,14,IF(P90&lt;=22,15,IF(P90&lt;=25,16,IF(P90&lt;=27,17,IF(P90&lt;=29,18,IF(P90&lt;=32,19,IF(P90&lt;=34,20,IF(P90&lt;=36,21,IF(P90&lt;=40,22,24)))))))))))))</f>
        <v>0</v>
      </c>
      <c r="S90" s="3" t="n">
        <v>26</v>
      </c>
      <c r="T90" s="17" t="n">
        <f aca="false">F90*LOG10(S90+2)</f>
        <v>2.89431606268444</v>
      </c>
    </row>
    <row r="91" customFormat="false" ht="14.65" hidden="false" customHeight="true" outlineLevel="0" collapsed="false">
      <c r="A91" s="13" t="s">
        <v>142</v>
      </c>
      <c r="B91" s="14" t="n">
        <v>39985</v>
      </c>
      <c r="C91" s="15" t="s">
        <v>27</v>
      </c>
      <c r="D91" s="4" t="s">
        <v>70</v>
      </c>
      <c r="E91" s="3" t="n">
        <v>6</v>
      </c>
      <c r="F91" s="3" t="n">
        <v>2</v>
      </c>
      <c r="H91" s="3" t="n">
        <v>37</v>
      </c>
      <c r="I91" s="3" t="n">
        <f aca="false">_xlfn.IFS(G91="взв",11,G91="накл",24,G91="прокл",25,G91="пт",26,G91=90,10,G91=85,10,G91=80,9,G91=75,8,G91=70,8,G91=65,7,G91=60,7,G91=55,6,G91=50,6,G91=45,6,G91=40,5,G91=35,4,G91=30,4,G91=25,3,G91=20,2,G91=15,1,G91=10,1,G91=0,0)</f>
        <v>0</v>
      </c>
      <c r="J91" s="3" t="n">
        <f aca="false">IF(H91&lt;=1,0,IF(H91&lt;=10,11,IF(H91&lt;=14,12,IF(H91&lt;=17,13,IF(H91&lt;=20,14,IF(H91&lt;=22,15,IF(H91&lt;=25,16,IF(H91&lt;=27,17,IF(H91&lt;=29,18,IF(H91&lt;=32,19,IF(H91&lt;=34,20,IF(H91&lt;=36,21,IF(H91&lt;=40,22,24)))))))))))))</f>
        <v>22</v>
      </c>
      <c r="L91" s="3" t="n">
        <v>35</v>
      </c>
      <c r="M91" s="3" t="n">
        <f aca="false">_xlfn.IFS(K91="взв",11,K91="накл",24,K91="прокл",25,K91="пт",26,K91=90,10,K91=85,10,K91=80,9,K91=75,8,K91=70,8,K91=65,7,K91=60,7,K91=55,6,K91=50,6,K91=45,6,K91=40,5,K91=35,4,K91=30,4,K91=25,3,K91=20,2,K91=15,1,K91=10,1,K91=0,0)</f>
        <v>0</v>
      </c>
      <c r="N91" s="3" t="n">
        <f aca="false">IF(L91&lt;=1,0,IF(L91&lt;=10,11,IF(L91&lt;=14,12,IF(L91&lt;=17,13,IF(L91&lt;=20,14,IF(L91&lt;=22,15,IF(L91&lt;=25,16,IF(L91&lt;=27,17,IF(L91&lt;=29,18,IF(L91&lt;=32,19,IF(L91&lt;=34,20,IF(L91&lt;=36,21,IF(L91&lt;=40,22,24)))))))))))))</f>
        <v>21</v>
      </c>
      <c r="P91" s="3" t="n">
        <v>32</v>
      </c>
      <c r="Q91" s="3" t="n">
        <f aca="false">_xlfn.IFS(O91="взв",11,O91="накл",24,O91="прокл",25,O91="пт",26,O91=90,10,O91=85,10,O91=80,9,O91=75,8,O91=70,8,O91=65,7,O91=60,7,O91=55,6,O91=50,6,O91=45,6,O91=40,5,O91=35,4,O91=30,4,O91=25,3,O91=20,2,O91=15,1,O91=10,1,O91=0,0)</f>
        <v>0</v>
      </c>
      <c r="R91" s="3" t="n">
        <f aca="false">IF(P91&lt;=1,0,IF(P91&lt;=10,11,IF(P91&lt;=14,12,IF(P91&lt;=17,13,IF(P91&lt;=20,14,IF(P91&lt;=22,15,IF(P91&lt;=25,16,IF(P91&lt;=27,17,IF(P91&lt;=29,18,IF(P91&lt;=32,19,IF(P91&lt;=34,20,IF(P91&lt;=36,21,IF(P91&lt;=40,22,24)))))))))))))</f>
        <v>19</v>
      </c>
      <c r="S91" s="3" t="n">
        <f aca="false">ROUND((Q91+R91+I91+J91+M91+N91)/3,0)</f>
        <v>21</v>
      </c>
      <c r="T91" s="17" t="n">
        <f aca="false">F91*LOG10(S91+2)</f>
        <v>2.72345567203519</v>
      </c>
    </row>
    <row r="92" customFormat="false" ht="14.65" hidden="false" customHeight="true" outlineLevel="0" collapsed="false">
      <c r="A92" s="13" t="s">
        <v>143</v>
      </c>
      <c r="B92" s="14" t="n">
        <v>39985</v>
      </c>
      <c r="C92" s="15" t="s">
        <v>27</v>
      </c>
      <c r="D92" s="4" t="s">
        <v>70</v>
      </c>
      <c r="E92" s="3" t="n">
        <v>1</v>
      </c>
      <c r="F92" s="3" t="n">
        <v>2</v>
      </c>
      <c r="G92" s="3" t="s">
        <v>81</v>
      </c>
      <c r="H92" s="0"/>
      <c r="I92" s="3" t="n">
        <f aca="false">_xlfn.IFS(G92="взв",11,G92="накл",24,G92="прокл",25,G92="пт",26,G92=90,10,G92=85,10,G92=80,9,G92=75,8,G92=70,8,G92=65,7,G92=60,7,G92=55,6,G92=50,6,G92=45,6,G92=40,5,G92=35,4,G92=30,4,G92=25,3,G92=20,2,G92=15,1,G92=10,1,G92=0,0)</f>
        <v>25</v>
      </c>
      <c r="J92" s="3" t="n">
        <f aca="false">IF(H92&lt;=1,0,IF(H92&lt;=10,11,IF(H92&lt;=14,12,IF(H92&lt;=17,13,IF(H92&lt;=20,14,IF(H92&lt;=22,15,IF(H92&lt;=25,16,IF(H92&lt;=27,17,IF(H92&lt;=29,18,IF(H92&lt;=32,19,IF(H92&lt;=34,20,IF(H92&lt;=36,21,IF(H92&lt;=40,22,24)))))))))))))</f>
        <v>0</v>
      </c>
      <c r="K92" s="3" t="s">
        <v>36</v>
      </c>
      <c r="M92" s="3" t="n">
        <f aca="false">_xlfn.IFS(K92="взв",11,K92="накл",24,K92="прокл",25,K92="пт",26,K92=90,10,K92=85,10,K92=80,9,K92=75,8,K92=70,8,K92=65,7,K92=60,7,K92=55,6,K92=50,6,K92=45,6,K92=40,5,K92=35,4,K92=30,4,K92=25,3,K92=20,2,K92=15,1,K92=10,1,K92=0,0)</f>
        <v>26</v>
      </c>
      <c r="N92" s="3" t="n">
        <f aca="false">IF(L92&lt;=1,0,IF(L92&lt;=10,11,IF(L92&lt;=14,12,IF(L92&lt;=17,13,IF(L92&lt;=20,14,IF(L92&lt;=22,15,IF(L92&lt;=25,16,IF(L92&lt;=27,17,IF(L92&lt;=29,18,IF(L92&lt;=32,19,IF(L92&lt;=34,20,IF(L92&lt;=36,21,IF(L92&lt;=40,22,24)))))))))))))</f>
        <v>0</v>
      </c>
      <c r="O92" s="3" t="s">
        <v>36</v>
      </c>
      <c r="Q92" s="3" t="n">
        <f aca="false">_xlfn.IFS(O92="взв",11,O92="накл",24,O92="прокл",25,O92="пт",26,O92=90,10,O92=85,10,O92=80,9,O92=75,8,O92=70,8,O92=65,7,O92=60,7,O92=55,6,O92=50,6,O92=45,6,O92=40,5,O92=35,4,O92=30,4,O92=25,3,O92=20,2,O92=15,1,O92=10,1,O92=0,0)</f>
        <v>26</v>
      </c>
      <c r="R92" s="3" t="n">
        <f aca="false">IF(P92&lt;=1,0,IF(P92&lt;=10,11,IF(P92&lt;=14,12,IF(P92&lt;=17,13,IF(P92&lt;=20,14,IF(P92&lt;=22,15,IF(P92&lt;=25,16,IF(P92&lt;=27,17,IF(P92&lt;=29,18,IF(P92&lt;=32,19,IF(P92&lt;=34,20,IF(P92&lt;=36,21,IF(P92&lt;=40,22,24)))))))))))))</f>
        <v>0</v>
      </c>
      <c r="S92" s="3" t="n">
        <f aca="false">ROUND((Q92+R92+I92+J92+M92+N92)/3,0)</f>
        <v>26</v>
      </c>
      <c r="T92" s="17" t="n">
        <f aca="false">F92*LOG10(S92+2)</f>
        <v>2.89431606268444</v>
      </c>
    </row>
    <row r="93" customFormat="false" ht="14.65" hidden="false" customHeight="true" outlineLevel="0" collapsed="false">
      <c r="A93" s="13" t="s">
        <v>144</v>
      </c>
      <c r="B93" s="14" t="n">
        <v>39985</v>
      </c>
      <c r="C93" s="15" t="s">
        <v>27</v>
      </c>
      <c r="D93" s="4" t="s">
        <v>70</v>
      </c>
      <c r="E93" s="3" t="n">
        <v>4</v>
      </c>
      <c r="F93" s="3" t="n">
        <v>2</v>
      </c>
      <c r="G93" s="3" t="s">
        <v>43</v>
      </c>
      <c r="H93" s="0"/>
      <c r="I93" s="3" t="n">
        <f aca="false">_xlfn.IFS(G93="взв",11,G93="накл",24,G93="прокл",25,G93="пт",26,G93=90,10,G93=85,10,G93=80,9,G93=75,8,G93=70,8,G93=65,7,G93=60,7,G93=55,6,G93=50,6,G93=45,6,G93=40,5,G93=35,4,G93=30,4,G93=25,3,G93=20,2,G93=15,1,G93=10,1,G93=0,0)</f>
        <v>24</v>
      </c>
      <c r="J93" s="3" t="n">
        <f aca="false">IF(G93&lt;=1,0,IF(G93&lt;=10,11,IF(G93&lt;=14,12,IF(G93&lt;=17,13,IF(G93&lt;=20,14,IF(G93&lt;=22,15,IF(G93&lt;=25,16,IF(G93&lt;=27,17,IF(G93&lt;=29,18,IF(G93&lt;=32,19,IF(G93&lt;=34,20,IF(G93&lt;=36,21,IF(G93&lt;=40,22,24)))))))))))))</f>
        <v>24</v>
      </c>
      <c r="K93" s="3" t="s">
        <v>43</v>
      </c>
      <c r="M93" s="3" t="n">
        <f aca="false">_xlfn.IFS(K93="взв",11,K93="накл",24,K93="прокл",25,K93="пт",26,K93=90,10,K93=85,10,K93=80,9,K93=75,8,K93=70,8,K93=65,7,K93=60,7,K93=55,6,K93=50,6,K93=45,6,K93=40,5,K93=35,4,K93=30,4,K93=25,3,K93=20,2,K93=15,1,K93=10,1,K93=0,0)</f>
        <v>24</v>
      </c>
      <c r="N93" s="3" t="n">
        <f aca="false">IF(L93&lt;=1,0,IF(L93&lt;=10,11,IF(L93&lt;=14,12,IF(L93&lt;=17,13,IF(L93&lt;=20,14,IF(L93&lt;=22,15,IF(L93&lt;=25,16,IF(L93&lt;=27,17,IF(L93&lt;=29,18,IF(L93&lt;=32,19,IF(L93&lt;=34,20,IF(L93&lt;=36,21,IF(L93&lt;=40,22,24)))))))))))))</f>
        <v>0</v>
      </c>
      <c r="O93" s="3" t="s">
        <v>43</v>
      </c>
      <c r="Q93" s="3" t="n">
        <f aca="false">_xlfn.IFS(O93="взв",11,O93="накл",24,O93="прокл",25,O93="пт",26,O93=90,10,O93=85,10,O93=80,9,O93=75,8,O93=70,8,O93=65,7,O93=60,7,O93=55,6,O93=50,6,O93=45,6,O93=40,5,O93=35,4,O93=30,4,O93=25,3,O93=20,2,O93=15,1,O93=10,1,O93=0,0)</f>
        <v>24</v>
      </c>
      <c r="R93" s="3" t="n">
        <f aca="false">IF(P93&lt;=1,0,IF(P93&lt;=10,11,IF(P93&lt;=14,12,IF(P93&lt;=17,13,IF(P93&lt;=20,14,IF(P93&lt;=22,15,IF(P93&lt;=25,16,IF(P93&lt;=27,17,IF(P93&lt;=29,18,IF(P93&lt;=32,19,IF(P93&lt;=34,20,IF(P93&lt;=36,21,IF(P93&lt;=40,22,24)))))))))))))</f>
        <v>0</v>
      </c>
      <c r="S93" s="3" t="n">
        <f aca="false">ROUND((Q93+R93+I93+J93+M93+N93)/3,0)</f>
        <v>32</v>
      </c>
      <c r="T93" s="17" t="n">
        <f aca="false">F93*LOG10(S93+2)</f>
        <v>3.06295783408451</v>
      </c>
    </row>
    <row r="94" customFormat="false" ht="14.65" hidden="false" customHeight="true" outlineLevel="0" collapsed="false">
      <c r="A94" s="13" t="s">
        <v>145</v>
      </c>
      <c r="B94" s="14" t="n">
        <v>39985</v>
      </c>
      <c r="C94" s="15" t="s">
        <v>27</v>
      </c>
      <c r="D94" s="4" t="s">
        <v>70</v>
      </c>
      <c r="E94" s="3" t="n">
        <v>4</v>
      </c>
      <c r="F94" s="3" t="n">
        <v>2</v>
      </c>
      <c r="H94" s="3" t="n">
        <v>40</v>
      </c>
      <c r="I94" s="3" t="n">
        <f aca="false">_xlfn.IFS(G94="взв",11,G94="накл",24,G94="прокл",25,G94="пт",26,G94=90,10,G94=85,10,G94=80,9,G94=75,8,G94=70,8,G94=65,7,G94=60,7,G94=55,6,G94=50,6,G94=45,6,G94=40,5,G94=35,4,G94=30,4,G94=25,3,G94=20,2,G94=15,1,G94=10,1,G94=0,0)</f>
        <v>0</v>
      </c>
      <c r="J94" s="3" t="n">
        <f aca="false">IF(H94&lt;=1,0,IF(H94&lt;=10,11,IF(H94&lt;=14,12,IF(H94&lt;=17,13,IF(H94&lt;=20,14,IF(H94&lt;=22,15,IF(H94&lt;=25,16,IF(H94&lt;=27,17,IF(H94&lt;=29,18,IF(H94&lt;=32,19,IF(H94&lt;=34,20,IF(H94&lt;=36,21,IF(H94&lt;=40,22,24)))))))))))))</f>
        <v>22</v>
      </c>
      <c r="L94" s="3" t="n">
        <v>41</v>
      </c>
      <c r="M94" s="3" t="n">
        <f aca="false">_xlfn.IFS(K94="взв",11,K94="накл",24,K94="прокл",25,K94="пт",26,K94=90,10,K94=85,10,K94=80,9,K94=75,8,K94=70,8,K94=65,7,K94=60,7,K94=55,6,K94=50,6,K94=45,6,K94=40,5,K94=35,4,K94=30,4,K94=25,3,K94=20,2,K94=15,1,K94=10,1,K94=0,0)</f>
        <v>0</v>
      </c>
      <c r="N94" s="3" t="n">
        <f aca="false">IF(L94&lt;=1,0,IF(L94&lt;=10,11,IF(L94&lt;=14,12,IF(L94&lt;=17,13,IF(L94&lt;=20,14,IF(L94&lt;=22,15,IF(L94&lt;=25,16,IF(L94&lt;=27,17,IF(L94&lt;=29,18,IF(L94&lt;=32,19,IF(L94&lt;=34,20,IF(L94&lt;=36,21,IF(L94&lt;=40,22,24)))))))))))))</f>
        <v>24</v>
      </c>
      <c r="P94" s="3" t="n">
        <v>38</v>
      </c>
      <c r="Q94" s="3" t="n">
        <f aca="false">_xlfn.IFS(O94="взв",11,O94="накл",24,O94="прокл",25,O94="пт",26,O94=90,10,O94=85,10,O94=80,9,O94=75,8,O94=70,8,O94=65,7,O94=60,7,O94=55,6,O94=50,6,O94=45,6,O94=40,5,O94=35,4,O94=30,4,O94=25,3,O94=20,2,O94=15,1,O94=10,1,O94=0,0)</f>
        <v>0</v>
      </c>
      <c r="R94" s="3" t="n">
        <f aca="false">IF(P94&lt;=1,0,IF(P94&lt;=10,11,IF(P94&lt;=14,12,IF(P94&lt;=17,13,IF(P94&lt;=20,14,IF(P94&lt;=22,15,IF(P94&lt;=25,16,IF(P94&lt;=27,17,IF(P94&lt;=29,18,IF(P94&lt;=32,19,IF(P94&lt;=34,20,IF(P94&lt;=36,21,IF(P94&lt;=40,22,24)))))))))))))</f>
        <v>22</v>
      </c>
      <c r="S94" s="3" t="n">
        <f aca="false">ROUND((Q94+R94+I94+J94+M94+N94)/3,0)</f>
        <v>23</v>
      </c>
      <c r="T94" s="17" t="n">
        <f aca="false">F94*LOG10(S94+2)</f>
        <v>2.79588001734408</v>
      </c>
    </row>
    <row r="95" customFormat="false" ht="14.65" hidden="false" customHeight="true" outlineLevel="0" collapsed="false">
      <c r="A95" s="13" t="s">
        <v>146</v>
      </c>
      <c r="B95" s="14" t="n">
        <v>39985</v>
      </c>
      <c r="C95" s="15" t="s">
        <v>27</v>
      </c>
      <c r="D95" s="4" t="s">
        <v>70</v>
      </c>
      <c r="E95" s="3" t="n">
        <v>5</v>
      </c>
      <c r="F95" s="3" t="n">
        <v>2</v>
      </c>
      <c r="G95" s="3" t="s">
        <v>43</v>
      </c>
      <c r="H95" s="0"/>
      <c r="I95" s="3" t="n">
        <f aca="false">_xlfn.IFS(G95="взв",11,G95="накл",24,G95="прокл",25,G95="пт",26,G95=90,10,G95=85,10,G95=80,9,G95=75,8,G95=70,8,G95=65,7,G95=60,7,G95=55,6,G95=50,6,G95=45,6,G95=40,5,G95=35,4,G95=30,4,G95=25,3,G95=20,2,G95=15,1,G95=10,1,G95=0,0)</f>
        <v>24</v>
      </c>
      <c r="J95" s="3" t="n">
        <f aca="false">IF(H95&lt;=1,0,IF(H95&lt;=10,11,IF(H95&lt;=14,12,IF(H95&lt;=17,13,IF(H95&lt;=20,14,IF(H95&lt;=22,15,IF(H95&lt;=25,16,IF(H95&lt;=27,17,IF(H95&lt;=29,18,IF(H95&lt;=32,19,IF(H95&lt;=34,20,IF(H95&lt;=36,21,IF(H95&lt;=40,22,24)))))))))))))</f>
        <v>0</v>
      </c>
      <c r="K95" s="3" t="s">
        <v>43</v>
      </c>
      <c r="L95" s="0"/>
      <c r="M95" s="3" t="n">
        <f aca="false">_xlfn.IFS(K95="взв",11,K95="накл",24,K95="прокл",25,K95="пт",26,K95=90,10,K95=85,10,K95=80,9,K95=75,8,K95=70,8,K95=65,7,K95=60,7,K95=55,6,K95=50,6,K95=45,6,K95=40,5,K95=35,4,K95=30,4,K95=25,3,K95=20,2,K95=15,1,K95=10,1,K95=0,0)</f>
        <v>24</v>
      </c>
      <c r="N95" s="3" t="n">
        <f aca="false">IF(L95&lt;=1,0,IF(L95&lt;=10,11,IF(L95&lt;=14,12,IF(L95&lt;=17,13,IF(L95&lt;=20,14,IF(L95&lt;=22,15,IF(L95&lt;=25,16,IF(L95&lt;=27,17,IF(L95&lt;=29,18,IF(L95&lt;=32,19,IF(L95&lt;=34,20,IF(L95&lt;=36,21,IF(L95&lt;=40,22,24)))))))))))))</f>
        <v>0</v>
      </c>
      <c r="O95" s="3" t="s">
        <v>43</v>
      </c>
      <c r="P95" s="0"/>
      <c r="Q95" s="3" t="n">
        <f aca="false">_xlfn.IFS(O95="взв",11,O95="накл",24,O95="прокл",25,O95="пт",26,O95=90,10,O95=85,10,O95=80,9,O95=75,8,O95=70,8,O95=65,7,O95=60,7,O95=55,6,O95=50,6,O95=45,6,O95=40,5,O95=35,4,O95=30,4,O95=25,3,O95=20,2,O95=15,1,O95=10,1,O95=0,0)</f>
        <v>24</v>
      </c>
      <c r="R95" s="3" t="n">
        <f aca="false">IF(P95&lt;=1,0,IF(P95&lt;=10,11,IF(P95&lt;=14,12,IF(P95&lt;=17,13,IF(P95&lt;=20,14,IF(P95&lt;=22,15,IF(P95&lt;=25,16,IF(P95&lt;=27,17,IF(P95&lt;=29,18,IF(P95&lt;=32,19,IF(P95&lt;=34,20,IF(P95&lt;=36,21,IF(P95&lt;=40,22,24)))))))))))))</f>
        <v>0</v>
      </c>
      <c r="S95" s="3" t="n">
        <f aca="false">ROUND((Q95+R95+I95+J95+M95+N95)/3,0)</f>
        <v>24</v>
      </c>
      <c r="T95" s="17" t="n">
        <f aca="false">F95*LOG10(S95+2)</f>
        <v>2.82994669594164</v>
      </c>
    </row>
    <row r="96" customFormat="false" ht="14.65" hidden="false" customHeight="true" outlineLevel="0" collapsed="false">
      <c r="A96" s="13" t="s">
        <v>147</v>
      </c>
      <c r="B96" s="14" t="n">
        <v>39985</v>
      </c>
      <c r="C96" s="15" t="s">
        <v>27</v>
      </c>
      <c r="D96" s="4" t="s">
        <v>31</v>
      </c>
      <c r="E96" s="3" t="n">
        <v>6</v>
      </c>
      <c r="F96" s="3" t="n">
        <v>2</v>
      </c>
      <c r="G96" s="3" t="s">
        <v>43</v>
      </c>
      <c r="H96" s="0"/>
      <c r="I96" s="3" t="n">
        <f aca="false">_xlfn.IFS(G96="взв",11,G96="накл",24,G96="прокл",25,G96="пт",26,G96=90,10,G96=85,10,G96=80,9,G96=75,8,G96=70,8,G96=65,7,G96=60,7,G96=55,6,G96=50,6,G96=45,6,G96=40,5,G96=35,4,G96=30,4,G96=25,3,G96=20,2,G96=15,1,G96=10,1,G96=0,0)</f>
        <v>24</v>
      </c>
      <c r="J96" s="3" t="n">
        <f aca="false">IF(H96&lt;=1,0,IF(H96&lt;=10,11,IF(H96&lt;=14,12,IF(H96&lt;=17,13,IF(H96&lt;=20,14,IF(H96&lt;=22,15,IF(H96&lt;=25,16,IF(H96&lt;=27,17,IF(H96&lt;=29,18,IF(H96&lt;=32,19,IF(H96&lt;=34,20,IF(H96&lt;=36,21,IF(H96&lt;=40,22,24)))))))))))))</f>
        <v>0</v>
      </c>
      <c r="K96" s="3" t="s">
        <v>43</v>
      </c>
      <c r="L96" s="0"/>
      <c r="M96" s="3" t="n">
        <f aca="false">_xlfn.IFS(K96="взв",11,K96="накл",24,K96="прокл",25,K96="пт",26,K96=90,10,K96=85,10,K96=80,9,K96=75,8,K96=70,8,K96=65,7,K96=60,7,K96=55,6,K96=50,6,K96=45,6,K96=40,5,K96=35,4,K96=30,4,K96=25,3,K96=20,2,K96=15,1,K96=10,1,K96=0,0)</f>
        <v>24</v>
      </c>
      <c r="N96" s="3" t="n">
        <f aca="false">IF(L96&lt;=1,0,IF(L96&lt;=10,11,IF(L96&lt;=14,12,IF(L96&lt;=17,13,IF(L96&lt;=20,14,IF(L96&lt;=22,15,IF(L96&lt;=25,16,IF(L96&lt;=27,17,IF(L96&lt;=29,18,IF(L96&lt;=32,19,IF(L96&lt;=34,20,IF(L96&lt;=36,21,IF(L96&lt;=40,22,24)))))))))))))</f>
        <v>0</v>
      </c>
      <c r="O96" s="3" t="s">
        <v>43</v>
      </c>
      <c r="P96" s="0"/>
      <c r="Q96" s="3" t="n">
        <f aca="false">_xlfn.IFS(O96="взв",11,O96="накл",24,O96="прокл",25,O96="пт",26,O96=90,10,O96=85,10,O96=80,9,O96=75,8,O96=70,8,O96=65,7,O96=60,7,O96=55,6,O96=50,6,O96=45,6,O96=40,5,O96=35,4,O96=30,4,O96=25,3,O96=20,2,O96=15,1,O96=10,1,O96=0,0)</f>
        <v>24</v>
      </c>
      <c r="R96" s="3" t="n">
        <f aca="false">IF(P96&lt;=1,0,IF(P96&lt;=10,11,IF(P96&lt;=14,12,IF(P96&lt;=17,13,IF(P96&lt;=20,14,IF(P96&lt;=22,15,IF(P96&lt;=25,16,IF(P96&lt;=27,17,IF(P96&lt;=29,18,IF(P96&lt;=32,19,IF(P96&lt;=34,20,IF(P96&lt;=36,21,IF(P96&lt;=40,22,24)))))))))))))</f>
        <v>0</v>
      </c>
      <c r="S96" s="3" t="n">
        <f aca="false">ROUND((Q96+R96+I96+J96+M96+N96)/3,0)</f>
        <v>24</v>
      </c>
      <c r="T96" s="17" t="n">
        <f aca="false">F96*LOG10(S96+2)</f>
        <v>2.82994669594164</v>
      </c>
    </row>
    <row r="97" customFormat="false" ht="14.65" hidden="false" customHeight="true" outlineLevel="0" collapsed="false">
      <c r="A97" s="13" t="s">
        <v>148</v>
      </c>
      <c r="B97" s="14" t="n">
        <v>39985</v>
      </c>
      <c r="C97" s="15" t="s">
        <v>27</v>
      </c>
      <c r="D97" s="4" t="s">
        <v>31</v>
      </c>
      <c r="E97" s="3" t="n">
        <v>7</v>
      </c>
      <c r="F97" s="3" t="n">
        <v>2</v>
      </c>
      <c r="G97" s="3" t="s">
        <v>72</v>
      </c>
      <c r="I97" s="3" t="n">
        <f aca="false">_xlfn.IFS(G97="взв",11,G97="накл",24,G97="прокл",25,G97="пт",26,G97=90,10,G97=85,10,G97=80,9,G97=75,8,G97=70,8,G97=65,7,G97=60,7,G97=55,6,G97=50,6,G97=45,6,G97=40,5,G97=35,4,G97=30,4,G97=25,3,G97=20,2,G97=15,1,G97=10,1,G97=0,0)</f>
        <v>11</v>
      </c>
      <c r="J97" s="3" t="n">
        <f aca="false">IF(H97&lt;=1,0,IF(H97&lt;=10,11,IF(H97&lt;=14,12,IF(H97&lt;=17,13,IF(H97&lt;=20,14,IF(H97&lt;=22,15,IF(H97&lt;=25,16,IF(H97&lt;=27,17,IF(H97&lt;=29,18,IF(H97&lt;=32,19,IF(H97&lt;=34,20,IF(H97&lt;=36,21,IF(H97&lt;=40,22,24)))))))))))))</f>
        <v>0</v>
      </c>
      <c r="K97" s="3" t="n">
        <v>90</v>
      </c>
      <c r="M97" s="3" t="n">
        <f aca="false">_xlfn.IFS(K97="взв",11,K97="накл",24,K97="прокл",25,K97="пт",26,K97=90,10,K97=85,10,K97=80,9,K97=75,8,K97=70,8,K97=65,7,K97=60,7,K97=55,6,K97=50,6,K97=45,6,K97=40,5,K97=35,4,K97=30,4,K97=25,3,K97=20,2,K97=15,1,K97=10,1,K97=0,0)</f>
        <v>10</v>
      </c>
      <c r="N97" s="3" t="n">
        <f aca="false">IF(L97&lt;=1,0,IF(L97&lt;=10,11,IF(L97&lt;=14,12,IF(L97&lt;=17,13,IF(L97&lt;=20,14,IF(L97&lt;=22,15,IF(L97&lt;=25,16,IF(L97&lt;=27,17,IF(L97&lt;=29,18,IF(L97&lt;=32,19,IF(L97&lt;=34,20,IF(L97&lt;=36,21,IF(L97&lt;=40,22,24)))))))))))))</f>
        <v>0</v>
      </c>
      <c r="O97" s="3" t="n">
        <v>90</v>
      </c>
      <c r="Q97" s="3" t="n">
        <f aca="false">_xlfn.IFS(O97="взв",11,O97="накл",24,O97="прокл",25,O97="пт",26,O97=90,10,O97=85,10,O97=80,9,O97=75,8,O97=70,8,O97=65,7,O97=60,7,O97=55,6,O97=50,6,O97=45,6,O97=40,5,O97=35,4,O97=30,4,O97=25,3,O97=20,2,O97=15,1,O97=10,1,O97=0,0)</f>
        <v>10</v>
      </c>
      <c r="R97" s="3" t="n">
        <f aca="false">IF(P97&lt;=1,0,IF(P97&lt;=10,11,IF(P97&lt;=14,12,IF(P97&lt;=17,13,IF(P97&lt;=20,14,IF(P97&lt;=22,15,IF(P97&lt;=25,16,IF(P97&lt;=27,17,IF(P97&lt;=29,18,IF(P97&lt;=32,19,IF(P97&lt;=34,20,IF(P97&lt;=36,21,IF(P97&lt;=40,22,24)))))))))))))</f>
        <v>0</v>
      </c>
      <c r="S97" s="3" t="n">
        <f aca="false">ROUND((Q97+R97+I97+J97+M97+N97)/3,0)</f>
        <v>10</v>
      </c>
      <c r="T97" s="17" t="n">
        <f aca="false">F97*LOG10(S97+2)</f>
        <v>2.15836249209525</v>
      </c>
    </row>
    <row r="98" customFormat="false" ht="14.65" hidden="false" customHeight="true" outlineLevel="0" collapsed="false">
      <c r="A98" s="13" t="s">
        <v>149</v>
      </c>
      <c r="B98" s="14" t="n">
        <v>39985</v>
      </c>
      <c r="C98" s="15" t="s">
        <v>27</v>
      </c>
      <c r="D98" s="4" t="s">
        <v>31</v>
      </c>
      <c r="E98" s="3" t="n">
        <v>6</v>
      </c>
      <c r="F98" s="3" t="n">
        <v>2</v>
      </c>
      <c r="G98" s="3" t="n">
        <v>45</v>
      </c>
      <c r="I98" s="3" t="n">
        <f aca="false">_xlfn.IFS(G98="взв",11,G98="накл",24,G98="прокл",25,G98="пт",26,G98=90,10,G98=85,10,G98=80,9,G98=75,8,G98=70,8,G98=65,7,G98=60,7,G98=55,6,G98=50,6,G98=45,6,G98=40,5,G98=35,4,G98=30,4,G98=25,3,G98=20,2,G98=15,1,G98=10,1,G98=0,0)</f>
        <v>6</v>
      </c>
      <c r="J98" s="3" t="n">
        <f aca="false">IF(H98&lt;=1,0,IF(H98&lt;=10,11,IF(H98&lt;=14,12,IF(H98&lt;=17,13,IF(H98&lt;=20,14,IF(H98&lt;=22,15,IF(H98&lt;=25,16,IF(H98&lt;=27,17,IF(H98&lt;=29,18,IF(H98&lt;=32,19,IF(H98&lt;=34,20,IF(H98&lt;=36,21,IF(H98&lt;=40,22,24)))))))))))))</f>
        <v>0</v>
      </c>
      <c r="K98" s="3" t="n">
        <v>45</v>
      </c>
      <c r="M98" s="3" t="n">
        <f aca="false">_xlfn.IFS(K98="взв",11,K98="накл",24,K98="прокл",25,K98="пт",26,K98=90,10,K98=85,10,K98=80,9,K98=75,8,K98=70,8,K98=65,7,K98=60,7,K98=55,6,K98=50,6,K98=45,6,K98=40,5,K98=35,4,K98=30,4,K98=25,3,K98=20,2,K98=15,1,K98=10,1,K98=0,0)</f>
        <v>6</v>
      </c>
      <c r="N98" s="3" t="n">
        <f aca="false">IF(L98&lt;=1,0,IF(L98&lt;=10,11,IF(L98&lt;=14,12,IF(L98&lt;=17,13,IF(L98&lt;=20,14,IF(L98&lt;=22,15,IF(L98&lt;=25,16,IF(L98&lt;=27,17,IF(L98&lt;=29,18,IF(L98&lt;=32,19,IF(L98&lt;=34,20,IF(L98&lt;=36,21,IF(L98&lt;=40,22,24)))))))))))))</f>
        <v>0</v>
      </c>
      <c r="O98" s="3" t="n">
        <v>45</v>
      </c>
      <c r="Q98" s="3" t="n">
        <f aca="false">_xlfn.IFS(O98="взв",11,O98="накл",24,O98="прокл",25,O98="пт",26,O98=90,10,O98=85,10,O98=80,9,O98=75,8,O98=70,8,O98=65,7,O98=60,7,O98=55,6,O98=50,6,O98=45,6,O98=40,5,O98=35,4,O98=30,4,O98=25,3,O98=20,2,O98=15,1,O98=10,1,O98=0,0)</f>
        <v>6</v>
      </c>
      <c r="R98" s="3" t="n">
        <f aca="false">IF(P98&lt;=1,0,IF(P98&lt;=10,11,IF(P98&lt;=14,12,IF(P98&lt;=17,13,IF(P98&lt;=20,14,IF(P98&lt;=22,15,IF(P98&lt;=25,16,IF(P98&lt;=27,17,IF(P98&lt;=29,18,IF(P98&lt;=32,19,IF(P98&lt;=34,20,IF(P98&lt;=36,21,IF(P98&lt;=40,22,24)))))))))))))</f>
        <v>0</v>
      </c>
      <c r="S98" s="3" t="n">
        <f aca="false">ROUND((Q98+R98+I98+J98+M98+N98)/3,0)</f>
        <v>6</v>
      </c>
      <c r="T98" s="17" t="n">
        <f aca="false">F98*LOG10(S98+2)</f>
        <v>1.80617997398389</v>
      </c>
    </row>
    <row r="99" customFormat="false" ht="14.65" hidden="false" customHeight="true" outlineLevel="0" collapsed="false">
      <c r="A99" s="13" t="s">
        <v>150</v>
      </c>
      <c r="B99" s="14" t="n">
        <v>39985</v>
      </c>
      <c r="C99" s="15" t="s">
        <v>27</v>
      </c>
      <c r="D99" s="4" t="s">
        <v>31</v>
      </c>
      <c r="E99" s="3" t="n">
        <v>4</v>
      </c>
      <c r="F99" s="3" t="n">
        <v>2</v>
      </c>
      <c r="H99" s="3" t="n">
        <v>37</v>
      </c>
      <c r="I99" s="3" t="n">
        <f aca="false">_xlfn.IFS(G99="взв",11,G99="накл",24,G99="прокл",25,G99="пт",26,G99=90,10,G99=85,10,G99=80,9,G99=75,8,G99=70,8,G99=65,7,G99=60,7,G99=55,6,G99=50,6,G99=45,6,G99=40,5,G99=35,4,G99=30,4,G99=25,3,G99=20,2,G99=15,1,G99=10,1,G99=0,0)</f>
        <v>0</v>
      </c>
      <c r="J99" s="3" t="n">
        <f aca="false">IF(H99&lt;=1,0,IF(H99&lt;=10,11,IF(H99&lt;=14,12,IF(H99&lt;=17,13,IF(H99&lt;=20,14,IF(H99&lt;=22,15,IF(H99&lt;=25,16,IF(H99&lt;=27,17,IF(H99&lt;=29,18,IF(H99&lt;=32,19,IF(H99&lt;=34,20,IF(H99&lt;=36,21,IF(H99&lt;=40,22,24)))))))))))))</f>
        <v>22</v>
      </c>
      <c r="L99" s="3" t="n">
        <v>36</v>
      </c>
      <c r="M99" s="3" t="n">
        <f aca="false">_xlfn.IFS(K99="взв",11,K99="накл",24,K99="прокл",25,K99="пт",26,K99=90,10,K99=85,10,K99=80,9,K99=75,8,K99=70,8,K99=65,7,K99=60,7,K99=55,6,K99=50,6,K99=45,6,K99=40,5,K99=35,4,K99=30,4,K99=25,3,K99=20,2,K99=15,1,K99=10,1,K99=0,0)</f>
        <v>0</v>
      </c>
      <c r="N99" s="3" t="n">
        <f aca="false">IF(L99&lt;=1,0,IF(L99&lt;=10,11,IF(L99&lt;=14,12,IF(L99&lt;=17,13,IF(L99&lt;=20,14,IF(L99&lt;=22,15,IF(L99&lt;=25,16,IF(L99&lt;=27,17,IF(L99&lt;=29,18,IF(L99&lt;=32,19,IF(L99&lt;=34,20,IF(L99&lt;=36,21,IF(L99&lt;=40,22,24)))))))))))))</f>
        <v>21</v>
      </c>
      <c r="P99" s="3" t="n">
        <v>38</v>
      </c>
      <c r="Q99" s="3" t="n">
        <f aca="false">_xlfn.IFS(O99="взв",11,O99="накл",24,O99="прокл",25,O99="пт",26,O99=90,10,O99=85,10,O99=80,9,O99=75,8,O99=70,8,O99=65,7,O99=60,7,O99=55,6,O99=50,6,O99=45,6,O99=40,5,O99=35,4,O99=30,4,O99=25,3,O99=20,2,O99=15,1,O99=10,1,O99=0,0)</f>
        <v>0</v>
      </c>
      <c r="R99" s="3" t="n">
        <f aca="false">IF(P99&lt;=1,0,IF(P99&lt;=10,11,IF(P99&lt;=14,12,IF(P99&lt;=17,13,IF(P99&lt;=20,14,IF(P99&lt;=22,15,IF(P99&lt;=25,16,IF(P99&lt;=27,17,IF(P99&lt;=29,18,IF(P99&lt;=32,19,IF(P99&lt;=34,20,IF(P99&lt;=36,21,IF(P99&lt;=40,22,24)))))))))))))</f>
        <v>22</v>
      </c>
      <c r="S99" s="3" t="n">
        <f aca="false">ROUND((Q99+R99+I99+J99+M99+N99)/3,0)</f>
        <v>22</v>
      </c>
      <c r="T99" s="17" t="n">
        <f aca="false">F99*LOG10(S99+2)</f>
        <v>2.76042248342321</v>
      </c>
    </row>
    <row r="100" customFormat="false" ht="14.65" hidden="false" customHeight="true" outlineLevel="0" collapsed="false">
      <c r="A100" s="13" t="s">
        <v>151</v>
      </c>
      <c r="B100" s="14" t="n">
        <v>39985</v>
      </c>
      <c r="C100" s="15" t="s">
        <v>27</v>
      </c>
      <c r="D100" s="4" t="s">
        <v>31</v>
      </c>
      <c r="E100" s="3" t="n">
        <v>5</v>
      </c>
      <c r="F100" s="3" t="n">
        <v>2</v>
      </c>
      <c r="H100" s="3" t="n">
        <v>33</v>
      </c>
      <c r="I100" s="3" t="n">
        <f aca="false">_xlfn.IFS(G100="взв",11,G100="накл",24,G100="прокл",25,G100="пт",26,G100=90,10,G100=85,10,G100=80,9,G100=75,8,G100=70,8,G100=65,7,G100=60,7,G100=55,6,G100=50,6,G100=45,6,G100=40,5,G100=35,4,G100=30,4,G100=25,3,G100=20,2,G100=15,1,G100=10,1,G100=0,0)</f>
        <v>0</v>
      </c>
      <c r="J100" s="3" t="n">
        <f aca="false">IF(H100&lt;=1,0,IF(H100&lt;=10,11,IF(H100&lt;=14,12,IF(H100&lt;=17,13,IF(H100&lt;=20,14,IF(H100&lt;=22,15,IF(H100&lt;=25,16,IF(H100&lt;=27,17,IF(H100&lt;=29,18,IF(H100&lt;=32,19,IF(H100&lt;=34,20,IF(H100&lt;=36,21,IF(H100&lt;=40,22,24)))))))))))))</f>
        <v>20</v>
      </c>
      <c r="L100" s="3" t="n">
        <v>31</v>
      </c>
      <c r="M100" s="3" t="n">
        <f aca="false">_xlfn.IFS(K100="взв",11,K100="накл",24,K100="прокл",25,K100="пт",26,K100=90,10,K100=85,10,K100=80,9,K100=75,8,K100=70,8,K100=65,7,K100=60,7,K100=55,6,K100=50,6,K100=45,6,K100=40,5,K100=35,4,K100=30,4,K100=25,3,K100=20,2,K100=15,1,K100=10,1,K100=0,0)</f>
        <v>0</v>
      </c>
      <c r="N100" s="3" t="n">
        <f aca="false">IF(L100&lt;=1,0,IF(L100&lt;=10,11,IF(L100&lt;=14,12,IF(L100&lt;=17,13,IF(L100&lt;=20,14,IF(L100&lt;=22,15,IF(L100&lt;=25,16,IF(L100&lt;=27,17,IF(L100&lt;=29,18,IF(L100&lt;=32,19,IF(L100&lt;=34,20,IF(L100&lt;=36,21,IF(L100&lt;=40,22,24)))))))))))))</f>
        <v>19</v>
      </c>
      <c r="P100" s="3" t="n">
        <v>32</v>
      </c>
      <c r="Q100" s="3" t="n">
        <f aca="false">_xlfn.IFS(O100="взв",11,O100="накл",24,O100="прокл",25,O100="пт",26,O100=90,10,O100=85,10,O100=80,9,O100=75,8,O100=70,8,O100=65,7,O100=60,7,O100=55,6,O100=50,6,O100=45,6,O100=40,5,O100=35,4,O100=30,4,O100=25,3,O100=20,2,O100=15,1,O100=10,1,O100=0,0)</f>
        <v>0</v>
      </c>
      <c r="R100" s="3" t="n">
        <f aca="false">IF(P100&lt;=1,0,IF(P100&lt;=10,11,IF(P100&lt;=14,12,IF(P100&lt;=17,13,IF(P100&lt;=20,14,IF(P100&lt;=22,15,IF(P100&lt;=25,16,IF(P100&lt;=27,17,IF(P100&lt;=29,18,IF(P100&lt;=32,19,IF(P100&lt;=34,20,IF(P100&lt;=36,21,IF(P100&lt;=40,22,24)))))))))))))</f>
        <v>19</v>
      </c>
      <c r="S100" s="3" t="n">
        <f aca="false">ROUND((Q100+R100+I100+J100+M100+N100)/3,0)</f>
        <v>19</v>
      </c>
      <c r="T100" s="17" t="n">
        <f aca="false">F100*LOG10(S100+2)</f>
        <v>2.64443858946784</v>
      </c>
    </row>
    <row r="101" customFormat="false" ht="14.65" hidden="false" customHeight="true" outlineLevel="0" collapsed="false">
      <c r="A101" s="13" t="s">
        <v>152</v>
      </c>
      <c r="B101" s="14" t="n">
        <v>39985</v>
      </c>
      <c r="C101" s="15" t="s">
        <v>27</v>
      </c>
      <c r="D101" s="4" t="s">
        <v>31</v>
      </c>
      <c r="E101" s="3" t="n">
        <v>5</v>
      </c>
      <c r="F101" s="3" t="n">
        <v>2</v>
      </c>
      <c r="G101" s="3" t="s">
        <v>43</v>
      </c>
      <c r="I101" s="3" t="n">
        <f aca="false">_xlfn.IFS(G101="взв",11,G101="накл",24,G101="прокл",25,G101="пт",26,G101=90,10,G101=85,10,G101=80,9,G101=75,8,G101=70,8,G101=65,7,G101=60,7,G101=55,6,G101=50,6,G101=45,6,G101=40,5,G101=35,4,G101=30,4,G101=25,3,G101=20,2,G101=15,1,G101=10,1,G101=0,0)</f>
        <v>24</v>
      </c>
      <c r="J101" s="3" t="n">
        <f aca="false">IF(H101&lt;=1,0,IF(H101&lt;=10,11,IF(H101&lt;=14,12,IF(H101&lt;=17,13,IF(H101&lt;=20,14,IF(H101&lt;=22,15,IF(H101&lt;=25,16,IF(H101&lt;=27,17,IF(H101&lt;=29,18,IF(H101&lt;=32,19,IF(H101&lt;=34,20,IF(H101&lt;=36,21,IF(H101&lt;=40,22,24)))))))))))))</f>
        <v>0</v>
      </c>
      <c r="K101" s="3" t="s">
        <v>43</v>
      </c>
      <c r="M101" s="3" t="n">
        <f aca="false">_xlfn.IFS(K101="взв",11,K101="накл",24,K101="прокл",25,K101="пт",26,K101=90,10,K101=85,10,K101=80,9,K101=75,8,K101=70,8,K101=65,7,K101=60,7,K101=55,6,K101=50,6,K101=45,6,K101=40,5,K101=35,4,K101=30,4,K101=25,3,K101=20,2,K101=15,1,K101=10,1,K101=0,0)</f>
        <v>24</v>
      </c>
      <c r="N101" s="3" t="n">
        <f aca="false">IF(L101&lt;=1,0,IF(L101&lt;=10,11,IF(L101&lt;=14,12,IF(L101&lt;=17,13,IF(L101&lt;=20,14,IF(L101&lt;=22,15,IF(L101&lt;=25,16,IF(L101&lt;=27,17,IF(L101&lt;=29,18,IF(L101&lt;=32,19,IF(L101&lt;=34,20,IF(L101&lt;=36,21,IF(L101&lt;=40,22,24)))))))))))))</f>
        <v>0</v>
      </c>
      <c r="O101" s="3" t="s">
        <v>43</v>
      </c>
      <c r="Q101" s="3" t="n">
        <f aca="false">_xlfn.IFS(O101="взв",11,O101="накл",24,O101="прокл",25,O101="пт",26,O101=90,10,O101=85,10,O101=80,9,O101=75,8,O101=70,8,O101=65,7,O101=60,7,O101=55,6,O101=50,6,O101=45,6,O101=40,5,O101=35,4,O101=30,4,O101=25,3,O101=20,2,O101=15,1,O101=10,1,O101=0,0)</f>
        <v>24</v>
      </c>
      <c r="R101" s="3" t="n">
        <f aca="false">IF(P101&lt;=1,0,IF(P101&lt;=10,11,IF(P101&lt;=14,12,IF(P101&lt;=17,13,IF(P101&lt;=20,14,IF(P101&lt;=22,15,IF(P101&lt;=25,16,IF(P101&lt;=27,17,IF(P101&lt;=29,18,IF(P101&lt;=32,19,IF(P101&lt;=34,20,IF(P101&lt;=36,21,IF(P101&lt;=40,22,24)))))))))))))</f>
        <v>0</v>
      </c>
      <c r="S101" s="3" t="n">
        <f aca="false">ROUND((Q101+R101+I101+J101+M101+N101)/3,0)</f>
        <v>24</v>
      </c>
      <c r="T101" s="17" t="n">
        <f aca="false">F101*LOG10(S101+2)</f>
        <v>2.82994669594164</v>
      </c>
    </row>
    <row r="102" customFormat="false" ht="14.65" hidden="false" customHeight="true" outlineLevel="0" collapsed="false">
      <c r="A102" s="13" t="s">
        <v>153</v>
      </c>
      <c r="B102" s="14" t="n">
        <v>39993</v>
      </c>
      <c r="C102" s="15" t="s">
        <v>78</v>
      </c>
      <c r="D102" s="4" t="s">
        <v>154</v>
      </c>
      <c r="E102" s="3" t="n">
        <v>5</v>
      </c>
      <c r="F102" s="3" t="n">
        <v>2</v>
      </c>
      <c r="G102" s="3" t="n">
        <v>90</v>
      </c>
      <c r="I102" s="3" t="n">
        <f aca="false">_xlfn.IFS(G102="взв",11,G102="накл",24,G102="прокл",25,G102="пт",26,G102=90,10,G102=85,10,G102=80,9,G102=75,8,G102=70,8,G102=65,7,G102=60,7,G102=55,6,G102=50,6,G102=45,6,G102=40,5,G102=35,4,G102=30,4,G102=25,3,G102=20,2,G102=15,1,G102=10,1,G102=0,0)</f>
        <v>10</v>
      </c>
      <c r="J102" s="3" t="n">
        <f aca="false">IF(H102&lt;=1,0,IF(H102&lt;=10,11,IF(H102&lt;=14,12,IF(H102&lt;=17,13,IF(H102&lt;=20,14,IF(H102&lt;=22,15,IF(H102&lt;=25,16,IF(H102&lt;=27,17,IF(H102&lt;=29,18,IF(H102&lt;=32,19,IF(H102&lt;=34,20,IF(H102&lt;=36,21,IF(H102&lt;=40,22,24)))))))))))))</f>
        <v>0</v>
      </c>
      <c r="K102" s="3" t="n">
        <v>80</v>
      </c>
      <c r="M102" s="3" t="n">
        <f aca="false">_xlfn.IFS(K102="взв",11,K102="накл",24,K102="прокл",25,K102="пт",26,K102=90,10,K102=85,10,K102=80,9,K102=75,8,K102=70,8,K102=65,7,K102=60,7,K102=55,6,K102=50,6,K102=45,6,K102=40,5,K102=35,4,K102=30,4,K102=25,3,K102=20,2,K102=15,1,K102=10,1,K102=0,0)</f>
        <v>9</v>
      </c>
      <c r="N102" s="3" t="n">
        <f aca="false">IF(L102&lt;=1,0,IF(L102&lt;=10,11,IF(L102&lt;=14,12,IF(L102&lt;=17,13,IF(L102&lt;=20,14,IF(L102&lt;=22,15,IF(L102&lt;=25,16,IF(L102&lt;=27,17,IF(L102&lt;=29,18,IF(L102&lt;=32,19,IF(L102&lt;=34,20,IF(L102&lt;=36,21,IF(L102&lt;=40,22,24)))))))))))))</f>
        <v>0</v>
      </c>
      <c r="O102" s="3" t="n">
        <v>90</v>
      </c>
      <c r="Q102" s="3" t="n">
        <f aca="false">_xlfn.IFS(O102="взв",11,O102="накл",24,O102="прокл",25,O102="пт",26,O102=90,10,O102=85,10,O102=80,9,O102=75,8,O102=70,8,O102=65,7,O102=60,7,O102=55,6,O102=50,6,O102=45,6,O102=40,5,O102=35,4,O102=30,4,O102=25,3,O102=20,2,O102=15,1,O102=10,1,O102=0,0)</f>
        <v>10</v>
      </c>
      <c r="R102" s="3" t="n">
        <f aca="false">IF(P102&lt;=1,0,IF(P102&lt;=10,11,IF(P102&lt;=14,12,IF(P102&lt;=17,13,IF(P102&lt;=20,14,IF(P102&lt;=22,15,IF(P102&lt;=25,16,IF(P102&lt;=27,17,IF(P102&lt;=29,18,IF(P102&lt;=32,19,IF(P102&lt;=34,20,IF(P102&lt;=36,21,IF(P102&lt;=40,22,24)))))))))))))</f>
        <v>0</v>
      </c>
      <c r="S102" s="3" t="n">
        <f aca="false">ROUND((Q102+R102+I102+J102+M102+N102)/3,0)</f>
        <v>10</v>
      </c>
      <c r="T102" s="17" t="n">
        <f aca="false">F102*LOG10(S102+2)</f>
        <v>2.15836249209525</v>
      </c>
    </row>
    <row r="103" customFormat="false" ht="14.65" hidden="false" customHeight="true" outlineLevel="0" collapsed="false">
      <c r="A103" s="13" t="s">
        <v>155</v>
      </c>
      <c r="B103" s="2" t="n">
        <v>39996</v>
      </c>
      <c r="C103" s="15" t="s">
        <v>21</v>
      </c>
      <c r="D103" s="4" t="s">
        <v>34</v>
      </c>
      <c r="E103" s="3" t="n">
        <v>5</v>
      </c>
      <c r="F103" s="3" t="n">
        <v>2</v>
      </c>
      <c r="G103" s="3" t="n">
        <v>80</v>
      </c>
      <c r="I103" s="3" t="n">
        <f aca="false">_xlfn.IFS(G103="взв",11,G103="накл",24,G103="прокл",25,G103="пт",26,G103=90,10,G103=85,10,G103=80,9,G103=75,8,G103=70,8,G103=65,7,G103=60,7,G103=55,6,G103=50,6,G103=45,6,G103=40,5,G103=35,4,G103=30,4,G103=25,3,G103=20,2,G103=15,1,G103=10,1,G103=0,0)</f>
        <v>9</v>
      </c>
      <c r="J103" s="3" t="n">
        <f aca="false">IF(H103&lt;=1,0,IF(H103&lt;=10,11,IF(H103&lt;=14,12,IF(H103&lt;=17,13,IF(H103&lt;=20,14,IF(H103&lt;=22,15,IF(H103&lt;=25,16,IF(H103&lt;=27,17,IF(H103&lt;=29,18,IF(H103&lt;=32,19,IF(H103&lt;=34,20,IF(H103&lt;=36,21,IF(H103&lt;=40,22,24)))))))))))))</f>
        <v>0</v>
      </c>
      <c r="K103" s="3" t="n">
        <v>90</v>
      </c>
      <c r="M103" s="3" t="n">
        <f aca="false">_xlfn.IFS(K103="взв",11,K103="накл",24,K103="прокл",25,K103="пт",26,K103=90,10,K103=85,10,K103=80,9,K103=75,8,K103=70,8,K103=65,7,K103=60,7,K103=55,6,K103=50,6,K103=45,6,K103=40,5,K103=35,4,K103=30,4,K103=25,3,K103=20,2,K103=15,1,K103=10,1,K103=0,0)</f>
        <v>10</v>
      </c>
      <c r="N103" s="3" t="n">
        <f aca="false">IF(L103&lt;=1,0,IF(L103&lt;=10,11,IF(L103&lt;=14,12,IF(L103&lt;=17,13,IF(L103&lt;=20,14,IF(L103&lt;=22,15,IF(L103&lt;=25,16,IF(L103&lt;=27,17,IF(L103&lt;=29,18,IF(L103&lt;=32,19,IF(L103&lt;=34,20,IF(L103&lt;=36,21,IF(L103&lt;=40,22,24)))))))))))))</f>
        <v>0</v>
      </c>
      <c r="O103" s="3" t="n">
        <v>90</v>
      </c>
      <c r="Q103" s="3" t="n">
        <f aca="false">_xlfn.IFS(O103="взв",11,O103="накл",24,O103="прокл",25,O103="пт",26,O103=90,10,O103=85,10,O103=80,9,O103=75,8,O103=70,8,O103=65,7,O103=60,7,O103=55,6,O103=50,6,O103=45,6,O103=40,5,O103=35,4,O103=30,4,O103=25,3,O103=20,2,O103=15,1,O103=10,1,O103=0,0)</f>
        <v>10</v>
      </c>
      <c r="R103" s="3" t="n">
        <f aca="false">IF(P103&lt;=1,0,IF(P103&lt;=10,11,IF(P103&lt;=14,12,IF(P103&lt;=17,13,IF(P103&lt;=20,14,IF(P103&lt;=22,15,IF(P103&lt;=25,16,IF(P103&lt;=27,17,IF(P103&lt;=29,18,IF(P103&lt;=32,19,IF(P103&lt;=34,20,IF(P103&lt;=36,21,IF(P103&lt;=40,22,24)))))))))))))</f>
        <v>0</v>
      </c>
      <c r="S103" s="3" t="n">
        <f aca="false">ROUND((Q103+R103+I103+J103+M103+N103)/3,0)</f>
        <v>10</v>
      </c>
      <c r="T103" s="17" t="n">
        <f aca="false">F103*LOG10(S103+2)</f>
        <v>2.15836249209525</v>
      </c>
    </row>
    <row r="104" customFormat="false" ht="14.65" hidden="false" customHeight="true" outlineLevel="0" collapsed="false">
      <c r="A104" s="13" t="s">
        <v>156</v>
      </c>
      <c r="B104" s="2" t="n">
        <v>39996</v>
      </c>
      <c r="C104" s="15" t="s">
        <v>21</v>
      </c>
      <c r="D104" s="4" t="s">
        <v>34</v>
      </c>
      <c r="E104" s="3" t="n">
        <v>4</v>
      </c>
      <c r="F104" s="3" t="n">
        <v>2</v>
      </c>
      <c r="G104" s="3" t="s">
        <v>43</v>
      </c>
      <c r="I104" s="3" t="n">
        <f aca="false">_xlfn.IFS(G104="взв",11,G104="накл",24,G104="прокл",25,G104="пт",26,G104=90,10,G104=85,10,G104=80,9,G104=75,8,G104=70,8,G104=65,7,G104=60,7,G104=55,6,G104=50,6,G104=45,6,G104=40,5,G104=35,4,G104=30,4,G104=25,3,G104=20,2,G104=15,1,G104=10,1,G104=0,0)</f>
        <v>24</v>
      </c>
      <c r="J104" s="3" t="n">
        <f aca="false">IF(H104&lt;=1,0,IF(H104&lt;=10,11,IF(H104&lt;=14,12,IF(H104&lt;=17,13,IF(H104&lt;=20,14,IF(H104&lt;=22,15,IF(H104&lt;=25,16,IF(H104&lt;=27,17,IF(H104&lt;=29,18,IF(H104&lt;=32,19,IF(H104&lt;=34,20,IF(H104&lt;=36,21,IF(H104&lt;=40,22,24)))))))))))))</f>
        <v>0</v>
      </c>
      <c r="K104" s="3" t="s">
        <v>43</v>
      </c>
      <c r="M104" s="3" t="n">
        <f aca="false">_xlfn.IFS(K104="взв",11,K104="накл",24,K104="прокл",25,K104="пт",26,K104=90,10,K104=85,10,K104=80,9,K104=75,8,K104=70,8,K104=65,7,K104=60,7,K104=55,6,K104=50,6,K104=45,6,K104=40,5,K104=35,4,K104=30,4,K104=25,3,K104=20,2,K104=15,1,K104=10,1,K104=0,0)</f>
        <v>24</v>
      </c>
      <c r="N104" s="3" t="n">
        <f aca="false">IF(L104&lt;=1,0,IF(L104&lt;=10,11,IF(L104&lt;=14,12,IF(L104&lt;=17,13,IF(L104&lt;=20,14,IF(L104&lt;=22,15,IF(L104&lt;=25,16,IF(L104&lt;=27,17,IF(L104&lt;=29,18,IF(L104&lt;=32,19,IF(L104&lt;=34,20,IF(L104&lt;=36,21,IF(L104&lt;=40,22,24)))))))))))))</f>
        <v>0</v>
      </c>
      <c r="O104" s="3" t="s">
        <v>43</v>
      </c>
      <c r="Q104" s="3" t="n">
        <f aca="false">_xlfn.IFS(O104="взв",11,O104="накл",24,O104="прокл",25,O104="пт",26,O104=90,10,O104=85,10,O104=80,9,O104=75,8,O104=70,8,O104=65,7,O104=60,7,O104=55,6,O104=50,6,O104=45,6,O104=40,5,O104=35,4,O104=30,4,O104=25,3,O104=20,2,O104=15,1,O104=10,1,O104=0,0)</f>
        <v>24</v>
      </c>
      <c r="R104" s="3" t="n">
        <f aca="false">IF(P104&lt;=1,0,IF(P104&lt;=10,11,IF(P104&lt;=14,12,IF(P104&lt;=17,13,IF(P104&lt;=20,14,IF(P104&lt;=22,15,IF(P104&lt;=25,16,IF(P104&lt;=27,17,IF(P104&lt;=29,18,IF(P104&lt;=32,19,IF(P104&lt;=34,20,IF(P104&lt;=36,21,IF(P104&lt;=40,22,24)))))))))))))</f>
        <v>0</v>
      </c>
      <c r="S104" s="3" t="n">
        <f aca="false">ROUND((Q104+R104+I104+J104+M104+N104)/3,0)</f>
        <v>24</v>
      </c>
      <c r="T104" s="17" t="n">
        <f aca="false">F104*LOG10(S104+2)</f>
        <v>2.82994669594164</v>
      </c>
    </row>
    <row r="105" customFormat="false" ht="14.65" hidden="false" customHeight="true" outlineLevel="0" collapsed="false">
      <c r="A105" s="13" t="s">
        <v>157</v>
      </c>
      <c r="B105" s="2" t="n">
        <v>40000</v>
      </c>
      <c r="C105" s="15" t="s">
        <v>78</v>
      </c>
      <c r="D105" s="4" t="s">
        <v>158</v>
      </c>
      <c r="E105" s="3" t="n">
        <v>4</v>
      </c>
      <c r="F105" s="3" t="n">
        <v>2</v>
      </c>
      <c r="G105" s="3" t="s">
        <v>36</v>
      </c>
      <c r="I105" s="3" t="n">
        <f aca="false">_xlfn.IFS(G105="взв",11,G105="накл",24,G105="прокл",25,G105="пт",26,G105=90,10,G105=85,10,G105=80,9,G105=75,8,G105=70,8,G105=65,7,G105=60,7,G105=55,6,G105=50,6,G105=45,6,G105=40,5,G105=35,4,G105=30,4,G105=25,3,G105=20,2,G105=15,1,G105=10,1,G105=0,0)</f>
        <v>26</v>
      </c>
      <c r="J105" s="3" t="n">
        <f aca="false">IF(H105&lt;=1,0,IF(H105&lt;=10,11,IF(H105&lt;=14,12,IF(H105&lt;=17,13,IF(H105&lt;=20,14,IF(H105&lt;=22,15,IF(H105&lt;=25,16,IF(H105&lt;=27,17,IF(H105&lt;=29,18,IF(H105&lt;=32,19,IF(H105&lt;=34,20,IF(H105&lt;=36,21,IF(H105&lt;=40,22,24)))))))))))))</f>
        <v>0</v>
      </c>
      <c r="M105" s="3" t="n">
        <f aca="false">_xlfn.IFS(K105="взв",11,K105="накл",24,K105="прокл",25,K105="пт",26,K105=90,10,K105=85,10,K105=80,9,K105=75,8,K105=70,8,K105=65,7,K105=60,7,K105=55,6,K105=50,6,K105=45,6,K105=40,5,K105=35,4,K105=30,4,K105=25,3,K105=20,2,K105=15,1,K105=10,1,K105=0,0)</f>
        <v>0</v>
      </c>
      <c r="N105" s="3" t="n">
        <f aca="false">IF(L105&lt;=1,0,IF(L105&lt;=10,11,IF(L105&lt;=14,12,IF(L105&lt;=17,13,IF(L105&lt;=20,14,IF(L105&lt;=22,15,IF(L105&lt;=25,16,IF(L105&lt;=27,17,IF(L105&lt;=29,18,IF(L105&lt;=32,19,IF(L105&lt;=34,20,IF(L105&lt;=36,21,IF(L105&lt;=40,22,24)))))))))))))</f>
        <v>0</v>
      </c>
      <c r="Q105" s="3" t="n">
        <f aca="false">_xlfn.IFS(O105="взв",11,O105="накл",24,O105="прокл",25,O105="пт",26,O105=90,10,O105=85,10,O105=80,9,O105=75,8,O105=70,8,O105=65,7,O105=60,7,O105=55,6,O105=50,6,O105=45,6,O105=40,5,O105=35,4,O105=30,4,O105=25,3,O105=20,2,O105=15,1,O105=10,1,O105=0,0)</f>
        <v>0</v>
      </c>
      <c r="R105" s="3" t="n">
        <f aca="false">IF(P105&lt;=1,0,IF(P105&lt;=10,11,IF(P105&lt;=14,12,IF(P105&lt;=17,13,IF(P105&lt;=20,14,IF(P105&lt;=22,15,IF(P105&lt;=25,16,IF(P105&lt;=27,17,IF(P105&lt;=29,18,IF(P105&lt;=32,19,IF(P105&lt;=34,20,IF(P105&lt;=36,21,IF(P105&lt;=40,22,24)))))))))))))</f>
        <v>0</v>
      </c>
      <c r="S105" s="3" t="n">
        <v>26</v>
      </c>
      <c r="T105" s="17" t="n">
        <f aca="false">F105*LOG10(S105+2)</f>
        <v>2.89431606268444</v>
      </c>
    </row>
    <row r="106" customFormat="false" ht="14.65" hidden="false" customHeight="true" outlineLevel="0" collapsed="false">
      <c r="A106" s="13" t="s">
        <v>159</v>
      </c>
      <c r="B106" s="2" t="n">
        <v>40001</v>
      </c>
      <c r="C106" s="15" t="s">
        <v>39</v>
      </c>
      <c r="D106" s="4" t="s">
        <v>39</v>
      </c>
      <c r="E106" s="3" t="n">
        <v>5</v>
      </c>
      <c r="F106" s="3" t="n">
        <v>2</v>
      </c>
      <c r="H106" s="3" t="n">
        <v>29</v>
      </c>
      <c r="I106" s="3" t="n">
        <f aca="false">_xlfn.IFS(G106="взв",11,G106="накл",24,G106="прокл",25,G106="пт",26,G106=90,10,G106=85,10,G106=80,9,G106=75,8,G106=70,8,G106=65,7,G106=60,7,G106=55,6,G106=50,6,G106=45,6,G106=40,5,G106=35,4,G106=30,4,G106=25,3,G106=20,2,G106=15,1,G106=10,1,G106=0,0)</f>
        <v>0</v>
      </c>
      <c r="J106" s="3" t="n">
        <f aca="false">IF(H106&lt;=1,0,IF(H106&lt;=10,11,IF(H106&lt;=14,12,IF(H106&lt;=17,13,IF(H106&lt;=20,14,IF(H106&lt;=22,15,IF(H106&lt;=25,16,IF(H106&lt;=27,17,IF(H106&lt;=29,18,IF(H106&lt;=32,19,IF(H106&lt;=34,20,IF(H106&lt;=36,21,IF(H106&lt;=40,22,24)))))))))))))</f>
        <v>18</v>
      </c>
      <c r="K106" s="3" t="s">
        <v>72</v>
      </c>
      <c r="M106" s="3" t="n">
        <f aca="false">_xlfn.IFS(K106="взв",11,K106="накл",24,K106="прокл",25,K106="пт",26,K106=90,10,K106=85,10,K106=80,9,K106=75,8,K106=70,8,K106=65,7,K106=60,7,K106=55,6,K106=50,6,K106=45,6,K106=40,5,K106=35,4,K106=30,4,K106=25,3,K106=20,2,K106=15,1,K106=10,1,K106=0,0)</f>
        <v>11</v>
      </c>
      <c r="N106" s="3" t="n">
        <f aca="false">IF(L106&lt;=1,0,IF(L106&lt;=10,11,IF(L106&lt;=14,12,IF(L106&lt;=17,13,IF(L106&lt;=20,14,IF(L106&lt;=22,15,IF(L106&lt;=25,16,IF(L106&lt;=27,17,IF(L106&lt;=29,18,IF(L106&lt;=32,19,IF(L106&lt;=34,20,IF(L106&lt;=36,21,IF(L106&lt;=40,22,24)))))))))))))</f>
        <v>0</v>
      </c>
      <c r="P106" s="3" t="n">
        <v>17</v>
      </c>
      <c r="Q106" s="3" t="n">
        <f aca="false">_xlfn.IFS(O106="взв",11,O106="накл",24,O106="прокл",25,O106="пт",26,O106=90,10,O106=85,10,O106=80,9,O106=75,8,O106=70,8,O106=65,7,O106=60,7,O106=55,6,O106=50,6,O106=45,6,O106=40,5,O106=35,4,O106=30,4,O106=25,3,O106=20,2,O106=15,1,O106=10,1,O106=0,0)</f>
        <v>0</v>
      </c>
      <c r="R106" s="3" t="n">
        <f aca="false">IF(P106&lt;=1,0,IF(P106&lt;=10,11,IF(P106&lt;=14,12,IF(P106&lt;=17,13,IF(P106&lt;=20,14,IF(P106&lt;=22,15,IF(P106&lt;=25,16,IF(P106&lt;=27,17,IF(P106&lt;=29,18,IF(P106&lt;=32,19,IF(P106&lt;=34,20,IF(P106&lt;=36,21,IF(P106&lt;=40,22,24)))))))))))))</f>
        <v>13</v>
      </c>
      <c r="S106" s="3" t="n">
        <f aca="false">ROUND((Q106+R106+I106+J106+M106+N106)/3,0)</f>
        <v>14</v>
      </c>
      <c r="T106" s="17" t="n">
        <f aca="false">F106*LOG10(S106+2)</f>
        <v>2.40823996531185</v>
      </c>
    </row>
    <row r="107" customFormat="false" ht="14.65" hidden="false" customHeight="true" outlineLevel="0" collapsed="false">
      <c r="A107" s="13" t="s">
        <v>160</v>
      </c>
      <c r="B107" s="2" t="n">
        <v>40001</v>
      </c>
      <c r="C107" s="15" t="s">
        <v>39</v>
      </c>
      <c r="D107" s="4" t="s">
        <v>39</v>
      </c>
      <c r="E107" s="3" t="n">
        <v>3</v>
      </c>
      <c r="F107" s="3" t="n">
        <v>2</v>
      </c>
      <c r="H107" s="3" t="n">
        <v>32</v>
      </c>
      <c r="I107" s="3" t="n">
        <f aca="false">_xlfn.IFS(G107="взв",11,G107="накл",24,G107="прокл",25,G107="пт",26,G107=90,10,G107=85,10,G107=80,9,G107=75,8,G107=70,8,G107=65,7,G107=60,7,G107=55,6,G107=50,6,G107=45,6,G107=40,5,G107=35,4,G107=30,4,G107=25,3,G107=20,2,G107=15,1,G107=10,1,G107=0,0)</f>
        <v>0</v>
      </c>
      <c r="J107" s="3" t="n">
        <f aca="false">IF(H107&lt;=1,0,IF(H107&lt;=10,11,IF(H107&lt;=14,12,IF(H107&lt;=17,13,IF(H107&lt;=20,14,IF(H107&lt;=22,15,IF(H107&lt;=25,16,IF(H107&lt;=27,17,IF(H107&lt;=29,18,IF(H107&lt;=32,19,IF(H107&lt;=34,20,IF(H107&lt;=36,21,IF(H107&lt;=40,22,24)))))))))))))</f>
        <v>19</v>
      </c>
      <c r="L107" s="3" t="n">
        <v>32</v>
      </c>
      <c r="M107" s="3" t="n">
        <f aca="false">_xlfn.IFS(K107="взв",11,K107="накл",24,K107="прокл",25,K107="пт",26,K107=90,10,K107=85,10,K107=80,9,K107=75,8,K107=70,8,K107=65,7,K107=60,7,K107=55,6,K107=50,6,K107=45,6,K107=40,5,K107=35,4,K107=30,4,K107=25,3,K107=20,2,K107=15,1,K107=10,1,K107=0,0)</f>
        <v>0</v>
      </c>
      <c r="N107" s="3" t="n">
        <f aca="false">IF(L107&lt;=1,0,IF(L107&lt;=10,11,IF(L107&lt;=14,12,IF(L107&lt;=17,13,IF(L107&lt;=20,14,IF(L107&lt;=22,15,IF(L107&lt;=25,16,IF(L107&lt;=27,17,IF(L107&lt;=29,18,IF(L107&lt;=32,19,IF(L107&lt;=34,20,IF(L107&lt;=36,21,IF(L107&lt;=40,22,24)))))))))))))</f>
        <v>19</v>
      </c>
      <c r="P107" s="3" t="n">
        <v>30</v>
      </c>
      <c r="Q107" s="3" t="n">
        <f aca="false">_xlfn.IFS(O107="взв",11,O107="накл",24,O107="прокл",25,O107="пт",26,O107=90,10,O107=85,10,O107=80,9,O107=75,8,O107=70,8,O107=65,7,O107=60,7,O107=55,6,O107=50,6,O107=45,6,O107=40,5,O107=35,4,O107=30,4,O107=25,3,O107=20,2,O107=15,1,O107=10,1,O107=0,0)</f>
        <v>0</v>
      </c>
      <c r="R107" s="3" t="n">
        <f aca="false">IF(P107&lt;=1,0,IF(P107&lt;=10,11,IF(P107&lt;=14,12,IF(P107&lt;=17,13,IF(P107&lt;=20,14,IF(P107&lt;=22,15,IF(P107&lt;=25,16,IF(P107&lt;=27,17,IF(P107&lt;=29,18,IF(P107&lt;=32,19,IF(P107&lt;=34,20,IF(P107&lt;=36,21,IF(P107&lt;=40,22,24)))))))))))))</f>
        <v>19</v>
      </c>
      <c r="S107" s="3" t="n">
        <f aca="false">ROUND((Q107+R107+I107+J107+M107+N107)/3,0)</f>
        <v>19</v>
      </c>
      <c r="T107" s="17" t="n">
        <f aca="false">F107*LOG10(S107+2)</f>
        <v>2.64443858946784</v>
      </c>
    </row>
    <row r="108" customFormat="false" ht="14.65" hidden="false" customHeight="true" outlineLevel="0" collapsed="false">
      <c r="A108" s="13" t="s">
        <v>161</v>
      </c>
      <c r="B108" s="2" t="n">
        <v>40001</v>
      </c>
      <c r="C108" s="15" t="s">
        <v>39</v>
      </c>
      <c r="D108" s="4" t="s">
        <v>39</v>
      </c>
      <c r="E108" s="3" t="n">
        <v>3</v>
      </c>
      <c r="F108" s="3" t="n">
        <v>2</v>
      </c>
      <c r="H108" s="3" t="n">
        <v>30</v>
      </c>
      <c r="I108" s="3" t="n">
        <f aca="false">_xlfn.IFS(G108="взв",11,G108="накл",24,G108="прокл",25,G108="пт",26,G108=90,10,G108=85,10,G108=80,9,G108=75,8,G108=70,8,G108=65,7,G108=60,7,G108=55,6,G108=50,6,G108=45,6,G108=40,5,G108=35,4,G108=30,4,G108=25,3,G108=20,2,G108=15,1,G108=10,1,G108=0,0)</f>
        <v>0</v>
      </c>
      <c r="J108" s="3" t="n">
        <f aca="false">IF(H108&lt;=1,0,IF(H108&lt;=10,11,IF(H108&lt;=14,12,IF(H108&lt;=17,13,IF(H108&lt;=20,14,IF(H108&lt;=22,15,IF(H108&lt;=25,16,IF(H108&lt;=27,17,IF(H108&lt;=29,18,IF(H108&lt;=32,19,IF(H108&lt;=34,20,IF(H108&lt;=36,21,IF(H108&lt;=40,22,24)))))))))))))</f>
        <v>19</v>
      </c>
      <c r="L108" s="3" t="n">
        <v>28</v>
      </c>
      <c r="M108" s="3" t="n">
        <f aca="false">_xlfn.IFS(K108="взв",11,K108="накл",24,K108="прокл",25,K108="пт",26,K108=90,10,K108=85,10,K108=80,9,K108=75,8,K108=70,8,K108=65,7,K108=60,7,K108=55,6,K108=50,6,K108=45,6,K108=40,5,K108=35,4,K108=30,4,K108=25,3,K108=20,2,K108=15,1,K108=10,1,K108=0,0)</f>
        <v>0</v>
      </c>
      <c r="N108" s="3" t="n">
        <f aca="false">IF(L108&lt;=1,0,IF(L108&lt;=10,11,IF(L108&lt;=14,12,IF(L108&lt;=17,13,IF(L108&lt;=20,14,IF(L108&lt;=22,15,IF(L108&lt;=25,16,IF(L108&lt;=27,17,IF(L108&lt;=29,18,IF(L108&lt;=32,19,IF(L108&lt;=34,20,IF(L108&lt;=36,21,IF(L108&lt;=40,22,24)))))))))))))</f>
        <v>18</v>
      </c>
      <c r="P108" s="3" t="n">
        <v>24</v>
      </c>
      <c r="Q108" s="3" t="n">
        <f aca="false">_xlfn.IFS(O108="взв",11,O108="накл",24,O108="прокл",25,O108="пт",26,O108=90,10,O108=85,10,O108=80,9,O108=75,8,O108=70,8,O108=65,7,O108=60,7,O108=55,6,O108=50,6,O108=45,6,O108=40,5,O108=35,4,O108=30,4,O108=25,3,O108=20,2,O108=15,1,O108=10,1,O108=0,0)</f>
        <v>0</v>
      </c>
      <c r="R108" s="3" t="n">
        <f aca="false">IF(P108&lt;=1,0,IF(P108&lt;=10,11,IF(P108&lt;=14,12,IF(P108&lt;=17,13,IF(P108&lt;=20,14,IF(P108&lt;=22,15,IF(P108&lt;=25,16,IF(P108&lt;=27,17,IF(P108&lt;=29,18,IF(P108&lt;=32,19,IF(P108&lt;=34,20,IF(P108&lt;=36,21,IF(P108&lt;=40,22,24)))))))))))))</f>
        <v>16</v>
      </c>
      <c r="S108" s="3" t="n">
        <f aca="false">ROUND((Q108+R108+I108+J108+M108+N108)/3,0)</f>
        <v>18</v>
      </c>
      <c r="T108" s="17" t="n">
        <f aca="false">F108*LOG10(S108+2)</f>
        <v>2.60205999132796</v>
      </c>
    </row>
    <row r="109" customFormat="false" ht="14.65" hidden="false" customHeight="true" outlineLevel="0" collapsed="false">
      <c r="A109" s="13" t="s">
        <v>162</v>
      </c>
      <c r="B109" s="2" t="n">
        <v>40001</v>
      </c>
      <c r="C109" s="15" t="s">
        <v>39</v>
      </c>
      <c r="D109" s="4" t="s">
        <v>39</v>
      </c>
      <c r="E109" s="3" t="n">
        <v>5</v>
      </c>
      <c r="F109" s="3" t="n">
        <v>2</v>
      </c>
      <c r="H109" s="3" t="n">
        <v>31</v>
      </c>
      <c r="I109" s="3" t="n">
        <f aca="false">_xlfn.IFS(G109="взв",11,G109="накл",24,G109="прокл",25,G109="пт",26,G109=90,10,G109=85,10,G109=80,9,G109=75,8,G109=70,8,G109=65,7,G109=60,7,G109=55,6,G109=50,6,G109=45,6,G109=40,5,G109=35,4,G109=30,4,G109=25,3,G109=20,2,G109=15,1,G109=10,1,G109=0,0)</f>
        <v>0</v>
      </c>
      <c r="J109" s="3" t="n">
        <f aca="false">IF(H109&lt;=1,0,IF(H109&lt;=10,11,IF(H109&lt;=14,12,IF(H109&lt;=17,13,IF(H109&lt;=20,14,IF(H109&lt;=22,15,IF(H109&lt;=25,16,IF(H109&lt;=27,17,IF(H109&lt;=29,18,IF(H109&lt;=32,19,IF(H109&lt;=34,20,IF(H109&lt;=36,21,IF(H109&lt;=40,22,24)))))))))))))</f>
        <v>19</v>
      </c>
      <c r="L109" s="3" t="n">
        <v>36</v>
      </c>
      <c r="M109" s="3" t="n">
        <f aca="false">_xlfn.IFS(K109="взв",11,K109="накл",24,K109="прокл",25,K109="пт",26,K109=90,10,K109=85,10,K109=80,9,K109=75,8,K109=70,8,K109=65,7,K109=60,7,K109=55,6,K109=50,6,K109=45,6,K109=40,5,K109=35,4,K109=30,4,K109=25,3,K109=20,2,K109=15,1,K109=10,1,K109=0,0)</f>
        <v>0</v>
      </c>
      <c r="N109" s="3" t="n">
        <f aca="false">IF(L109&lt;=1,0,IF(L109&lt;=10,11,IF(L109&lt;=14,12,IF(L109&lt;=17,13,IF(L109&lt;=20,14,IF(L109&lt;=22,15,IF(L109&lt;=25,16,IF(L109&lt;=27,17,IF(L109&lt;=29,18,IF(L109&lt;=32,19,IF(L109&lt;=34,20,IF(L109&lt;=36,21,IF(L109&lt;=40,22,24)))))))))))))</f>
        <v>21</v>
      </c>
      <c r="P109" s="3" t="n">
        <v>32</v>
      </c>
      <c r="Q109" s="3" t="n">
        <f aca="false">_xlfn.IFS(O109="взв",11,O109="накл",24,O109="прокл",25,O109="пт",26,O109=90,10,O109=85,10,O109=80,9,O109=75,8,O109=70,8,O109=65,7,O109=60,7,O109=55,6,O109=50,6,O109=45,6,O109=40,5,O109=35,4,O109=30,4,O109=25,3,O109=20,2,O109=15,1,O109=10,1,O109=0,0)</f>
        <v>0</v>
      </c>
      <c r="R109" s="3" t="n">
        <f aca="false">IF(P109&lt;=1,0,IF(P109&lt;=10,11,IF(P109&lt;=14,12,IF(P109&lt;=17,13,IF(P109&lt;=20,14,IF(P109&lt;=22,15,IF(P109&lt;=25,16,IF(P109&lt;=27,17,IF(P109&lt;=29,18,IF(P109&lt;=32,19,IF(P109&lt;=34,20,IF(P109&lt;=36,21,IF(P109&lt;=40,22,24)))))))))))))</f>
        <v>19</v>
      </c>
      <c r="S109" s="3" t="n">
        <f aca="false">ROUND((Q109+R109+I109+J109+M109+N109)/3,0)</f>
        <v>20</v>
      </c>
      <c r="T109" s="17" t="n">
        <f aca="false">F109*LOG10(S109+2)</f>
        <v>2.68484536164441</v>
      </c>
    </row>
    <row r="110" customFormat="false" ht="14.65" hidden="false" customHeight="true" outlineLevel="0" collapsed="false">
      <c r="A110" s="13" t="s">
        <v>163</v>
      </c>
      <c r="B110" s="2" t="n">
        <v>40001</v>
      </c>
      <c r="C110" s="15" t="s">
        <v>39</v>
      </c>
      <c r="D110" s="4" t="s">
        <v>39</v>
      </c>
      <c r="E110" s="3" t="n">
        <v>10</v>
      </c>
      <c r="F110" s="3" t="n">
        <v>2</v>
      </c>
      <c r="H110" s="3" t="n">
        <v>29</v>
      </c>
      <c r="I110" s="3" t="n">
        <f aca="false">_xlfn.IFS(G110="взв",11,G110="накл",24,G110="прокл",25,G110="пт",26,G110=90,10,G110=85,10,G110=80,9,G110=75,8,G110=70,8,G110=65,7,G110=60,7,G110=55,6,G110=50,6,G110=45,6,G110=40,5,G110=35,4,G110=30,4,G110=25,3,G110=20,2,G110=15,1,G110=10,1,G110=0,0)</f>
        <v>0</v>
      </c>
      <c r="J110" s="3" t="n">
        <f aca="false">IF(H110&lt;=1,0,IF(H110&lt;=10,11,IF(H110&lt;=14,12,IF(H110&lt;=17,13,IF(H110&lt;=20,14,IF(H110&lt;=22,15,IF(H110&lt;=25,16,IF(H110&lt;=27,17,IF(H110&lt;=29,18,IF(H110&lt;=32,19,IF(H110&lt;=34,20,IF(H110&lt;=36,21,IF(H110&lt;=40,22,24)))))))))))))</f>
        <v>18</v>
      </c>
      <c r="L110" s="3" t="n">
        <v>30</v>
      </c>
      <c r="M110" s="3" t="n">
        <f aca="false">_xlfn.IFS(K110="взв",11,K110="накл",24,K110="прокл",25,K110="пт",26,K110=90,10,K110=85,10,K110=80,9,K110=75,8,K110=70,8,K110=65,7,K110=60,7,K110=55,6,K110=50,6,K110=45,6,K110=40,5,K110=35,4,K110=30,4,K110=25,3,K110=20,2,K110=15,1,K110=10,1,K110=0,0)</f>
        <v>0</v>
      </c>
      <c r="N110" s="3" t="n">
        <f aca="false">IF(L110&lt;=1,0,IF(L110&lt;=10,11,IF(L110&lt;=14,12,IF(L110&lt;=17,13,IF(L110&lt;=20,14,IF(L110&lt;=22,15,IF(L110&lt;=25,16,IF(L110&lt;=27,17,IF(L110&lt;=29,18,IF(L110&lt;=32,19,IF(L110&lt;=34,20,IF(L110&lt;=36,21,IF(L110&lt;=40,22,24)))))))))))))</f>
        <v>19</v>
      </c>
      <c r="P110" s="3" t="n">
        <v>33</v>
      </c>
      <c r="Q110" s="3" t="n">
        <f aca="false">_xlfn.IFS(O110="взв",11,O110="накл",24,O110="прокл",25,O110="пт",26,O110=90,10,O110=85,10,O110=80,9,O110=75,8,O110=70,8,O110=65,7,O110=60,7,O110=55,6,O110=50,6,O110=45,6,O110=40,5,O110=35,4,O110=30,4,O110=25,3,O110=20,2,O110=15,1,O110=10,1,O110=0,0)</f>
        <v>0</v>
      </c>
      <c r="R110" s="3" t="n">
        <f aca="false">IF(P110&lt;=1,0,IF(P110&lt;=10,11,IF(P110&lt;=14,12,IF(P110&lt;=17,13,IF(P110&lt;=20,14,IF(P110&lt;=22,15,IF(P110&lt;=25,16,IF(P110&lt;=27,17,IF(P110&lt;=29,18,IF(P110&lt;=32,19,IF(P110&lt;=34,20,IF(P110&lt;=36,21,IF(P110&lt;=40,22,24)))))))))))))</f>
        <v>20</v>
      </c>
      <c r="S110" s="3" t="n">
        <f aca="false">ROUND((Q110+R110+I110+J110+M110+N110)/3,0)</f>
        <v>19</v>
      </c>
      <c r="T110" s="17" t="n">
        <f aca="false">F110*LOG10(S110+2)</f>
        <v>2.64443858946784</v>
      </c>
    </row>
    <row r="111" customFormat="false" ht="14.65" hidden="false" customHeight="true" outlineLevel="0" collapsed="false">
      <c r="A111" s="13" t="s">
        <v>164</v>
      </c>
      <c r="B111" s="2" t="n">
        <v>40001</v>
      </c>
      <c r="C111" s="15" t="s">
        <v>39</v>
      </c>
      <c r="D111" s="4" t="s">
        <v>39</v>
      </c>
      <c r="E111" s="3" t="n">
        <v>9</v>
      </c>
      <c r="F111" s="3" t="n">
        <v>2</v>
      </c>
      <c r="H111" s="3" t="n">
        <v>23</v>
      </c>
      <c r="I111" s="3" t="n">
        <f aca="false">_xlfn.IFS(G111="взв",11,G111="накл",24,G111="прокл",25,G111="пт",26,G111=90,10,G111=85,10,G111=80,9,G111=75,8,G111=70,8,G111=65,7,G111=60,7,G111=55,6,G111=50,6,G111=45,6,G111=40,5,G111=35,4,G111=30,4,G111=25,3,G111=20,2,G111=15,1,G111=10,1,G111=0,0)</f>
        <v>0</v>
      </c>
      <c r="J111" s="3" t="n">
        <f aca="false">IF(H111&lt;=1,0,IF(H111&lt;=10,11,IF(H111&lt;=14,12,IF(H111&lt;=17,13,IF(H111&lt;=20,14,IF(H111&lt;=22,15,IF(H111&lt;=25,16,IF(H111&lt;=27,17,IF(H111&lt;=29,18,IF(H111&lt;=32,19,IF(H111&lt;=34,20,IF(H111&lt;=36,21,IF(H111&lt;=40,22,24)))))))))))))</f>
        <v>16</v>
      </c>
      <c r="L111" s="3" t="n">
        <v>26</v>
      </c>
      <c r="M111" s="3" t="n">
        <f aca="false">_xlfn.IFS(K111="взв",11,K111="накл",24,K111="прокл",25,K111="пт",26,K111=90,10,K111=85,10,K111=80,9,K111=75,8,K111=70,8,K111=65,7,K111=60,7,K111=55,6,K111=50,6,K111=45,6,K111=40,5,K111=35,4,K111=30,4,K111=25,3,K111=20,2,K111=15,1,K111=10,1,K111=0,0)</f>
        <v>0</v>
      </c>
      <c r="N111" s="3" t="n">
        <f aca="false">IF(L111&lt;=1,0,IF(L111&lt;=10,11,IF(L111&lt;=14,12,IF(L111&lt;=17,13,IF(L111&lt;=20,14,IF(L111&lt;=22,15,IF(L111&lt;=25,16,IF(L111&lt;=27,17,IF(L111&lt;=29,18,IF(L111&lt;=32,19,IF(L111&lt;=34,20,IF(L111&lt;=36,21,IF(L111&lt;=40,22,24)))))))))))))</f>
        <v>17</v>
      </c>
      <c r="P111" s="3" t="n">
        <v>26</v>
      </c>
      <c r="Q111" s="3" t="n">
        <f aca="false">_xlfn.IFS(O111="взв",11,O111="накл",24,O111="прокл",25,O111="пт",26,O111=90,10,O111=85,10,O111=80,9,O111=75,8,O111=70,8,O111=65,7,O111=60,7,O111=55,6,O111=50,6,O111=45,6,O111=40,5,O111=35,4,O111=30,4,O111=25,3,O111=20,2,O111=15,1,O111=10,1,O111=0,0)</f>
        <v>0</v>
      </c>
      <c r="R111" s="3" t="n">
        <f aca="false">IF(P111&lt;=1,0,IF(P111&lt;=10,11,IF(P111&lt;=14,12,IF(P111&lt;=17,13,IF(P111&lt;=20,14,IF(P111&lt;=22,15,IF(P111&lt;=25,16,IF(P111&lt;=27,17,IF(P111&lt;=29,18,IF(P111&lt;=32,19,IF(P111&lt;=34,20,IF(P111&lt;=36,21,IF(P111&lt;=40,22,24)))))))))))))</f>
        <v>17</v>
      </c>
      <c r="S111" s="3" t="n">
        <f aca="false">ROUND((Q111+R111+I111+J111+M111+N111)/3,0)</f>
        <v>17</v>
      </c>
      <c r="T111" s="17" t="n">
        <f aca="false">F111*LOG10(S111+2)</f>
        <v>2.55750720190566</v>
      </c>
    </row>
    <row r="112" customFormat="false" ht="14.65" hidden="false" customHeight="true" outlineLevel="0" collapsed="false">
      <c r="A112" s="13" t="s">
        <v>165</v>
      </c>
      <c r="B112" s="2" t="n">
        <v>40003</v>
      </c>
      <c r="C112" s="15" t="s">
        <v>39</v>
      </c>
      <c r="D112" s="4" t="s">
        <v>40</v>
      </c>
      <c r="E112" s="3" t="n">
        <v>4</v>
      </c>
      <c r="F112" s="3" t="n">
        <v>2</v>
      </c>
      <c r="H112" s="3" t="n">
        <v>45</v>
      </c>
      <c r="I112" s="3" t="n">
        <f aca="false">_xlfn.IFS(G112="взв",11,G112="накл",24,G112="прокл",25,G112="пт",26,G112=90,10,G112=85,10,G112=80,9,G112=75,8,G112=70,8,G112=65,7,G112=60,7,G112=55,6,G112=50,6,G112=45,6,G112=40,5,G112=35,4,G112=30,4,G112=25,3,G112=20,2,G112=15,1,G112=10,1,G112=0,0)</f>
        <v>0</v>
      </c>
      <c r="J112" s="3" t="n">
        <f aca="false">IF(H112&lt;=1,0,IF(H112&lt;=10,11,IF(H112&lt;=14,12,IF(H112&lt;=17,13,IF(H112&lt;=20,14,IF(H112&lt;=22,15,IF(H112&lt;=25,16,IF(H112&lt;=27,17,IF(H112&lt;=29,18,IF(H112&lt;=32,19,IF(H112&lt;=34,20,IF(H112&lt;=36,21,IF(H112&lt;=40,22,24)))))))))))))</f>
        <v>24</v>
      </c>
      <c r="L112" s="3" t="n">
        <v>43</v>
      </c>
      <c r="M112" s="3" t="n">
        <f aca="false">_xlfn.IFS(K112="взв",11,K112="накл",24,K112="прокл",25,K112="пт",26,K112=90,10,K112=85,10,K112=80,9,K112=75,8,K112=70,8,K112=65,7,K112=60,7,K112=55,6,K112=50,6,K112=45,6,K112=40,5,K112=35,4,K112=30,4,K112=25,3,K112=20,2,K112=15,1,K112=10,1,K112=0,0)</f>
        <v>0</v>
      </c>
      <c r="N112" s="3" t="n">
        <f aca="false">IF(L112&lt;=1,0,IF(L112&lt;=10,11,IF(L112&lt;=14,12,IF(L112&lt;=17,13,IF(L112&lt;=20,14,IF(L112&lt;=22,15,IF(L112&lt;=25,16,IF(L112&lt;=27,17,IF(L112&lt;=29,18,IF(L112&lt;=32,19,IF(L112&lt;=34,20,IF(L112&lt;=36,21,IF(L112&lt;=40,22,24)))))))))))))</f>
        <v>24</v>
      </c>
      <c r="Q112" s="3" t="n">
        <f aca="false">_xlfn.IFS(O112="взв",11,O112="накл",24,O112="прокл",25,O112="пт",26,O112=90,10,O112=85,10,O112=80,9,O112=75,8,O112=70,8,O112=65,7,O112=60,7,O112=55,6,O112=50,6,O112=45,6,O112=40,5,O112=35,4,O112=30,4,O112=25,3,O112=20,2,O112=15,1,O112=10,1,O112=0,0)</f>
        <v>0</v>
      </c>
      <c r="R112" s="3" t="n">
        <f aca="false">IF(P112&lt;=1,0,IF(P112&lt;=10,11,IF(P112&lt;=14,12,IF(P112&lt;=17,13,IF(P112&lt;=20,14,IF(P112&lt;=22,15,IF(P112&lt;=25,16,IF(P112&lt;=27,17,IF(P112&lt;=29,18,IF(P112&lt;=32,19,IF(P112&lt;=34,20,IF(P112&lt;=36,21,IF(P112&lt;=40,22,24)))))))))))))</f>
        <v>0</v>
      </c>
      <c r="S112" s="3" t="n">
        <f aca="false">ROUND((Q112+R112+I112+J112+M112+N112)/2,0)</f>
        <v>24</v>
      </c>
      <c r="T112" s="17" t="n">
        <f aca="false">F112*LOG10(S112+2)</f>
        <v>2.82994669594164</v>
      </c>
    </row>
    <row r="113" customFormat="false" ht="14.65" hidden="false" customHeight="true" outlineLevel="0" collapsed="false">
      <c r="A113" s="13" t="s">
        <v>166</v>
      </c>
      <c r="B113" s="14" t="n">
        <v>39976</v>
      </c>
      <c r="C113" s="15" t="s">
        <v>21</v>
      </c>
      <c r="D113" s="16" t="s">
        <v>92</v>
      </c>
      <c r="E113" s="15" t="n">
        <v>6</v>
      </c>
      <c r="F113" s="15" t="n">
        <v>3</v>
      </c>
      <c r="G113" s="15"/>
      <c r="H113" s="15" t="n">
        <v>27</v>
      </c>
      <c r="I113" s="3" t="n">
        <f aca="false">_xlfn.IFS(G113="взв",11,G113="накл",24,G113="прокл",25,G113="пт",26,G113=90,10,G113=85,10,G113=80,9,G113=75,8,G113=70,8,G113=65,7,G113=60,7,G113=55,6,G113=50,6,G113=45,6,G113=40,5,G113=35,4,G113=30,4,G113=25,3,G113=20,2,G113=15,1,G113=10,1,G113=0,0)</f>
        <v>0</v>
      </c>
      <c r="J113" s="3" t="n">
        <f aca="false">IF(H113&lt;=1,0,IF(H113&lt;=10,11,IF(H113&lt;=14,12,IF(H113&lt;=17,13,IF(H113&lt;=20,14,IF(H113&lt;=22,15,IF(H113&lt;=25,16,IF(H113&lt;=27,17,IF(H113&lt;=29,18,IF(H113&lt;=32,19,IF(H113&lt;=34,20,IF(H113&lt;=36,21,IF(H113&lt;=40,22,24)))))))))))))</f>
        <v>17</v>
      </c>
      <c r="K113" s="15"/>
      <c r="L113" s="15" t="n">
        <v>18</v>
      </c>
      <c r="M113" s="3" t="n">
        <f aca="false">_xlfn.IFS(K113="взв",11,K113="накл",24,K113="прокл",25,K113="пт",26,K113=90,10,K113=85,10,K113=80,9,K113=75,8,K113=70,8,K113=65,7,K113=60,7,K113=55,6,K113=50,6,K113=45,6,K113=40,5,K113=35,4,K113=30,4,K113=25,3,K113=20,2,K113=15,1,K113=10,1,K113=0,0)</f>
        <v>0</v>
      </c>
      <c r="N113" s="3" t="n">
        <f aca="false">IF(L113&lt;=1,0,IF(L113&lt;=10,11,IF(L113&lt;=14,12,IF(L113&lt;=17,13,IF(L113&lt;=20,14,IF(L113&lt;=22,15,IF(L113&lt;=25,16,IF(L113&lt;=27,17,IF(L113&lt;=29,18,IF(L113&lt;=32,19,IF(L113&lt;=34,20,IF(L113&lt;=36,21,IF(L113&lt;=40,22,24)))))))))))))</f>
        <v>14</v>
      </c>
      <c r="O113" s="15"/>
      <c r="P113" s="15" t="n">
        <v>29</v>
      </c>
      <c r="Q113" s="3" t="n">
        <f aca="false">_xlfn.IFS(O113="взв",11,O113="накл",24,O113="прокл",25,O113="пт",26,O113=90,10,O113=85,10,O113=80,9,O113=75,8,O113=70,8,O113=65,7,O113=60,7,O113=55,6,O113=50,6,O113=45,6,O113=40,5,O113=35,4,O113=30,4,O113=25,3,O113=20,2,O113=15,1,O113=10,1,O113=0,0)</f>
        <v>0</v>
      </c>
      <c r="R113" s="3" t="n">
        <f aca="false">IF(P113&lt;=1,0,IF(P113&lt;=10,11,IF(P113&lt;=14,12,IF(P113&lt;=17,13,IF(P113&lt;=20,14,IF(P113&lt;=22,15,IF(P113&lt;=25,16,IF(P113&lt;=27,17,IF(P113&lt;=29,18,IF(P113&lt;=32,19,IF(P113&lt;=34,20,IF(P113&lt;=36,21,IF(P113&lt;=40,22,24)))))))))))))</f>
        <v>18</v>
      </c>
      <c r="S113" s="3" t="n">
        <f aca="false">ROUND((Q113+R113+I113+J113+M113+N113)/3,0)</f>
        <v>16</v>
      </c>
      <c r="T113" s="17" t="n">
        <f aca="false">F113*LOG10(S113+2)</f>
        <v>3.76581751530992</v>
      </c>
    </row>
    <row r="114" customFormat="false" ht="14.65" hidden="false" customHeight="true" outlineLevel="0" collapsed="false">
      <c r="A114" s="13" t="s">
        <v>167</v>
      </c>
      <c r="B114" s="14" t="n">
        <v>39976</v>
      </c>
      <c r="C114" s="15" t="s">
        <v>21</v>
      </c>
      <c r="D114" s="16" t="s">
        <v>92</v>
      </c>
      <c r="E114" s="15" t="n">
        <v>5</v>
      </c>
      <c r="F114" s="15" t="n">
        <v>3</v>
      </c>
      <c r="G114" s="15"/>
      <c r="H114" s="15" t="n">
        <v>35</v>
      </c>
      <c r="I114" s="3" t="n">
        <f aca="false">_xlfn.IFS(G114="взв",11,G114="накл",24,G114="прокл",25,G114="пт",26,G114=90,10,G114=85,10,G114=80,9,G114=75,8,G114=70,8,G114=65,7,G114=60,7,G114=55,6,G114=50,6,G114=45,6,G114=40,5,G114=35,4,G114=30,4,G114=25,3,G114=20,2,G114=15,1,G114=10,1,G114=0,0)</f>
        <v>0</v>
      </c>
      <c r="J114" s="3" t="n">
        <f aca="false">IF(H114&lt;=1,0,IF(H114&lt;=10,11,IF(H114&lt;=14,12,IF(H114&lt;=17,13,IF(H114&lt;=20,14,IF(H114&lt;=22,15,IF(H114&lt;=25,16,IF(H114&lt;=27,17,IF(H114&lt;=29,18,IF(H114&lt;=32,19,IF(H114&lt;=34,20,IF(H114&lt;=36,21,IF(H114&lt;=40,22,24)))))))))))))</f>
        <v>21</v>
      </c>
      <c r="K114" s="15"/>
      <c r="L114" s="15" t="n">
        <v>35</v>
      </c>
      <c r="M114" s="3" t="n">
        <f aca="false">_xlfn.IFS(K114="взв",11,K114="накл",24,K114="прокл",25,K114="пт",26,K114=90,10,K114=85,10,K114=80,9,K114=75,8,K114=70,8,K114=65,7,K114=60,7,K114=55,6,K114=50,6,K114=45,6,K114=40,5,K114=35,4,K114=30,4,K114=25,3,K114=20,2,K114=15,1,K114=10,1,K114=0,0)</f>
        <v>0</v>
      </c>
      <c r="N114" s="3" t="n">
        <f aca="false">IF(L114&lt;=1,0,IF(L114&lt;=10,11,IF(L114&lt;=14,12,IF(L114&lt;=17,13,IF(L114&lt;=20,14,IF(L114&lt;=22,15,IF(L114&lt;=25,16,IF(L114&lt;=27,17,IF(L114&lt;=29,18,IF(L114&lt;=32,19,IF(L114&lt;=34,20,IF(L114&lt;=36,21,IF(L114&lt;=40,22,24)))))))))))))</f>
        <v>21</v>
      </c>
      <c r="O114" s="15"/>
      <c r="P114" s="15" t="n">
        <v>33</v>
      </c>
      <c r="Q114" s="3" t="n">
        <f aca="false">_xlfn.IFS(O114="взв",11,O114="накл",24,O114="прокл",25,O114="пт",26,O114=90,10,O114=85,10,O114=80,9,O114=75,8,O114=70,8,O114=65,7,O114=60,7,O114=55,6,O114=50,6,O114=45,6,O114=40,5,O114=35,4,O114=30,4,O114=25,3,O114=20,2,O114=15,1,O114=10,1,O114=0,0)</f>
        <v>0</v>
      </c>
      <c r="R114" s="3" t="n">
        <f aca="false">IF(P114&lt;=1,0,IF(P114&lt;=10,11,IF(P114&lt;=14,12,IF(P114&lt;=17,13,IF(P114&lt;=20,14,IF(P114&lt;=22,15,IF(P114&lt;=25,16,IF(P114&lt;=27,17,IF(P114&lt;=29,18,IF(P114&lt;=32,19,IF(P114&lt;=34,20,IF(P114&lt;=36,21,IF(P114&lt;=40,22,24)))))))))))))</f>
        <v>20</v>
      </c>
      <c r="S114" s="3" t="n">
        <f aca="false">ROUND((Q114+R114+I114+J114+M114+N114)/3,0)</f>
        <v>21</v>
      </c>
      <c r="T114" s="17" t="n">
        <f aca="false">F114*LOG10(S114+2)</f>
        <v>4.08518350805278</v>
      </c>
    </row>
    <row r="115" customFormat="false" ht="14.65" hidden="false" customHeight="true" outlineLevel="0" collapsed="false">
      <c r="A115" s="13" t="s">
        <v>168</v>
      </c>
      <c r="B115" s="14" t="n">
        <v>39976</v>
      </c>
      <c r="C115" s="15" t="s">
        <v>21</v>
      </c>
      <c r="D115" s="16" t="s">
        <v>92</v>
      </c>
      <c r="E115" s="15" t="n">
        <v>5</v>
      </c>
      <c r="F115" s="15" t="n">
        <v>3</v>
      </c>
      <c r="G115" s="15"/>
      <c r="H115" s="15" t="n">
        <v>24</v>
      </c>
      <c r="I115" s="3" t="n">
        <f aca="false">_xlfn.IFS(G115="взв",11,G115="накл",24,G115="прокл",25,G115="пт",26,G115=90,10,G115=85,10,G115=80,9,G115=75,8,G115=70,8,G115=65,7,G115=60,7,G115=55,6,G115=50,6,G115=45,6,G115=40,5,G115=35,4,G115=30,4,G115=25,3,G115=20,2,G115=15,1,G115=10,1,G115=0,0)</f>
        <v>0</v>
      </c>
      <c r="J115" s="3" t="n">
        <f aca="false">IF(H115&lt;=1,0,IF(H115&lt;=10,11,IF(H115&lt;=14,12,IF(H115&lt;=17,13,IF(H115&lt;=20,14,IF(H115&lt;=22,15,IF(H115&lt;=25,16,IF(H115&lt;=27,17,IF(H115&lt;=29,18,IF(H115&lt;=32,19,IF(H115&lt;=34,20,IF(H115&lt;=36,21,IF(H115&lt;=40,22,24)))))))))))))</f>
        <v>16</v>
      </c>
      <c r="K115" s="15" t="n">
        <v>90</v>
      </c>
      <c r="L115" s="15"/>
      <c r="M115" s="3" t="n">
        <f aca="false">_xlfn.IFS(K115="взв",11,K115="накл",24,K115="прокл",25,K115="пт",26,K115=90,10,K115=85,10,K115=80,9,K115=75,8,K115=70,8,K115=65,7,K115=60,7,K115=55,6,K115=50,6,K115=45,6,K115=40,5,K115=35,4,K115=30,4,K115=25,3,K115=20,2,K115=15,1,K115=10,1,K115=0,0)</f>
        <v>10</v>
      </c>
      <c r="N115" s="3" t="n">
        <f aca="false">IF(L115&lt;=1,0,IF(L115&lt;=10,11,IF(L115&lt;=14,12,IF(L115&lt;=17,13,IF(L115&lt;=20,14,IF(L115&lt;=22,15,IF(L115&lt;=25,16,IF(L115&lt;=27,17,IF(L115&lt;=29,18,IF(L115&lt;=32,19,IF(L115&lt;=34,20,IF(L115&lt;=36,21,IF(L115&lt;=40,22,24)))))))))))))</f>
        <v>0</v>
      </c>
      <c r="O115" s="15"/>
      <c r="P115" s="15" t="n">
        <v>20</v>
      </c>
      <c r="Q115" s="3" t="n">
        <f aca="false">_xlfn.IFS(O115="взв",11,O115="накл",24,O115="прокл",25,O115="пт",26,O115=90,10,O115=85,10,O115=80,9,O115=75,8,O115=70,8,O115=65,7,O115=60,7,O115=55,6,O115=50,6,O115=45,6,O115=40,5,O115=35,4,O115=30,4,O115=25,3,O115=20,2,O115=15,1,O115=10,1,O115=0,0)</f>
        <v>0</v>
      </c>
      <c r="R115" s="3" t="n">
        <f aca="false">IF(P115&lt;=1,0,IF(P115&lt;=10,11,IF(P115&lt;=14,12,IF(P115&lt;=17,13,IF(P115&lt;=20,14,IF(P115&lt;=22,15,IF(P115&lt;=25,16,IF(P115&lt;=27,17,IF(P115&lt;=29,18,IF(P115&lt;=32,19,IF(P115&lt;=34,20,IF(P115&lt;=36,21,IF(P115&lt;=40,22,24)))))))))))))</f>
        <v>14</v>
      </c>
      <c r="S115" s="3" t="n">
        <f aca="false">ROUND((Q115+R115+I115+J115+M115+N115)/3,0)</f>
        <v>13</v>
      </c>
      <c r="T115" s="17" t="n">
        <f aca="false">F115*LOG10(S115+2)</f>
        <v>3.52827377716704</v>
      </c>
    </row>
    <row r="116" customFormat="false" ht="14.65" hidden="false" customHeight="true" outlineLevel="0" collapsed="false">
      <c r="A116" s="13" t="s">
        <v>169</v>
      </c>
      <c r="B116" s="14" t="n">
        <v>39976</v>
      </c>
      <c r="C116" s="15" t="s">
        <v>21</v>
      </c>
      <c r="D116" s="16" t="s">
        <v>170</v>
      </c>
      <c r="E116" s="3" t="n">
        <v>7</v>
      </c>
      <c r="F116" s="3" t="n">
        <v>3</v>
      </c>
      <c r="H116" s="3" t="n">
        <v>25</v>
      </c>
      <c r="I116" s="3" t="n">
        <f aca="false">_xlfn.IFS(G116="взв",11,G116="накл",24,G116="прокл",25,G116="пт",26,G116=90,10,G116=85,10,G116=80,9,G116=75,8,G116=70,8,G116=65,7,G116=60,7,G116=55,6,G116=50,6,G116=45,6,G116=40,5,G116=35,4,G116=30,4,G116=25,3,G116=20,2,G116=15,1,G116=10,1,G116=0,0)</f>
        <v>0</v>
      </c>
      <c r="J116" s="3" t="n">
        <f aca="false">IF(H116&lt;=1,0,IF(H116&lt;=10,11,IF(H116&lt;=14,12,IF(H116&lt;=17,13,IF(H116&lt;=20,14,IF(H116&lt;=22,15,IF(H116&lt;=25,16,IF(H116&lt;=27,17,IF(H116&lt;=29,18,IF(H116&lt;=32,19,IF(H116&lt;=34,20,IF(H116&lt;=36,21,IF(H116&lt;=40,22,24)))))))))))))</f>
        <v>16</v>
      </c>
      <c r="L116" s="3" t="n">
        <v>24</v>
      </c>
      <c r="M116" s="3" t="n">
        <f aca="false">_xlfn.IFS(K116="взв",11,K116="накл",24,K116="прокл",25,K116="пт",26,K116=90,10,K116=85,10,K116=80,9,K116=75,8,K116=70,8,K116=65,7,K116=60,7,K116=55,6,K116=50,6,K116=45,6,K116=40,5,K116=35,4,K116=30,4,K116=25,3,K116=20,2,K116=15,1,K116=10,1,K116=0,0)</f>
        <v>0</v>
      </c>
      <c r="N116" s="3" t="n">
        <f aca="false">IF(L116&lt;=1,0,IF(L116&lt;=10,11,IF(L116&lt;=14,12,IF(L116&lt;=17,13,IF(L116&lt;=20,14,IF(L116&lt;=22,15,IF(L116&lt;=25,16,IF(L116&lt;=27,17,IF(L116&lt;=29,18,IF(L116&lt;=32,19,IF(L116&lt;=34,20,IF(L116&lt;=36,21,IF(L116&lt;=40,22,24)))))))))))))</f>
        <v>16</v>
      </c>
      <c r="P116" s="3" t="n">
        <v>27</v>
      </c>
      <c r="Q116" s="3" t="n">
        <f aca="false">_xlfn.IFS(O116="взв",11,O116="накл",24,O116="прокл",25,O116="пт",26,O116=90,10,O116=85,10,O116=80,9,O116=75,8,O116=70,8,O116=65,7,O116=60,7,O116=55,6,O116=50,6,O116=45,6,O116=40,5,O116=35,4,O116=30,4,O116=25,3,O116=20,2,O116=15,1,O116=10,1,O116=0,0)</f>
        <v>0</v>
      </c>
      <c r="R116" s="3" t="n">
        <f aca="false">IF(P116&lt;=1,0,IF(P116&lt;=10,11,IF(P116&lt;=14,12,IF(P116&lt;=17,13,IF(P116&lt;=20,14,IF(P116&lt;=22,15,IF(P116&lt;=25,16,IF(P116&lt;=27,17,IF(P116&lt;=29,18,IF(P116&lt;=32,19,IF(P116&lt;=34,20,IF(P116&lt;=36,21,IF(P116&lt;=40,22,24)))))))))))))</f>
        <v>17</v>
      </c>
      <c r="S116" s="3" t="n">
        <f aca="false">ROUND((Q116+R116+I116+J116+M116+N116)/3,0)</f>
        <v>16</v>
      </c>
      <c r="T116" s="17" t="n">
        <f aca="false">F116*LOG10(S116+2)</f>
        <v>3.76581751530992</v>
      </c>
    </row>
    <row r="117" customFormat="false" ht="14.65" hidden="false" customHeight="true" outlineLevel="0" collapsed="false">
      <c r="A117" s="13" t="s">
        <v>171</v>
      </c>
      <c r="B117" s="14" t="n">
        <v>39976</v>
      </c>
      <c r="C117" s="15" t="s">
        <v>21</v>
      </c>
      <c r="D117" s="16" t="s">
        <v>96</v>
      </c>
      <c r="E117" s="3" t="n">
        <v>5</v>
      </c>
      <c r="F117" s="3" t="n">
        <v>3</v>
      </c>
      <c r="H117" s="3" t="n">
        <v>27</v>
      </c>
      <c r="I117" s="3" t="n">
        <f aca="false">_xlfn.IFS(G117="взв",11,G117="накл",24,G117="прокл",25,G117="пт",26,G117=90,10,G117=85,10,G117=80,9,G117=75,8,G117=70,8,G117=65,7,G117=60,7,G117=55,6,G117=50,6,G117=45,6,G117=40,5,G117=35,4,G117=30,4,G117=25,3,G117=20,2,G117=15,1,G117=10,1,G117=0,0)</f>
        <v>0</v>
      </c>
      <c r="J117" s="3" t="n">
        <f aca="false">IF(H117&lt;=1,0,IF(H117&lt;=10,11,IF(H117&lt;=14,12,IF(H117&lt;=17,13,IF(H117&lt;=20,14,IF(H117&lt;=22,15,IF(H117&lt;=25,16,IF(H117&lt;=27,17,IF(H117&lt;=29,18,IF(H117&lt;=32,19,IF(H117&lt;=34,20,IF(H117&lt;=36,21,IF(H117&lt;=40,22,24)))))))))))))</f>
        <v>17</v>
      </c>
      <c r="L117" s="3" t="n">
        <v>28</v>
      </c>
      <c r="M117" s="3" t="n">
        <f aca="false">_xlfn.IFS(K117="взв",11,K117="накл",24,K117="прокл",25,K117="пт",26,K117=90,10,K117=85,10,K117=80,9,K117=75,8,K117=70,8,K117=65,7,K117=60,7,K117=55,6,K117=50,6,K117=45,6,K117=40,5,K117=35,4,K117=30,4,K117=25,3,K117=20,2,K117=15,1,K117=10,1,K117=0,0)</f>
        <v>0</v>
      </c>
      <c r="N117" s="3" t="n">
        <f aca="false">IF(L117&lt;=1,0,IF(L117&lt;=10,11,IF(L117&lt;=14,12,IF(L117&lt;=17,13,IF(L117&lt;=20,14,IF(L117&lt;=22,15,IF(L117&lt;=25,16,IF(L117&lt;=27,17,IF(L117&lt;=29,18,IF(L117&lt;=32,19,IF(L117&lt;=34,20,IF(L117&lt;=36,21,IF(L117&lt;=40,22,24)))))))))))))</f>
        <v>18</v>
      </c>
      <c r="P117" s="3" t="n">
        <v>33</v>
      </c>
      <c r="Q117" s="3" t="n">
        <f aca="false">_xlfn.IFS(O117="взв",11,O117="накл",24,O117="прокл",25,O117="пт",26,O117=90,10,O117=85,10,O117=80,9,O117=75,8,O117=70,8,O117=65,7,O117=60,7,O117=55,6,O117=50,6,O117=45,6,O117=40,5,O117=35,4,O117=30,4,O117=25,3,O117=20,2,O117=15,1,O117=10,1,O117=0,0)</f>
        <v>0</v>
      </c>
      <c r="R117" s="3" t="n">
        <f aca="false">IF(P117&lt;=1,0,IF(P117&lt;=10,11,IF(P117&lt;=14,12,IF(P117&lt;=17,13,IF(P117&lt;=20,14,IF(P117&lt;=22,15,IF(P117&lt;=25,16,IF(P117&lt;=27,17,IF(P117&lt;=29,18,IF(P117&lt;=32,19,IF(P117&lt;=34,20,IF(P117&lt;=36,21,IF(P117&lt;=40,22,24)))))))))))))</f>
        <v>20</v>
      </c>
      <c r="S117" s="3" t="n">
        <f aca="false">ROUND((Q117+R117+I117+J117+M117+N117)/3,0)</f>
        <v>18</v>
      </c>
      <c r="T117" s="17" t="n">
        <f aca="false">F117*LOG10(S117+2)</f>
        <v>3.90308998699194</v>
      </c>
    </row>
    <row r="118" customFormat="false" ht="14.65" hidden="false" customHeight="true" outlineLevel="0" collapsed="false">
      <c r="A118" s="13" t="s">
        <v>172</v>
      </c>
      <c r="B118" s="14" t="n">
        <v>39977</v>
      </c>
      <c r="C118" s="15" t="s">
        <v>21</v>
      </c>
      <c r="D118" s="16" t="s">
        <v>100</v>
      </c>
      <c r="E118" s="3" t="n">
        <v>4</v>
      </c>
      <c r="F118" s="3" t="n">
        <v>3</v>
      </c>
      <c r="G118" s="3" t="n">
        <v>90</v>
      </c>
      <c r="I118" s="3" t="n">
        <f aca="false">_xlfn.IFS(G118="взв",11,G118="накл",24,G118="прокл",25,G118="пт",26,G118=90,10,G118=85,10,G118=80,9,G118=75,8,G118=70,8,G118=65,7,G118=60,7,G118=55,6,G118=50,6,G118=45,6,G118=40,5,G118=35,4,G118=30,4,G118=25,3,G118=20,2,G118=15,1,G118=10,1,G118=0,0)</f>
        <v>10</v>
      </c>
      <c r="J118" s="3" t="n">
        <f aca="false">IF(H118&lt;=1,0,IF(H118&lt;=10,11,IF(H118&lt;=14,12,IF(H118&lt;=17,13,IF(H118&lt;=20,14,IF(H118&lt;=22,15,IF(H118&lt;=25,16,IF(H118&lt;=27,17,IF(H118&lt;=29,18,IF(H118&lt;=32,19,IF(H118&lt;=34,20,IF(H118&lt;=36,21,IF(H118&lt;=40,22,24)))))))))))))</f>
        <v>0</v>
      </c>
      <c r="K118" s="3" t="n">
        <v>90</v>
      </c>
      <c r="M118" s="3" t="n">
        <f aca="false">_xlfn.IFS(K118="взв",11,K118="накл",24,K118="прокл",25,K118="пт",26,K118=90,10,K118=85,10,K118=80,9,K118=75,8,K118=70,8,K118=65,7,K118=60,7,K118=55,6,K118=50,6,K118=45,6,K118=40,5,K118=35,4,K118=30,4,K118=25,3,K118=20,2,K118=15,1,K118=10,1,K118=0,0)</f>
        <v>10</v>
      </c>
      <c r="N118" s="3" t="n">
        <f aca="false">IF(L118&lt;=1,0,IF(L118&lt;=10,11,IF(L118&lt;=14,12,IF(L118&lt;=17,13,IF(L118&lt;=20,14,IF(L118&lt;=22,15,IF(L118&lt;=25,16,IF(L118&lt;=27,17,IF(L118&lt;=29,18,IF(L118&lt;=32,19,IF(L118&lt;=34,20,IF(L118&lt;=36,21,IF(L118&lt;=40,22,24)))))))))))))</f>
        <v>0</v>
      </c>
      <c r="P118" s="3" t="n">
        <v>28</v>
      </c>
      <c r="Q118" s="3" t="n">
        <f aca="false">_xlfn.IFS(O118="взв",11,O118="накл",24,O118="прокл",25,O118="пт",26,O118=90,10,O118=85,10,O118=80,9,O118=75,8,O118=70,8,O118=65,7,O118=60,7,O118=55,6,O118=50,6,O118=45,6,O118=40,5,O118=35,4,O118=30,4,O118=25,3,O118=20,2,O118=15,1,O118=10,1,O118=0,0)</f>
        <v>0</v>
      </c>
      <c r="R118" s="3" t="n">
        <f aca="false">IF(P118&lt;=1,0,IF(P118&lt;=10,11,IF(P118&lt;=14,12,IF(P118&lt;=17,13,IF(P118&lt;=20,14,IF(P118&lt;=22,15,IF(P118&lt;=25,16,IF(P118&lt;=27,17,IF(P118&lt;=29,18,IF(P118&lt;=32,19,IF(P118&lt;=34,20,IF(P118&lt;=36,21,IF(P118&lt;=40,22,24)))))))))))))</f>
        <v>18</v>
      </c>
      <c r="S118" s="3" t="n">
        <f aca="false">ROUND((Q118+R118+I118+J118+M118+N118)/3,0)</f>
        <v>13</v>
      </c>
      <c r="T118" s="17" t="n">
        <f aca="false">F118*LOG10(S118+2)</f>
        <v>3.52827377716704</v>
      </c>
    </row>
    <row r="119" customFormat="false" ht="14.65" hidden="false" customHeight="true" outlineLevel="0" collapsed="false">
      <c r="A119" s="13" t="s">
        <v>173</v>
      </c>
      <c r="B119" s="14" t="n">
        <v>39977</v>
      </c>
      <c r="C119" s="15" t="s">
        <v>21</v>
      </c>
      <c r="D119" s="16" t="s">
        <v>100</v>
      </c>
      <c r="E119" s="3" t="n">
        <v>6</v>
      </c>
      <c r="F119" s="3" t="n">
        <v>3</v>
      </c>
      <c r="H119" s="3" t="n">
        <v>34</v>
      </c>
      <c r="I119" s="3" t="n">
        <f aca="false">_xlfn.IFS(G119="взв",11,G119="накл",24,G119="прокл",25,G119="пт",26,G119=90,10,G119=85,10,G119=80,9,G119=75,8,G119=70,8,G119=65,7,G119=60,7,G119=55,6,G119=50,6,G119=45,6,G119=40,5,G119=35,4,G119=30,4,G119=25,3,G119=20,2,G119=15,1,G119=10,1,G119=0,0)</f>
        <v>0</v>
      </c>
      <c r="J119" s="3" t="n">
        <f aca="false">IF(H119&lt;=1,0,IF(H119&lt;=10,11,IF(H119&lt;=14,12,IF(H119&lt;=17,13,IF(H119&lt;=20,14,IF(H119&lt;=22,15,IF(H119&lt;=25,16,IF(H119&lt;=27,17,IF(H119&lt;=29,18,IF(H119&lt;=32,19,IF(H119&lt;=34,20,IF(H119&lt;=36,21,IF(H119&lt;=40,22,24)))))))))))))</f>
        <v>20</v>
      </c>
      <c r="L119" s="3" t="n">
        <v>37</v>
      </c>
      <c r="M119" s="3" t="n">
        <f aca="false">_xlfn.IFS(K119="взв",11,K119="накл",24,K119="прокл",25,K119="пт",26,K119=90,10,K119=85,10,K119=80,9,K119=75,8,K119=70,8,K119=65,7,K119=60,7,K119=55,6,K119=50,6,K119=45,6,K119=40,5,K119=35,4,K119=30,4,K119=25,3,K119=20,2,K119=15,1,K119=10,1,K119=0,0)</f>
        <v>0</v>
      </c>
      <c r="N119" s="3" t="n">
        <f aca="false">IF(L119&lt;=1,0,IF(L119&lt;=10,11,IF(L119&lt;=14,12,IF(L119&lt;=17,13,IF(L119&lt;=20,14,IF(L119&lt;=22,15,IF(L119&lt;=25,16,IF(L119&lt;=27,17,IF(L119&lt;=29,18,IF(L119&lt;=32,19,IF(L119&lt;=34,20,IF(L119&lt;=36,21,IF(L119&lt;=40,22,24)))))))))))))</f>
        <v>22</v>
      </c>
      <c r="O119" s="3" t="s">
        <v>43</v>
      </c>
      <c r="Q119" s="3" t="n">
        <f aca="false">_xlfn.IFS(O119="взв",11,O119="накл",24,O119="прокл",25,O119="пт",26,O119=90,10,O119=85,10,O119=80,9,O119=75,8,O119=70,8,O119=65,7,O119=60,7,O119=55,6,O119=50,6,O119=45,6,O119=40,5,O119=35,4,O119=30,4,O119=25,3,O119=20,2,O119=15,1,O119=10,1,O119=0,0)</f>
        <v>24</v>
      </c>
      <c r="R119" s="3" t="n">
        <f aca="false">IF(P119&lt;=1,0,IF(P119&lt;=10,11,IF(P119&lt;=14,12,IF(P119&lt;=17,13,IF(P119&lt;=20,14,IF(P119&lt;=22,15,IF(P119&lt;=25,16,IF(P119&lt;=27,17,IF(P119&lt;=29,18,IF(P119&lt;=32,19,IF(P119&lt;=34,20,IF(P119&lt;=36,21,IF(P119&lt;=40,22,24)))))))))))))</f>
        <v>0</v>
      </c>
      <c r="S119" s="3" t="n">
        <f aca="false">ROUND((Q119+R119+I119+J119+M119+N119)/3,0)</f>
        <v>22</v>
      </c>
      <c r="T119" s="17" t="n">
        <f aca="false">F119*LOG10(S119+2)</f>
        <v>4.14063372513482</v>
      </c>
    </row>
    <row r="120" customFormat="false" ht="14.65" hidden="false" customHeight="true" outlineLevel="0" collapsed="false">
      <c r="A120" s="13" t="s">
        <v>174</v>
      </c>
      <c r="B120" s="14" t="n">
        <v>39977</v>
      </c>
      <c r="C120" s="15" t="s">
        <v>21</v>
      </c>
      <c r="D120" s="16" t="s">
        <v>42</v>
      </c>
      <c r="E120" s="3" t="n">
        <v>5</v>
      </c>
      <c r="F120" s="3" t="n">
        <v>3</v>
      </c>
      <c r="G120" s="3" t="n">
        <v>45</v>
      </c>
      <c r="I120" s="3" t="n">
        <f aca="false">_xlfn.IFS(G120="взв",11,G120="накл",24,G120="прокл",25,G120="пт",26,G120=90,10,G120=85,10,G120=80,9,G120=75,8,G120=70,8,G120=65,7,G120=60,7,G120=55,6,G120=50,6,G120=45,6,G120=40,5,G120=35,4,G120=30,4,G120=25,3,G120=20,2,G120=15,1,G120=10,1,G120=0,0)</f>
        <v>6</v>
      </c>
      <c r="J120" s="3" t="n">
        <f aca="false">IF(H120&lt;=1,0,IF(H120&lt;=10,11,IF(H120&lt;=14,12,IF(H120&lt;=17,13,IF(H120&lt;=20,14,IF(H120&lt;=22,15,IF(H120&lt;=25,16,IF(H120&lt;=27,17,IF(H120&lt;=29,18,IF(H120&lt;=32,19,IF(H120&lt;=34,20,IF(H120&lt;=36,21,IF(H120&lt;=40,22,24)))))))))))))</f>
        <v>0</v>
      </c>
      <c r="K120" s="3" t="n">
        <v>30</v>
      </c>
      <c r="M120" s="3" t="n">
        <f aca="false">_xlfn.IFS(K120="взв",11,K120="накл",24,K120="прокл",25,K120="пт",26,K120=90,10,K120=85,10,K120=80,9,K120=75,8,K120=70,8,K120=65,7,K120=60,7,K120=55,6,K120=50,6,K120=45,6,K120=40,5,K120=35,4,K120=30,4,K120=25,3,K120=20,2,K120=15,1,K120=10,1,K120=0,0)</f>
        <v>4</v>
      </c>
      <c r="N120" s="3" t="n">
        <f aca="false">IF(L120&lt;=1,0,IF(L120&lt;=10,11,IF(L120&lt;=14,12,IF(L120&lt;=17,13,IF(L120&lt;=20,14,IF(L120&lt;=22,15,IF(L120&lt;=25,16,IF(L120&lt;=27,17,IF(L120&lt;=29,18,IF(L120&lt;=32,19,IF(L120&lt;=34,20,IF(L120&lt;=36,21,IF(L120&lt;=40,22,24)))))))))))))</f>
        <v>0</v>
      </c>
      <c r="O120" s="3" t="n">
        <v>45</v>
      </c>
      <c r="Q120" s="3" t="n">
        <f aca="false">_xlfn.IFS(O120="взв",11,O120="накл",24,O120="прокл",25,O120="пт",26,O120=90,10,O120=85,10,O120=80,9,O120=75,8,O120=70,8,O120=65,7,O120=60,7,O120=55,6,O120=50,6,O120=45,6,O120=40,5,O120=35,4,O120=30,4,O120=25,3,O120=20,2,O120=15,1,O120=10,1,O120=0,0)</f>
        <v>6</v>
      </c>
      <c r="R120" s="3" t="n">
        <f aca="false">IF(P120&lt;=1,0,IF(P120&lt;=10,11,IF(P120&lt;=14,12,IF(P120&lt;=17,13,IF(P120&lt;=20,14,IF(P120&lt;=22,15,IF(P120&lt;=25,16,IF(P120&lt;=27,17,IF(P120&lt;=29,18,IF(P120&lt;=32,19,IF(P120&lt;=34,20,IF(P120&lt;=36,21,IF(P120&lt;=40,22,24)))))))))))))</f>
        <v>0</v>
      </c>
      <c r="S120" s="3" t="n">
        <f aca="false">ROUND((Q120+R120+I120+J120+M120+N120)/3,0)</f>
        <v>5</v>
      </c>
      <c r="T120" s="17" t="n">
        <f aca="false">F120*LOG10(S120+2)</f>
        <v>2.53529412004277</v>
      </c>
    </row>
    <row r="121" customFormat="false" ht="14.65" hidden="false" customHeight="true" outlineLevel="0" collapsed="false">
      <c r="A121" s="13" t="s">
        <v>175</v>
      </c>
      <c r="B121" s="14" t="n">
        <v>39977</v>
      </c>
      <c r="C121" s="15" t="s">
        <v>21</v>
      </c>
      <c r="D121" s="16" t="s">
        <v>42</v>
      </c>
      <c r="E121" s="3" t="n">
        <v>5</v>
      </c>
      <c r="F121" s="3" t="n">
        <v>3</v>
      </c>
      <c r="H121" s="3" t="n">
        <v>34</v>
      </c>
      <c r="I121" s="3" t="n">
        <f aca="false">_xlfn.IFS(G121="взв",11,G121="накл",24,G121="прокл",25,G121="пт",26,G121=90,10,G121=85,10,G121=80,9,G121=75,8,G121=70,8,G121=65,7,G121=60,7,G121=55,6,G121=50,6,G121=45,6,G121=40,5,G121=35,4,G121=30,4,G121=25,3,G121=20,2,G121=15,1,G121=10,1,G121=0,0)</f>
        <v>0</v>
      </c>
      <c r="J121" s="3" t="n">
        <f aca="false">IF(H121&lt;=1,0,IF(H121&lt;=10,11,IF(H121&lt;=14,12,IF(H121&lt;=17,13,IF(H121&lt;=20,14,IF(H121&lt;=22,15,IF(H121&lt;=25,16,IF(H121&lt;=27,17,IF(H121&lt;=29,18,IF(H121&lt;=32,19,IF(H121&lt;=34,20,IF(H121&lt;=36,21,IF(H121&lt;=40,22,24)))))))))))))</f>
        <v>20</v>
      </c>
      <c r="L121" s="3" t="n">
        <v>37</v>
      </c>
      <c r="M121" s="3" t="n">
        <f aca="false">_xlfn.IFS(K121="взв",11,K121="накл",24,K121="прокл",25,K121="пт",26,K121=90,10,K121=85,10,K121=80,9,K121=75,8,K121=70,8,K121=65,7,K121=60,7,K121=55,6,K121=50,6,K121=45,6,K121=40,5,K121=35,4,K121=30,4,K121=25,3,K121=20,2,K121=15,1,K121=10,1,K121=0,0)</f>
        <v>0</v>
      </c>
      <c r="N121" s="3" t="n">
        <f aca="false">IF(L121&lt;=1,0,IF(L121&lt;=10,11,IF(L121&lt;=14,12,IF(L121&lt;=17,13,IF(L121&lt;=20,14,IF(L121&lt;=22,15,IF(L121&lt;=25,16,IF(L121&lt;=27,17,IF(L121&lt;=29,18,IF(L121&lt;=32,19,IF(L121&lt;=34,20,IF(L121&lt;=36,21,IF(L121&lt;=40,22,24)))))))))))))</f>
        <v>22</v>
      </c>
      <c r="P121" s="3" t="n">
        <v>36</v>
      </c>
      <c r="Q121" s="3" t="n">
        <f aca="false">_xlfn.IFS(O121="взв",11,O121="накл",24,O121="прокл",25,O121="пт",26,O121=90,10,O121=85,10,O121=80,9,O121=75,8,O121=70,8,O121=65,7,O121=60,7,O121=55,6,O121=50,6,O121=45,6,O121=40,5,O121=35,4,O121=30,4,O121=25,3,O121=20,2,O121=15,1,O121=10,1,O121=0,0)</f>
        <v>0</v>
      </c>
      <c r="R121" s="3" t="n">
        <f aca="false">IF(P121&lt;=1,0,IF(P121&lt;=10,11,IF(P121&lt;=14,12,IF(P121&lt;=17,13,IF(P121&lt;=20,14,IF(P121&lt;=22,15,IF(P121&lt;=25,16,IF(P121&lt;=27,17,IF(P121&lt;=29,18,IF(P121&lt;=32,19,IF(P121&lt;=34,20,IF(P121&lt;=36,21,IF(P121&lt;=40,22,24)))))))))))))</f>
        <v>21</v>
      </c>
      <c r="S121" s="3" t="n">
        <f aca="false">ROUND((Q121+R121+I121+J121+M121+N121)/3,0)</f>
        <v>21</v>
      </c>
      <c r="T121" s="17" t="n">
        <f aca="false">F121*LOG10(S121+2)</f>
        <v>4.08518350805278</v>
      </c>
    </row>
    <row r="122" customFormat="false" ht="14.65" hidden="false" customHeight="true" outlineLevel="0" collapsed="false">
      <c r="A122" s="13" t="s">
        <v>176</v>
      </c>
      <c r="B122" s="14" t="n">
        <v>39977</v>
      </c>
      <c r="C122" s="15" t="s">
        <v>21</v>
      </c>
      <c r="D122" s="16" t="s">
        <v>42</v>
      </c>
      <c r="E122" s="3" t="n">
        <v>6</v>
      </c>
      <c r="F122" s="3" t="n">
        <v>3</v>
      </c>
      <c r="G122" s="3" t="n">
        <v>15</v>
      </c>
      <c r="I122" s="3" t="n">
        <f aca="false">_xlfn.IFS(G122="взв",11,G122="накл",24,G122="прокл",25,G122="пт",26,G122=90,10,G122=85,10,G122=80,9,G122=75,8,G122=70,8,G122=65,7,G122=60,7,G122=55,6,G122=50,6,G122=45,6,G122=40,5,G122=35,4,G122=30,4,G122=25,3,G122=20,2,G122=15,1,G122=10,1,G122=0,0)</f>
        <v>1</v>
      </c>
      <c r="J122" s="3" t="n">
        <f aca="false">IF(H122&lt;=1,0,IF(H122&lt;=10,11,IF(H122&lt;=14,12,IF(H122&lt;=17,13,IF(H122&lt;=20,14,IF(H122&lt;=22,15,IF(H122&lt;=25,16,IF(H122&lt;=27,17,IF(H122&lt;=29,18,IF(H122&lt;=32,19,IF(H122&lt;=34,20,IF(H122&lt;=36,21,IF(H122&lt;=40,22,24)))))))))))))</f>
        <v>0</v>
      </c>
      <c r="K122" s="3" t="n">
        <v>15</v>
      </c>
      <c r="M122" s="3" t="n">
        <f aca="false">_xlfn.IFS(K122="взв",11,K122="накл",24,K122="прокл",25,K122="пт",26,K122=90,10,K122=85,10,K122=80,9,K122=75,8,K122=70,8,K122=65,7,K122=60,7,K122=55,6,K122=50,6,K122=45,6,K122=40,5,K122=35,4,K122=30,4,K122=25,3,K122=20,2,K122=15,1,K122=10,1,K122=0,0)</f>
        <v>1</v>
      </c>
      <c r="N122" s="3" t="n">
        <f aca="false">IF(L122&lt;=1,0,IF(L122&lt;=10,11,IF(L122&lt;=14,12,IF(L122&lt;=17,13,IF(L122&lt;=20,14,IF(L122&lt;=22,15,IF(L122&lt;=25,16,IF(L122&lt;=27,17,IF(L122&lt;=29,18,IF(L122&lt;=32,19,IF(L122&lt;=34,20,IF(L122&lt;=36,21,IF(L122&lt;=40,22,24)))))))))))))</f>
        <v>0</v>
      </c>
      <c r="O122" s="3" t="n">
        <v>15</v>
      </c>
      <c r="Q122" s="3" t="n">
        <f aca="false">_xlfn.IFS(O122="взв",11,O122="накл",24,O122="прокл",25,O122="пт",26,O122=90,10,O122=85,10,O122=80,9,O122=75,8,O122=70,8,O122=65,7,O122=60,7,O122=55,6,O122=50,6,O122=45,6,O122=40,5,O122=35,4,O122=30,4,O122=25,3,O122=20,2,O122=15,1,O122=10,1,O122=0,0)</f>
        <v>1</v>
      </c>
      <c r="R122" s="3" t="n">
        <f aca="false">IF(P122&lt;=1,0,IF(P122&lt;=10,11,IF(P122&lt;=14,12,IF(P122&lt;=17,13,IF(P122&lt;=20,14,IF(P122&lt;=22,15,IF(P122&lt;=25,16,IF(P122&lt;=27,17,IF(P122&lt;=29,18,IF(P122&lt;=32,19,IF(P122&lt;=34,20,IF(P122&lt;=36,21,IF(P122&lt;=40,22,24)))))))))))))</f>
        <v>0</v>
      </c>
      <c r="S122" s="3" t="n">
        <f aca="false">ROUND((Q122+R122+I122+J122+M122+N122)/3,0)</f>
        <v>1</v>
      </c>
      <c r="T122" s="17" t="n">
        <f aca="false">F122*LOG10(S122+2)</f>
        <v>1.43136376415899</v>
      </c>
    </row>
    <row r="123" customFormat="false" ht="14.65" hidden="false" customHeight="true" outlineLevel="0" collapsed="false">
      <c r="A123" s="13" t="s">
        <v>177</v>
      </c>
      <c r="B123" s="14" t="n">
        <v>39977</v>
      </c>
      <c r="C123" s="15" t="s">
        <v>21</v>
      </c>
      <c r="D123" s="16" t="s">
        <v>106</v>
      </c>
      <c r="E123" s="3" t="n">
        <v>3</v>
      </c>
      <c r="F123" s="3" t="n">
        <v>3</v>
      </c>
      <c r="H123" s="3" t="n">
        <v>32</v>
      </c>
      <c r="I123" s="3" t="n">
        <f aca="false">_xlfn.IFS(G123="взв",11,G123="накл",24,G123="прокл",25,G123="пт",26,G123=90,10,G123=85,10,G123=80,9,G123=75,8,G123=70,8,G123=65,7,G123=60,7,G123=55,6,G123=50,6,G123=45,6,G123=40,5,G123=35,4,G123=30,4,G123=25,3,G123=20,2,G123=15,1,G123=10,1,G123=0,0)</f>
        <v>0</v>
      </c>
      <c r="J123" s="3" t="n">
        <f aca="false">IF(H123&lt;=1,0,IF(H123&lt;=10,11,IF(H123&lt;=14,12,IF(H123&lt;=17,13,IF(H123&lt;=20,14,IF(H123&lt;=22,15,IF(H123&lt;=25,16,IF(H123&lt;=27,17,IF(H123&lt;=29,18,IF(H123&lt;=32,19,IF(H123&lt;=34,20,IF(H123&lt;=36,21,IF(H123&lt;=40,22,24)))))))))))))</f>
        <v>19</v>
      </c>
      <c r="L123" s="3" t="n">
        <v>33</v>
      </c>
      <c r="M123" s="3" t="n">
        <f aca="false">_xlfn.IFS(K123="взв",11,K123="накл",24,K123="прокл",25,K123="пт",26,K123=90,10,K123=85,10,K123=80,9,K123=75,8,K123=70,8,K123=65,7,K123=60,7,K123=55,6,K123=50,6,K123=45,6,K123=40,5,K123=35,4,K123=30,4,K123=25,3,K123=20,2,K123=15,1,K123=10,1,K123=0,0)</f>
        <v>0</v>
      </c>
      <c r="N123" s="3" t="n">
        <f aca="false">IF(L123&lt;=1,0,IF(L123&lt;=10,11,IF(L123&lt;=14,12,IF(L123&lt;=17,13,IF(L123&lt;=20,14,IF(L123&lt;=22,15,IF(L123&lt;=25,16,IF(L123&lt;=27,17,IF(L123&lt;=29,18,IF(L123&lt;=32,19,IF(L123&lt;=34,20,IF(L123&lt;=36,21,IF(L123&lt;=40,22,24)))))))))))))</f>
        <v>20</v>
      </c>
      <c r="P123" s="3" t="n">
        <v>29</v>
      </c>
      <c r="Q123" s="3" t="n">
        <f aca="false">_xlfn.IFS(O123="взв",11,O123="накл",24,O123="прокл",25,O123="пт",26,O123=90,10,O123=85,10,O123=80,9,O123=75,8,O123=70,8,O123=65,7,O123=60,7,O123=55,6,O123=50,6,O123=45,6,O123=40,5,O123=35,4,O123=30,4,O123=25,3,O123=20,2,O123=15,1,O123=10,1,O123=0,0)</f>
        <v>0</v>
      </c>
      <c r="R123" s="3" t="n">
        <f aca="false">IF(P123&lt;=1,0,IF(P123&lt;=10,11,IF(P123&lt;=14,12,IF(P123&lt;=17,13,IF(P123&lt;=20,14,IF(P123&lt;=22,15,IF(P123&lt;=25,16,IF(P123&lt;=27,17,IF(P123&lt;=29,18,IF(P123&lt;=32,19,IF(P123&lt;=34,20,IF(P123&lt;=36,21,IF(P123&lt;=40,22,24)))))))))))))</f>
        <v>18</v>
      </c>
      <c r="S123" s="3" t="n">
        <f aca="false">ROUND((Q123+R123+I123+J123+M123+N123)/3,0)</f>
        <v>19</v>
      </c>
      <c r="T123" s="17" t="n">
        <f aca="false">F123*LOG10(S123+2)</f>
        <v>3.96665788420176</v>
      </c>
    </row>
    <row r="124" customFormat="false" ht="14.65" hidden="false" customHeight="true" outlineLevel="0" collapsed="false">
      <c r="A124" s="13" t="s">
        <v>178</v>
      </c>
      <c r="B124" s="14" t="n">
        <v>39977</v>
      </c>
      <c r="C124" s="15" t="s">
        <v>21</v>
      </c>
      <c r="D124" s="16" t="s">
        <v>108</v>
      </c>
      <c r="E124" s="3" t="n">
        <v>7</v>
      </c>
      <c r="F124" s="3" t="n">
        <v>3</v>
      </c>
      <c r="H124" s="3" t="n">
        <v>28</v>
      </c>
      <c r="I124" s="3" t="n">
        <f aca="false">_xlfn.IFS(G124="взв",11,G124="накл",24,G124="прокл",25,G124="пт",26,G124=90,10,G124=85,10,G124=80,9,G124=75,8,G124=70,8,G124=65,7,G124=60,7,G124=55,6,G124=50,6,G124=45,6,G124=40,5,G124=35,4,G124=30,4,G124=25,3,G124=20,2,G124=15,1,G124=10,1,G124=0,0)</f>
        <v>0</v>
      </c>
      <c r="J124" s="3" t="n">
        <f aca="false">IF(H124&lt;=1,0,IF(H124&lt;=10,11,IF(H124&lt;=14,12,IF(H124&lt;=17,13,IF(H124&lt;=20,14,IF(H124&lt;=22,15,IF(H124&lt;=25,16,IF(H124&lt;=27,17,IF(H124&lt;=29,18,IF(H124&lt;=32,19,IF(H124&lt;=34,20,IF(H124&lt;=36,21,IF(H124&lt;=40,22,24)))))))))))))</f>
        <v>18</v>
      </c>
      <c r="L124" s="3" t="n">
        <v>26</v>
      </c>
      <c r="M124" s="3" t="n">
        <f aca="false">_xlfn.IFS(K124="взв",11,K124="накл",24,K124="прокл",25,K124="пт",26,K124=90,10,K124=85,10,K124=80,9,K124=75,8,K124=70,8,K124=65,7,K124=60,7,K124=55,6,K124=50,6,K124=45,6,K124=40,5,K124=35,4,K124=30,4,K124=25,3,K124=20,2,K124=15,1,K124=10,1,K124=0,0)</f>
        <v>0</v>
      </c>
      <c r="N124" s="3" t="n">
        <f aca="false">IF(L124&lt;=1,0,IF(L124&lt;=10,11,IF(L124&lt;=14,12,IF(L124&lt;=17,13,IF(L124&lt;=20,14,IF(L124&lt;=22,15,IF(L124&lt;=25,16,IF(L124&lt;=27,17,IF(L124&lt;=29,18,IF(L124&lt;=32,19,IF(L124&lt;=34,20,IF(L124&lt;=36,21,IF(L124&lt;=40,22,24)))))))))))))</f>
        <v>17</v>
      </c>
      <c r="P124" s="3" t="n">
        <v>29</v>
      </c>
      <c r="Q124" s="3" t="n">
        <f aca="false">_xlfn.IFS(O124="взв",11,O124="накл",24,O124="прокл",25,O124="пт",26,O124=90,10,O124=85,10,O124=80,9,O124=75,8,O124=70,8,O124=65,7,O124=60,7,O124=55,6,O124=50,6,O124=45,6,O124=40,5,O124=35,4,O124=30,4,O124=25,3,O124=20,2,O124=15,1,O124=10,1,O124=0,0)</f>
        <v>0</v>
      </c>
      <c r="R124" s="3" t="n">
        <f aca="false">IF(P124&lt;=1,0,IF(P124&lt;=10,11,IF(P124&lt;=14,12,IF(P124&lt;=17,13,IF(P124&lt;=20,14,IF(P124&lt;=22,15,IF(P124&lt;=25,16,IF(P124&lt;=27,17,IF(P124&lt;=29,18,IF(P124&lt;=32,19,IF(P124&lt;=34,20,IF(P124&lt;=36,21,IF(P124&lt;=40,22,24)))))))))))))</f>
        <v>18</v>
      </c>
      <c r="S124" s="3" t="n">
        <f aca="false">ROUND((Q124+R124+I124+J124+M124+N124)/3,0)</f>
        <v>18</v>
      </c>
      <c r="T124" s="17" t="n">
        <f aca="false">F124*LOG10(S124+2)</f>
        <v>3.90308998699194</v>
      </c>
    </row>
    <row r="125" customFormat="false" ht="14.65" hidden="false" customHeight="true" outlineLevel="0" collapsed="false">
      <c r="A125" s="13" t="s">
        <v>179</v>
      </c>
      <c r="B125" s="14" t="n">
        <v>39977</v>
      </c>
      <c r="C125" s="15" t="s">
        <v>21</v>
      </c>
      <c r="D125" s="16" t="s">
        <v>108</v>
      </c>
      <c r="E125" s="3" t="n">
        <v>4</v>
      </c>
      <c r="F125" s="3" t="n">
        <v>3</v>
      </c>
      <c r="G125" s="3" t="n">
        <v>45</v>
      </c>
      <c r="I125" s="3" t="n">
        <f aca="false">_xlfn.IFS(G125="взв",11,G125="накл",24,G125="прокл",25,G125="пт",26,G125=90,10,G125=85,10,G125=80,9,G125=75,8,G125=70,8,G125=65,7,G125=60,7,G125=55,6,G125=50,6,G125=45,6,G125=40,5,G125=35,4,G125=30,4,G125=25,3,G125=20,2,G125=15,1,G125=10,1,G125=0,0)</f>
        <v>6</v>
      </c>
      <c r="J125" s="3" t="n">
        <f aca="false">IF(H125&lt;=1,0,IF(H125&lt;=10,11,IF(H125&lt;=14,12,IF(H125&lt;=17,13,IF(H125&lt;=20,14,IF(H125&lt;=22,15,IF(H125&lt;=25,16,IF(H125&lt;=27,17,IF(H125&lt;=29,18,IF(H125&lt;=32,19,IF(H125&lt;=34,20,IF(H125&lt;=36,21,IF(H125&lt;=40,22,24)))))))))))))</f>
        <v>0</v>
      </c>
      <c r="K125" s="3" t="n">
        <v>15</v>
      </c>
      <c r="M125" s="3" t="n">
        <f aca="false">_xlfn.IFS(K125="взв",11,K125="накл",24,K125="прокл",25,K125="пт",26,K125=90,10,K125=85,10,K125=80,9,K125=75,8,K125=70,8,K125=65,7,K125=60,7,K125=55,6,K125=50,6,K125=45,6,K125=40,5,K125=35,4,K125=30,4,K125=25,3,K125=20,2,K125=15,1,K125=10,1,K125=0,0)</f>
        <v>1</v>
      </c>
      <c r="N125" s="3" t="n">
        <f aca="false">IF(L125&lt;=1,0,IF(L125&lt;=10,11,IF(L125&lt;=14,12,IF(L125&lt;=17,13,IF(L125&lt;=20,14,IF(L125&lt;=22,15,IF(L125&lt;=25,16,IF(L125&lt;=27,17,IF(L125&lt;=29,18,IF(L125&lt;=32,19,IF(L125&lt;=34,20,IF(L125&lt;=36,21,IF(L125&lt;=40,22,24)))))))))))))</f>
        <v>0</v>
      </c>
      <c r="O125" s="3" t="n">
        <v>15</v>
      </c>
      <c r="Q125" s="3" t="n">
        <f aca="false">_xlfn.IFS(O125="взв",11,O125="накл",24,O125="прокл",25,O125="пт",26,O125=90,10,O125=85,10,O125=80,9,O125=75,8,O125=70,8,O125=65,7,O125=60,7,O125=55,6,O125=50,6,O125=45,6,O125=40,5,O125=35,4,O125=30,4,O125=25,3,O125=20,2,O125=15,1,O125=10,1,O125=0,0)</f>
        <v>1</v>
      </c>
      <c r="R125" s="3" t="n">
        <f aca="false">IF(P125&lt;=1,0,IF(P125&lt;=10,11,IF(P125&lt;=14,12,IF(P125&lt;=17,13,IF(P125&lt;=20,14,IF(P125&lt;=22,15,IF(P125&lt;=25,16,IF(P125&lt;=27,17,IF(P125&lt;=29,18,IF(P125&lt;=32,19,IF(P125&lt;=34,20,IF(P125&lt;=36,21,IF(P125&lt;=40,22,24)))))))))))))</f>
        <v>0</v>
      </c>
      <c r="S125" s="3" t="n">
        <f aca="false">ROUND((Q125+R125+I125+J125+M125+N125)/3,0)</f>
        <v>3</v>
      </c>
      <c r="T125" s="17" t="n">
        <f aca="false">F125*LOG10(S125+2)</f>
        <v>2.09691001300806</v>
      </c>
    </row>
    <row r="126" customFormat="false" ht="14.65" hidden="false" customHeight="true" outlineLevel="0" collapsed="false">
      <c r="A126" s="13" t="s">
        <v>180</v>
      </c>
      <c r="B126" s="14" t="n">
        <v>39977</v>
      </c>
      <c r="C126" s="15" t="s">
        <v>21</v>
      </c>
      <c r="D126" s="16" t="s">
        <v>108</v>
      </c>
      <c r="E126" s="3" t="n">
        <v>6</v>
      </c>
      <c r="F126" s="3" t="n">
        <v>3</v>
      </c>
      <c r="G126" s="3" t="n">
        <v>0</v>
      </c>
      <c r="I126" s="3" t="n">
        <f aca="false">_xlfn.IFS(G126="взв",11,G126="накл",24,G126="прокл",25,G126="пт",26,G126=90,10,G126=85,10,G126=80,9,G126=75,8,G126=70,8,G126=65,7,G126=60,7,G126=55,6,G126=50,6,G126=45,6,G126=40,5,G126=35,4,G126=30,4,G126=25,3,G126=20,2,G126=15,1,G126=10,1,G126=0,0)</f>
        <v>0</v>
      </c>
      <c r="J126" s="3" t="n">
        <f aca="false">IF(H126&lt;=1,0,IF(H126&lt;=10,11,IF(H126&lt;=14,12,IF(H126&lt;=17,13,IF(H126&lt;=20,14,IF(H126&lt;=22,15,IF(H126&lt;=25,16,IF(H126&lt;=27,17,IF(H126&lt;=29,18,IF(H126&lt;=32,19,IF(H126&lt;=34,20,IF(H126&lt;=36,21,IF(H126&lt;=40,22,24)))))))))))))</f>
        <v>0</v>
      </c>
      <c r="K126" s="3" t="n">
        <v>15</v>
      </c>
      <c r="M126" s="3" t="n">
        <f aca="false">_xlfn.IFS(K126="взв",11,K126="накл",24,K126="прокл",25,K126="пт",26,K126=90,10,K126=85,10,K126=80,9,K126=75,8,K126=70,8,K126=65,7,K126=60,7,K126=55,6,K126=50,6,K126=45,6,K126=40,5,K126=35,4,K126=30,4,K126=25,3,K126=20,2,K126=15,1,K126=10,1,K126=0,0)</f>
        <v>1</v>
      </c>
      <c r="N126" s="3" t="n">
        <f aca="false">IF(L126&lt;=1,0,IF(L126&lt;=10,11,IF(L126&lt;=14,12,IF(L126&lt;=17,13,IF(L126&lt;=20,14,IF(L126&lt;=22,15,IF(L126&lt;=25,16,IF(L126&lt;=27,17,IF(L126&lt;=29,18,IF(L126&lt;=32,19,IF(L126&lt;=34,20,IF(L126&lt;=36,21,IF(L126&lt;=40,22,24)))))))))))))</f>
        <v>0</v>
      </c>
      <c r="O126" s="3" t="n">
        <v>15</v>
      </c>
      <c r="Q126" s="3" t="n">
        <f aca="false">_xlfn.IFS(O126="взв",11,O126="накл",24,O126="прокл",25,O126="пт",26,O126=90,10,O126=85,10,O126=80,9,O126=75,8,O126=70,8,O126=65,7,O126=60,7,O126=55,6,O126=50,6,O126=45,6,O126=40,5,O126=35,4,O126=30,4,O126=25,3,O126=20,2,O126=15,1,O126=10,1,O126=0,0)</f>
        <v>1</v>
      </c>
      <c r="R126" s="3" t="n">
        <f aca="false">IF(P126&lt;=1,0,IF(P126&lt;=10,11,IF(P126&lt;=14,12,IF(P126&lt;=17,13,IF(P126&lt;=20,14,IF(P126&lt;=22,15,IF(P126&lt;=25,16,IF(P126&lt;=27,17,IF(P126&lt;=29,18,IF(P126&lt;=32,19,IF(P126&lt;=34,20,IF(P126&lt;=36,21,IF(P126&lt;=40,22,24)))))))))))))</f>
        <v>0</v>
      </c>
      <c r="S126" s="3" t="n">
        <f aca="false">ROUND((Q126+R126+I126+J126+M126+N126)/3,0)</f>
        <v>1</v>
      </c>
      <c r="T126" s="17" t="n">
        <f aca="false">F126*LOG10(S126+2)</f>
        <v>1.43136376415899</v>
      </c>
    </row>
    <row r="127" customFormat="false" ht="14.65" hidden="false" customHeight="true" outlineLevel="0" collapsed="false">
      <c r="A127" s="13" t="s">
        <v>181</v>
      </c>
      <c r="B127" s="14" t="n">
        <v>39979</v>
      </c>
      <c r="C127" s="15" t="s">
        <v>27</v>
      </c>
      <c r="D127" s="4" t="s">
        <v>84</v>
      </c>
      <c r="E127" s="3" t="n">
        <v>4</v>
      </c>
      <c r="F127" s="3" t="n">
        <v>3</v>
      </c>
      <c r="H127" s="3" t="n">
        <v>41</v>
      </c>
      <c r="I127" s="3" t="n">
        <f aca="false">_xlfn.IFS(G127="взв",11,G127="накл",24,G127="прокл",25,G127="пт",26,G127=90,10,G127=85,10,G127=80,9,G127=75,8,G127=70,8,G127=65,7,G127=60,7,G127=55,6,G127=50,6,G127=45,6,G127=40,5,G127=35,4,G127=30,4,G127=25,3,G127=20,2,G127=15,1,G127=10,1,G127=0,0)</f>
        <v>0</v>
      </c>
      <c r="J127" s="3" t="n">
        <f aca="false">IF(H127&lt;=1,0,IF(H127&lt;=10,11,IF(H127&lt;=14,12,IF(H127&lt;=17,13,IF(H127&lt;=20,14,IF(H127&lt;=22,15,IF(H127&lt;=25,16,IF(H127&lt;=27,17,IF(H127&lt;=29,18,IF(H127&lt;=32,19,IF(H127&lt;=34,20,IF(H127&lt;=36,21,IF(H127&lt;=40,22,24)))))))))))))</f>
        <v>24</v>
      </c>
      <c r="L127" s="3" t="n">
        <v>33</v>
      </c>
      <c r="M127" s="3" t="n">
        <f aca="false">_xlfn.IFS(K127="взв",11,K127="накл",24,K127="прокл",25,K127="пт",26,K127=90,10,K127=85,10,K127=80,9,K127=75,8,K127=70,8,K127=65,7,K127=60,7,K127=55,6,K127=50,6,K127=45,6,K127=40,5,K127=35,4,K127=30,4,K127=25,3,K127=20,2,K127=15,1,K127=10,1,K127=0,0)</f>
        <v>0</v>
      </c>
      <c r="N127" s="3" t="n">
        <f aca="false">IF(L127&lt;=1,0,IF(L127&lt;=10,11,IF(L127&lt;=14,12,IF(L127&lt;=17,13,IF(L127&lt;=20,14,IF(L127&lt;=22,15,IF(L127&lt;=25,16,IF(L127&lt;=27,17,IF(L127&lt;=29,18,IF(L127&lt;=32,19,IF(L127&lt;=34,20,IF(L127&lt;=36,21,IF(L127&lt;=40,22,24)))))))))))))</f>
        <v>20</v>
      </c>
      <c r="P127" s="3" t="n">
        <v>33</v>
      </c>
      <c r="Q127" s="3" t="n">
        <f aca="false">_xlfn.IFS(O127="взв",11,O127="накл",24,O127="прокл",25,O127="пт",26,O127=90,10,O127=85,10,O127=80,9,O127=75,8,O127=70,8,O127=65,7,O127=60,7,O127=55,6,O127=50,6,O127=45,6,O127=40,5,O127=35,4,O127=30,4,O127=25,3,O127=20,2,O127=15,1,O127=10,1,O127=0,0)</f>
        <v>0</v>
      </c>
      <c r="R127" s="3" t="n">
        <f aca="false">IF(P127&lt;=1,0,IF(P127&lt;=10,11,IF(P127&lt;=14,12,IF(P127&lt;=17,13,IF(P127&lt;=20,14,IF(P127&lt;=22,15,IF(P127&lt;=25,16,IF(P127&lt;=27,17,IF(P127&lt;=29,18,IF(P127&lt;=32,19,IF(P127&lt;=34,20,IF(P127&lt;=36,21,IF(P127&lt;=40,22,24)))))))))))))</f>
        <v>20</v>
      </c>
      <c r="S127" s="3" t="n">
        <f aca="false">ROUND((Q127+R127+I127+J127+M127+N127)/3,0)</f>
        <v>21</v>
      </c>
      <c r="T127" s="17" t="n">
        <f aca="false">F127*LOG10(S127+2)</f>
        <v>4.08518350805278</v>
      </c>
    </row>
    <row r="128" customFormat="false" ht="14.65" hidden="false" customHeight="true" outlineLevel="0" collapsed="false">
      <c r="A128" s="13" t="s">
        <v>182</v>
      </c>
      <c r="B128" s="14" t="n">
        <v>39981</v>
      </c>
      <c r="C128" s="15" t="s">
        <v>27</v>
      </c>
      <c r="D128" s="4" t="s">
        <v>45</v>
      </c>
      <c r="E128" s="3" t="n">
        <v>5</v>
      </c>
      <c r="F128" s="3" t="n">
        <v>3</v>
      </c>
      <c r="G128" s="3" t="n">
        <v>75</v>
      </c>
      <c r="I128" s="3" t="n">
        <f aca="false">_xlfn.IFS(G128="взв",11,G128="накл",24,G128="прокл",25,G128="пт",26,G128=90,10,G128=85,10,G128=80,9,G128=75,8,G128=70,8,G128=65,7,G128=60,7,G128=55,6,G128=50,6,G128=45,6,G128=40,5,G128=35,4,G128=30,4,G128=25,3,G128=20,2,G128=15,1,G128=10,1,G128=0,0)</f>
        <v>8</v>
      </c>
      <c r="J128" s="3" t="n">
        <f aca="false">IF(H128&lt;=1,0,IF(H128&lt;=10,11,IF(H128&lt;=14,12,IF(H128&lt;=17,13,IF(H128&lt;=20,14,IF(H128&lt;=22,15,IF(H128&lt;=25,16,IF(H128&lt;=27,17,IF(H128&lt;=29,18,IF(H128&lt;=32,19,IF(H128&lt;=34,20,IF(H128&lt;=36,21,IF(H128&lt;=40,22,24)))))))))))))</f>
        <v>0</v>
      </c>
      <c r="K128" s="3" t="n">
        <v>75</v>
      </c>
      <c r="M128" s="3" t="n">
        <f aca="false">_xlfn.IFS(K128="взв",11,K128="накл",24,K128="прокл",25,K128="пт",26,K128=90,10,K128=85,10,K128=80,9,K128=75,8,K128=70,8,K128=65,7,K128=60,7,K128=55,6,K128=50,6,K128=45,6,K128=40,5,K128=35,4,K128=30,4,K128=25,3,K128=20,2,K128=15,1,K128=10,1,K128=0,0)</f>
        <v>8</v>
      </c>
      <c r="N128" s="3" t="n">
        <f aca="false">IF(L128&lt;=1,0,IF(L128&lt;=10,11,IF(L128&lt;=14,12,IF(L128&lt;=17,13,IF(L128&lt;=20,14,IF(L128&lt;=22,15,IF(L128&lt;=25,16,IF(L128&lt;=27,17,IF(L128&lt;=29,18,IF(L128&lt;=32,19,IF(L128&lt;=34,20,IF(L128&lt;=36,21,IF(L128&lt;=40,22,24)))))))))))))</f>
        <v>0</v>
      </c>
      <c r="O128" s="3" t="n">
        <v>60</v>
      </c>
      <c r="Q128" s="3" t="n">
        <f aca="false">_xlfn.IFS(O128="взв",11,O128="накл",24,O128="прокл",25,O128="пт",26,O128=90,10,O128=85,10,O128=80,9,O128=75,8,O128=70,8,O128=65,7,O128=60,7,O128=55,6,O128=50,6,O128=45,6,O128=40,5,O128=35,4,O128=30,4,O128=25,3,O128=20,2,O128=15,1,O128=10,1,O128=0,0)</f>
        <v>7</v>
      </c>
      <c r="R128" s="3" t="n">
        <f aca="false">IF(P128&lt;=1,0,IF(P128&lt;=10,11,IF(P128&lt;=14,12,IF(P128&lt;=17,13,IF(P128&lt;=20,14,IF(P128&lt;=22,15,IF(P128&lt;=25,16,IF(P128&lt;=27,17,IF(P128&lt;=29,18,IF(P128&lt;=32,19,IF(P128&lt;=34,20,IF(P128&lt;=36,21,IF(P128&lt;=40,22,24)))))))))))))</f>
        <v>0</v>
      </c>
      <c r="S128" s="3" t="n">
        <f aca="false">ROUND((Q128+R128+I128+J128+M128+N128)/3,0)</f>
        <v>8</v>
      </c>
      <c r="T128" s="17" t="n">
        <f aca="false">F128*LOG10(S128+2)</f>
        <v>3</v>
      </c>
    </row>
    <row r="129" customFormat="false" ht="14.65" hidden="false" customHeight="true" outlineLevel="0" collapsed="false">
      <c r="A129" s="13" t="s">
        <v>183</v>
      </c>
      <c r="B129" s="14" t="n">
        <v>39981</v>
      </c>
      <c r="C129" s="15" t="s">
        <v>27</v>
      </c>
      <c r="D129" s="4" t="s">
        <v>28</v>
      </c>
      <c r="E129" s="3" t="n">
        <v>3</v>
      </c>
      <c r="F129" s="3" t="n">
        <v>3</v>
      </c>
      <c r="G129" s="3" t="n">
        <v>90</v>
      </c>
      <c r="I129" s="3" t="n">
        <f aca="false">_xlfn.IFS(G129="взв",11,G129="накл",24,G129="прокл",25,G129="пт",26,G129=90,10,G129=85,10,G129=80,9,G129=75,8,G129=70,8,G129=65,7,G129=60,7,G129=55,6,G129=50,6,G129=45,6,G129=40,5,G129=35,4,G129=30,4,G129=25,3,G129=20,2,G129=15,1,G129=10,1,G129=0,0)</f>
        <v>10</v>
      </c>
      <c r="J129" s="3" t="n">
        <f aca="false">IF(H129&lt;=1,0,IF(H129&lt;=10,11,IF(H129&lt;=14,12,IF(H129&lt;=17,13,IF(H129&lt;=20,14,IF(H129&lt;=22,15,IF(H129&lt;=25,16,IF(H129&lt;=27,17,IF(H129&lt;=29,18,IF(H129&lt;=32,19,IF(H129&lt;=34,20,IF(H129&lt;=36,21,IF(H129&lt;=40,22,24)))))))))))))</f>
        <v>0</v>
      </c>
      <c r="K129" s="3" t="n">
        <v>90</v>
      </c>
      <c r="M129" s="3" t="n">
        <f aca="false">_xlfn.IFS(K129="взв",11,K129="накл",24,K129="прокл",25,K129="пт",26,K129=90,10,K129=85,10,K129=80,9,K129=75,8,K129=70,8,K129=65,7,K129=60,7,K129=55,6,K129=50,6,K129=45,6,K129=40,5,K129=35,4,K129=30,4,K129=25,3,K129=20,2,K129=15,1,K129=10,1,K129=0,0)</f>
        <v>10</v>
      </c>
      <c r="N129" s="3" t="n">
        <f aca="false">IF(L129&lt;=1,0,IF(L129&lt;=10,11,IF(L129&lt;=14,12,IF(L129&lt;=17,13,IF(L129&lt;=20,14,IF(L129&lt;=22,15,IF(L129&lt;=25,16,IF(L129&lt;=27,17,IF(L129&lt;=29,18,IF(L129&lt;=32,19,IF(L129&lt;=34,20,IF(L129&lt;=36,21,IF(L129&lt;=40,22,24)))))))))))))</f>
        <v>0</v>
      </c>
      <c r="O129" s="3" t="n">
        <v>75</v>
      </c>
      <c r="Q129" s="3" t="n">
        <f aca="false">_xlfn.IFS(O129="взв",11,O129="накл",24,O129="прокл",25,O129="пт",26,O129=90,10,O129=85,10,O129=80,9,O129=75,8,O129=70,8,O129=65,7,O129=60,7,O129=55,6,O129=50,6,O129=45,6,O129=40,5,O129=35,4,O129=30,4,O129=25,3,O129=20,2,O129=15,1,O129=10,1,O129=0,0)</f>
        <v>8</v>
      </c>
      <c r="R129" s="3" t="n">
        <f aca="false">IF(P129&lt;=1,0,IF(P129&lt;=10,11,IF(P129&lt;=14,12,IF(P129&lt;=17,13,IF(P129&lt;=20,14,IF(P129&lt;=22,15,IF(P129&lt;=25,16,IF(P129&lt;=27,17,IF(P129&lt;=29,18,IF(P129&lt;=32,19,IF(P129&lt;=34,20,IF(P129&lt;=36,21,IF(P129&lt;=40,22,24)))))))))))))</f>
        <v>0</v>
      </c>
      <c r="S129" s="3" t="n">
        <f aca="false">ROUND((Q129+R129+I129+J129+M129+N129)/3,0)</f>
        <v>9</v>
      </c>
      <c r="T129" s="17" t="n">
        <f aca="false">F129*LOG10(S129+2)</f>
        <v>3.12417805547468</v>
      </c>
    </row>
    <row r="130" customFormat="false" ht="14.65" hidden="false" customHeight="true" outlineLevel="0" collapsed="false">
      <c r="A130" s="13" t="s">
        <v>184</v>
      </c>
      <c r="B130" s="14" t="n">
        <v>39981</v>
      </c>
      <c r="C130" s="15" t="s">
        <v>27</v>
      </c>
      <c r="D130" s="4" t="s">
        <v>47</v>
      </c>
      <c r="E130" s="3" t="n">
        <v>3</v>
      </c>
      <c r="F130" s="3" t="n">
        <v>3</v>
      </c>
      <c r="G130" s="3" t="n">
        <v>15</v>
      </c>
      <c r="I130" s="3" t="n">
        <f aca="false">_xlfn.IFS(G130="взв",11,G130="накл",24,G130="прокл",25,G130="пт",26,G130=90,10,G130=85,10,G130=80,9,G130=75,8,G130=70,8,G130=65,7,G130=60,7,G130=55,6,G130=50,6,G130=45,6,G130=40,5,G130=35,4,G130=30,4,G130=25,3,G130=20,2,G130=15,1,G130=10,1,G130=0,0)</f>
        <v>1</v>
      </c>
      <c r="J130" s="3" t="n">
        <f aca="false">IF(H130&lt;=1,0,IF(H130&lt;=10,11,IF(H130&lt;=14,12,IF(H130&lt;=17,13,IF(H130&lt;=20,14,IF(H130&lt;=22,15,IF(H130&lt;=25,16,IF(H130&lt;=27,17,IF(H130&lt;=29,18,IF(H130&lt;=32,19,IF(H130&lt;=34,20,IF(H130&lt;=36,21,IF(H130&lt;=40,22,24)))))))))))))</f>
        <v>0</v>
      </c>
      <c r="K130" s="3" t="n">
        <v>15</v>
      </c>
      <c r="M130" s="3" t="n">
        <f aca="false">_xlfn.IFS(K130="взв",11,K130="накл",24,K130="прокл",25,K130="пт",26,K130=90,10,K130=85,10,K130=80,9,K130=75,8,K130=70,8,K130=65,7,K130=60,7,K130=55,6,K130=50,6,K130=45,6,K130=40,5,K130=35,4,K130=30,4,K130=25,3,K130=20,2,K130=15,1,K130=10,1,K130=0,0)</f>
        <v>1</v>
      </c>
      <c r="N130" s="3" t="n">
        <f aca="false">IF(L130&lt;=1,0,IF(L130&lt;=10,11,IF(L130&lt;=14,12,IF(L130&lt;=17,13,IF(L130&lt;=20,14,IF(L130&lt;=22,15,IF(L130&lt;=25,16,IF(L130&lt;=27,17,IF(L130&lt;=29,18,IF(L130&lt;=32,19,IF(L130&lt;=34,20,IF(L130&lt;=36,21,IF(L130&lt;=40,22,24)))))))))))))</f>
        <v>0</v>
      </c>
      <c r="O130" s="3" t="n">
        <v>15</v>
      </c>
      <c r="Q130" s="3" t="n">
        <f aca="false">_xlfn.IFS(O130="взв",11,O130="накл",24,O130="прокл",25,O130="пт",26,O130=90,10,O130=85,10,O130=80,9,O130=75,8,O130=70,8,O130=65,7,O130=60,7,O130=55,6,O130=50,6,O130=45,6,O130=40,5,O130=35,4,O130=30,4,O130=25,3,O130=20,2,O130=15,1,O130=10,1,O130=0,0)</f>
        <v>1</v>
      </c>
      <c r="R130" s="3" t="n">
        <f aca="false">IF(P130&lt;=1,0,IF(P130&lt;=10,11,IF(P130&lt;=14,12,IF(P130&lt;=17,13,IF(P130&lt;=20,14,IF(P130&lt;=22,15,IF(P130&lt;=25,16,IF(P130&lt;=27,17,IF(P130&lt;=29,18,IF(P130&lt;=32,19,IF(P130&lt;=34,20,IF(P130&lt;=36,21,IF(P130&lt;=40,22,24)))))))))))))</f>
        <v>0</v>
      </c>
      <c r="S130" s="3" t="n">
        <f aca="false">ROUND((Q130+R130+I130+J130+M130+N130)/3,0)</f>
        <v>1</v>
      </c>
      <c r="T130" s="17" t="n">
        <f aca="false">F130*LOG10(S130+2)</f>
        <v>1.43136376415899</v>
      </c>
    </row>
    <row r="131" customFormat="false" ht="14.65" hidden="false" customHeight="true" outlineLevel="0" collapsed="false">
      <c r="A131" s="13" t="s">
        <v>185</v>
      </c>
      <c r="B131" s="14" t="n">
        <v>39981</v>
      </c>
      <c r="C131" s="15" t="s">
        <v>27</v>
      </c>
      <c r="D131" s="4" t="s">
        <v>45</v>
      </c>
      <c r="E131" s="3" t="n">
        <v>4</v>
      </c>
      <c r="F131" s="3" t="n">
        <v>3</v>
      </c>
      <c r="H131" s="3" t="n">
        <v>35</v>
      </c>
      <c r="I131" s="3" t="n">
        <f aca="false">_xlfn.IFS(G131="взв",11,G131="накл",24,G131="прокл",25,G131="пт",26,G131=90,10,G131=85,10,G131=80,9,G131=75,8,G131=70,8,G131=65,7,G131=60,7,G131=55,6,G131=50,6,G131=45,6,G131=40,5,G131=35,4,G131=30,4,G131=25,3,G131=20,2,G131=15,1,G131=10,1,G131=0,0)</f>
        <v>0</v>
      </c>
      <c r="J131" s="3" t="n">
        <f aca="false">IF(H131&lt;=1,0,IF(H131&lt;=10,11,IF(H131&lt;=14,12,IF(H131&lt;=17,13,IF(H131&lt;=20,14,IF(H131&lt;=22,15,IF(H131&lt;=25,16,IF(H131&lt;=27,17,IF(H131&lt;=29,18,IF(H131&lt;=32,19,IF(H131&lt;=34,20,IF(H131&lt;=36,21,IF(H131&lt;=40,22,24)))))))))))))</f>
        <v>21</v>
      </c>
      <c r="L131" s="3" t="n">
        <v>31</v>
      </c>
      <c r="M131" s="3" t="n">
        <f aca="false">_xlfn.IFS(K131="взв",11,K131="накл",24,K131="прокл",25,K131="пт",26,K131=90,10,K131=85,10,K131=80,9,K131=75,8,K131=70,8,K131=65,7,K131=60,7,K131=55,6,K131=50,6,K131=45,6,K131=40,5,K131=35,4,K131=30,4,K131=25,3,K131=20,2,K131=15,1,K131=10,1,K131=0,0)</f>
        <v>0</v>
      </c>
      <c r="N131" s="3" t="n">
        <f aca="false">IF(L131&lt;=1,0,IF(L131&lt;=10,11,IF(L131&lt;=14,12,IF(L131&lt;=17,13,IF(L131&lt;=20,14,IF(L131&lt;=22,15,IF(L131&lt;=25,16,IF(L131&lt;=27,17,IF(L131&lt;=29,18,IF(L131&lt;=32,19,IF(L131&lt;=34,20,IF(L131&lt;=36,21,IF(L131&lt;=40,22,24)))))))))))))</f>
        <v>19</v>
      </c>
      <c r="P131" s="3" t="n">
        <v>30</v>
      </c>
      <c r="Q131" s="3" t="n">
        <f aca="false">_xlfn.IFS(O131="взв",11,O131="накл",24,O131="прокл",25,O131="пт",26,O131=90,10,O131=85,10,O131=80,9,O131=75,8,O131=70,8,O131=65,7,O131=60,7,O131=55,6,O131=50,6,O131=45,6,O131=40,5,O131=35,4,O131=30,4,O131=25,3,O131=20,2,O131=15,1,O131=10,1,O131=0,0)</f>
        <v>0</v>
      </c>
      <c r="R131" s="3" t="n">
        <f aca="false">IF(P131&lt;=1,0,IF(P131&lt;=10,11,IF(P131&lt;=14,12,IF(P131&lt;=17,13,IF(P131&lt;=20,14,IF(P131&lt;=22,15,IF(P131&lt;=25,16,IF(P131&lt;=27,17,IF(P131&lt;=29,18,IF(P131&lt;=32,19,IF(P131&lt;=34,20,IF(P131&lt;=36,21,IF(P131&lt;=40,22,24)))))))))))))</f>
        <v>19</v>
      </c>
      <c r="S131" s="3" t="n">
        <f aca="false">ROUND((Q131+R131+I131+J131+M131+N131)/3,0)</f>
        <v>20</v>
      </c>
      <c r="T131" s="17" t="n">
        <f aca="false">F131*LOG10(S131+2)</f>
        <v>4.02726804246662</v>
      </c>
    </row>
    <row r="132" customFormat="false" ht="14.65" hidden="false" customHeight="true" outlineLevel="0" collapsed="false">
      <c r="A132" s="13" t="s">
        <v>186</v>
      </c>
      <c r="B132" s="14" t="n">
        <v>39981</v>
      </c>
      <c r="C132" s="15" t="s">
        <v>27</v>
      </c>
      <c r="D132" s="4" t="s">
        <v>28</v>
      </c>
      <c r="E132" s="3" t="n">
        <v>3</v>
      </c>
      <c r="F132" s="3" t="n">
        <v>3</v>
      </c>
      <c r="G132" s="3" t="n">
        <v>45</v>
      </c>
      <c r="I132" s="3" t="n">
        <f aca="false">_xlfn.IFS(G132="взв",11,G132="накл",24,G132="прокл",25,G132="пт",26,G132=90,10,G132=85,10,G132=80,9,G132=75,8,G132=70,8,G132=65,7,G132=60,7,G132=55,6,G132=50,6,G132=45,6,G132=40,5,G132=35,4,G132=30,4,G132=25,3,G132=20,2,G132=15,1,G132=10,1,G132=0,0)</f>
        <v>6</v>
      </c>
      <c r="J132" s="3" t="n">
        <f aca="false">IF(H132&lt;=1,0,IF(H132&lt;=10,11,IF(H132&lt;=14,12,IF(H132&lt;=17,13,IF(H132&lt;=20,14,IF(H132&lt;=22,15,IF(H132&lt;=25,16,IF(H132&lt;=27,17,IF(H132&lt;=29,18,IF(H132&lt;=32,19,IF(H132&lt;=34,20,IF(H132&lt;=36,21,IF(H132&lt;=40,22,24)))))))))))))</f>
        <v>0</v>
      </c>
      <c r="K132" s="3" t="n">
        <v>60</v>
      </c>
      <c r="M132" s="3" t="n">
        <f aca="false">_xlfn.IFS(K132="взв",11,K132="накл",24,K132="прокл",25,K132="пт",26,K132=90,10,K132=85,10,K132=80,9,K132=75,8,K132=70,8,K132=65,7,K132=60,7,K132=55,6,K132=50,6,K132=45,6,K132=40,5,K132=35,4,K132=30,4,K132=25,3,K132=20,2,K132=15,1,K132=10,1,K132=0,0)</f>
        <v>7</v>
      </c>
      <c r="N132" s="3" t="n">
        <f aca="false">IF(L132&lt;=1,0,IF(L132&lt;=10,11,IF(L132&lt;=14,12,IF(L132&lt;=17,13,IF(L132&lt;=20,14,IF(L132&lt;=22,15,IF(L132&lt;=25,16,IF(L132&lt;=27,17,IF(L132&lt;=29,18,IF(L132&lt;=32,19,IF(L132&lt;=34,20,IF(L132&lt;=36,21,IF(L132&lt;=40,22,24)))))))))))))</f>
        <v>0</v>
      </c>
      <c r="O132" s="3" t="n">
        <v>60</v>
      </c>
      <c r="Q132" s="3" t="n">
        <f aca="false">_xlfn.IFS(O132="взв",11,O132="накл",24,O132="прокл",25,O132="пт",26,O132=90,10,O132=85,10,O132=80,9,O132=75,8,O132=70,8,O132=65,7,O132=60,7,O132=55,6,O132=50,6,O132=45,6,O132=40,5,O132=35,4,O132=30,4,O132=25,3,O132=20,2,O132=15,1,O132=10,1,O132=0,0)</f>
        <v>7</v>
      </c>
      <c r="R132" s="3" t="n">
        <f aca="false">IF(P132&lt;=1,0,IF(P132&lt;=10,11,IF(P132&lt;=14,12,IF(P132&lt;=17,13,IF(P132&lt;=20,14,IF(P132&lt;=22,15,IF(P132&lt;=25,16,IF(P132&lt;=27,17,IF(P132&lt;=29,18,IF(P132&lt;=32,19,IF(P132&lt;=34,20,IF(P132&lt;=36,21,IF(P132&lt;=40,22,24)))))))))))))</f>
        <v>0</v>
      </c>
      <c r="S132" s="3" t="n">
        <f aca="false">ROUND((Q132+R132+I132+J132+M132+N132)/3,0)</f>
        <v>7</v>
      </c>
      <c r="T132" s="17" t="n">
        <f aca="false">F132*LOG10(S132+2)</f>
        <v>2.86272752831797</v>
      </c>
    </row>
    <row r="133" customFormat="false" ht="14.65" hidden="false" customHeight="true" outlineLevel="0" collapsed="false">
      <c r="A133" s="13" t="s">
        <v>187</v>
      </c>
      <c r="B133" s="14" t="n">
        <v>39981</v>
      </c>
      <c r="C133" s="15" t="s">
        <v>27</v>
      </c>
      <c r="D133" s="4" t="s">
        <v>28</v>
      </c>
      <c r="E133" s="3" t="n">
        <v>5</v>
      </c>
      <c r="F133" s="3" t="n">
        <v>3</v>
      </c>
      <c r="G133" s="3" t="n">
        <v>90</v>
      </c>
      <c r="I133" s="3" t="n">
        <f aca="false">_xlfn.IFS(G133="взв",11,G133="накл",24,G133="прокл",25,G133="пт",26,G133=90,10,G133=85,10,G133=80,9,G133=75,8,G133=70,8,G133=65,7,G133=60,7,G133=55,6,G133=50,6,G133=45,6,G133=40,5,G133=35,4,G133=30,4,G133=25,3,G133=20,2,G133=15,1,G133=10,1,G133=0,0)</f>
        <v>10</v>
      </c>
      <c r="J133" s="3" t="n">
        <f aca="false">IF(H133&lt;=1,0,IF(H133&lt;=10,11,IF(H133&lt;=14,12,IF(H133&lt;=17,13,IF(H133&lt;=20,14,IF(H133&lt;=22,15,IF(H133&lt;=25,16,IF(H133&lt;=27,17,IF(H133&lt;=29,18,IF(H133&lt;=32,19,IF(H133&lt;=34,20,IF(H133&lt;=36,21,IF(H133&lt;=40,22,24)))))))))))))</f>
        <v>0</v>
      </c>
      <c r="K133" s="3" t="n">
        <v>90</v>
      </c>
      <c r="M133" s="3" t="n">
        <f aca="false">_xlfn.IFS(K133="взв",11,K133="накл",24,K133="прокл",25,K133="пт",26,K133=90,10,K133=85,10,K133=80,9,K133=75,8,K133=70,8,K133=65,7,K133=60,7,K133=55,6,K133=50,6,K133=45,6,K133=40,5,K133=35,4,K133=30,4,K133=25,3,K133=20,2,K133=15,1,K133=10,1,K133=0,0)</f>
        <v>10</v>
      </c>
      <c r="N133" s="3" t="n">
        <f aca="false">IF(L133&lt;=1,0,IF(L133&lt;=10,11,IF(L133&lt;=14,12,IF(L133&lt;=17,13,IF(L133&lt;=20,14,IF(L133&lt;=22,15,IF(L133&lt;=25,16,IF(L133&lt;=27,17,IF(L133&lt;=29,18,IF(L133&lt;=32,19,IF(L133&lt;=34,20,IF(L133&lt;=36,21,IF(L133&lt;=40,22,24)))))))))))))</f>
        <v>0</v>
      </c>
      <c r="O133" s="3" t="n">
        <v>90</v>
      </c>
      <c r="Q133" s="3" t="n">
        <f aca="false">_xlfn.IFS(O133="взв",11,O133="накл",24,O133="прокл",25,O133="пт",26,O133=90,10,O133=85,10,O133=80,9,O133=75,8,O133=70,8,O133=65,7,O133=60,7,O133=55,6,O133=50,6,O133=45,6,O133=40,5,O133=35,4,O133=30,4,O133=25,3,O133=20,2,O133=15,1,O133=10,1,O133=0,0)</f>
        <v>10</v>
      </c>
      <c r="R133" s="3" t="n">
        <f aca="false">IF(P133&lt;=1,0,IF(P133&lt;=10,11,IF(P133&lt;=14,12,IF(P133&lt;=17,13,IF(P133&lt;=20,14,IF(P133&lt;=22,15,IF(P133&lt;=25,16,IF(P133&lt;=27,17,IF(P133&lt;=29,18,IF(P133&lt;=32,19,IF(P133&lt;=34,20,IF(P133&lt;=36,21,IF(P133&lt;=40,22,24)))))))))))))</f>
        <v>0</v>
      </c>
      <c r="S133" s="3" t="n">
        <f aca="false">ROUND((Q133+R133+I133+J133+M133+N133)/3,0)</f>
        <v>10</v>
      </c>
      <c r="T133" s="17" t="n">
        <f aca="false">F133*LOG10(S133+2)</f>
        <v>3.23754373814287</v>
      </c>
    </row>
    <row r="134" customFormat="false" ht="14.65" hidden="false" customHeight="true" outlineLevel="0" collapsed="false">
      <c r="A134" s="13" t="s">
        <v>188</v>
      </c>
      <c r="B134" s="14" t="n">
        <v>39981</v>
      </c>
      <c r="C134" s="15" t="s">
        <v>27</v>
      </c>
      <c r="D134" s="4" t="s">
        <v>28</v>
      </c>
      <c r="E134" s="3" t="n">
        <v>3</v>
      </c>
      <c r="F134" s="3" t="n">
        <v>3</v>
      </c>
      <c r="H134" s="3" t="n">
        <v>39</v>
      </c>
      <c r="I134" s="3" t="n">
        <f aca="false">_xlfn.IFS(G134="взв",11,G134="накл",24,G134="прокл",25,G134="пт",26,G134=90,10,G134=85,10,G134=80,9,G134=75,8,G134=70,8,G134=65,7,G134=60,7,G134=55,6,G134=50,6,G134=45,6,G134=40,5,G134=35,4,G134=30,4,G134=25,3,G134=20,2,G134=15,1,G134=10,1,G134=0,0)</f>
        <v>0</v>
      </c>
      <c r="J134" s="3" t="n">
        <f aca="false">IF(H134&lt;=1,0,IF(H134&lt;=10,11,IF(H134&lt;=14,12,IF(H134&lt;=17,13,IF(H134&lt;=20,14,IF(H134&lt;=22,15,IF(H134&lt;=25,16,IF(H134&lt;=27,17,IF(H134&lt;=29,18,IF(H134&lt;=32,19,IF(H134&lt;=34,20,IF(H134&lt;=36,21,IF(H134&lt;=40,22,24)))))))))))))</f>
        <v>22</v>
      </c>
      <c r="L134" s="3" t="n">
        <v>40</v>
      </c>
      <c r="M134" s="3" t="n">
        <f aca="false">_xlfn.IFS(K134="взв",11,K134="накл",24,K134="прокл",25,K134="пт",26,K134=90,10,K134=85,10,K134=80,9,K134=75,8,K134=70,8,K134=65,7,K134=60,7,K134=55,6,K134=50,6,K134=45,6,K134=40,5,K134=35,4,K134=30,4,K134=25,3,K134=20,2,K134=15,1,K134=10,1,K134=0,0)</f>
        <v>0</v>
      </c>
      <c r="N134" s="3" t="n">
        <f aca="false">IF(L134&lt;=1,0,IF(L134&lt;=10,11,IF(L134&lt;=14,12,IF(L134&lt;=17,13,IF(L134&lt;=20,14,IF(L134&lt;=22,15,IF(L134&lt;=25,16,IF(L134&lt;=27,17,IF(L134&lt;=29,18,IF(L134&lt;=32,19,IF(L134&lt;=34,20,IF(L134&lt;=36,21,IF(L134&lt;=40,22,24)))))))))))))</f>
        <v>22</v>
      </c>
      <c r="P134" s="3" t="n">
        <v>34</v>
      </c>
      <c r="Q134" s="3" t="n">
        <f aca="false">_xlfn.IFS(O134="взв",11,O134="накл",24,O134="прокл",25,O134="пт",26,O134=90,10,O134=85,10,O134=80,9,O134=75,8,O134=70,8,O134=65,7,O134=60,7,O134=55,6,O134=50,6,O134=45,6,O134=40,5,O134=35,4,O134=30,4,O134=25,3,O134=20,2,O134=15,1,O134=10,1,O134=0,0)</f>
        <v>0</v>
      </c>
      <c r="R134" s="3" t="n">
        <f aca="false">IF(P134&lt;=1,0,IF(P134&lt;=10,11,IF(P134&lt;=14,12,IF(P134&lt;=17,13,IF(P134&lt;=20,14,IF(P134&lt;=22,15,IF(P134&lt;=25,16,IF(P134&lt;=27,17,IF(P134&lt;=29,18,IF(P134&lt;=32,19,IF(P134&lt;=34,20,IF(P134&lt;=36,21,IF(P134&lt;=40,22,24)))))))))))))</f>
        <v>20</v>
      </c>
      <c r="S134" s="3" t="n">
        <f aca="false">ROUND((Q134+R134+I134+J134+M134+N134)/3,0)</f>
        <v>21</v>
      </c>
      <c r="T134" s="17" t="n">
        <f aca="false">F134*LOG10(S134+2)</f>
        <v>4.08518350805278</v>
      </c>
    </row>
    <row r="135" customFormat="false" ht="14.65" hidden="false" customHeight="true" outlineLevel="0" collapsed="false">
      <c r="A135" s="13" t="s">
        <v>189</v>
      </c>
      <c r="B135" s="14" t="n">
        <v>39981</v>
      </c>
      <c r="C135" s="15" t="s">
        <v>27</v>
      </c>
      <c r="D135" s="4" t="s">
        <v>28</v>
      </c>
      <c r="E135" s="3" t="n">
        <v>3</v>
      </c>
      <c r="F135" s="3" t="n">
        <v>3</v>
      </c>
      <c r="H135" s="3" t="n">
        <v>23</v>
      </c>
      <c r="I135" s="3" t="n">
        <f aca="false">_xlfn.IFS(G135="взв",11,G135="накл",24,G135="прокл",25,G135="пт",26,G135=90,10,G135=85,10,G135=80,9,G135=75,8,G135=70,8,G135=65,7,G135=60,7,G135=55,6,G135=50,6,G135=45,6,G135=40,5,G135=35,4,G135=30,4,G135=25,3,G135=20,2,G135=15,1,G135=10,1,G135=0,0)</f>
        <v>0</v>
      </c>
      <c r="J135" s="3" t="n">
        <f aca="false">IF(H135&lt;=1,0,IF(H135&lt;=10,11,IF(H135&lt;=14,12,IF(H135&lt;=17,13,IF(H135&lt;=20,14,IF(H135&lt;=22,15,IF(H135&lt;=25,16,IF(H135&lt;=27,17,IF(H135&lt;=29,18,IF(H135&lt;=32,19,IF(H135&lt;=34,20,IF(H135&lt;=36,21,IF(H135&lt;=40,22,24)))))))))))))</f>
        <v>16</v>
      </c>
      <c r="L135" s="3" t="n">
        <v>28</v>
      </c>
      <c r="M135" s="3" t="n">
        <f aca="false">_xlfn.IFS(K135="взв",11,K135="накл",24,K135="прокл",25,K135="пт",26,K135=90,10,K135=85,10,K135=80,9,K135=75,8,K135=70,8,K135=65,7,K135=60,7,K135=55,6,K135=50,6,K135=45,6,K135=40,5,K135=35,4,K135=30,4,K135=25,3,K135=20,2,K135=15,1,K135=10,1,K135=0,0)</f>
        <v>0</v>
      </c>
      <c r="N135" s="3" t="n">
        <f aca="false">IF(L135&lt;=1,0,IF(L135&lt;=10,11,IF(L135&lt;=14,12,IF(L135&lt;=17,13,IF(L135&lt;=20,14,IF(L135&lt;=22,15,IF(L135&lt;=25,16,IF(L135&lt;=27,17,IF(L135&lt;=29,18,IF(L135&lt;=32,19,IF(L135&lt;=34,20,IF(L135&lt;=36,21,IF(L135&lt;=40,22,24)))))))))))))</f>
        <v>18</v>
      </c>
      <c r="P135" s="3" t="n">
        <v>30</v>
      </c>
      <c r="Q135" s="3" t="n">
        <f aca="false">_xlfn.IFS(O135="взв",11,O135="накл",24,O135="прокл",25,O135="пт",26,O135=90,10,O135=85,10,O135=80,9,O135=75,8,O135=70,8,O135=65,7,O135=60,7,O135=55,6,O135=50,6,O135=45,6,O135=40,5,O135=35,4,O135=30,4,O135=25,3,O135=20,2,O135=15,1,O135=10,1,O135=0,0)</f>
        <v>0</v>
      </c>
      <c r="R135" s="3" t="n">
        <f aca="false">IF(P135&lt;=1,0,IF(P135&lt;=10,11,IF(P135&lt;=14,12,IF(P135&lt;=17,13,IF(P135&lt;=20,14,IF(P135&lt;=22,15,IF(P135&lt;=25,16,IF(P135&lt;=27,17,IF(P135&lt;=29,18,IF(P135&lt;=32,19,IF(P135&lt;=34,20,IF(P135&lt;=36,21,IF(P135&lt;=40,22,24)))))))))))))</f>
        <v>19</v>
      </c>
      <c r="S135" s="3" t="n">
        <f aca="false">ROUND((Q135+R135+I135+J135+M135+N135)/3,0)</f>
        <v>18</v>
      </c>
      <c r="T135" s="17" t="n">
        <f aca="false">F135*LOG10(S135+2)</f>
        <v>3.90308998699194</v>
      </c>
    </row>
    <row r="136" customFormat="false" ht="14.65" hidden="false" customHeight="true" outlineLevel="0" collapsed="false">
      <c r="A136" s="13" t="s">
        <v>190</v>
      </c>
      <c r="B136" s="14" t="n">
        <v>39981</v>
      </c>
      <c r="C136" s="15" t="s">
        <v>27</v>
      </c>
      <c r="D136" s="4" t="s">
        <v>47</v>
      </c>
      <c r="E136" s="3" t="n">
        <v>5</v>
      </c>
      <c r="F136" s="3" t="n">
        <v>3</v>
      </c>
      <c r="G136" s="3" t="n">
        <v>45</v>
      </c>
      <c r="I136" s="3" t="n">
        <f aca="false">_xlfn.IFS(G136="взв",11,G136="накл",24,G136="прокл",25,G136="пт",26,G136=90,10,G136=85,10,G136=80,9,G136=75,8,G136=70,8,G136=65,7,G136=60,7,G136=55,6,G136=50,6,G136=45,6,G136=40,5,G136=35,4,G136=30,4,G136=25,3,G136=20,2,G136=15,1,G136=10,1,G136=0,0)</f>
        <v>6</v>
      </c>
      <c r="J136" s="3" t="n">
        <f aca="false">IF(H136&lt;=1,0,IF(H136&lt;=10,11,IF(H136&lt;=14,12,IF(H136&lt;=17,13,IF(H136&lt;=20,14,IF(H136&lt;=22,15,IF(H136&lt;=25,16,IF(H136&lt;=27,17,IF(H136&lt;=29,18,IF(H136&lt;=32,19,IF(H136&lt;=34,20,IF(H136&lt;=36,21,IF(H136&lt;=40,22,24)))))))))))))</f>
        <v>0</v>
      </c>
      <c r="K136" s="3" t="n">
        <v>45</v>
      </c>
      <c r="M136" s="3" t="n">
        <f aca="false">_xlfn.IFS(K136="взв",11,K136="накл",24,K136="прокл",25,K136="пт",26,K136=90,10,K136=85,10,K136=80,9,K136=75,8,K136=70,8,K136=65,7,K136=60,7,K136=55,6,K136=50,6,K136=45,6,K136=40,5,K136=35,4,K136=30,4,K136=25,3,K136=20,2,K136=15,1,K136=10,1,K136=0,0)</f>
        <v>6</v>
      </c>
      <c r="N136" s="3" t="n">
        <f aca="false">IF(L136&lt;=1,0,IF(L136&lt;=10,11,IF(L136&lt;=14,12,IF(L136&lt;=17,13,IF(L136&lt;=20,14,IF(L136&lt;=22,15,IF(L136&lt;=25,16,IF(L136&lt;=27,17,IF(L136&lt;=29,18,IF(L136&lt;=32,19,IF(L136&lt;=34,20,IF(L136&lt;=36,21,IF(L136&lt;=40,22,24)))))))))))))</f>
        <v>0</v>
      </c>
      <c r="O136" s="3" t="n">
        <v>45</v>
      </c>
      <c r="Q136" s="3" t="n">
        <f aca="false">_xlfn.IFS(O136="взв",11,O136="накл",24,O136="прокл",25,O136="пт",26,O136=90,10,O136=85,10,O136=80,9,O136=75,8,O136=70,8,O136=65,7,O136=60,7,O136=55,6,O136=50,6,O136=45,6,O136=40,5,O136=35,4,O136=30,4,O136=25,3,O136=20,2,O136=15,1,O136=10,1,O136=0,0)</f>
        <v>6</v>
      </c>
      <c r="R136" s="3" t="n">
        <f aca="false">IF(P136&lt;=1,0,IF(P136&lt;=10,11,IF(P136&lt;=14,12,IF(P136&lt;=17,13,IF(P136&lt;=20,14,IF(P136&lt;=22,15,IF(P136&lt;=25,16,IF(P136&lt;=27,17,IF(P136&lt;=29,18,IF(P136&lt;=32,19,IF(P136&lt;=34,20,IF(P136&lt;=36,21,IF(P136&lt;=40,22,24)))))))))))))</f>
        <v>0</v>
      </c>
      <c r="S136" s="3" t="n">
        <f aca="false">ROUND((Q136+R136+I136+J136+M136+N136)/3,0)</f>
        <v>6</v>
      </c>
      <c r="T136" s="17" t="n">
        <f aca="false">F136*LOG10(S136+2)</f>
        <v>2.70926996097583</v>
      </c>
    </row>
    <row r="137" customFormat="false" ht="14.65" hidden="false" customHeight="true" outlineLevel="0" collapsed="false">
      <c r="A137" s="13" t="s">
        <v>191</v>
      </c>
      <c r="B137" s="14" t="n">
        <v>39981</v>
      </c>
      <c r="C137" s="15" t="s">
        <v>27</v>
      </c>
      <c r="D137" s="4" t="s">
        <v>47</v>
      </c>
      <c r="E137" s="3" t="n">
        <v>5</v>
      </c>
      <c r="F137" s="3" t="n">
        <v>3</v>
      </c>
      <c r="H137" s="3" t="n">
        <v>43</v>
      </c>
      <c r="I137" s="3" t="n">
        <f aca="false">_xlfn.IFS(G137="взв",11,G137="накл",24,G137="прокл",25,G137="пт",26,G137=90,10,G137=85,10,G137=80,9,G137=75,8,G137=70,8,G137=65,7,G137=60,7,G137=55,6,G137=50,6,G137=45,6,G137=40,5,G137=35,4,G137=30,4,G137=25,3,G137=20,2,G137=15,1,G137=10,1,G137=0,0)</f>
        <v>0</v>
      </c>
      <c r="J137" s="3" t="n">
        <f aca="false">IF(H137&lt;=1,0,IF(H137&lt;=10,11,IF(H137&lt;=14,12,IF(H137&lt;=17,13,IF(H137&lt;=20,14,IF(H137&lt;=22,15,IF(H137&lt;=25,16,IF(H137&lt;=27,17,IF(H137&lt;=29,18,IF(H137&lt;=32,19,IF(H137&lt;=34,20,IF(H137&lt;=36,21,IF(H137&lt;=40,22,24)))))))))))))</f>
        <v>24</v>
      </c>
      <c r="L137" s="3" t="n">
        <v>45</v>
      </c>
      <c r="M137" s="3" t="n">
        <f aca="false">_xlfn.IFS(K137="взв",11,K137="накл",24,K137="прокл",25,K137="пт",26,K137=90,10,K137=85,10,K137=80,9,K137=75,8,K137=70,8,K137=65,7,K137=60,7,K137=55,6,K137=50,6,K137=45,6,K137=40,5,K137=35,4,K137=30,4,K137=25,3,K137=20,2,K137=15,1,K137=10,1,K137=0,0)</f>
        <v>0</v>
      </c>
      <c r="N137" s="3" t="n">
        <f aca="false">IF(L137&lt;=1,0,IF(L137&lt;=10,11,IF(L137&lt;=14,12,IF(L137&lt;=17,13,IF(L137&lt;=20,14,IF(L137&lt;=22,15,IF(L137&lt;=25,16,IF(L137&lt;=27,17,IF(L137&lt;=29,18,IF(L137&lt;=32,19,IF(L137&lt;=34,20,IF(L137&lt;=36,21,IF(L137&lt;=40,22,24)))))))))))))</f>
        <v>24</v>
      </c>
      <c r="P137" s="3" t="n">
        <v>41</v>
      </c>
      <c r="Q137" s="3" t="n">
        <f aca="false">_xlfn.IFS(O137="взв",11,O137="накл",24,O137="прокл",25,O137="пт",26,O137=90,10,O137=85,10,O137=80,9,O137=75,8,O137=70,8,O137=65,7,O137=60,7,O137=55,6,O137=50,6,O137=45,6,O137=40,5,O137=35,4,O137=30,4,O137=25,3,O137=20,2,O137=15,1,O137=10,1,O137=0,0)</f>
        <v>0</v>
      </c>
      <c r="R137" s="3" t="n">
        <f aca="false">IF(P137&lt;=1,0,IF(P137&lt;=10,11,IF(P137&lt;=14,12,IF(P137&lt;=17,13,IF(P137&lt;=20,14,IF(P137&lt;=22,15,IF(P137&lt;=25,16,IF(P137&lt;=27,17,IF(P137&lt;=29,18,IF(P137&lt;=32,19,IF(P137&lt;=34,20,IF(P137&lt;=36,21,IF(P137&lt;=40,22,24)))))))))))))</f>
        <v>24</v>
      </c>
      <c r="S137" s="3" t="n">
        <f aca="false">ROUND((Q137+R137+I137+J137+M137+N137)/3,0)</f>
        <v>24</v>
      </c>
      <c r="T137" s="17" t="n">
        <f aca="false">F137*LOG10(S137+2)</f>
        <v>4.24492004391245</v>
      </c>
    </row>
    <row r="138" customFormat="false" ht="14.65" hidden="false" customHeight="true" outlineLevel="0" collapsed="false">
      <c r="A138" s="13" t="s">
        <v>192</v>
      </c>
      <c r="B138" s="14" t="n">
        <v>39981</v>
      </c>
      <c r="C138" s="15" t="s">
        <v>27</v>
      </c>
      <c r="D138" s="4" t="s">
        <v>47</v>
      </c>
      <c r="E138" s="3" t="n">
        <v>4</v>
      </c>
      <c r="F138" s="3" t="n">
        <v>3</v>
      </c>
      <c r="H138" s="3" t="n">
        <v>32</v>
      </c>
      <c r="I138" s="3" t="n">
        <f aca="false">_xlfn.IFS(G138="взв",11,G138="накл",24,G138="прокл",25,G138="пт",26,G138=90,10,G138=85,10,G138=80,9,G138=75,8,G138=70,8,G138=65,7,G138=60,7,G138=55,6,G138=50,6,G138=45,6,G138=40,5,G138=35,4,G138=30,4,G138=25,3,G138=20,2,G138=15,1,G138=10,1,G138=0,0)</f>
        <v>0</v>
      </c>
      <c r="J138" s="3" t="n">
        <f aca="false">IF(H138&lt;=1,0,IF(H138&lt;=10,11,IF(H138&lt;=14,12,IF(H138&lt;=17,13,IF(H138&lt;=20,14,IF(H138&lt;=22,15,IF(H138&lt;=25,16,IF(H138&lt;=27,17,IF(H138&lt;=29,18,IF(H138&lt;=32,19,IF(H138&lt;=34,20,IF(H138&lt;=36,21,IF(H138&lt;=40,22,24)))))))))))))</f>
        <v>19</v>
      </c>
      <c r="L138" s="3" t="n">
        <v>28</v>
      </c>
      <c r="M138" s="3" t="n">
        <f aca="false">_xlfn.IFS(K138="взв",11,K138="накл",24,K138="прокл",25,K138="пт",26,K138=90,10,K138=85,10,K138=80,9,K138=75,8,K138=70,8,K138=65,7,K138=60,7,K138=55,6,K138=50,6,K138=45,6,K138=40,5,K138=35,4,K138=30,4,K138=25,3,K138=20,2,K138=15,1,K138=10,1,K138=0,0)</f>
        <v>0</v>
      </c>
      <c r="N138" s="3" t="n">
        <f aca="false">IF(L138&lt;=1,0,IF(L138&lt;=10,11,IF(L138&lt;=14,12,IF(L138&lt;=17,13,IF(L138&lt;=20,14,IF(L138&lt;=22,15,IF(L138&lt;=25,16,IF(L138&lt;=27,17,IF(L138&lt;=29,18,IF(L138&lt;=32,19,IF(L138&lt;=34,20,IF(L138&lt;=36,21,IF(L138&lt;=40,22,24)))))))))))))</f>
        <v>18</v>
      </c>
      <c r="P138" s="3" t="n">
        <v>30</v>
      </c>
      <c r="Q138" s="3" t="n">
        <f aca="false">_xlfn.IFS(O138="взв",11,O138="накл",24,O138="прокл",25,O138="пт",26,O138=90,10,O138=85,10,O138=80,9,O138=75,8,O138=70,8,O138=65,7,O138=60,7,O138=55,6,O138=50,6,O138=45,6,O138=40,5,O138=35,4,O138=30,4,O138=25,3,O138=20,2,O138=15,1,O138=10,1,O138=0,0)</f>
        <v>0</v>
      </c>
      <c r="R138" s="3" t="n">
        <f aca="false">IF(P138&lt;=1,0,IF(P138&lt;=10,11,IF(P138&lt;=14,12,IF(P138&lt;=17,13,IF(P138&lt;=20,14,IF(P138&lt;=22,15,IF(P138&lt;=25,16,IF(P138&lt;=27,17,IF(P138&lt;=29,18,IF(P138&lt;=32,19,IF(P138&lt;=34,20,IF(P138&lt;=36,21,IF(P138&lt;=40,22,24)))))))))))))</f>
        <v>19</v>
      </c>
      <c r="S138" s="3" t="n">
        <f aca="false">ROUND((Q138+R138+I138+J138+M138+N138)/3,0)</f>
        <v>19</v>
      </c>
      <c r="T138" s="17" t="n">
        <f aca="false">F138*LOG10(S138+2)</f>
        <v>3.96665788420176</v>
      </c>
    </row>
    <row r="139" customFormat="false" ht="14.65" hidden="false" customHeight="true" outlineLevel="0" collapsed="false">
      <c r="A139" s="13" t="s">
        <v>193</v>
      </c>
      <c r="B139" s="14" t="n">
        <v>39981</v>
      </c>
      <c r="C139" s="15" t="s">
        <v>27</v>
      </c>
      <c r="D139" s="4" t="s">
        <v>60</v>
      </c>
      <c r="E139" s="3" t="n">
        <v>4</v>
      </c>
      <c r="F139" s="3" t="n">
        <v>3</v>
      </c>
      <c r="H139" s="3" t="n">
        <v>32</v>
      </c>
      <c r="I139" s="3" t="n">
        <f aca="false">_xlfn.IFS(G139="взв",11,G139="накл",24,G139="прокл",25,G139="пт",26,G139=90,10,G139=85,10,G139=80,9,G139=75,8,G139=70,8,G139=65,7,G139=60,7,G139=55,6,G139=50,6,G139=45,6,G139=40,5,G139=35,4,G139=30,4,G139=25,3,G139=20,2,G139=15,1,G139=10,1,G139=0,0)</f>
        <v>0</v>
      </c>
      <c r="J139" s="3" t="n">
        <f aca="false">IF(H139&lt;=1,0,IF(H139&lt;=10,11,IF(H139&lt;=14,12,IF(H139&lt;=17,13,IF(H139&lt;=20,14,IF(H139&lt;=22,15,IF(H139&lt;=25,16,IF(H139&lt;=27,17,IF(H139&lt;=29,18,IF(H139&lt;=32,19,IF(H139&lt;=34,20,IF(H139&lt;=36,21,IF(H139&lt;=40,22,24)))))))))))))</f>
        <v>19</v>
      </c>
      <c r="L139" s="3" t="n">
        <v>29</v>
      </c>
      <c r="M139" s="3" t="n">
        <f aca="false">_xlfn.IFS(K139="взв",11,K139="накл",24,K139="прокл",25,K139="пт",26,K139=90,10,K139=85,10,K139=80,9,K139=75,8,K139=70,8,K139=65,7,K139=60,7,K139=55,6,K139=50,6,K139=45,6,K139=40,5,K139=35,4,K139=30,4,K139=25,3,K139=20,2,K139=15,1,K139=10,1,K139=0,0)</f>
        <v>0</v>
      </c>
      <c r="N139" s="3" t="n">
        <f aca="false">IF(L139&lt;=1,0,IF(L139&lt;=10,11,IF(L139&lt;=14,12,IF(L139&lt;=17,13,IF(L139&lt;=20,14,IF(L139&lt;=22,15,IF(L139&lt;=25,16,IF(L139&lt;=27,17,IF(L139&lt;=29,18,IF(L139&lt;=32,19,IF(L139&lt;=34,20,IF(L139&lt;=36,21,IF(L139&lt;=40,22,24)))))))))))))</f>
        <v>18</v>
      </c>
      <c r="P139" s="3" t="n">
        <v>31</v>
      </c>
      <c r="Q139" s="3" t="n">
        <f aca="false">_xlfn.IFS(O139="взв",11,O139="накл",24,O139="прокл",25,O139="пт",26,O139=90,10,O139=85,10,O139=80,9,O139=75,8,O139=70,8,O139=65,7,O139=60,7,O139=55,6,O139=50,6,O139=45,6,O139=40,5,O139=35,4,O139=30,4,O139=25,3,O139=20,2,O139=15,1,O139=10,1,O139=0,0)</f>
        <v>0</v>
      </c>
      <c r="R139" s="3" t="n">
        <f aca="false">IF(P139&lt;=1,0,IF(P139&lt;=10,11,IF(P139&lt;=14,12,IF(P139&lt;=17,13,IF(P139&lt;=20,14,IF(P139&lt;=22,15,IF(P139&lt;=25,16,IF(P139&lt;=27,17,IF(P139&lt;=29,18,IF(P139&lt;=32,19,IF(P139&lt;=34,20,IF(P139&lt;=36,21,IF(P139&lt;=40,22,24)))))))))))))</f>
        <v>19</v>
      </c>
      <c r="S139" s="3" t="n">
        <f aca="false">ROUND((Q139+R139+I139+J139+M139+N139)/3,0)</f>
        <v>19</v>
      </c>
      <c r="T139" s="17" t="n">
        <f aca="false">F139*LOG10(S139+2)</f>
        <v>3.96665788420176</v>
      </c>
    </row>
    <row r="140" customFormat="false" ht="14.65" hidden="false" customHeight="true" outlineLevel="0" collapsed="false">
      <c r="A140" s="13" t="s">
        <v>194</v>
      </c>
      <c r="B140" s="14" t="n">
        <v>39985</v>
      </c>
      <c r="C140" s="15" t="s">
        <v>27</v>
      </c>
      <c r="D140" s="4" t="s">
        <v>64</v>
      </c>
      <c r="E140" s="3" t="n">
        <v>4</v>
      </c>
      <c r="F140" s="3" t="n">
        <v>3</v>
      </c>
      <c r="H140" s="3" t="n">
        <v>40</v>
      </c>
      <c r="I140" s="3" t="n">
        <f aca="false">_xlfn.IFS(G140="взв",11,G140="накл",24,G140="прокл",25,G140="пт",26,G140=90,10,G140=85,10,G140=80,9,G140=75,8,G140=70,8,G140=65,7,G140=60,7,G140=55,6,G140=50,6,G140=45,6,G140=40,5,G140=35,4,G140=30,4,G140=25,3,G140=20,2,G140=15,1,G140=10,1,G140=0,0)</f>
        <v>0</v>
      </c>
      <c r="J140" s="3" t="n">
        <f aca="false">IF(H140&lt;=1,0,IF(H140&lt;=10,11,IF(H140&lt;=14,12,IF(H140&lt;=17,13,IF(H140&lt;=20,14,IF(H140&lt;=22,15,IF(H140&lt;=25,16,IF(H140&lt;=27,17,IF(H140&lt;=29,18,IF(H140&lt;=32,19,IF(H140&lt;=34,20,IF(H140&lt;=36,21,IF(H140&lt;=40,22,24)))))))))))))</f>
        <v>22</v>
      </c>
      <c r="L140" s="3" t="n">
        <v>40</v>
      </c>
      <c r="M140" s="3" t="n">
        <f aca="false">_xlfn.IFS(K140="взв",11,K140="накл",24,K140="прокл",25,K140="пт",26,K140=90,10,K140=85,10,K140=80,9,K140=75,8,K140=70,8,K140=65,7,K140=60,7,K140=55,6,K140=50,6,K140=45,6,K140=40,5,K140=35,4,K140=30,4,K140=25,3,K140=20,2,K140=15,1,K140=10,1,K140=0,0)</f>
        <v>0</v>
      </c>
      <c r="N140" s="3" t="n">
        <f aca="false">IF(L140&lt;=1,0,IF(L140&lt;=10,11,IF(L140&lt;=14,12,IF(L140&lt;=17,13,IF(L140&lt;=20,14,IF(L140&lt;=22,15,IF(L140&lt;=25,16,IF(L140&lt;=27,17,IF(L140&lt;=29,18,IF(L140&lt;=32,19,IF(L140&lt;=34,20,IF(L140&lt;=36,21,IF(L140&lt;=40,22,24)))))))))))))</f>
        <v>22</v>
      </c>
      <c r="P140" s="3" t="n">
        <v>37</v>
      </c>
      <c r="Q140" s="3" t="n">
        <f aca="false">_xlfn.IFS(O140="взв",11,O140="накл",24,O140="прокл",25,O140="пт",26,O140=90,10,O140=85,10,O140=80,9,O140=75,8,O140=70,8,O140=65,7,O140=60,7,O140=55,6,O140=50,6,O140=45,6,O140=40,5,O140=35,4,O140=30,4,O140=25,3,O140=20,2,O140=15,1,O140=10,1,O140=0,0)</f>
        <v>0</v>
      </c>
      <c r="R140" s="3" t="n">
        <f aca="false">IF(P140&lt;=1,0,IF(P140&lt;=10,11,IF(P140&lt;=14,12,IF(P140&lt;=17,13,IF(P140&lt;=20,14,IF(P140&lt;=22,15,IF(P140&lt;=25,16,IF(P140&lt;=27,17,IF(P140&lt;=29,18,IF(P140&lt;=32,19,IF(P140&lt;=34,20,IF(P140&lt;=36,21,IF(P140&lt;=40,22,24)))))))))))))</f>
        <v>22</v>
      </c>
      <c r="S140" s="3" t="n">
        <f aca="false">ROUND((Q140+R140+I140+J140+M140+N140)/3,0)</f>
        <v>22</v>
      </c>
      <c r="T140" s="17" t="n">
        <f aca="false">F140*LOG10(S140+2)</f>
        <v>4.14063372513482</v>
      </c>
    </row>
    <row r="141" customFormat="false" ht="14.65" hidden="false" customHeight="true" outlineLevel="0" collapsed="false">
      <c r="A141" s="13" t="s">
        <v>195</v>
      </c>
      <c r="B141" s="14" t="n">
        <v>39985</v>
      </c>
      <c r="C141" s="15" t="s">
        <v>27</v>
      </c>
      <c r="D141" s="4" t="s">
        <v>64</v>
      </c>
      <c r="E141" s="3" t="n">
        <v>5</v>
      </c>
      <c r="F141" s="3" t="n">
        <v>3</v>
      </c>
      <c r="G141" s="3" t="n">
        <v>90</v>
      </c>
      <c r="I141" s="3" t="n">
        <f aca="false">_xlfn.IFS(G141="взв",11,G141="накл",24,G141="прокл",25,G141="пт",26,G141=90,10,G141=85,10,G141=80,9,G141=75,8,G141=70,8,G141=65,7,G141=60,7,G141=55,6,G141=50,6,G141=45,6,G141=40,5,G141=35,4,G141=30,4,G141=25,3,G141=20,2,G141=15,1,G141=10,1,G141=0,0)</f>
        <v>10</v>
      </c>
      <c r="J141" s="3" t="n">
        <f aca="false">IF(H141&lt;=1,0,IF(H141&lt;=10,11,IF(H141&lt;=14,12,IF(H141&lt;=17,13,IF(H141&lt;=20,14,IF(H141&lt;=22,15,IF(H141&lt;=25,16,IF(H141&lt;=27,17,IF(H141&lt;=29,18,IF(H141&lt;=32,19,IF(H141&lt;=34,20,IF(H141&lt;=36,21,IF(H141&lt;=40,22,24)))))))))))))</f>
        <v>0</v>
      </c>
      <c r="K141" s="3" t="n">
        <v>90</v>
      </c>
      <c r="M141" s="3" t="n">
        <f aca="false">_xlfn.IFS(K141="взв",11,K141="накл",24,K141="прокл",25,K141="пт",26,K141=90,10,K141=85,10,K141=80,9,K141=75,8,K141=70,8,K141=65,7,K141=60,7,K141=55,6,K141=50,6,K141=45,6,K141=40,5,K141=35,4,K141=30,4,K141=25,3,K141=20,2,K141=15,1,K141=10,1,K141=0,0)</f>
        <v>10</v>
      </c>
      <c r="N141" s="3" t="n">
        <f aca="false">IF(L141&lt;=1,0,IF(L141&lt;=10,11,IF(L141&lt;=14,12,IF(L141&lt;=17,13,IF(L141&lt;=20,14,IF(L141&lt;=22,15,IF(L141&lt;=25,16,IF(L141&lt;=27,17,IF(L141&lt;=29,18,IF(L141&lt;=32,19,IF(L141&lt;=34,20,IF(L141&lt;=36,21,IF(L141&lt;=40,22,24)))))))))))))</f>
        <v>0</v>
      </c>
      <c r="P141" s="3" t="n">
        <v>25</v>
      </c>
      <c r="Q141" s="3" t="n">
        <f aca="false">_xlfn.IFS(O141="взв",11,O141="накл",24,O141="прокл",25,O141="пт",26,O141=90,10,O141=85,10,O141=80,9,O141=75,8,O141=70,8,O141=65,7,O141=60,7,O141=55,6,O141=50,6,O141=45,6,O141=40,5,O141=35,4,O141=30,4,O141=25,3,O141=20,2,O141=15,1,O141=10,1,O141=0,0)</f>
        <v>0</v>
      </c>
      <c r="R141" s="3" t="n">
        <f aca="false">IF(P141&lt;=1,0,IF(P141&lt;=10,11,IF(P141&lt;=14,12,IF(P141&lt;=17,13,IF(P141&lt;=20,14,IF(P141&lt;=22,15,IF(P141&lt;=25,16,IF(P141&lt;=27,17,IF(P141&lt;=29,18,IF(P141&lt;=32,19,IF(P141&lt;=34,20,IF(P141&lt;=36,21,IF(P141&lt;=40,22,24)))))))))))))</f>
        <v>16</v>
      </c>
      <c r="S141" s="3" t="n">
        <f aca="false">ROUND((Q141+R141+I141+J141+M141+N141)/3,0)</f>
        <v>12</v>
      </c>
      <c r="T141" s="17" t="n">
        <f aca="false">F141*LOG10(S141+2)</f>
        <v>3.43838410703471</v>
      </c>
    </row>
    <row r="142" customFormat="false" ht="14.65" hidden="false" customHeight="true" outlineLevel="0" collapsed="false">
      <c r="A142" s="13" t="s">
        <v>196</v>
      </c>
      <c r="B142" s="14" t="n">
        <v>39985</v>
      </c>
      <c r="C142" s="15" t="s">
        <v>27</v>
      </c>
      <c r="D142" s="4" t="s">
        <v>64</v>
      </c>
      <c r="E142" s="3" t="n">
        <v>5</v>
      </c>
      <c r="F142" s="3" t="n">
        <v>3</v>
      </c>
      <c r="G142" s="3" t="n">
        <v>90</v>
      </c>
      <c r="I142" s="3" t="n">
        <f aca="false">_xlfn.IFS(G142="взв",11,G142="накл",24,G142="прокл",25,G142="пт",26,G142=90,10,G142=85,10,G142=80,9,G142=75,8,G142=70,8,G142=65,7,G142=60,7,G142=55,6,G142=50,6,G142=45,6,G142=40,5,G142=35,4,G142=30,4,G142=25,3,G142=20,2,G142=15,1,G142=10,1,G142=0,0)</f>
        <v>10</v>
      </c>
      <c r="J142" s="3" t="n">
        <f aca="false">IF(H142&lt;=1,0,IF(H142&lt;=10,11,IF(H142&lt;=14,12,IF(H142&lt;=17,13,IF(H142&lt;=20,14,IF(H142&lt;=22,15,IF(H142&lt;=25,16,IF(H142&lt;=27,17,IF(H142&lt;=29,18,IF(H142&lt;=32,19,IF(H142&lt;=34,20,IF(H142&lt;=36,21,IF(H142&lt;=40,22,24)))))))))))))</f>
        <v>0</v>
      </c>
      <c r="K142" s="3" t="n">
        <v>90</v>
      </c>
      <c r="M142" s="3" t="n">
        <f aca="false">_xlfn.IFS(K142="взв",11,K142="накл",24,K142="прокл",25,K142="пт",26,K142=90,10,K142=85,10,K142=80,9,K142=75,8,K142=70,8,K142=65,7,K142=60,7,K142=55,6,K142=50,6,K142=45,6,K142=40,5,K142=35,4,K142=30,4,K142=25,3,K142=20,2,K142=15,1,K142=10,1,K142=0,0)</f>
        <v>10</v>
      </c>
      <c r="N142" s="3" t="n">
        <f aca="false">IF(L142&lt;=1,0,IF(L142&lt;=10,11,IF(L142&lt;=14,12,IF(L142&lt;=17,13,IF(L142&lt;=20,14,IF(L142&lt;=22,15,IF(L142&lt;=25,16,IF(L142&lt;=27,17,IF(L142&lt;=29,18,IF(L142&lt;=32,19,IF(L142&lt;=34,20,IF(L142&lt;=36,21,IF(L142&lt;=40,22,24)))))))))))))</f>
        <v>0</v>
      </c>
      <c r="O142" s="3" t="n">
        <v>90</v>
      </c>
      <c r="Q142" s="3" t="n">
        <f aca="false">_xlfn.IFS(O142="взв",11,O142="накл",24,O142="прокл",25,O142="пт",26,O142=90,10,O142=85,10,O142=80,9,O142=75,8,O142=70,8,O142=65,7,O142=60,7,O142=55,6,O142=50,6,O142=45,6,O142=40,5,O142=35,4,O142=30,4,O142=25,3,O142=20,2,O142=15,1,O142=10,1,O142=0,0)</f>
        <v>10</v>
      </c>
      <c r="R142" s="3" t="n">
        <f aca="false">IF(P142&lt;=1,0,IF(P142&lt;=10,11,IF(P142&lt;=14,12,IF(P142&lt;=17,13,IF(P142&lt;=20,14,IF(P142&lt;=22,15,IF(P142&lt;=25,16,IF(P142&lt;=27,17,IF(P142&lt;=29,18,IF(P142&lt;=32,19,IF(P142&lt;=34,20,IF(P142&lt;=36,21,IF(P142&lt;=40,22,24)))))))))))))</f>
        <v>0</v>
      </c>
      <c r="S142" s="3" t="n">
        <f aca="false">ROUND((Q142+R142+I142+J142+M142+N142)/3,0)</f>
        <v>10</v>
      </c>
      <c r="T142" s="17" t="n">
        <f aca="false">F142*LOG10(S142+2)</f>
        <v>3.23754373814287</v>
      </c>
    </row>
    <row r="143" customFormat="false" ht="14.65" hidden="false" customHeight="true" outlineLevel="0" collapsed="false">
      <c r="A143" s="13" t="s">
        <v>197</v>
      </c>
      <c r="B143" s="14" t="n">
        <v>39985</v>
      </c>
      <c r="C143" s="15" t="s">
        <v>27</v>
      </c>
      <c r="D143" s="4" t="s">
        <v>70</v>
      </c>
      <c r="E143" s="3" t="n">
        <v>6</v>
      </c>
      <c r="F143" s="3" t="n">
        <v>3</v>
      </c>
      <c r="H143" s="3" t="n">
        <v>39</v>
      </c>
      <c r="I143" s="3" t="n">
        <f aca="false">_xlfn.IFS(G143="взв",11,G143="накл",24,G143="прокл",25,G143="пт",26,G143=90,10,G143=85,10,G143=80,9,G143=75,8,G143=70,8,G143=65,7,G143=60,7,G143=55,6,G143=50,6,G143=45,6,G143=40,5,G143=35,4,G143=30,4,G143=25,3,G143=20,2,G143=15,1,G143=10,1,G143=0,0)</f>
        <v>0</v>
      </c>
      <c r="J143" s="3" t="n">
        <f aca="false">IF(H143&lt;=1,0,IF(H143&lt;=10,11,IF(H143&lt;=14,12,IF(H143&lt;=17,13,IF(H143&lt;=20,14,IF(H143&lt;=22,15,IF(H143&lt;=25,16,IF(H143&lt;=27,17,IF(H143&lt;=29,18,IF(H143&lt;=32,19,IF(H143&lt;=34,20,IF(H143&lt;=36,21,IF(H143&lt;=40,22,24)))))))))))))</f>
        <v>22</v>
      </c>
      <c r="L143" s="3" t="n">
        <v>41</v>
      </c>
      <c r="M143" s="3" t="n">
        <f aca="false">_xlfn.IFS(K143="взв",11,K143="накл",24,K143="прокл",25,K143="пт",26,K143=90,10,K143=85,10,K143=80,9,K143=75,8,K143=70,8,K143=65,7,K143=60,7,K143=55,6,K143=50,6,K143=45,6,K143=40,5,K143=35,4,K143=30,4,K143=25,3,K143=20,2,K143=15,1,K143=10,1,K143=0,0)</f>
        <v>0</v>
      </c>
      <c r="N143" s="3" t="n">
        <f aca="false">IF(L143&lt;=1,0,IF(L143&lt;=10,11,IF(L143&lt;=14,12,IF(L143&lt;=17,13,IF(L143&lt;=20,14,IF(L143&lt;=22,15,IF(L143&lt;=25,16,IF(L143&lt;=27,17,IF(L143&lt;=29,18,IF(L143&lt;=32,19,IF(L143&lt;=34,20,IF(L143&lt;=36,21,IF(L143&lt;=40,22,24)))))))))))))</f>
        <v>24</v>
      </c>
      <c r="Q143" s="3" t="n">
        <f aca="false">_xlfn.IFS(O143="взв",11,O143="накл",24,O143="прокл",25,O143="пт",26,O143=90,10,O143=85,10,O143=80,9,O143=75,8,O143=70,8,O143=65,7,O143=60,7,O143=55,6,O143=50,6,O143=45,6,O143=40,5,O143=35,4,O143=30,4,O143=25,3,O143=20,2,O143=15,1,O143=10,1,O143=0,0)</f>
        <v>0</v>
      </c>
      <c r="R143" s="3" t="n">
        <f aca="false">IF(P143&lt;=1,0,IF(P143&lt;=10,11,IF(P143&lt;=14,12,IF(P143&lt;=17,13,IF(P143&lt;=20,14,IF(P143&lt;=22,15,IF(P143&lt;=25,16,IF(P143&lt;=27,17,IF(P143&lt;=29,18,IF(P143&lt;=32,19,IF(P143&lt;=34,20,IF(P143&lt;=36,21,IF(P143&lt;=40,22,24)))))))))))))</f>
        <v>0</v>
      </c>
      <c r="S143" s="3" t="n">
        <f aca="false">ROUND((Q143+R143+I143+J143+M143+N143)/3,0)</f>
        <v>15</v>
      </c>
      <c r="T143" s="17" t="n">
        <f aca="false">F143*LOG10(S143+2)</f>
        <v>3.69134676413482</v>
      </c>
    </row>
    <row r="144" customFormat="false" ht="14.65" hidden="false" customHeight="true" outlineLevel="0" collapsed="false">
      <c r="A144" s="13" t="s">
        <v>198</v>
      </c>
      <c r="B144" s="14" t="n">
        <v>39985</v>
      </c>
      <c r="C144" s="15" t="s">
        <v>27</v>
      </c>
      <c r="D144" s="4" t="s">
        <v>70</v>
      </c>
      <c r="E144" s="3" t="n">
        <v>3</v>
      </c>
      <c r="F144" s="3" t="n">
        <v>3</v>
      </c>
      <c r="G144" s="3" t="n">
        <v>30</v>
      </c>
      <c r="I144" s="3" t="n">
        <f aca="false">_xlfn.IFS(G144="взв",11,G144="накл",24,G144="прокл",25,G144="пт",26,G144=90,10,G144=85,10,G144=80,9,G144=75,8,G144=70,8,G144=65,7,G144=60,7,G144=55,6,G144=50,6,G144=45,6,G144=40,5,G144=35,4,G144=30,4,G144=25,3,G144=20,2,G144=15,1,G144=10,1,G144=0,0)</f>
        <v>4</v>
      </c>
      <c r="J144" s="3" t="n">
        <f aca="false">IF(H144&lt;=1,0,IF(H144&lt;=10,11,IF(H144&lt;=14,12,IF(H144&lt;=17,13,IF(H144&lt;=20,14,IF(H144&lt;=22,15,IF(H144&lt;=25,16,IF(H144&lt;=27,17,IF(H144&lt;=29,18,IF(H144&lt;=32,19,IF(H144&lt;=34,20,IF(H144&lt;=36,21,IF(H144&lt;=40,22,24)))))))))))))</f>
        <v>0</v>
      </c>
      <c r="K144" s="3" t="n">
        <v>30</v>
      </c>
      <c r="M144" s="3" t="n">
        <f aca="false">_xlfn.IFS(K144="взв",11,K144="накл",24,K144="прокл",25,K144="пт",26,K144=90,10,K144=85,10,K144=80,9,K144=75,8,K144=70,8,K144=65,7,K144=60,7,K144=55,6,K144=50,6,K144=45,6,K144=40,5,K144=35,4,K144=30,4,K144=25,3,K144=20,2,K144=15,1,K144=10,1,K144=0,0)</f>
        <v>4</v>
      </c>
      <c r="N144" s="3" t="n">
        <f aca="false">IF(L144&lt;=1,0,IF(L144&lt;=10,11,IF(L144&lt;=14,12,IF(L144&lt;=17,13,IF(L144&lt;=20,14,IF(L144&lt;=22,15,IF(L144&lt;=25,16,IF(L144&lt;=27,17,IF(L144&lt;=29,18,IF(L144&lt;=32,19,IF(L144&lt;=34,20,IF(L144&lt;=36,21,IF(L144&lt;=40,22,24)))))))))))))</f>
        <v>0</v>
      </c>
      <c r="O144" s="3" t="n">
        <v>30</v>
      </c>
      <c r="Q144" s="3" t="n">
        <f aca="false">_xlfn.IFS(O144="взв",11,O144="накл",24,O144="прокл",25,O144="пт",26,O144=90,10,O144=85,10,O144=80,9,O144=75,8,O144=70,8,O144=65,7,O144=60,7,O144=55,6,O144=50,6,O144=45,6,O144=40,5,O144=35,4,O144=30,4,O144=25,3,O144=20,2,O144=15,1,O144=10,1,O144=0,0)</f>
        <v>4</v>
      </c>
      <c r="R144" s="3" t="n">
        <f aca="false">IF(P144&lt;=1,0,IF(P144&lt;=10,11,IF(P144&lt;=14,12,IF(P144&lt;=17,13,IF(P144&lt;=20,14,IF(P144&lt;=22,15,IF(P144&lt;=25,16,IF(P144&lt;=27,17,IF(P144&lt;=29,18,IF(P144&lt;=32,19,IF(P144&lt;=34,20,IF(P144&lt;=36,21,IF(P144&lt;=40,22,24)))))))))))))</f>
        <v>0</v>
      </c>
      <c r="S144" s="3" t="n">
        <f aca="false">ROUND((Q144+R144+I144+J144+M144+N144)/3,0)</f>
        <v>4</v>
      </c>
      <c r="T144" s="17" t="n">
        <f aca="false">F144*LOG10(S144+2)</f>
        <v>2.33445375115093</v>
      </c>
    </row>
    <row r="145" customFormat="false" ht="14.65" hidden="false" customHeight="true" outlineLevel="0" collapsed="false">
      <c r="A145" s="13" t="s">
        <v>199</v>
      </c>
      <c r="B145" s="14" t="n">
        <v>39985</v>
      </c>
      <c r="C145" s="15" t="s">
        <v>27</v>
      </c>
      <c r="D145" s="4" t="s">
        <v>70</v>
      </c>
      <c r="E145" s="3" t="n">
        <v>3</v>
      </c>
      <c r="F145" s="3" t="n">
        <v>3</v>
      </c>
      <c r="H145" s="3" t="n">
        <v>38</v>
      </c>
      <c r="I145" s="3" t="n">
        <f aca="false">_xlfn.IFS(G145="взв",11,G145="накл",24,G145="прокл",25,G145="пт",26,G145=90,10,G145=85,10,G145=80,9,G145=75,8,G145=70,8,G145=65,7,G145=60,7,G145=55,6,G145=50,6,G145=45,6,G145=40,5,G145=35,4,G145=30,4,G145=25,3,G145=20,2,G145=15,1,G145=10,1,G145=0,0)</f>
        <v>0</v>
      </c>
      <c r="J145" s="3" t="n">
        <f aca="false">IF(H145&lt;=1,0,IF(H145&lt;=10,11,IF(H145&lt;=14,12,IF(H145&lt;=17,13,IF(H145&lt;=20,14,IF(H145&lt;=22,15,IF(H145&lt;=25,16,IF(H145&lt;=27,17,IF(H145&lt;=29,18,IF(H145&lt;=32,19,IF(H145&lt;=34,20,IF(H145&lt;=36,21,IF(H145&lt;=40,22,24)))))))))))))</f>
        <v>22</v>
      </c>
      <c r="L145" s="3" t="n">
        <v>45</v>
      </c>
      <c r="M145" s="3" t="n">
        <f aca="false">_xlfn.IFS(K145="взв",11,K145="накл",24,K145="прокл",25,K145="пт",26,K145=90,10,K145=85,10,K145=80,9,K145=75,8,K145=70,8,K145=65,7,K145=60,7,K145=55,6,K145=50,6,K145=45,6,K145=40,5,K145=35,4,K145=30,4,K145=25,3,K145=20,2,K145=15,1,K145=10,1,K145=0,0)</f>
        <v>0</v>
      </c>
      <c r="N145" s="3" t="n">
        <f aca="false">IF(L145&lt;=1,0,IF(L145&lt;=10,11,IF(L145&lt;=14,12,IF(L145&lt;=17,13,IF(L145&lt;=20,14,IF(L145&lt;=22,15,IF(L145&lt;=25,16,IF(L145&lt;=27,17,IF(L145&lt;=29,18,IF(L145&lt;=32,19,IF(L145&lt;=34,20,IF(L145&lt;=36,21,IF(L145&lt;=40,22,24)))))))))))))</f>
        <v>24</v>
      </c>
      <c r="P145" s="3" t="n">
        <v>40</v>
      </c>
      <c r="Q145" s="3" t="n">
        <f aca="false">_xlfn.IFS(O145="взв",11,O145="накл",24,O145="прокл",25,O145="пт",26,O145=90,10,O145=85,10,O145=80,9,O145=75,8,O145=70,8,O145=65,7,O145=60,7,O145=55,6,O145=50,6,O145=45,6,O145=40,5,O145=35,4,O145=30,4,O145=25,3,O145=20,2,O145=15,1,O145=10,1,O145=0,0)</f>
        <v>0</v>
      </c>
      <c r="R145" s="3" t="n">
        <f aca="false">IF(P145&lt;=1,0,IF(P145&lt;=10,11,IF(P145&lt;=14,12,IF(P145&lt;=17,13,IF(P145&lt;=20,14,IF(P145&lt;=22,15,IF(P145&lt;=25,16,IF(P145&lt;=27,17,IF(P145&lt;=29,18,IF(P145&lt;=32,19,IF(P145&lt;=34,20,IF(P145&lt;=36,21,IF(P145&lt;=40,22,24)))))))))))))</f>
        <v>22</v>
      </c>
      <c r="S145" s="3" t="n">
        <f aca="false">ROUND((Q145+R145+I145+J145+M145+N145)/3,0)</f>
        <v>23</v>
      </c>
      <c r="T145" s="17" t="n">
        <f aca="false">F145*LOG10(S145+2)</f>
        <v>4.19382002601611</v>
      </c>
    </row>
    <row r="146" customFormat="false" ht="14.65" hidden="false" customHeight="true" outlineLevel="0" collapsed="false">
      <c r="A146" s="13" t="s">
        <v>200</v>
      </c>
      <c r="B146" s="14" t="n">
        <v>39985</v>
      </c>
      <c r="C146" s="15" t="s">
        <v>27</v>
      </c>
      <c r="D146" s="4" t="s">
        <v>70</v>
      </c>
      <c r="E146" s="3" t="n">
        <v>6</v>
      </c>
      <c r="F146" s="3" t="n">
        <v>3</v>
      </c>
      <c r="G146" s="3" t="n">
        <v>15</v>
      </c>
      <c r="I146" s="3" t="n">
        <f aca="false">_xlfn.IFS(G146="взв",11,G146="накл",24,G146="прокл",25,G146="пт",26,G146=90,10,G146=85,10,G146=80,9,G146=75,8,G146=70,8,G146=65,7,G146=60,7,G146=55,6,G146=50,6,G146=45,6,G146=40,5,G146=35,4,G146=30,4,G146=25,3,G146=20,2,G146=15,1,G146=10,1,G146=0,0)</f>
        <v>1</v>
      </c>
      <c r="J146" s="3" t="n">
        <f aca="false">IF(H146&lt;=1,0,IF(H146&lt;=10,11,IF(H146&lt;=14,12,IF(H146&lt;=17,13,IF(H146&lt;=20,14,IF(H146&lt;=22,15,IF(H146&lt;=25,16,IF(H146&lt;=27,17,IF(H146&lt;=29,18,IF(H146&lt;=32,19,IF(H146&lt;=34,20,IF(H146&lt;=36,21,IF(H146&lt;=40,22,24)))))))))))))</f>
        <v>0</v>
      </c>
      <c r="K146" s="3" t="n">
        <v>15</v>
      </c>
      <c r="M146" s="3" t="n">
        <f aca="false">_xlfn.IFS(K146="взв",11,K146="накл",24,K146="прокл",25,K146="пт",26,K146=90,10,K146=85,10,K146=80,9,K146=75,8,K146=70,8,K146=65,7,K146=60,7,K146=55,6,K146=50,6,K146=45,6,K146=40,5,K146=35,4,K146=30,4,K146=25,3,K146=20,2,K146=15,1,K146=10,1,K146=0,0)</f>
        <v>1</v>
      </c>
      <c r="N146" s="3" t="n">
        <f aca="false">IF(L146&lt;=1,0,IF(L146&lt;=10,11,IF(L146&lt;=14,12,IF(L146&lt;=17,13,IF(L146&lt;=20,14,IF(L146&lt;=22,15,IF(L146&lt;=25,16,IF(L146&lt;=27,17,IF(L146&lt;=29,18,IF(L146&lt;=32,19,IF(L146&lt;=34,20,IF(L146&lt;=36,21,IF(L146&lt;=40,22,24)))))))))))))</f>
        <v>0</v>
      </c>
      <c r="O146" s="3" t="n">
        <v>15</v>
      </c>
      <c r="Q146" s="3" t="n">
        <f aca="false">_xlfn.IFS(O146="взв",11,O146="накл",24,O146="прокл",25,O146="пт",26,O146=90,10,O146=85,10,O146=80,9,O146=75,8,O146=70,8,O146=65,7,O146=60,7,O146=55,6,O146=50,6,O146=45,6,O146=40,5,O146=35,4,O146=30,4,O146=25,3,O146=20,2,O146=15,1,O146=10,1,O146=0,0)</f>
        <v>1</v>
      </c>
      <c r="R146" s="3" t="n">
        <f aca="false">IF(P146&lt;=1,0,IF(P146&lt;=10,11,IF(P146&lt;=14,12,IF(P146&lt;=17,13,IF(P146&lt;=20,14,IF(P146&lt;=22,15,IF(P146&lt;=25,16,IF(P146&lt;=27,17,IF(P146&lt;=29,18,IF(P146&lt;=32,19,IF(P146&lt;=34,20,IF(P146&lt;=36,21,IF(P146&lt;=40,22,24)))))))))))))</f>
        <v>0</v>
      </c>
      <c r="S146" s="3" t="n">
        <f aca="false">ROUND((Q146+R146+I146+J146+M146+N146)/3,0)</f>
        <v>1</v>
      </c>
      <c r="T146" s="17" t="n">
        <f aca="false">F146*LOG10(S146+2)</f>
        <v>1.43136376415899</v>
      </c>
    </row>
    <row r="147" customFormat="false" ht="14.65" hidden="false" customHeight="true" outlineLevel="0" collapsed="false">
      <c r="A147" s="13" t="s">
        <v>201</v>
      </c>
      <c r="B147" s="14" t="n">
        <v>39985</v>
      </c>
      <c r="C147" s="15" t="s">
        <v>27</v>
      </c>
      <c r="D147" s="4" t="s">
        <v>31</v>
      </c>
      <c r="E147" s="3" t="n">
        <v>2</v>
      </c>
      <c r="F147" s="3" t="n">
        <v>3</v>
      </c>
      <c r="H147" s="3" t="s">
        <v>43</v>
      </c>
      <c r="I147" s="3" t="n">
        <f aca="false">_xlfn.IFS(G147="взв",11,G147="накл",24,G147="прокл",25,G147="пт",26,G147=90,10,G147=85,10,G147=80,9,G147=75,8,G147=70,8,G147=65,7,G147=60,7,G147=55,6,G147=50,6,G147=45,6,G147=40,5,G147=35,4,G147=30,4,G147=25,3,G147=20,2,G147=15,1,G147=10,1,G147=0,0)</f>
        <v>0</v>
      </c>
      <c r="J147" s="3" t="n">
        <f aca="false">IF(H147&lt;=1,0,IF(H147&lt;=10,11,IF(H147&lt;=14,12,IF(H147&lt;=17,13,IF(H147&lt;=20,14,IF(H147&lt;=22,15,IF(H147&lt;=25,16,IF(H147&lt;=27,17,IF(H147&lt;=29,18,IF(H147&lt;=32,19,IF(H147&lt;=34,20,IF(H147&lt;=36,21,IF(H147&lt;=40,22,24)))))))))))))</f>
        <v>24</v>
      </c>
      <c r="M147" s="3" t="n">
        <f aca="false">_xlfn.IFS(K147="взв",11,K147="накл",24,K147="прокл",25,K147="пт",26,K147=90,10,K147=85,10,K147=80,9,K147=75,8,K147=70,8,K147=65,7,K147=60,7,K147=55,6,K147=50,6,K147=45,6,K147=40,5,K147=35,4,K147=30,4,K147=25,3,K147=20,2,K147=15,1,K147=10,1,K147=0,0)</f>
        <v>0</v>
      </c>
      <c r="N147" s="3" t="n">
        <f aca="false">IF(L147&lt;=1,0,IF(L147&lt;=10,11,IF(L147&lt;=14,12,IF(L147&lt;=17,13,IF(L147&lt;=20,14,IF(L147&lt;=22,15,IF(L147&lt;=25,16,IF(L147&lt;=27,17,IF(L147&lt;=29,18,IF(L147&lt;=32,19,IF(L147&lt;=34,20,IF(L147&lt;=36,21,IF(L147&lt;=40,22,24)))))))))))))</f>
        <v>0</v>
      </c>
      <c r="Q147" s="3" t="n">
        <f aca="false">_xlfn.IFS(O147="взв",11,O147="накл",24,O147="прокл",25,O147="пт",26,O147=90,10,O147=85,10,O147=80,9,O147=75,8,O147=70,8,O147=65,7,O147=60,7,O147=55,6,O147=50,6,O147=45,6,O147=40,5,O147=35,4,O147=30,4,O147=25,3,O147=20,2,O147=15,1,O147=10,1,O147=0,0)</f>
        <v>0</v>
      </c>
      <c r="R147" s="3" t="n">
        <f aca="false">IF(P147&lt;=1,0,IF(P147&lt;=10,11,IF(P147&lt;=14,12,IF(P147&lt;=17,13,IF(P147&lt;=20,14,IF(P147&lt;=22,15,IF(P147&lt;=25,16,IF(P147&lt;=27,17,IF(P147&lt;=29,18,IF(P147&lt;=32,19,IF(P147&lt;=34,20,IF(P147&lt;=36,21,IF(P147&lt;=40,22,24)))))))))))))</f>
        <v>0</v>
      </c>
      <c r="S147" s="3" t="n">
        <v>24</v>
      </c>
      <c r="T147" s="17" t="n">
        <f aca="false">F147*LOG10(S147+2)</f>
        <v>4.24492004391245</v>
      </c>
    </row>
    <row r="148" customFormat="false" ht="14.65" hidden="false" customHeight="true" outlineLevel="0" collapsed="false">
      <c r="A148" s="13" t="s">
        <v>202</v>
      </c>
      <c r="B148" s="14" t="n">
        <v>39985</v>
      </c>
      <c r="C148" s="15" t="s">
        <v>27</v>
      </c>
      <c r="D148" s="4" t="s">
        <v>31</v>
      </c>
      <c r="E148" s="3" t="n">
        <v>5</v>
      </c>
      <c r="F148" s="3" t="n">
        <v>3</v>
      </c>
      <c r="H148" s="3" t="n">
        <v>36</v>
      </c>
      <c r="I148" s="3" t="n">
        <f aca="false">_xlfn.IFS(G148="взв",11,G148="накл",24,G148="прокл",25,G148="пт",26,G148=90,10,G148=85,10,G148=80,9,G148=75,8,G148=70,8,G148=65,7,G148=60,7,G148=55,6,G148=50,6,G148=45,6,G148=40,5,G148=35,4,G148=30,4,G148=25,3,G148=20,2,G148=15,1,G148=10,1,G148=0,0)</f>
        <v>0</v>
      </c>
      <c r="J148" s="3" t="n">
        <f aca="false">IF(H148&lt;=1,0,IF(H148&lt;=10,11,IF(H148&lt;=14,12,IF(H148&lt;=17,13,IF(H148&lt;=20,14,IF(H148&lt;=22,15,IF(H148&lt;=25,16,IF(H148&lt;=27,17,IF(H148&lt;=29,18,IF(H148&lt;=32,19,IF(H148&lt;=34,20,IF(H148&lt;=36,21,IF(H148&lt;=40,22,24)))))))))))))</f>
        <v>21</v>
      </c>
      <c r="L148" s="3" t="n">
        <v>31</v>
      </c>
      <c r="M148" s="3" t="n">
        <f aca="false">_xlfn.IFS(K148="взв",11,K148="накл",24,K148="прокл",25,K148="пт",26,K148=90,10,K148=85,10,K148=80,9,K148=75,8,K148=70,8,K148=65,7,K148=60,7,K148=55,6,K148=50,6,K148=45,6,K148=40,5,K148=35,4,K148=30,4,K148=25,3,K148=20,2,K148=15,1,K148=10,1,K148=0,0)</f>
        <v>0</v>
      </c>
      <c r="N148" s="3" t="n">
        <f aca="false">IF(L148&lt;=1,0,IF(L148&lt;=10,11,IF(L148&lt;=14,12,IF(L148&lt;=17,13,IF(L148&lt;=20,14,IF(L148&lt;=22,15,IF(L148&lt;=25,16,IF(L148&lt;=27,17,IF(L148&lt;=29,18,IF(L148&lt;=32,19,IF(L148&lt;=34,20,IF(L148&lt;=36,21,IF(L148&lt;=40,22,24)))))))))))))</f>
        <v>19</v>
      </c>
      <c r="P148" s="3" t="n">
        <v>33</v>
      </c>
      <c r="Q148" s="3" t="n">
        <f aca="false">_xlfn.IFS(O148="взв",11,O148="накл",24,O148="прокл",25,O148="пт",26,O148=90,10,O148=85,10,O148=80,9,O148=75,8,O148=70,8,O148=65,7,O148=60,7,O148=55,6,O148=50,6,O148=45,6,O148=40,5,O148=35,4,O148=30,4,O148=25,3,O148=20,2,O148=15,1,O148=10,1,O148=0,0)</f>
        <v>0</v>
      </c>
      <c r="R148" s="3" t="n">
        <f aca="false">IF(P148&lt;=1,0,IF(P148&lt;=10,11,IF(P148&lt;=14,12,IF(P148&lt;=17,13,IF(P148&lt;=20,14,IF(P148&lt;=22,15,IF(P148&lt;=25,16,IF(P148&lt;=27,17,IF(P148&lt;=29,18,IF(P148&lt;=32,19,IF(P148&lt;=34,20,IF(P148&lt;=36,21,IF(P148&lt;=40,22,24)))))))))))))</f>
        <v>20</v>
      </c>
      <c r="S148" s="3" t="n">
        <f aca="false">ROUND((Q148+R148+I148+J148+M148+N148)/3,0)</f>
        <v>20</v>
      </c>
      <c r="T148" s="17" t="n">
        <f aca="false">F148*LOG10(S148+2)</f>
        <v>4.02726804246662</v>
      </c>
    </row>
    <row r="149" customFormat="false" ht="14.65" hidden="false" customHeight="true" outlineLevel="0" collapsed="false">
      <c r="A149" s="13" t="s">
        <v>203</v>
      </c>
      <c r="B149" s="14" t="n">
        <v>39985</v>
      </c>
      <c r="C149" s="15" t="s">
        <v>27</v>
      </c>
      <c r="D149" s="4" t="s">
        <v>31</v>
      </c>
      <c r="E149" s="3" t="n">
        <v>5</v>
      </c>
      <c r="F149" s="3" t="n">
        <v>3</v>
      </c>
      <c r="G149" s="3" t="s">
        <v>43</v>
      </c>
      <c r="I149" s="3" t="n">
        <f aca="false">_xlfn.IFS(G149="взв",11,G149="накл",24,G149="прокл",25,G149="пт",26,G149=90,10,G149=85,10,G149=80,9,G149=75,8,G149=70,8,G149=65,7,G149=60,7,G149=55,6,G149=50,6,G149=45,6,G149=40,5,G149=35,4,G149=30,4,G149=25,3,G149=20,2,G149=15,1,G149=10,1,G149=0,0)</f>
        <v>24</v>
      </c>
      <c r="J149" s="3" t="n">
        <f aca="false">IF(H149&lt;=1,0,IF(H149&lt;=10,11,IF(H149&lt;=14,12,IF(H149&lt;=17,13,IF(H149&lt;=20,14,IF(H149&lt;=22,15,IF(H149&lt;=25,16,IF(H149&lt;=27,17,IF(H149&lt;=29,18,IF(H149&lt;=32,19,IF(H149&lt;=34,20,IF(H149&lt;=36,21,IF(H149&lt;=40,22,24)))))))))))))</f>
        <v>0</v>
      </c>
      <c r="K149" s="3" t="s">
        <v>43</v>
      </c>
      <c r="M149" s="3" t="n">
        <f aca="false">_xlfn.IFS(K149="взв",11,K149="накл",24,K149="прокл",25,K149="пт",26,K149=90,10,K149=85,10,K149=80,9,K149=75,8,K149=70,8,K149=65,7,K149=60,7,K149=55,6,K149=50,6,K149=45,6,K149=40,5,K149=35,4,K149=30,4,K149=25,3,K149=20,2,K149=15,1,K149=10,1,K149=0,0)</f>
        <v>24</v>
      </c>
      <c r="N149" s="3" t="n">
        <f aca="false">IF(L149&lt;=1,0,IF(L149&lt;=10,11,IF(L149&lt;=14,12,IF(L149&lt;=17,13,IF(L149&lt;=20,14,IF(L149&lt;=22,15,IF(L149&lt;=25,16,IF(L149&lt;=27,17,IF(L149&lt;=29,18,IF(L149&lt;=32,19,IF(L149&lt;=34,20,IF(L149&lt;=36,21,IF(L149&lt;=40,22,24)))))))))))))</f>
        <v>0</v>
      </c>
      <c r="O149" s="3" t="s">
        <v>43</v>
      </c>
      <c r="Q149" s="3" t="n">
        <f aca="false">_xlfn.IFS(O149="взв",11,O149="накл",24,O149="прокл",25,O149="пт",26,O149=90,10,O149=85,10,O149=80,9,O149=75,8,O149=70,8,O149=65,7,O149=60,7,O149=55,6,O149=50,6,O149=45,6,O149=40,5,O149=35,4,O149=30,4,O149=25,3,O149=20,2,O149=15,1,O149=10,1,O149=0,0)</f>
        <v>24</v>
      </c>
      <c r="R149" s="3" t="n">
        <f aca="false">IF(P149&lt;=1,0,IF(P149&lt;=10,11,IF(P149&lt;=14,12,IF(P149&lt;=17,13,IF(P149&lt;=20,14,IF(P149&lt;=22,15,IF(P149&lt;=25,16,IF(P149&lt;=27,17,IF(P149&lt;=29,18,IF(P149&lt;=32,19,IF(P149&lt;=34,20,IF(P149&lt;=36,21,IF(P149&lt;=40,22,24)))))))))))))</f>
        <v>0</v>
      </c>
      <c r="S149" s="3" t="n">
        <f aca="false">ROUND((Q149+R149+I149+J149+M149+N149)/3,0)</f>
        <v>24</v>
      </c>
      <c r="T149" s="17" t="n">
        <f aca="false">F149*LOG10(S149+2)</f>
        <v>4.24492004391245</v>
      </c>
    </row>
    <row r="150" customFormat="false" ht="14.65" hidden="false" customHeight="true" outlineLevel="0" collapsed="false">
      <c r="A150" s="13" t="s">
        <v>204</v>
      </c>
      <c r="B150" s="14" t="n">
        <v>39990</v>
      </c>
      <c r="C150" s="15" t="s">
        <v>78</v>
      </c>
      <c r="D150" s="4" t="s">
        <v>205</v>
      </c>
      <c r="E150" s="3" t="n">
        <v>2</v>
      </c>
      <c r="F150" s="3" t="n">
        <v>3</v>
      </c>
      <c r="G150" s="3" t="s">
        <v>81</v>
      </c>
      <c r="I150" s="3" t="n">
        <f aca="false">_xlfn.IFS(G150="взв",11,G150="накл",24,G150="прокл",25,G150="пт",26,G150=90,10,G150=85,10,G150=80,9,G150=75,8,G150=70,8,G150=65,7,G150=60,7,G150=55,6,G150=50,6,G150=45,6,G150=40,5,G150=35,4,G150=30,4,G150=25,3,G150=20,2,G150=15,1,G150=10,1,G150=0,0)</f>
        <v>25</v>
      </c>
      <c r="J150" s="3" t="n">
        <f aca="false">IF(H150&lt;=1,0,IF(H150&lt;=10,11,IF(H150&lt;=14,12,IF(H150&lt;=17,13,IF(H150&lt;=20,14,IF(H150&lt;=22,15,IF(H150&lt;=25,16,IF(H150&lt;=27,17,IF(H150&lt;=29,18,IF(H150&lt;=32,19,IF(H150&lt;=34,20,IF(H150&lt;=36,21,IF(H150&lt;=40,22,24)))))))))))))</f>
        <v>0</v>
      </c>
      <c r="K150" s="3" t="s">
        <v>36</v>
      </c>
      <c r="M150" s="3" t="n">
        <f aca="false">_xlfn.IFS(K150="взв",11,K150="накл",24,K150="прокл",25,K150="пт",26,K150=90,10,K150=85,10,K150=80,9,K150=75,8,K150=70,8,K150=65,7,K150=60,7,K150=55,6,K150=50,6,K150=45,6,K150=40,5,K150=35,4,K150=30,4,K150=25,3,K150=20,2,K150=15,1,K150=10,1,K150=0,0)</f>
        <v>26</v>
      </c>
      <c r="N150" s="3" t="n">
        <f aca="false">IF(L150&lt;=1,0,IF(L150&lt;=10,11,IF(L150&lt;=14,12,IF(L150&lt;=17,13,IF(L150&lt;=20,14,IF(L150&lt;=22,15,IF(L150&lt;=25,16,IF(L150&lt;=27,17,IF(L150&lt;=29,18,IF(L150&lt;=32,19,IF(L150&lt;=34,20,IF(L150&lt;=36,21,IF(L150&lt;=40,22,24)))))))))))))</f>
        <v>0</v>
      </c>
      <c r="Q150" s="3" t="n">
        <f aca="false">_xlfn.IFS(O150="взв",11,O150="накл",24,O150="прокл",25,O150="пт",26,O150=90,10,O150=85,10,O150=80,9,O150=75,8,O150=70,8,O150=65,7,O150=60,7,O150=55,6,O150=50,6,O150=45,6,O150=40,5,O150=35,4,O150=30,4,O150=25,3,O150=20,2,O150=15,1,O150=10,1,O150=0,0)</f>
        <v>0</v>
      </c>
      <c r="R150" s="3" t="n">
        <f aca="false">IF(P150&lt;=1,0,IF(P150&lt;=10,11,IF(P150&lt;=14,12,IF(P150&lt;=17,13,IF(P150&lt;=20,14,IF(P150&lt;=22,15,IF(P150&lt;=25,16,IF(P150&lt;=27,17,IF(P150&lt;=29,18,IF(P150&lt;=32,19,IF(P150&lt;=34,20,IF(P150&lt;=36,21,IF(P150&lt;=40,22,24)))))))))))))</f>
        <v>0</v>
      </c>
      <c r="S150" s="3" t="n">
        <f aca="false">ROUND((Q150+R150+I150+J150+M150+N150)/2,0)</f>
        <v>26</v>
      </c>
      <c r="T150" s="17" t="n">
        <f aca="false">F150*LOG10(S150+2)</f>
        <v>4.34147409402666</v>
      </c>
    </row>
    <row r="151" customFormat="false" ht="14.65" hidden="false" customHeight="true" outlineLevel="0" collapsed="false">
      <c r="A151" s="13" t="s">
        <v>206</v>
      </c>
      <c r="B151" s="14" t="n">
        <v>39993</v>
      </c>
      <c r="C151" s="15" t="s">
        <v>78</v>
      </c>
      <c r="D151" s="4" t="s">
        <v>79</v>
      </c>
      <c r="E151" s="3" t="n">
        <v>5</v>
      </c>
      <c r="F151" s="3" t="n">
        <v>3</v>
      </c>
      <c r="G151" s="3" t="n">
        <v>60</v>
      </c>
      <c r="I151" s="3" t="n">
        <f aca="false">_xlfn.IFS(G151="взв",11,G151="накл",24,G151="прокл",25,G151="пт",26,G151=90,10,G151=85,10,G151=80,9,G151=75,8,G151=70,8,G151=65,7,G151=60,7,G151=55,6,G151=50,6,G151=45,6,G151=40,5,G151=35,4,G151=30,4,G151=25,3,G151=20,2,G151=15,1,G151=10,1,G151=0,0)</f>
        <v>7</v>
      </c>
      <c r="J151" s="3" t="n">
        <f aca="false">IF(H151&lt;=1,0,IF(H151&lt;=10,11,IF(H151&lt;=14,12,IF(H151&lt;=17,13,IF(H151&lt;=20,14,IF(H151&lt;=22,15,IF(H151&lt;=25,16,IF(H151&lt;=27,17,IF(H151&lt;=29,18,IF(H151&lt;=32,19,IF(H151&lt;=34,20,IF(H151&lt;=36,21,IF(H151&lt;=40,22,24)))))))))))))</f>
        <v>0</v>
      </c>
      <c r="K151" s="3" t="n">
        <v>60</v>
      </c>
      <c r="M151" s="3" t="n">
        <f aca="false">_xlfn.IFS(K151="взв",11,K151="накл",24,K151="прокл",25,K151="пт",26,K151=90,10,K151=85,10,K151=80,9,K151=75,8,K151=70,8,K151=65,7,K151=60,7,K151=55,6,K151=50,6,K151=45,6,K151=40,5,K151=35,4,K151=30,4,K151=25,3,K151=20,2,K151=15,1,K151=10,1,K151=0,0)</f>
        <v>7</v>
      </c>
      <c r="N151" s="3" t="n">
        <f aca="false">IF(L151&lt;=1,0,IF(L151&lt;=10,11,IF(L151&lt;=14,12,IF(L151&lt;=17,13,IF(L151&lt;=20,14,IF(L151&lt;=22,15,IF(L151&lt;=25,16,IF(L151&lt;=27,17,IF(L151&lt;=29,18,IF(L151&lt;=32,19,IF(L151&lt;=34,20,IF(L151&lt;=36,21,IF(L151&lt;=40,22,24)))))))))))))</f>
        <v>0</v>
      </c>
      <c r="O151" s="3" t="n">
        <v>60</v>
      </c>
      <c r="Q151" s="3" t="n">
        <f aca="false">_xlfn.IFS(O151="взв",11,O151="накл",24,O151="прокл",25,O151="пт",26,O151=90,10,O151=85,10,O151=80,9,O151=75,8,O151=70,8,O151=65,7,O151=60,7,O151=55,6,O151=50,6,O151=45,6,O151=40,5,O151=35,4,O151=30,4,O151=25,3,O151=20,2,O151=15,1,O151=10,1,O151=0,0)</f>
        <v>7</v>
      </c>
      <c r="R151" s="3" t="n">
        <f aca="false">IF(P151&lt;=1,0,IF(P151&lt;=10,11,IF(P151&lt;=14,12,IF(P151&lt;=17,13,IF(P151&lt;=20,14,IF(P151&lt;=22,15,IF(P151&lt;=25,16,IF(P151&lt;=27,17,IF(P151&lt;=29,18,IF(P151&lt;=32,19,IF(P151&lt;=34,20,IF(P151&lt;=36,21,IF(P151&lt;=40,22,24)))))))))))))</f>
        <v>0</v>
      </c>
      <c r="S151" s="3" t="n">
        <f aca="false">ROUND((Q151+R151+I151+J151+M151+N151)/3,0)</f>
        <v>7</v>
      </c>
      <c r="T151" s="17" t="n">
        <f aca="false">F151*LOG10(S151+2)</f>
        <v>2.86272752831797</v>
      </c>
    </row>
    <row r="152" customFormat="false" ht="14.65" hidden="false" customHeight="true" outlineLevel="0" collapsed="false">
      <c r="A152" s="13" t="s">
        <v>207</v>
      </c>
      <c r="B152" s="2" t="n">
        <v>39996</v>
      </c>
      <c r="C152" s="15" t="s">
        <v>21</v>
      </c>
      <c r="D152" s="4" t="s">
        <v>34</v>
      </c>
      <c r="E152" s="3" t="n">
        <v>5</v>
      </c>
      <c r="F152" s="3" t="n">
        <v>3</v>
      </c>
      <c r="G152" s="3" t="n">
        <v>80</v>
      </c>
      <c r="I152" s="3" t="n">
        <f aca="false">_xlfn.IFS(G152="взв",11,G152="накл",24,G152="прокл",25,G152="пт",26,G152=90,10,G152=85,10,G152=80,9,G152=75,8,G152=70,8,G152=65,7,G152=60,7,G152=55,6,G152=50,6,G152=45,6,G152=40,5,G152=35,4,G152=30,4,G152=25,3,G152=20,2,G152=15,1,G152=10,1,G152=0,0)</f>
        <v>9</v>
      </c>
      <c r="J152" s="3" t="n">
        <f aca="false">IF(H152&lt;=1,0,IF(H152&lt;=10,11,IF(H152&lt;=14,12,IF(H152&lt;=17,13,IF(H152&lt;=20,14,IF(H152&lt;=22,15,IF(H152&lt;=25,16,IF(H152&lt;=27,17,IF(H152&lt;=29,18,IF(H152&lt;=32,19,IF(H152&lt;=34,20,IF(H152&lt;=36,21,IF(H152&lt;=40,22,24)))))))))))))</f>
        <v>0</v>
      </c>
      <c r="K152" s="3" t="s">
        <v>72</v>
      </c>
      <c r="M152" s="3" t="n">
        <f aca="false">_xlfn.IFS(K152="взв",11,K152="накл",24,K152="прокл",25,K152="пт",26,K152=90,10,K152=85,10,K152=80,9,K152=75,8,K152=70,8,K152=65,7,K152=60,7,K152=55,6,K152=50,6,K152=45,6,K152=40,5,K152=35,4,K152=30,4,K152=25,3,K152=20,2,K152=15,1,K152=10,1,K152=0,0)</f>
        <v>11</v>
      </c>
      <c r="N152" s="3" t="n">
        <f aca="false">IF(L152&lt;=1,0,IF(L152&lt;=10,11,IF(L152&lt;=14,12,IF(L152&lt;=17,13,IF(L152&lt;=20,14,IF(L152&lt;=22,15,IF(L152&lt;=25,16,IF(L152&lt;=27,17,IF(L152&lt;=29,18,IF(L152&lt;=32,19,IF(L152&lt;=34,20,IF(L152&lt;=36,21,IF(L152&lt;=40,22,24)))))))))))))</f>
        <v>0</v>
      </c>
      <c r="P152" s="3" t="n">
        <v>19</v>
      </c>
      <c r="Q152" s="3" t="n">
        <f aca="false">_xlfn.IFS(O152="взв",11,O152="накл",24,O152="прокл",25,O152="пт",26,O152=90,10,O152=85,10,O152=80,9,O152=75,8,O152=70,8,O152=65,7,O152=60,7,O152=55,6,O152=50,6,O152=45,6,O152=40,5,O152=35,4,O152=30,4,O152=25,3,O152=20,2,O152=15,1,O152=10,1,O152=0,0)</f>
        <v>0</v>
      </c>
      <c r="R152" s="3" t="n">
        <f aca="false">IF(P152&lt;=1,0,IF(P152&lt;=10,11,IF(P152&lt;=14,12,IF(P152&lt;=17,13,IF(P152&lt;=20,14,IF(P152&lt;=22,15,IF(P152&lt;=25,16,IF(P152&lt;=27,17,IF(P152&lt;=29,18,IF(P152&lt;=32,19,IF(P152&lt;=34,20,IF(P152&lt;=36,21,IF(P152&lt;=40,22,24)))))))))))))</f>
        <v>14</v>
      </c>
      <c r="S152" s="3" t="n">
        <f aca="false">ROUND((Q152+R152+I152+J152+M152+N152)/3,0)</f>
        <v>11</v>
      </c>
      <c r="T152" s="17" t="n">
        <f aca="false">F152*LOG10(S152+2)</f>
        <v>3.34183005692051</v>
      </c>
    </row>
    <row r="153" customFormat="false" ht="14.65" hidden="false" customHeight="true" outlineLevel="0" collapsed="false">
      <c r="A153" s="13" t="s">
        <v>208</v>
      </c>
      <c r="B153" s="2" t="n">
        <v>39996</v>
      </c>
      <c r="C153" s="15" t="s">
        <v>21</v>
      </c>
      <c r="D153" s="4" t="s">
        <v>34</v>
      </c>
      <c r="E153" s="3" t="n">
        <v>5</v>
      </c>
      <c r="F153" s="3" t="n">
        <v>3</v>
      </c>
      <c r="H153" s="3" t="n">
        <v>26</v>
      </c>
      <c r="I153" s="3" t="n">
        <f aca="false">_xlfn.IFS(G153="взв",11,G153="накл",24,G153="прокл",25,G153="пт",26,G153=90,10,G153=85,10,G153=80,9,G153=75,8,G153=70,8,G153=65,7,G153=60,7,G153=55,6,G153=50,6,G153=45,6,G153=40,5,G153=35,4,G153=30,4,G153=25,3,G153=20,2,G153=15,1,G153=10,1,G153=0,0)</f>
        <v>0</v>
      </c>
      <c r="J153" s="3" t="n">
        <f aca="false">IF(H153&lt;=1,0,IF(H153&lt;=10,11,IF(H153&lt;=14,12,IF(H153&lt;=17,13,IF(H153&lt;=20,14,IF(H153&lt;=22,15,IF(H153&lt;=25,16,IF(H153&lt;=27,17,IF(H153&lt;=29,18,IF(H153&lt;=32,19,IF(H153&lt;=34,20,IF(H153&lt;=36,21,IF(H153&lt;=40,22,24)))))))))))))</f>
        <v>17</v>
      </c>
      <c r="L153" s="3" t="n">
        <v>26</v>
      </c>
      <c r="M153" s="3" t="n">
        <f aca="false">_xlfn.IFS(K153="взв",11,K153="накл",24,K153="прокл",25,K153="пт",26,K153=90,10,K153=85,10,K153=80,9,K153=75,8,K153=70,8,K153=65,7,K153=60,7,K153=55,6,K153=50,6,K153=45,6,K153=40,5,K153=35,4,K153=30,4,K153=25,3,K153=20,2,K153=15,1,K153=10,1,K153=0,0)</f>
        <v>0</v>
      </c>
      <c r="N153" s="3" t="n">
        <f aca="false">IF(L153&lt;=1,0,IF(L153&lt;=10,11,IF(L153&lt;=14,12,IF(L153&lt;=17,13,IF(L153&lt;=20,14,IF(L153&lt;=22,15,IF(L153&lt;=25,16,IF(L153&lt;=27,17,IF(L153&lt;=29,18,IF(L153&lt;=32,19,IF(L153&lt;=34,20,IF(L153&lt;=36,21,IF(L153&lt;=40,22,24)))))))))))))</f>
        <v>17</v>
      </c>
      <c r="P153" s="3" t="n">
        <v>16</v>
      </c>
      <c r="Q153" s="3" t="n">
        <f aca="false">_xlfn.IFS(O153="взв",11,O153="накл",24,O153="прокл",25,O153="пт",26,O153=90,10,O153=85,10,O153=80,9,O153=75,8,O153=70,8,O153=65,7,O153=60,7,O153=55,6,O153=50,6,O153=45,6,O153=40,5,O153=35,4,O153=30,4,O153=25,3,O153=20,2,O153=15,1,O153=10,1,O153=0,0)</f>
        <v>0</v>
      </c>
      <c r="R153" s="3" t="n">
        <f aca="false">IF(P153&lt;=1,0,IF(P153&lt;=10,11,IF(P153&lt;=14,12,IF(P153&lt;=17,13,IF(P153&lt;=20,14,IF(P153&lt;=22,15,IF(P153&lt;=25,16,IF(P153&lt;=27,17,IF(P153&lt;=29,18,IF(P153&lt;=32,19,IF(P153&lt;=34,20,IF(P153&lt;=36,21,IF(P153&lt;=40,22,24)))))))))))))</f>
        <v>13</v>
      </c>
      <c r="S153" s="3" t="n">
        <f aca="false">ROUND((Q153+R153+I153+J153+M153+N153)/3,0)</f>
        <v>16</v>
      </c>
      <c r="T153" s="17" t="n">
        <f aca="false">F153*LOG10(S153+2)</f>
        <v>3.76581751530992</v>
      </c>
    </row>
    <row r="154" customFormat="false" ht="14.65" hidden="false" customHeight="true" outlineLevel="0" collapsed="false">
      <c r="A154" s="13" t="s">
        <v>209</v>
      </c>
      <c r="B154" s="2" t="n">
        <v>39996</v>
      </c>
      <c r="C154" s="15" t="s">
        <v>21</v>
      </c>
      <c r="D154" s="4" t="s">
        <v>34</v>
      </c>
      <c r="E154" s="3" t="n">
        <v>6</v>
      </c>
      <c r="F154" s="3" t="n">
        <v>3</v>
      </c>
      <c r="I154" s="3" t="n">
        <f aca="false">_xlfn.IFS(G154="взв",11,G154="накл",24,G154="прокл",25,G154="пт",26,G154=90,10,G154=85,10,G154=80,9,G154=75,8,G154=70,8,G154=65,7,G154=60,7,G154=55,6,G154=50,6,G154=45,6,G154=40,5,G154=35,4,G154=30,4,G154=25,3,G154=20,2,G154=15,1,G154=10,1,G154=0,0)</f>
        <v>0</v>
      </c>
      <c r="J154" s="3" t="n">
        <f aca="false">IF(H154&lt;=1,0,IF(H154&lt;=10,11,IF(H154&lt;=14,12,IF(H154&lt;=17,13,IF(H154&lt;=20,14,IF(H154&lt;=22,15,IF(H154&lt;=25,16,IF(H154&lt;=27,17,IF(H154&lt;=29,18,IF(H154&lt;=32,19,IF(H154&lt;=34,20,IF(H154&lt;=36,21,IF(H154&lt;=40,22,24)))))))))))))</f>
        <v>0</v>
      </c>
      <c r="K154" s="3" t="s">
        <v>43</v>
      </c>
      <c r="M154" s="3" t="n">
        <f aca="false">_xlfn.IFS(K154="взв",11,K154="накл",24,K154="прокл",25,K154="пт",26,K154=90,10,K154=85,10,K154=80,9,K154=75,8,K154=70,8,K154=65,7,K154=60,7,K154=55,6,K154=50,6,K154=45,6,K154=40,5,K154=35,4,K154=30,4,K154=25,3,K154=20,2,K154=15,1,K154=10,1,K154=0,0)</f>
        <v>24</v>
      </c>
      <c r="N154" s="3" t="n">
        <f aca="false">IF(L154&lt;=1,0,IF(L154&lt;=10,11,IF(L154&lt;=14,12,IF(L154&lt;=17,13,IF(L154&lt;=20,14,IF(L154&lt;=22,15,IF(L154&lt;=25,16,IF(L154&lt;=27,17,IF(L154&lt;=29,18,IF(L154&lt;=32,19,IF(L154&lt;=34,20,IF(L154&lt;=36,21,IF(L154&lt;=40,22,24)))))))))))))</f>
        <v>0</v>
      </c>
      <c r="Q154" s="3" t="n">
        <f aca="false">_xlfn.IFS(O154="взв",11,O154="накл",24,O154="прокл",25,O154="пт",26,O154=90,10,O154=85,10,O154=80,9,O154=75,8,O154=70,8,O154=65,7,O154=60,7,O154=55,6,O154=50,6,O154=45,6,O154=40,5,O154=35,4,O154=30,4,O154=25,3,O154=20,2,O154=15,1,O154=10,1,O154=0,0)</f>
        <v>0</v>
      </c>
      <c r="R154" s="3" t="n">
        <f aca="false">IF(P154&lt;=1,0,IF(P154&lt;=10,11,IF(P154&lt;=14,12,IF(P154&lt;=17,13,IF(P154&lt;=20,14,IF(P154&lt;=22,15,IF(P154&lt;=25,16,IF(P154&lt;=27,17,IF(P154&lt;=29,18,IF(P154&lt;=32,19,IF(P154&lt;=34,20,IF(P154&lt;=36,21,IF(P154&lt;=40,22,24)))))))))))))</f>
        <v>0</v>
      </c>
      <c r="S154" s="3" t="n">
        <v>24</v>
      </c>
      <c r="T154" s="17" t="n">
        <f aca="false">F154*LOG10(S154+2)</f>
        <v>4.24492004391245</v>
      </c>
    </row>
    <row r="155" customFormat="false" ht="14.65" hidden="false" customHeight="true" outlineLevel="0" collapsed="false">
      <c r="A155" s="13" t="s">
        <v>210</v>
      </c>
      <c r="B155" s="2" t="n">
        <v>40001</v>
      </c>
      <c r="C155" s="15" t="s">
        <v>39</v>
      </c>
      <c r="D155" s="4" t="s">
        <v>39</v>
      </c>
      <c r="E155" s="3" t="n">
        <v>5</v>
      </c>
      <c r="F155" s="3" t="n">
        <v>3</v>
      </c>
      <c r="H155" s="3" t="n">
        <v>36</v>
      </c>
      <c r="I155" s="3" t="n">
        <f aca="false">_xlfn.IFS(G155="взв",11,G155="накл",24,G155="прокл",25,G155="пт",26,G155=90,10,G155=85,10,G155=80,9,G155=75,8,G155=70,8,G155=65,7,G155=60,7,G155=55,6,G155=50,6,G155=45,6,G155=40,5,G155=35,4,G155=30,4,G155=25,3,G155=20,2,G155=15,1,G155=10,1,G155=0,0)</f>
        <v>0</v>
      </c>
      <c r="J155" s="3" t="n">
        <f aca="false">IF(H155&lt;=1,0,IF(H155&lt;=10,11,IF(H155&lt;=14,12,IF(H155&lt;=17,13,IF(H155&lt;=20,14,IF(H155&lt;=22,15,IF(H155&lt;=25,16,IF(H155&lt;=27,17,IF(H155&lt;=29,18,IF(H155&lt;=32,19,IF(H155&lt;=34,20,IF(H155&lt;=36,21,IF(H155&lt;=40,22,24)))))))))))))</f>
        <v>21</v>
      </c>
      <c r="K155" s="3" t="s">
        <v>43</v>
      </c>
      <c r="L155" s="0"/>
      <c r="M155" s="3" t="n">
        <f aca="false">_xlfn.IFS(K155="взв",11,K155="накл",24,K155="прокл",25,K155="пт",26,K155=90,10,K155=85,10,K155=80,9,K155=75,8,K155=70,8,K155=65,7,K155=60,7,K155=55,6,K155=50,6,K155=45,6,K155=40,5,K155=35,4,K155=30,4,K155=25,3,K155=20,2,K155=15,1,K155=10,1,K155=0,0)</f>
        <v>24</v>
      </c>
      <c r="N155" s="3" t="n">
        <f aca="false">IF(L155&lt;=1,0,IF(L155&lt;=10,11,IF(L155&lt;=14,12,IF(L155&lt;=17,13,IF(L155&lt;=20,14,IF(L155&lt;=22,15,IF(L155&lt;=25,16,IF(L155&lt;=27,17,IF(L155&lt;=29,18,IF(L155&lt;=32,19,IF(L155&lt;=34,20,IF(L155&lt;=36,21,IF(L155&lt;=40,22,24)))))))))))))</f>
        <v>0</v>
      </c>
      <c r="O155" s="3" t="s">
        <v>43</v>
      </c>
      <c r="P155" s="0"/>
      <c r="Q155" s="3" t="n">
        <f aca="false">_xlfn.IFS(O155="взв",11,O155="накл",24,O155="прокл",25,O155="пт",26,O155=90,10,O155=85,10,O155=80,9,O155=75,8,O155=70,8,O155=65,7,O155=60,7,O155=55,6,O155=50,6,O155=45,6,O155=40,5,O155=35,4,O155=30,4,O155=25,3,O155=20,2,O155=15,1,O155=10,1,O155=0,0)</f>
        <v>24</v>
      </c>
      <c r="R155" s="3" t="n">
        <f aca="false">IF(P155&lt;=1,0,IF(P155&lt;=10,11,IF(P155&lt;=14,12,IF(P155&lt;=17,13,IF(P155&lt;=20,14,IF(P155&lt;=22,15,IF(P155&lt;=25,16,IF(P155&lt;=27,17,IF(P155&lt;=29,18,IF(P155&lt;=32,19,IF(P155&lt;=34,20,IF(P155&lt;=36,21,IF(P155&lt;=40,22,24)))))))))))))</f>
        <v>0</v>
      </c>
      <c r="S155" s="3" t="n">
        <f aca="false">ROUND((Q155+R155+I155+J155+M155+N155)/3,0)</f>
        <v>23</v>
      </c>
      <c r="T155" s="17" t="n">
        <f aca="false">F155*LOG10(S155+2)</f>
        <v>4.19382002601611</v>
      </c>
    </row>
    <row r="156" customFormat="false" ht="14.65" hidden="false" customHeight="true" outlineLevel="0" collapsed="false">
      <c r="A156" s="13" t="s">
        <v>211</v>
      </c>
      <c r="B156" s="2" t="n">
        <v>40001</v>
      </c>
      <c r="C156" s="15" t="s">
        <v>39</v>
      </c>
      <c r="D156" s="4" t="s">
        <v>39</v>
      </c>
      <c r="E156" s="3" t="n">
        <v>4</v>
      </c>
      <c r="F156" s="3" t="n">
        <v>3</v>
      </c>
      <c r="H156" s="3" t="s">
        <v>81</v>
      </c>
      <c r="I156" s="3" t="n">
        <f aca="false">_xlfn.IFS(G156="взв",11,G156="накл",24,G156="прокл",25,G156="пт",26,G156=90,10,G156=85,10,G156=80,9,G156=75,8,G156=70,8,G156=65,7,G156=60,7,G156=55,6,G156=50,6,G156=45,6,G156=40,5,G156=35,4,G156=30,4,G156=25,3,G156=20,2,G156=15,1,G156=10,1,G156=0,0)</f>
        <v>0</v>
      </c>
      <c r="J156" s="3" t="n">
        <f aca="false">IF(H156&lt;=1,0,IF(H156&lt;=10,11,IF(H156&lt;=14,12,IF(H156&lt;=17,13,IF(H156&lt;=20,14,IF(H156&lt;=22,15,IF(H156&lt;=25,16,IF(H156&lt;=27,17,IF(H156&lt;=29,18,IF(H156&lt;=32,19,IF(H156&lt;=34,20,IF(H156&lt;=36,21,IF(H156&lt;=40,22,24)))))))))))))</f>
        <v>24</v>
      </c>
      <c r="K156" s="3" t="s">
        <v>43</v>
      </c>
      <c r="L156" s="0"/>
      <c r="M156" s="3" t="n">
        <f aca="false">_xlfn.IFS(K156="взв",11,K156="накл",24,K156="прокл",25,K156="пт",26,K156=90,10,K156=85,10,K156=80,9,K156=75,8,K156=70,8,K156=65,7,K156=60,7,K156=55,6,K156=50,6,K156=45,6,K156=40,5,K156=35,4,K156=30,4,K156=25,3,K156=20,2,K156=15,1,K156=10,1,K156=0,0)</f>
        <v>24</v>
      </c>
      <c r="N156" s="3" t="n">
        <f aca="false">IF(L156&lt;=1,0,IF(L156&lt;=10,11,IF(L156&lt;=14,12,IF(L156&lt;=17,13,IF(L156&lt;=20,14,IF(L156&lt;=22,15,IF(L156&lt;=25,16,IF(L156&lt;=27,17,IF(L156&lt;=29,18,IF(L156&lt;=32,19,IF(L156&lt;=34,20,IF(L156&lt;=36,21,IF(L156&lt;=40,22,24)))))))))))))</f>
        <v>0</v>
      </c>
      <c r="O156" s="3" t="s">
        <v>43</v>
      </c>
      <c r="P156" s="0"/>
      <c r="Q156" s="3" t="n">
        <f aca="false">_xlfn.IFS(O156="взв",11,O156="накл",24,O156="прокл",25,O156="пт",26,O156=90,10,O156=85,10,O156=80,9,O156=75,8,O156=70,8,O156=65,7,O156=60,7,O156=55,6,O156=50,6,O156=45,6,O156=40,5,O156=35,4,O156=30,4,O156=25,3,O156=20,2,O156=15,1,O156=10,1,O156=0,0)</f>
        <v>24</v>
      </c>
      <c r="R156" s="3" t="n">
        <f aca="false">IF(P156&lt;=1,0,IF(P156&lt;=10,11,IF(P156&lt;=14,12,IF(P156&lt;=17,13,IF(P156&lt;=20,14,IF(P156&lt;=22,15,IF(P156&lt;=25,16,IF(P156&lt;=27,17,IF(P156&lt;=29,18,IF(P156&lt;=32,19,IF(P156&lt;=34,20,IF(P156&lt;=36,21,IF(P156&lt;=40,22,24)))))))))))))</f>
        <v>0</v>
      </c>
      <c r="S156" s="3" t="n">
        <f aca="false">ROUND((Q156+R156+I156+J156+M156+N156)/3,0)</f>
        <v>24</v>
      </c>
      <c r="T156" s="17" t="n">
        <f aca="false">F156*LOG10(S156+2)</f>
        <v>4.24492004391245</v>
      </c>
    </row>
    <row r="157" customFormat="false" ht="14.65" hidden="false" customHeight="true" outlineLevel="0" collapsed="false">
      <c r="A157" s="13" t="s">
        <v>212</v>
      </c>
      <c r="B157" s="2" t="n">
        <v>40001</v>
      </c>
      <c r="C157" s="15" t="s">
        <v>39</v>
      </c>
      <c r="D157" s="4" t="s">
        <v>39</v>
      </c>
      <c r="E157" s="3" t="n">
        <v>7</v>
      </c>
      <c r="F157" s="3" t="n">
        <v>3</v>
      </c>
      <c r="G157" s="3" t="n">
        <v>90</v>
      </c>
      <c r="I157" s="3" t="n">
        <f aca="false">_xlfn.IFS(G157="взв",11,G157="накл",24,G157="прокл",25,G157="пт",26,G157=90,10,G157=85,10,G157=80,9,G157=75,8,G157=70,8,G157=65,7,G157=60,7,G157=55,6,G157=50,6,G157=45,6,G157=40,5,G157=35,4,G157=30,4,G157=25,3,G157=20,2,G157=15,1,G157=10,1,G157=0,0)</f>
        <v>10</v>
      </c>
      <c r="J157" s="3" t="n">
        <f aca="false">IF(H157&lt;=1,0,IF(H157&lt;=10,11,IF(H157&lt;=14,12,IF(H157&lt;=17,13,IF(H157&lt;=20,14,IF(H157&lt;=22,15,IF(H157&lt;=25,16,IF(H157&lt;=27,17,IF(H157&lt;=29,18,IF(H157&lt;=32,19,IF(H157&lt;=34,20,IF(H157&lt;=36,21,IF(H157&lt;=40,22,24)))))))))))))</f>
        <v>0</v>
      </c>
      <c r="K157" s="3" t="n">
        <v>75</v>
      </c>
      <c r="M157" s="3" t="n">
        <f aca="false">_xlfn.IFS(K157="взв",11,K157="накл",24,K157="прокл",25,K157="пт",26,K157=90,10,K157=85,10,K157=80,9,K157=75,8,K157=70,8,K157=65,7,K157=60,7,K157=55,6,K157=50,6,K157=45,6,K157=40,5,K157=35,4,K157=30,4,K157=25,3,K157=20,2,K157=15,1,K157=10,1,K157=0,0)</f>
        <v>8</v>
      </c>
      <c r="N157" s="3" t="n">
        <f aca="false">IF(L157&lt;=1,0,IF(L157&lt;=10,11,IF(L157&lt;=14,12,IF(L157&lt;=17,13,IF(L157&lt;=20,14,IF(L157&lt;=22,15,IF(L157&lt;=25,16,IF(L157&lt;=27,17,IF(L157&lt;=29,18,IF(L157&lt;=32,19,IF(L157&lt;=34,20,IF(L157&lt;=36,21,IF(L157&lt;=40,22,24)))))))))))))</f>
        <v>0</v>
      </c>
      <c r="O157" s="3" t="n">
        <v>75</v>
      </c>
      <c r="Q157" s="3" t="n">
        <f aca="false">_xlfn.IFS(O157="взв",11,O157="накл",24,O157="прокл",25,O157="пт",26,O157=90,10,O157=85,10,O157=80,9,O157=75,8,O157=70,8,O157=65,7,O157=60,7,O157=55,6,O157=50,6,O157=45,6,O157=40,5,O157=35,4,O157=30,4,O157=25,3,O157=20,2,O157=15,1,O157=10,1,O157=0,0)</f>
        <v>8</v>
      </c>
      <c r="R157" s="3" t="n">
        <f aca="false">IF(P157&lt;=1,0,IF(P157&lt;=10,11,IF(P157&lt;=14,12,IF(P157&lt;=17,13,IF(P157&lt;=20,14,IF(P157&lt;=22,15,IF(P157&lt;=25,16,IF(P157&lt;=27,17,IF(P157&lt;=29,18,IF(P157&lt;=32,19,IF(P157&lt;=34,20,IF(P157&lt;=36,21,IF(P157&lt;=40,22,24)))))))))))))</f>
        <v>0</v>
      </c>
      <c r="S157" s="3" t="n">
        <f aca="false">ROUND((Q157+R157+I157+J157+M157+N157)/3,0)</f>
        <v>9</v>
      </c>
      <c r="T157" s="17" t="n">
        <f aca="false">F157*LOG10(S157+2)</f>
        <v>3.12417805547468</v>
      </c>
    </row>
    <row r="158" customFormat="false" ht="14.65" hidden="false" customHeight="true" outlineLevel="0" collapsed="false">
      <c r="A158" s="13" t="s">
        <v>213</v>
      </c>
      <c r="B158" s="2" t="n">
        <v>40002</v>
      </c>
      <c r="C158" s="15" t="s">
        <v>39</v>
      </c>
      <c r="D158" s="4" t="s">
        <v>214</v>
      </c>
      <c r="E158" s="3" t="n">
        <v>5</v>
      </c>
      <c r="F158" s="3" t="n">
        <v>3</v>
      </c>
      <c r="G158" s="3" t="s">
        <v>81</v>
      </c>
      <c r="I158" s="3" t="n">
        <f aca="false">_xlfn.IFS(G158="взв",11,G158="накл",24,G158="прокл",25,G158="пт",26,G158=90,10,G158=85,10,G158=80,9,G158=75,8,G158=70,8,G158=65,7,G158=60,7,G158=55,6,G158=50,6,G158=45,6,G158=40,5,G158=35,4,G158=30,4,G158=25,3,G158=20,2,G158=15,1,G158=10,1,G158=0,0)</f>
        <v>25</v>
      </c>
      <c r="J158" s="3" t="n">
        <f aca="false">IF(H158&lt;=1,0,IF(H158&lt;=10,11,IF(H158&lt;=14,12,IF(H158&lt;=17,13,IF(H158&lt;=20,14,IF(H158&lt;=22,15,IF(H158&lt;=25,16,IF(H158&lt;=27,17,IF(H158&lt;=29,18,IF(H158&lt;=32,19,IF(H158&lt;=34,20,IF(H158&lt;=36,21,IF(H158&lt;=40,22,24)))))))))))))</f>
        <v>0</v>
      </c>
      <c r="K158" s="3" t="s">
        <v>43</v>
      </c>
      <c r="M158" s="3" t="n">
        <f aca="false">_xlfn.IFS(K158="взв",11,K158="накл",24,K158="прокл",25,K158="пт",26,K158=90,10,K158=85,10,K158=80,9,K158=75,8,K158=70,8,K158=65,7,K158=60,7,K158=55,6,K158=50,6,K158=45,6,K158=40,5,K158=35,4,K158=30,4,K158=25,3,K158=20,2,K158=15,1,K158=10,1,K158=0,0)</f>
        <v>24</v>
      </c>
      <c r="N158" s="3" t="n">
        <f aca="false">IF(L158&lt;=1,0,IF(L158&lt;=10,11,IF(L158&lt;=14,12,IF(L158&lt;=17,13,IF(L158&lt;=20,14,IF(L158&lt;=22,15,IF(L158&lt;=25,16,IF(L158&lt;=27,17,IF(L158&lt;=29,18,IF(L158&lt;=32,19,IF(L158&lt;=34,20,IF(L158&lt;=36,21,IF(L158&lt;=40,22,24)))))))))))))</f>
        <v>0</v>
      </c>
      <c r="O158" s="3" t="s">
        <v>43</v>
      </c>
      <c r="Q158" s="3" t="n">
        <f aca="false">_xlfn.IFS(O158="взв",11,O158="накл",24,O158="прокл",25,O158="пт",26,O158=90,10,O158=85,10,O158=80,9,O158=75,8,O158=70,8,O158=65,7,O158=60,7,O158=55,6,O158=50,6,O158=45,6,O158=40,5,O158=35,4,O158=30,4,O158=25,3,O158=20,2,O158=15,1,O158=10,1,O158=0,0)</f>
        <v>24</v>
      </c>
      <c r="R158" s="3" t="n">
        <f aca="false">IF(P158&lt;=1,0,IF(P158&lt;=10,11,IF(P158&lt;=14,12,IF(P158&lt;=17,13,IF(P158&lt;=20,14,IF(P158&lt;=22,15,IF(P158&lt;=25,16,IF(P158&lt;=27,17,IF(P158&lt;=29,18,IF(P158&lt;=32,19,IF(P158&lt;=34,20,IF(P158&lt;=36,21,IF(P158&lt;=40,22,24)))))))))))))</f>
        <v>0</v>
      </c>
      <c r="S158" s="3" t="n">
        <f aca="false">ROUND((Q158+R158+I158+J158+M158+N158)/3,0)</f>
        <v>24</v>
      </c>
      <c r="T158" s="17" t="n">
        <f aca="false">F158*LOG10(S158+2)</f>
        <v>4.24492004391245</v>
      </c>
    </row>
    <row r="159" customFormat="false" ht="14.65" hidden="false" customHeight="true" outlineLevel="0" collapsed="false">
      <c r="A159" s="13" t="s">
        <v>215</v>
      </c>
      <c r="B159" s="2" t="n">
        <v>40003</v>
      </c>
      <c r="C159" s="15" t="s">
        <v>39</v>
      </c>
      <c r="D159" s="4" t="s">
        <v>216</v>
      </c>
      <c r="E159" s="3" t="n">
        <v>7</v>
      </c>
      <c r="F159" s="3" t="n">
        <v>3</v>
      </c>
      <c r="H159" s="3" t="n">
        <v>27</v>
      </c>
      <c r="I159" s="3" t="n">
        <f aca="false">_xlfn.IFS(G159="взв",11,G159="накл",24,G159="прокл",25,G159="пт",26,G159=90,10,G159=85,10,G159=80,9,G159=75,8,G159=70,8,G159=65,7,G159=60,7,G159=55,6,G159=50,6,G159=45,6,G159=40,5,G159=35,4,G159=30,4,G159=25,3,G159=20,2,G159=15,1,G159=10,1,G159=0,0)</f>
        <v>0</v>
      </c>
      <c r="J159" s="3" t="n">
        <f aca="false">IF(H159&lt;=1,0,IF(H159&lt;=10,11,IF(H159&lt;=14,12,IF(H159&lt;=17,13,IF(H159&lt;=20,14,IF(H159&lt;=22,15,IF(H159&lt;=25,16,IF(H159&lt;=27,17,IF(H159&lt;=29,18,IF(H159&lt;=32,19,IF(H159&lt;=34,20,IF(H159&lt;=36,21,IF(H159&lt;=40,22,24)))))))))))))</f>
        <v>17</v>
      </c>
      <c r="L159" s="3" t="n">
        <v>27</v>
      </c>
      <c r="M159" s="3" t="n">
        <f aca="false">_xlfn.IFS(K159="взв",11,K159="накл",24,K159="прокл",25,K159="пт",26,K159=90,10,K159=85,10,K159=80,9,K159=75,8,K159=70,8,K159=65,7,K159=60,7,K159=55,6,K159=50,6,K159=45,6,K159=40,5,K159=35,4,K159=30,4,K159=25,3,K159=20,2,K159=15,1,K159=10,1,K159=0,0)</f>
        <v>0</v>
      </c>
      <c r="N159" s="3" t="n">
        <f aca="false">IF(L159&lt;=1,0,IF(L159&lt;=10,11,IF(L159&lt;=14,12,IF(L159&lt;=17,13,IF(L159&lt;=20,14,IF(L159&lt;=22,15,IF(L159&lt;=25,16,IF(L159&lt;=27,17,IF(L159&lt;=29,18,IF(L159&lt;=32,19,IF(L159&lt;=34,20,IF(L159&lt;=36,21,IF(L159&lt;=40,22,24)))))))))))))</f>
        <v>17</v>
      </c>
      <c r="P159" s="3" t="n">
        <v>31</v>
      </c>
      <c r="Q159" s="3" t="n">
        <f aca="false">_xlfn.IFS(O159="взв",11,O159="накл",24,O159="прокл",25,O159="пт",26,O159=90,10,O159=85,10,O159=80,9,O159=75,8,O159=70,8,O159=65,7,O159=60,7,O159=55,6,O159=50,6,O159=45,6,O159=40,5,O159=35,4,O159=30,4,O159=25,3,O159=20,2,O159=15,1,O159=10,1,O159=0,0)</f>
        <v>0</v>
      </c>
      <c r="R159" s="3" t="n">
        <f aca="false">IF(P159&lt;=1,0,IF(P159&lt;=10,11,IF(P159&lt;=14,12,IF(P159&lt;=17,13,IF(P159&lt;=20,14,IF(P159&lt;=22,15,IF(P159&lt;=25,16,IF(P159&lt;=27,17,IF(P159&lt;=29,18,IF(P159&lt;=32,19,IF(P159&lt;=34,20,IF(P159&lt;=36,21,IF(P159&lt;=40,22,24)))))))))))))</f>
        <v>19</v>
      </c>
      <c r="S159" s="3" t="n">
        <f aca="false">ROUND((Q159+R159+I159+J159+M159+N159)/3,0)</f>
        <v>18</v>
      </c>
      <c r="T159" s="17" t="n">
        <f aca="false">F159*LOG10(S159+2)</f>
        <v>3.90308998699194</v>
      </c>
    </row>
    <row r="160" customFormat="false" ht="14.65" hidden="false" customHeight="true" outlineLevel="0" collapsed="false">
      <c r="A160" s="13" t="s">
        <v>217</v>
      </c>
      <c r="B160" s="14" t="n">
        <v>39976</v>
      </c>
      <c r="C160" s="15" t="s">
        <v>21</v>
      </c>
      <c r="D160" s="16" t="s">
        <v>92</v>
      </c>
      <c r="E160" s="15" t="n">
        <v>5</v>
      </c>
      <c r="F160" s="15" t="n">
        <v>4</v>
      </c>
      <c r="G160" s="15"/>
      <c r="H160" s="15" t="n">
        <v>28</v>
      </c>
      <c r="I160" s="3" t="n">
        <f aca="false">_xlfn.IFS(G160="взв",11,G160="накл",24,G160="прокл",25,G160="пт",26,G160=90,10,G160=85,10,G160=80,9,G160=75,8,G160=70,8,G160=65,7,G160=60,7,G160=55,6,G160=50,6,G160=45,6,G160=40,5,G160=35,4,G160=30,4,G160=25,3,G160=20,2,G160=15,1,G160=10,1,G160=0,0)</f>
        <v>0</v>
      </c>
      <c r="J160" s="3" t="n">
        <f aca="false">IF(H160&lt;=1,0,IF(H160&lt;=10,11,IF(H160&lt;=14,12,IF(H160&lt;=17,13,IF(H160&lt;=20,14,IF(H160&lt;=22,15,IF(H160&lt;=25,16,IF(H160&lt;=27,17,IF(H160&lt;=29,18,IF(H160&lt;=32,19,IF(H160&lt;=34,20,IF(H160&lt;=36,21,IF(H160&lt;=40,22,24)))))))))))))</f>
        <v>18</v>
      </c>
      <c r="K160" s="15"/>
      <c r="L160" s="15" t="n">
        <v>34</v>
      </c>
      <c r="M160" s="3" t="n">
        <f aca="false">_xlfn.IFS(K160="взв",11,K160="накл",24,K160="прокл",25,K160="пт",26,K160=90,10,K160=85,10,K160=80,9,K160=75,8,K160=70,8,K160=65,7,K160=60,7,K160=55,6,K160=50,6,K160=45,6,K160=40,5,K160=35,4,K160=30,4,K160=25,3,K160=20,2,K160=15,1,K160=10,1,K160=0,0)</f>
        <v>0</v>
      </c>
      <c r="N160" s="3" t="n">
        <f aca="false">IF(L160&lt;=1,0,IF(L160&lt;=10,11,IF(L160&lt;=14,12,IF(L160&lt;=17,13,IF(L160&lt;=20,14,IF(L160&lt;=22,15,IF(L160&lt;=25,16,IF(L160&lt;=27,17,IF(L160&lt;=29,18,IF(L160&lt;=32,19,IF(L160&lt;=34,20,IF(L160&lt;=36,21,IF(L160&lt;=40,22,24)))))))))))))</f>
        <v>20</v>
      </c>
      <c r="O160" s="15"/>
      <c r="P160" s="15" t="n">
        <v>34</v>
      </c>
      <c r="Q160" s="3" t="n">
        <f aca="false">_xlfn.IFS(O160="взв",11,O160="накл",24,O160="прокл",25,O160="пт",26,O160=90,10,O160=85,10,O160=80,9,O160=75,8,O160=70,8,O160=65,7,O160=60,7,O160=55,6,O160=50,6,O160=45,6,O160=40,5,O160=35,4,O160=30,4,O160=25,3,O160=20,2,O160=15,1,O160=10,1,O160=0,0)</f>
        <v>0</v>
      </c>
      <c r="R160" s="3" t="n">
        <f aca="false">IF(P160&lt;=1,0,IF(P160&lt;=10,11,IF(P160&lt;=14,12,IF(P160&lt;=17,13,IF(P160&lt;=20,14,IF(P160&lt;=22,15,IF(P160&lt;=25,16,IF(P160&lt;=27,17,IF(P160&lt;=29,18,IF(P160&lt;=32,19,IF(P160&lt;=34,20,IF(P160&lt;=36,21,IF(P160&lt;=40,22,24)))))))))))))</f>
        <v>20</v>
      </c>
      <c r="S160" s="3" t="n">
        <f aca="false">ROUND((Q160+R160+I160+J160+M160+N160)/3,0)</f>
        <v>19</v>
      </c>
      <c r="T160" s="17" t="n">
        <f aca="false">F160*LOG10(S160+2)</f>
        <v>5.28887717893568</v>
      </c>
    </row>
    <row r="161" customFormat="false" ht="14.65" hidden="false" customHeight="true" outlineLevel="0" collapsed="false">
      <c r="A161" s="13" t="s">
        <v>218</v>
      </c>
      <c r="B161" s="14" t="n">
        <v>39976</v>
      </c>
      <c r="C161" s="15" t="s">
        <v>21</v>
      </c>
      <c r="D161" s="16" t="s">
        <v>92</v>
      </c>
      <c r="E161" s="15" t="n">
        <v>5</v>
      </c>
      <c r="F161" s="15" t="n">
        <v>4</v>
      </c>
      <c r="G161" s="15"/>
      <c r="H161" s="15" t="n">
        <v>36</v>
      </c>
      <c r="I161" s="3" t="n">
        <f aca="false">_xlfn.IFS(G161="взв",11,G161="накл",24,G161="прокл",25,G161="пт",26,G161=90,10,G161=85,10,G161=80,9,G161=75,8,G161=70,8,G161=65,7,G161=60,7,G161=55,6,G161=50,6,G161=45,6,G161=40,5,G161=35,4,G161=30,4,G161=25,3,G161=20,2,G161=15,1,G161=10,1,G161=0,0)</f>
        <v>0</v>
      </c>
      <c r="J161" s="3" t="n">
        <f aca="false">IF(H161&lt;=1,0,IF(H161&lt;=10,11,IF(H161&lt;=14,12,IF(H161&lt;=17,13,IF(H161&lt;=20,14,IF(H161&lt;=22,15,IF(H161&lt;=25,16,IF(H161&lt;=27,17,IF(H161&lt;=29,18,IF(H161&lt;=32,19,IF(H161&lt;=34,20,IF(H161&lt;=36,21,IF(H161&lt;=40,22,24)))))))))))))</f>
        <v>21</v>
      </c>
      <c r="K161" s="15"/>
      <c r="L161" s="15" t="n">
        <v>35</v>
      </c>
      <c r="M161" s="3" t="n">
        <f aca="false">_xlfn.IFS(K161="взв",11,K161="накл",24,K161="прокл",25,K161="пт",26,K161=90,10,K161=85,10,K161=80,9,K161=75,8,K161=70,8,K161=65,7,K161=60,7,K161=55,6,K161=50,6,K161=45,6,K161=40,5,K161=35,4,K161=30,4,K161=25,3,K161=20,2,K161=15,1,K161=10,1,K161=0,0)</f>
        <v>0</v>
      </c>
      <c r="N161" s="3" t="n">
        <f aca="false">IF(L161&lt;=1,0,IF(L161&lt;=10,11,IF(L161&lt;=14,12,IF(L161&lt;=17,13,IF(L161&lt;=20,14,IF(L161&lt;=22,15,IF(L161&lt;=25,16,IF(L161&lt;=27,17,IF(L161&lt;=29,18,IF(L161&lt;=32,19,IF(L161&lt;=34,20,IF(L161&lt;=36,21,IF(L161&lt;=40,22,24)))))))))))))</f>
        <v>21</v>
      </c>
      <c r="O161" s="15"/>
      <c r="P161" s="15" t="n">
        <v>36</v>
      </c>
      <c r="Q161" s="3" t="n">
        <f aca="false">_xlfn.IFS(O161="взв",11,O161="накл",24,O161="прокл",25,O161="пт",26,O161=90,10,O161=85,10,O161=80,9,O161=75,8,O161=70,8,O161=65,7,O161=60,7,O161=55,6,O161=50,6,O161=45,6,O161=40,5,O161=35,4,O161=30,4,O161=25,3,O161=20,2,O161=15,1,O161=10,1,O161=0,0)</f>
        <v>0</v>
      </c>
      <c r="R161" s="3" t="n">
        <f aca="false">IF(P161&lt;=1,0,IF(P161&lt;=10,11,IF(P161&lt;=14,12,IF(P161&lt;=17,13,IF(P161&lt;=20,14,IF(P161&lt;=22,15,IF(P161&lt;=25,16,IF(P161&lt;=27,17,IF(P161&lt;=29,18,IF(P161&lt;=32,19,IF(P161&lt;=34,20,IF(P161&lt;=36,21,IF(P161&lt;=40,22,24)))))))))))))</f>
        <v>21</v>
      </c>
      <c r="S161" s="3" t="n">
        <f aca="false">ROUND((Q161+R161+I161+J161+M161+N161)/3,0)</f>
        <v>21</v>
      </c>
      <c r="T161" s="17" t="n">
        <f aca="false">F161*LOG10(S161+2)</f>
        <v>5.44691134407037</v>
      </c>
    </row>
    <row r="162" customFormat="false" ht="14.65" hidden="false" customHeight="true" outlineLevel="0" collapsed="false">
      <c r="A162" s="13" t="s">
        <v>219</v>
      </c>
      <c r="B162" s="14" t="n">
        <v>39976</v>
      </c>
      <c r="C162" s="15" t="s">
        <v>21</v>
      </c>
      <c r="D162" s="16" t="s">
        <v>92</v>
      </c>
      <c r="E162" s="3" t="n">
        <v>5</v>
      </c>
      <c r="F162" s="3" t="n">
        <v>4</v>
      </c>
      <c r="H162" s="3" t="n">
        <v>34</v>
      </c>
      <c r="I162" s="3" t="n">
        <f aca="false">_xlfn.IFS(G162="взв",11,G162="накл",24,G162="прокл",25,G162="пт",26,G162=90,10,G162=85,10,G162=80,9,G162=75,8,G162=70,8,G162=65,7,G162=60,7,G162=55,6,G162=50,6,G162=45,6,G162=40,5,G162=35,4,G162=30,4,G162=25,3,G162=20,2,G162=15,1,G162=10,1,G162=0,0)</f>
        <v>0</v>
      </c>
      <c r="J162" s="3" t="n">
        <f aca="false">IF(H162&lt;=1,0,IF(H162&lt;=10,11,IF(H162&lt;=14,12,IF(H162&lt;=17,13,IF(H162&lt;=20,14,IF(H162&lt;=22,15,IF(H162&lt;=25,16,IF(H162&lt;=27,17,IF(H162&lt;=29,18,IF(H162&lt;=32,19,IF(H162&lt;=34,20,IF(H162&lt;=36,21,IF(H162&lt;=40,22,24)))))))))))))</f>
        <v>20</v>
      </c>
      <c r="L162" s="3" t="n">
        <v>34</v>
      </c>
      <c r="M162" s="3" t="n">
        <f aca="false">_xlfn.IFS(K162="взв",11,K162="накл",24,K162="прокл",25,K162="пт",26,K162=90,10,K162=85,10,K162=80,9,K162=75,8,K162=70,8,K162=65,7,K162=60,7,K162=55,6,K162=50,6,K162=45,6,K162=40,5,K162=35,4,K162=30,4,K162=25,3,K162=20,2,K162=15,1,K162=10,1,K162=0,0)</f>
        <v>0</v>
      </c>
      <c r="N162" s="3" t="n">
        <f aca="false">IF(L162&lt;=1,0,IF(L162&lt;=10,11,IF(L162&lt;=14,12,IF(L162&lt;=17,13,IF(L162&lt;=20,14,IF(L162&lt;=22,15,IF(L162&lt;=25,16,IF(L162&lt;=27,17,IF(L162&lt;=29,18,IF(L162&lt;=32,19,IF(L162&lt;=34,20,IF(L162&lt;=36,21,IF(L162&lt;=40,22,24)))))))))))))</f>
        <v>20</v>
      </c>
      <c r="P162" s="3" t="n">
        <v>35</v>
      </c>
      <c r="Q162" s="3" t="n">
        <f aca="false">_xlfn.IFS(O162="взв",11,O162="накл",24,O162="прокл",25,O162="пт",26,O162=90,10,O162=85,10,O162=80,9,O162=75,8,O162=70,8,O162=65,7,O162=60,7,O162=55,6,O162=50,6,O162=45,6,O162=40,5,O162=35,4,O162=30,4,O162=25,3,O162=20,2,O162=15,1,O162=10,1,O162=0,0)</f>
        <v>0</v>
      </c>
      <c r="R162" s="3" t="n">
        <f aca="false">IF(P162&lt;=1,0,IF(P162&lt;=10,11,IF(P162&lt;=14,12,IF(P162&lt;=17,13,IF(P162&lt;=20,14,IF(P162&lt;=22,15,IF(P162&lt;=25,16,IF(P162&lt;=27,17,IF(P162&lt;=29,18,IF(P162&lt;=32,19,IF(P162&lt;=34,20,IF(P162&lt;=36,21,IF(P162&lt;=40,22,24)))))))))))))</f>
        <v>21</v>
      </c>
      <c r="S162" s="3" t="n">
        <f aca="false">ROUND((Q162+R162+I162+J162+M162+N162)/3,0)</f>
        <v>20</v>
      </c>
      <c r="T162" s="17" t="n">
        <f aca="false">F162*LOG10(S162+2)</f>
        <v>5.36969072328883</v>
      </c>
    </row>
    <row r="163" customFormat="false" ht="14.65" hidden="false" customHeight="true" outlineLevel="0" collapsed="false">
      <c r="A163" s="13" t="s">
        <v>220</v>
      </c>
      <c r="B163" s="14" t="n">
        <v>39977</v>
      </c>
      <c r="C163" s="15" t="s">
        <v>21</v>
      </c>
      <c r="D163" s="16" t="s">
        <v>42</v>
      </c>
      <c r="E163" s="3" t="n">
        <v>6</v>
      </c>
      <c r="F163" s="3" t="n">
        <v>4</v>
      </c>
      <c r="G163" s="3" t="n">
        <v>30</v>
      </c>
      <c r="I163" s="3" t="n">
        <f aca="false">_xlfn.IFS(G163="взв",11,G163="накл",24,G163="прокл",25,G163="пт",26,G163=90,10,G163=85,10,G163=80,9,G163=75,8,G163=70,8,G163=65,7,G163=60,7,G163=55,6,G163=50,6,G163=45,6,G163=40,5,G163=35,4,G163=30,4,G163=25,3,G163=20,2,G163=15,1,G163=10,1,G163=0,0)</f>
        <v>4</v>
      </c>
      <c r="J163" s="3" t="n">
        <f aca="false">IF(H163&lt;=1,0,IF(H163&lt;=10,11,IF(H163&lt;=14,12,IF(H163&lt;=17,13,IF(H163&lt;=20,14,IF(H163&lt;=22,15,IF(H163&lt;=25,16,IF(H163&lt;=27,17,IF(H163&lt;=29,18,IF(H163&lt;=32,19,IF(H163&lt;=34,20,IF(H163&lt;=36,21,IF(H163&lt;=40,22,24)))))))))))))</f>
        <v>0</v>
      </c>
      <c r="K163" s="3" t="n">
        <v>30</v>
      </c>
      <c r="M163" s="3" t="n">
        <f aca="false">_xlfn.IFS(K163="взв",11,K163="накл",24,K163="прокл",25,K163="пт",26,K163=90,10,K163=85,10,K163=80,9,K163=75,8,K163=70,8,K163=65,7,K163=60,7,K163=55,6,K163=50,6,K163=45,6,K163=40,5,K163=35,4,K163=30,4,K163=25,3,K163=20,2,K163=15,1,K163=10,1,K163=0,0)</f>
        <v>4</v>
      </c>
      <c r="N163" s="3" t="n">
        <f aca="false">IF(L163&lt;=1,0,IF(L163&lt;=10,11,IF(L163&lt;=14,12,IF(L163&lt;=17,13,IF(L163&lt;=20,14,IF(L163&lt;=22,15,IF(L163&lt;=25,16,IF(L163&lt;=27,17,IF(L163&lt;=29,18,IF(L163&lt;=32,19,IF(L163&lt;=34,20,IF(L163&lt;=36,21,IF(L163&lt;=40,22,24)))))))))))))</f>
        <v>0</v>
      </c>
      <c r="O163" s="3" t="n">
        <v>30</v>
      </c>
      <c r="Q163" s="3" t="n">
        <f aca="false">_xlfn.IFS(O163="взв",11,O163="накл",24,O163="прокл",25,O163="пт",26,O163=90,10,O163=85,10,O163=80,9,O163=75,8,O163=70,8,O163=65,7,O163=60,7,O163=55,6,O163=50,6,O163=45,6,O163=40,5,O163=35,4,O163=30,4,O163=25,3,O163=20,2,O163=15,1,O163=10,1,O163=0,0)</f>
        <v>4</v>
      </c>
      <c r="R163" s="3" t="n">
        <f aca="false">IF(P163&lt;=1,0,IF(P163&lt;=10,11,IF(P163&lt;=14,12,IF(P163&lt;=17,13,IF(P163&lt;=20,14,IF(P163&lt;=22,15,IF(P163&lt;=25,16,IF(P163&lt;=27,17,IF(P163&lt;=29,18,IF(P163&lt;=32,19,IF(P163&lt;=34,20,IF(P163&lt;=36,21,IF(P163&lt;=40,22,24)))))))))))))</f>
        <v>0</v>
      </c>
      <c r="S163" s="3" t="n">
        <f aca="false">ROUND((Q163+R163+I163+J163+M163+N163)/3,0)</f>
        <v>4</v>
      </c>
      <c r="T163" s="17" t="n">
        <f aca="false">F163*LOG10(S163+2)</f>
        <v>3.11260500153457</v>
      </c>
    </row>
    <row r="164" customFormat="false" ht="14.65" hidden="false" customHeight="true" outlineLevel="0" collapsed="false">
      <c r="A164" s="13" t="s">
        <v>221</v>
      </c>
      <c r="B164" s="14" t="n">
        <v>39977</v>
      </c>
      <c r="C164" s="15" t="s">
        <v>21</v>
      </c>
      <c r="D164" s="16" t="s">
        <v>42</v>
      </c>
      <c r="E164" s="3" t="n">
        <v>7</v>
      </c>
      <c r="F164" s="3" t="n">
        <v>4</v>
      </c>
      <c r="H164" s="3" t="n">
        <v>30</v>
      </c>
      <c r="I164" s="3" t="n">
        <f aca="false">_xlfn.IFS(G164="взв",11,G164="накл",24,G164="прокл",25,G164="пт",26,G164=90,10,G164=85,10,G164=80,9,G164=75,8,G164=70,8,G164=65,7,G164=60,7,G164=55,6,G164=50,6,G164=45,6,G164=40,5,G164=35,4,G164=30,4,G164=25,3,G164=20,2,G164=15,1,G164=10,1,G164=0,0)</f>
        <v>0</v>
      </c>
      <c r="J164" s="3" t="n">
        <f aca="false">IF(H164&lt;=1,0,IF(H164&lt;=10,11,IF(H164&lt;=14,12,IF(H164&lt;=17,13,IF(H164&lt;=20,14,IF(H164&lt;=22,15,IF(H164&lt;=25,16,IF(H164&lt;=27,17,IF(H164&lt;=29,18,IF(H164&lt;=32,19,IF(H164&lt;=34,20,IF(H164&lt;=36,21,IF(H164&lt;=40,22,24)))))))))))))</f>
        <v>19</v>
      </c>
      <c r="L164" s="3" t="n">
        <v>31</v>
      </c>
      <c r="M164" s="3" t="n">
        <f aca="false">_xlfn.IFS(K164="взв",11,K164="накл",24,K164="прокл",25,K164="пт",26,K164=90,10,K164=85,10,K164=80,9,K164=75,8,K164=70,8,K164=65,7,K164=60,7,K164=55,6,K164=50,6,K164=45,6,K164=40,5,K164=35,4,K164=30,4,K164=25,3,K164=20,2,K164=15,1,K164=10,1,K164=0,0)</f>
        <v>0</v>
      </c>
      <c r="N164" s="3" t="n">
        <f aca="false">IF(L164&lt;=1,0,IF(L164&lt;=10,11,IF(L164&lt;=14,12,IF(L164&lt;=17,13,IF(L164&lt;=20,14,IF(L164&lt;=22,15,IF(L164&lt;=25,16,IF(L164&lt;=27,17,IF(L164&lt;=29,18,IF(L164&lt;=32,19,IF(L164&lt;=34,20,IF(L164&lt;=36,21,IF(L164&lt;=40,22,24)))))))))))))</f>
        <v>19</v>
      </c>
      <c r="P164" s="3" t="n">
        <v>38</v>
      </c>
      <c r="Q164" s="3" t="n">
        <f aca="false">_xlfn.IFS(O164="взв",11,O164="накл",24,O164="прокл",25,O164="пт",26,O164=90,10,O164=85,10,O164=80,9,O164=75,8,O164=70,8,O164=65,7,O164=60,7,O164=55,6,O164=50,6,O164=45,6,O164=40,5,O164=35,4,O164=30,4,O164=25,3,O164=20,2,O164=15,1,O164=10,1,O164=0,0)</f>
        <v>0</v>
      </c>
      <c r="R164" s="3" t="n">
        <f aca="false">IF(P164&lt;=1,0,IF(P164&lt;=10,11,IF(P164&lt;=14,12,IF(P164&lt;=17,13,IF(P164&lt;=20,14,IF(P164&lt;=22,15,IF(P164&lt;=25,16,IF(P164&lt;=27,17,IF(P164&lt;=29,18,IF(P164&lt;=32,19,IF(P164&lt;=34,20,IF(P164&lt;=36,21,IF(P164&lt;=40,22,24)))))))))))))</f>
        <v>22</v>
      </c>
      <c r="S164" s="3" t="n">
        <f aca="false">ROUND((Q164+R164+I164+J164+M164+N164)/3,0)</f>
        <v>20</v>
      </c>
      <c r="T164" s="17" t="n">
        <f aca="false">F164*LOG10(S164+2)</f>
        <v>5.36969072328883</v>
      </c>
    </row>
    <row r="165" customFormat="false" ht="14.65" hidden="false" customHeight="true" outlineLevel="0" collapsed="false">
      <c r="A165" s="13" t="s">
        <v>222</v>
      </c>
      <c r="B165" s="14" t="n">
        <v>39977</v>
      </c>
      <c r="C165" s="15" t="s">
        <v>21</v>
      </c>
      <c r="D165" s="16" t="s">
        <v>42</v>
      </c>
      <c r="E165" s="3" t="n">
        <v>5</v>
      </c>
      <c r="F165" s="3" t="n">
        <v>4</v>
      </c>
      <c r="G165" s="3" t="n">
        <v>90</v>
      </c>
      <c r="I165" s="3" t="n">
        <f aca="false">_xlfn.IFS(G165="взв",11,G165="накл",24,G165="прокл",25,G165="пт",26,G165=90,10,G165=85,10,G165=80,9,G165=75,8,G165=70,8,G165=65,7,G165=60,7,G165=55,6,G165=50,6,G165=45,6,G165=40,5,G165=35,4,G165=30,4,G165=25,3,G165=20,2,G165=15,1,G165=10,1,G165=0,0)</f>
        <v>10</v>
      </c>
      <c r="J165" s="3" t="n">
        <f aca="false">IF(H165&lt;=1,0,IF(H165&lt;=10,11,IF(H165&lt;=14,12,IF(H165&lt;=17,13,IF(H165&lt;=20,14,IF(H165&lt;=22,15,IF(H165&lt;=25,16,IF(H165&lt;=27,17,IF(H165&lt;=29,18,IF(H165&lt;=32,19,IF(H165&lt;=34,20,IF(H165&lt;=36,21,IF(H165&lt;=40,22,24)))))))))))))</f>
        <v>0</v>
      </c>
      <c r="K165" s="3" t="n">
        <v>90</v>
      </c>
      <c r="M165" s="3" t="n">
        <f aca="false">_xlfn.IFS(K165="взв",11,K165="накл",24,K165="прокл",25,K165="пт",26,K165=90,10,K165=85,10,K165=80,9,K165=75,8,K165=70,8,K165=65,7,K165=60,7,K165=55,6,K165=50,6,K165=45,6,K165=40,5,K165=35,4,K165=30,4,K165=25,3,K165=20,2,K165=15,1,K165=10,1,K165=0,0)</f>
        <v>10</v>
      </c>
      <c r="N165" s="3" t="n">
        <f aca="false">IF(L165&lt;=1,0,IF(L165&lt;=10,11,IF(L165&lt;=14,12,IF(L165&lt;=17,13,IF(L165&lt;=20,14,IF(L165&lt;=22,15,IF(L165&lt;=25,16,IF(L165&lt;=27,17,IF(L165&lt;=29,18,IF(L165&lt;=32,19,IF(L165&lt;=34,20,IF(L165&lt;=36,21,IF(L165&lt;=40,22,24)))))))))))))</f>
        <v>0</v>
      </c>
      <c r="P165" s="3" t="n">
        <v>10</v>
      </c>
      <c r="Q165" s="3" t="n">
        <f aca="false">_xlfn.IFS(O165="взв",11,O165="накл",24,O165="прокл",25,O165="пт",26,O165=90,10,O165=85,10,O165=80,9,O165=75,8,O165=70,8,O165=65,7,O165=60,7,O165=55,6,O165=50,6,O165=45,6,O165=40,5,O165=35,4,O165=30,4,O165=25,3,O165=20,2,O165=15,1,O165=10,1,O165=0,0)</f>
        <v>0</v>
      </c>
      <c r="R165" s="3" t="n">
        <f aca="false">IF(P165&lt;=1,0,IF(P165&lt;=10,11,IF(P165&lt;=14,12,IF(P165&lt;=17,13,IF(P165&lt;=20,14,IF(P165&lt;=22,15,IF(P165&lt;=25,16,IF(P165&lt;=27,17,IF(P165&lt;=29,18,IF(P165&lt;=32,19,IF(P165&lt;=34,20,IF(P165&lt;=36,21,IF(P165&lt;=40,22,24)))))))))))))</f>
        <v>11</v>
      </c>
      <c r="S165" s="3" t="n">
        <f aca="false">ROUND((Q165+R165+I165+J165+M165+N165)/3,0)</f>
        <v>10</v>
      </c>
      <c r="T165" s="17" t="n">
        <f aca="false">F165*LOG10(S165+2)</f>
        <v>4.3167249841905</v>
      </c>
    </row>
    <row r="166" customFormat="false" ht="14.65" hidden="false" customHeight="true" outlineLevel="0" collapsed="false">
      <c r="A166" s="13" t="s">
        <v>223</v>
      </c>
      <c r="B166" s="14" t="n">
        <v>39977</v>
      </c>
      <c r="C166" s="15" t="s">
        <v>21</v>
      </c>
      <c r="D166" s="16" t="s">
        <v>42</v>
      </c>
      <c r="E166" s="3" t="n">
        <v>6</v>
      </c>
      <c r="F166" s="3" t="n">
        <v>4</v>
      </c>
      <c r="H166" s="3" t="n">
        <v>32</v>
      </c>
      <c r="I166" s="3" t="n">
        <f aca="false">_xlfn.IFS(G166="взв",11,G166="накл",24,G166="прокл",25,G166="пт",26,G166=90,10,G166=85,10,G166=80,9,G166=75,8,G166=70,8,G166=65,7,G166=60,7,G166=55,6,G166=50,6,G166=45,6,G166=40,5,G166=35,4,G166=30,4,G166=25,3,G166=20,2,G166=15,1,G166=10,1,G166=0,0)</f>
        <v>0</v>
      </c>
      <c r="J166" s="3" t="n">
        <f aca="false">IF(H166&lt;=1,0,IF(H166&lt;=10,11,IF(H166&lt;=14,12,IF(H166&lt;=17,13,IF(H166&lt;=20,14,IF(H166&lt;=22,15,IF(H166&lt;=25,16,IF(H166&lt;=27,17,IF(H166&lt;=29,18,IF(H166&lt;=32,19,IF(H166&lt;=34,20,IF(H166&lt;=36,21,IF(H166&lt;=40,22,24)))))))))))))</f>
        <v>19</v>
      </c>
      <c r="L166" s="3" t="n">
        <v>32</v>
      </c>
      <c r="M166" s="3" t="n">
        <f aca="false">_xlfn.IFS(K166="взв",11,K166="накл",24,K166="прокл",25,K166="пт",26,K166=90,10,K166=85,10,K166=80,9,K166=75,8,K166=70,8,K166=65,7,K166=60,7,K166=55,6,K166=50,6,K166=45,6,K166=40,5,K166=35,4,K166=30,4,K166=25,3,K166=20,2,K166=15,1,K166=10,1,K166=0,0)</f>
        <v>0</v>
      </c>
      <c r="N166" s="3" t="n">
        <f aca="false">IF(L166&lt;=1,0,IF(L166&lt;=10,11,IF(L166&lt;=14,12,IF(L166&lt;=17,13,IF(L166&lt;=20,14,IF(L166&lt;=22,15,IF(L166&lt;=25,16,IF(L166&lt;=27,17,IF(L166&lt;=29,18,IF(L166&lt;=32,19,IF(L166&lt;=34,20,IF(L166&lt;=36,21,IF(L166&lt;=40,22,24)))))))))))))</f>
        <v>19</v>
      </c>
      <c r="P166" s="3" t="n">
        <v>28</v>
      </c>
      <c r="Q166" s="3" t="n">
        <f aca="false">_xlfn.IFS(O166="взв",11,O166="накл",24,O166="прокл",25,O166="пт",26,O166=90,10,O166=85,10,O166=80,9,O166=75,8,O166=70,8,O166=65,7,O166=60,7,O166=55,6,O166=50,6,O166=45,6,O166=40,5,O166=35,4,O166=30,4,O166=25,3,O166=20,2,O166=15,1,O166=10,1,O166=0,0)</f>
        <v>0</v>
      </c>
      <c r="R166" s="3" t="n">
        <f aca="false">IF(P166&lt;=1,0,IF(P166&lt;=10,11,IF(P166&lt;=14,12,IF(P166&lt;=17,13,IF(P166&lt;=20,14,IF(P166&lt;=22,15,IF(P166&lt;=25,16,IF(P166&lt;=27,17,IF(P166&lt;=29,18,IF(P166&lt;=32,19,IF(P166&lt;=34,20,IF(P166&lt;=36,21,IF(P166&lt;=40,22,24)))))))))))))</f>
        <v>18</v>
      </c>
      <c r="S166" s="3" t="n">
        <f aca="false">ROUND((Q166+R166+I166+J166+M166+N166)/3,0)</f>
        <v>19</v>
      </c>
      <c r="T166" s="17" t="n">
        <f aca="false">F166*LOG10(S166+2)</f>
        <v>5.28887717893568</v>
      </c>
    </row>
    <row r="167" customFormat="false" ht="14.65" hidden="false" customHeight="true" outlineLevel="0" collapsed="false">
      <c r="A167" s="13" t="s">
        <v>224</v>
      </c>
      <c r="B167" s="14" t="n">
        <v>39977</v>
      </c>
      <c r="C167" s="15" t="s">
        <v>21</v>
      </c>
      <c r="D167" s="16" t="s">
        <v>106</v>
      </c>
      <c r="E167" s="3" t="n">
        <v>6</v>
      </c>
      <c r="F167" s="3" t="n">
        <v>4</v>
      </c>
      <c r="H167" s="3" t="n">
        <v>36</v>
      </c>
      <c r="I167" s="3" t="n">
        <f aca="false">_xlfn.IFS(G167="взв",11,G167="накл",24,G167="прокл",25,G167="пт",26,G167=90,10,G167=85,10,G167=80,9,G167=75,8,G167=70,8,G167=65,7,G167=60,7,G167=55,6,G167=50,6,G167=45,6,G167=40,5,G167=35,4,G167=30,4,G167=25,3,G167=20,2,G167=15,1,G167=10,1,G167=0,0)</f>
        <v>0</v>
      </c>
      <c r="J167" s="3" t="n">
        <f aca="false">IF(H167&lt;=1,0,IF(H167&lt;=10,11,IF(H167&lt;=14,12,IF(H167&lt;=17,13,IF(H167&lt;=20,14,IF(H167&lt;=22,15,IF(H167&lt;=25,16,IF(H167&lt;=27,17,IF(H167&lt;=29,18,IF(H167&lt;=32,19,IF(H167&lt;=34,20,IF(H167&lt;=36,21,IF(H167&lt;=40,22,24)))))))))))))</f>
        <v>21</v>
      </c>
      <c r="L167" s="3" t="n">
        <v>36</v>
      </c>
      <c r="M167" s="3" t="n">
        <f aca="false">_xlfn.IFS(K167="взв",11,K167="накл",24,K167="прокл",25,K167="пт",26,K167=90,10,K167=85,10,K167=80,9,K167=75,8,K167=70,8,K167=65,7,K167=60,7,K167=55,6,K167=50,6,K167=45,6,K167=40,5,K167=35,4,K167=30,4,K167=25,3,K167=20,2,K167=15,1,K167=10,1,K167=0,0)</f>
        <v>0</v>
      </c>
      <c r="N167" s="3" t="n">
        <f aca="false">IF(L167&lt;=1,0,IF(L167&lt;=10,11,IF(L167&lt;=14,12,IF(L167&lt;=17,13,IF(L167&lt;=20,14,IF(L167&lt;=22,15,IF(L167&lt;=25,16,IF(L167&lt;=27,17,IF(L167&lt;=29,18,IF(L167&lt;=32,19,IF(L167&lt;=34,20,IF(L167&lt;=36,21,IF(L167&lt;=40,22,24)))))))))))))</f>
        <v>21</v>
      </c>
      <c r="P167" s="3" t="n">
        <v>34</v>
      </c>
      <c r="Q167" s="3" t="n">
        <f aca="false">_xlfn.IFS(O167="взв",11,O167="накл",24,O167="прокл",25,O167="пт",26,O167=90,10,O167=85,10,O167=80,9,O167=75,8,O167=70,8,O167=65,7,O167=60,7,O167=55,6,O167=50,6,O167=45,6,O167=40,5,O167=35,4,O167=30,4,O167=25,3,O167=20,2,O167=15,1,O167=10,1,O167=0,0)</f>
        <v>0</v>
      </c>
      <c r="R167" s="3" t="n">
        <f aca="false">IF(P167&lt;=1,0,IF(P167&lt;=10,11,IF(P167&lt;=14,12,IF(P167&lt;=17,13,IF(P167&lt;=20,14,IF(P167&lt;=22,15,IF(P167&lt;=25,16,IF(P167&lt;=27,17,IF(P167&lt;=29,18,IF(P167&lt;=32,19,IF(P167&lt;=34,20,IF(P167&lt;=36,21,IF(P167&lt;=40,22,24)))))))))))))</f>
        <v>20</v>
      </c>
      <c r="S167" s="3" t="n">
        <f aca="false">ROUND((Q167+R167+I167+J167+M167+N167)/3,0)</f>
        <v>21</v>
      </c>
      <c r="T167" s="17" t="n">
        <f aca="false">F167*LOG10(S167+2)</f>
        <v>5.44691134407037</v>
      </c>
    </row>
    <row r="168" customFormat="false" ht="14.65" hidden="false" customHeight="true" outlineLevel="0" collapsed="false">
      <c r="A168" s="13" t="s">
        <v>225</v>
      </c>
      <c r="B168" s="14" t="n">
        <v>39977</v>
      </c>
      <c r="C168" s="15" t="s">
        <v>21</v>
      </c>
      <c r="D168" s="16" t="s">
        <v>106</v>
      </c>
      <c r="E168" s="3" t="n">
        <v>6</v>
      </c>
      <c r="F168" s="3" t="n">
        <v>4</v>
      </c>
      <c r="H168" s="3" t="n">
        <v>38</v>
      </c>
      <c r="I168" s="3" t="n">
        <f aca="false">_xlfn.IFS(G168="взв",11,G168="накл",24,G168="прокл",25,G168="пт",26,G168=90,10,G168=85,10,G168=80,9,G168=75,8,G168=70,8,G168=65,7,G168=60,7,G168=55,6,G168=50,6,G168=45,6,G168=40,5,G168=35,4,G168=30,4,G168=25,3,G168=20,2,G168=15,1,G168=10,1,G168=0,0)</f>
        <v>0</v>
      </c>
      <c r="J168" s="3" t="n">
        <f aca="false">IF(H168&lt;=1,0,IF(H168&lt;=10,11,IF(H168&lt;=14,12,IF(H168&lt;=17,13,IF(H168&lt;=20,14,IF(H168&lt;=22,15,IF(H168&lt;=25,16,IF(H168&lt;=27,17,IF(H168&lt;=29,18,IF(H168&lt;=32,19,IF(H168&lt;=34,20,IF(H168&lt;=36,21,IF(H168&lt;=40,22,24)))))))))))))</f>
        <v>22</v>
      </c>
      <c r="L168" s="3" t="n">
        <v>40</v>
      </c>
      <c r="M168" s="3" t="n">
        <f aca="false">_xlfn.IFS(K168="взв",11,K168="накл",24,K168="прокл",25,K168="пт",26,K168=90,10,K168=85,10,K168=80,9,K168=75,8,K168=70,8,K168=65,7,K168=60,7,K168=55,6,K168=50,6,K168=45,6,K168=40,5,K168=35,4,K168=30,4,K168=25,3,K168=20,2,K168=15,1,K168=10,1,K168=0,0)</f>
        <v>0</v>
      </c>
      <c r="N168" s="3" t="n">
        <f aca="false">IF(L168&lt;=1,0,IF(L168&lt;=10,11,IF(L168&lt;=14,12,IF(L168&lt;=17,13,IF(L168&lt;=20,14,IF(L168&lt;=22,15,IF(L168&lt;=25,16,IF(L168&lt;=27,17,IF(L168&lt;=29,18,IF(L168&lt;=32,19,IF(L168&lt;=34,20,IF(L168&lt;=36,21,IF(L168&lt;=40,22,24)))))))))))))</f>
        <v>22</v>
      </c>
      <c r="P168" s="3" t="n">
        <v>37</v>
      </c>
      <c r="Q168" s="3" t="n">
        <f aca="false">_xlfn.IFS(O168="взв",11,O168="накл",24,O168="прокл",25,O168="пт",26,O168=90,10,O168=85,10,O168=80,9,O168=75,8,O168=70,8,O168=65,7,O168=60,7,O168=55,6,O168=50,6,O168=45,6,O168=40,5,O168=35,4,O168=30,4,O168=25,3,O168=20,2,O168=15,1,O168=10,1,O168=0,0)</f>
        <v>0</v>
      </c>
      <c r="R168" s="3" t="n">
        <f aca="false">IF(P168&lt;=1,0,IF(P168&lt;=10,11,IF(P168&lt;=14,12,IF(P168&lt;=17,13,IF(P168&lt;=20,14,IF(P168&lt;=22,15,IF(P168&lt;=25,16,IF(P168&lt;=27,17,IF(P168&lt;=29,18,IF(P168&lt;=32,19,IF(P168&lt;=34,20,IF(P168&lt;=36,21,IF(P168&lt;=40,22,24)))))))))))))</f>
        <v>22</v>
      </c>
      <c r="S168" s="3" t="n">
        <f aca="false">ROUND((Q168+R168+I168+J168+M168+N168)/3,0)</f>
        <v>22</v>
      </c>
      <c r="T168" s="17" t="n">
        <f aca="false">F168*LOG10(S168+2)</f>
        <v>5.52084496684642</v>
      </c>
    </row>
    <row r="169" customFormat="false" ht="14.65" hidden="false" customHeight="true" outlineLevel="0" collapsed="false">
      <c r="A169" s="13" t="s">
        <v>226</v>
      </c>
      <c r="B169" s="14" t="n">
        <v>39977</v>
      </c>
      <c r="C169" s="15" t="s">
        <v>21</v>
      </c>
      <c r="D169" s="16" t="s">
        <v>106</v>
      </c>
      <c r="E169" s="3" t="n">
        <v>2</v>
      </c>
      <c r="F169" s="3" t="n">
        <v>4</v>
      </c>
      <c r="G169" s="3" t="n">
        <v>90</v>
      </c>
      <c r="I169" s="3" t="n">
        <f aca="false">_xlfn.IFS(G169="взв",11,G169="накл",24,G169="прокл",25,G169="пт",26,G169=90,10,G169=85,10,G169=80,9,G169=75,8,G169=70,8,G169=65,7,G169=60,7,G169=55,6,G169=50,6,G169=45,6,G169=40,5,G169=35,4,G169=30,4,G169=25,3,G169=20,2,G169=15,1,G169=10,1,G169=0,0)</f>
        <v>10</v>
      </c>
      <c r="J169" s="3" t="n">
        <f aca="false">IF(H169&lt;=1,0,IF(H169&lt;=10,11,IF(H169&lt;=14,12,IF(H169&lt;=17,13,IF(H169&lt;=20,14,IF(H169&lt;=22,15,IF(H169&lt;=25,16,IF(H169&lt;=27,17,IF(H169&lt;=29,18,IF(H169&lt;=32,19,IF(H169&lt;=34,20,IF(H169&lt;=36,21,IF(H169&lt;=40,22,24)))))))))))))</f>
        <v>0</v>
      </c>
      <c r="K169" s="3" t="n">
        <v>90</v>
      </c>
      <c r="M169" s="3" t="n">
        <f aca="false">_xlfn.IFS(K169="взв",11,K169="накл",24,K169="прокл",25,K169="пт",26,K169=90,10,K169=85,10,K169=80,9,K169=75,8,K169=70,8,K169=65,7,K169=60,7,K169=55,6,K169=50,6,K169=45,6,K169=40,5,K169=35,4,K169=30,4,K169=25,3,K169=20,2,K169=15,1,K169=10,1,K169=0,0)</f>
        <v>10</v>
      </c>
      <c r="N169" s="3" t="n">
        <f aca="false">IF(L169&lt;=1,0,IF(L169&lt;=10,11,IF(L169&lt;=14,12,IF(L169&lt;=17,13,IF(L169&lt;=20,14,IF(L169&lt;=22,15,IF(L169&lt;=25,16,IF(L169&lt;=27,17,IF(L169&lt;=29,18,IF(L169&lt;=32,19,IF(L169&lt;=34,20,IF(L169&lt;=36,21,IF(L169&lt;=40,22,24)))))))))))))</f>
        <v>0</v>
      </c>
      <c r="Q169" s="3" t="n">
        <f aca="false">_xlfn.IFS(O169="взв",11,O169="накл",24,O169="прокл",25,O169="пт",26,O169=90,10,O169=85,10,O169=80,9,O169=75,8,O169=70,8,O169=65,7,O169=60,7,O169=55,6,O169=50,6,O169=45,6,O169=40,5,O169=35,4,O169=30,4,O169=25,3,O169=20,2,O169=15,1,O169=10,1,O169=0,0)</f>
        <v>0</v>
      </c>
      <c r="R169" s="3" t="n">
        <f aca="false">IF(P169&lt;=1,0,IF(P169&lt;=10,11,IF(P169&lt;=14,12,IF(P169&lt;=17,13,IF(P169&lt;=20,14,IF(P169&lt;=22,15,IF(P169&lt;=25,16,IF(P169&lt;=27,17,IF(P169&lt;=29,18,IF(P169&lt;=32,19,IF(P169&lt;=34,20,IF(P169&lt;=36,21,IF(P169&lt;=40,22,24)))))))))))))</f>
        <v>0</v>
      </c>
      <c r="S169" s="3" t="n">
        <v>10</v>
      </c>
      <c r="T169" s="17" t="n">
        <f aca="false">F169*LOG10(S169+2)</f>
        <v>4.3167249841905</v>
      </c>
    </row>
    <row r="170" customFormat="false" ht="14.65" hidden="false" customHeight="true" outlineLevel="0" collapsed="false">
      <c r="A170" s="13" t="s">
        <v>227</v>
      </c>
      <c r="B170" s="14" t="n">
        <v>39977</v>
      </c>
      <c r="C170" s="15" t="s">
        <v>21</v>
      </c>
      <c r="D170" s="16" t="s">
        <v>106</v>
      </c>
      <c r="E170" s="3" t="n">
        <v>5</v>
      </c>
      <c r="F170" s="3" t="n">
        <v>4</v>
      </c>
      <c r="H170" s="3" t="n">
        <v>35</v>
      </c>
      <c r="I170" s="3" t="n">
        <f aca="false">_xlfn.IFS(G170="взв",11,G170="накл",24,G170="прокл",25,G170="пт",26,G170=90,10,G170=85,10,G170=80,9,G170=75,8,G170=70,8,G170=65,7,G170=60,7,G170=55,6,G170=50,6,G170=45,6,G170=40,5,G170=35,4,G170=30,4,G170=25,3,G170=20,2,G170=15,1,G170=10,1,G170=0,0)</f>
        <v>0</v>
      </c>
      <c r="J170" s="3" t="n">
        <f aca="false">IF(H170&lt;=1,0,IF(H170&lt;=10,11,IF(H170&lt;=14,12,IF(H170&lt;=17,13,IF(H170&lt;=20,14,IF(H170&lt;=22,15,IF(H170&lt;=25,16,IF(H170&lt;=27,17,IF(H170&lt;=29,18,IF(H170&lt;=32,19,IF(H170&lt;=34,20,IF(H170&lt;=36,21,IF(H170&lt;=40,22,24)))))))))))))</f>
        <v>21</v>
      </c>
      <c r="L170" s="3" t="n">
        <v>30</v>
      </c>
      <c r="M170" s="3" t="n">
        <f aca="false">_xlfn.IFS(K170="взв",11,K170="накл",24,K170="прокл",25,K170="пт",26,K170=90,10,K170=85,10,K170=80,9,K170=75,8,K170=70,8,K170=65,7,K170=60,7,K170=55,6,K170=50,6,K170=45,6,K170=40,5,K170=35,4,K170=30,4,K170=25,3,K170=20,2,K170=15,1,K170=10,1,K170=0,0)</f>
        <v>0</v>
      </c>
      <c r="N170" s="3" t="n">
        <f aca="false">IF(L170&lt;=1,0,IF(L170&lt;=10,11,IF(L170&lt;=14,12,IF(L170&lt;=17,13,IF(L170&lt;=20,14,IF(L170&lt;=22,15,IF(L170&lt;=25,16,IF(L170&lt;=27,17,IF(L170&lt;=29,18,IF(L170&lt;=32,19,IF(L170&lt;=34,20,IF(L170&lt;=36,21,IF(L170&lt;=40,22,24)))))))))))))</f>
        <v>19</v>
      </c>
      <c r="P170" s="3" t="n">
        <v>31</v>
      </c>
      <c r="Q170" s="3" t="n">
        <f aca="false">_xlfn.IFS(O170="взв",11,O170="накл",24,O170="прокл",25,O170="пт",26,O170=90,10,O170=85,10,O170=80,9,O170=75,8,O170=70,8,O170=65,7,O170=60,7,O170=55,6,O170=50,6,O170=45,6,O170=40,5,O170=35,4,O170=30,4,O170=25,3,O170=20,2,O170=15,1,O170=10,1,O170=0,0)</f>
        <v>0</v>
      </c>
      <c r="R170" s="3" t="n">
        <f aca="false">IF(P170&lt;=1,0,IF(P170&lt;=10,11,IF(P170&lt;=14,12,IF(P170&lt;=17,13,IF(P170&lt;=20,14,IF(P170&lt;=22,15,IF(P170&lt;=25,16,IF(P170&lt;=27,17,IF(P170&lt;=29,18,IF(P170&lt;=32,19,IF(P170&lt;=34,20,IF(P170&lt;=36,21,IF(P170&lt;=40,22,24)))))))))))))</f>
        <v>19</v>
      </c>
      <c r="S170" s="3" t="n">
        <f aca="false">ROUND((Q170+R170+I170+J170+M170+N170)/3,0)</f>
        <v>20</v>
      </c>
      <c r="T170" s="17" t="n">
        <f aca="false">F170*LOG10(S170+2)</f>
        <v>5.36969072328883</v>
      </c>
    </row>
    <row r="171" customFormat="false" ht="14.65" hidden="false" customHeight="true" outlineLevel="0" collapsed="false">
      <c r="A171" s="13" t="s">
        <v>228</v>
      </c>
      <c r="B171" s="14" t="n">
        <v>39977</v>
      </c>
      <c r="C171" s="15" t="s">
        <v>21</v>
      </c>
      <c r="D171" s="16" t="s">
        <v>108</v>
      </c>
      <c r="E171" s="3" t="n">
        <v>5</v>
      </c>
      <c r="F171" s="3" t="n">
        <v>4</v>
      </c>
      <c r="G171" s="3" t="n">
        <v>60</v>
      </c>
      <c r="I171" s="3" t="n">
        <f aca="false">_xlfn.IFS(G171="взв",11,G171="накл",24,G171="прокл",25,G171="пт",26,G171=90,10,G171=85,10,G171=80,9,G171=75,8,G171=70,8,G171=65,7,G171=60,7,G171=55,6,G171=50,6,G171=45,6,G171=40,5,G171=35,4,G171=30,4,G171=25,3,G171=20,2,G171=15,1,G171=10,1,G171=0,0)</f>
        <v>7</v>
      </c>
      <c r="J171" s="3" t="n">
        <f aca="false">IF(H171&lt;=1,0,IF(H171&lt;=10,11,IF(H171&lt;=14,12,IF(H171&lt;=17,13,IF(H171&lt;=20,14,IF(H171&lt;=22,15,IF(H171&lt;=25,16,IF(H171&lt;=27,17,IF(H171&lt;=29,18,IF(H171&lt;=32,19,IF(H171&lt;=34,20,IF(H171&lt;=36,21,IF(H171&lt;=40,22,24)))))))))))))</f>
        <v>0</v>
      </c>
      <c r="K171" s="3" t="n">
        <v>75</v>
      </c>
      <c r="M171" s="3" t="n">
        <f aca="false">_xlfn.IFS(K171="взв",11,K171="накл",24,K171="прокл",25,K171="пт",26,K171=90,10,K171=85,10,K171=80,9,K171=75,8,K171=70,8,K171=65,7,K171=60,7,K171=55,6,K171=50,6,K171=45,6,K171=40,5,K171=35,4,K171=30,4,K171=25,3,K171=20,2,K171=15,1,K171=10,1,K171=0,0)</f>
        <v>8</v>
      </c>
      <c r="N171" s="3" t="n">
        <f aca="false">IF(L171&lt;=1,0,IF(L171&lt;=10,11,IF(L171&lt;=14,12,IF(L171&lt;=17,13,IF(L171&lt;=20,14,IF(L171&lt;=22,15,IF(L171&lt;=25,16,IF(L171&lt;=27,17,IF(L171&lt;=29,18,IF(L171&lt;=32,19,IF(L171&lt;=34,20,IF(L171&lt;=36,21,IF(L171&lt;=40,22,24)))))))))))))</f>
        <v>0</v>
      </c>
      <c r="O171" s="3" t="n">
        <v>60</v>
      </c>
      <c r="Q171" s="3" t="n">
        <f aca="false">_xlfn.IFS(O171="взв",11,O171="накл",24,O171="прокл",25,O171="пт",26,O171=90,10,O171=85,10,O171=80,9,O171=75,8,O171=70,8,O171=65,7,O171=60,7,O171=55,6,O171=50,6,O171=45,6,O171=40,5,O171=35,4,O171=30,4,O171=25,3,O171=20,2,O171=15,1,O171=10,1,O171=0,0)</f>
        <v>7</v>
      </c>
      <c r="R171" s="3" t="n">
        <f aca="false">IF(P171&lt;=1,0,IF(P171&lt;=10,11,IF(P171&lt;=14,12,IF(P171&lt;=17,13,IF(P171&lt;=20,14,IF(P171&lt;=22,15,IF(P171&lt;=25,16,IF(P171&lt;=27,17,IF(P171&lt;=29,18,IF(P171&lt;=32,19,IF(P171&lt;=34,20,IF(P171&lt;=36,21,IF(P171&lt;=40,22,24)))))))))))))</f>
        <v>0</v>
      </c>
      <c r="S171" s="3" t="n">
        <f aca="false">ROUND((Q171+R171+I171+J171+M171+N171)/3,0)</f>
        <v>7</v>
      </c>
      <c r="T171" s="17" t="n">
        <f aca="false">F171*LOG10(S171+2)</f>
        <v>3.8169700377573</v>
      </c>
    </row>
    <row r="172" customFormat="false" ht="14.65" hidden="false" customHeight="true" outlineLevel="0" collapsed="false">
      <c r="A172" s="13" t="s">
        <v>229</v>
      </c>
      <c r="B172" s="14" t="n">
        <v>39977</v>
      </c>
      <c r="C172" s="15" t="s">
        <v>21</v>
      </c>
      <c r="D172" s="16" t="s">
        <v>108</v>
      </c>
      <c r="E172" s="3" t="n">
        <v>7</v>
      </c>
      <c r="F172" s="3" t="n">
        <v>4</v>
      </c>
      <c r="G172" s="3" t="n">
        <v>75</v>
      </c>
      <c r="I172" s="3" t="n">
        <f aca="false">_xlfn.IFS(G172="взв",11,G172="накл",24,G172="прокл",25,G172="пт",26,G172=90,10,G172=85,10,G172=80,9,G172=75,8,G172=70,8,G172=65,7,G172=60,7,G172=55,6,G172=50,6,G172=45,6,G172=40,5,G172=35,4,G172=30,4,G172=25,3,G172=20,2,G172=15,1,G172=10,1,G172=0,0)</f>
        <v>8</v>
      </c>
      <c r="J172" s="3" t="n">
        <f aca="false">IF(H172&lt;=1,0,IF(H172&lt;=10,11,IF(H172&lt;=14,12,IF(H172&lt;=17,13,IF(H172&lt;=20,14,IF(H172&lt;=22,15,IF(H172&lt;=25,16,IF(H172&lt;=27,17,IF(H172&lt;=29,18,IF(H172&lt;=32,19,IF(H172&lt;=34,20,IF(H172&lt;=36,21,IF(H172&lt;=40,22,24)))))))))))))</f>
        <v>0</v>
      </c>
      <c r="K172" s="3" t="n">
        <v>90</v>
      </c>
      <c r="M172" s="3" t="n">
        <f aca="false">_xlfn.IFS(K172="взв",11,K172="накл",24,K172="прокл",25,K172="пт",26,K172=90,10,K172=85,10,K172=80,9,K172=75,8,K172=70,8,K172=65,7,K172=60,7,K172=55,6,K172=50,6,K172=45,6,K172=40,5,K172=35,4,K172=30,4,K172=25,3,K172=20,2,K172=15,1,K172=10,1,K172=0,0)</f>
        <v>10</v>
      </c>
      <c r="N172" s="3" t="n">
        <f aca="false">IF(L172&lt;=1,0,IF(L172&lt;=10,11,IF(L172&lt;=14,12,IF(L172&lt;=17,13,IF(L172&lt;=20,14,IF(L172&lt;=22,15,IF(L172&lt;=25,16,IF(L172&lt;=27,17,IF(L172&lt;=29,18,IF(L172&lt;=32,19,IF(L172&lt;=34,20,IF(L172&lt;=36,21,IF(L172&lt;=40,22,24)))))))))))))</f>
        <v>0</v>
      </c>
      <c r="O172" s="3" t="n">
        <v>90</v>
      </c>
      <c r="Q172" s="3" t="n">
        <f aca="false">_xlfn.IFS(O172="взв",11,O172="накл",24,O172="прокл",25,O172="пт",26,O172=90,10,O172=85,10,O172=80,9,O172=75,8,O172=70,8,O172=65,7,O172=60,7,O172=55,6,O172=50,6,O172=45,6,O172=40,5,O172=35,4,O172=30,4,O172=25,3,O172=20,2,O172=15,1,O172=10,1,O172=0,0)</f>
        <v>10</v>
      </c>
      <c r="R172" s="3" t="n">
        <f aca="false">IF(P172&lt;=1,0,IF(P172&lt;=10,11,IF(P172&lt;=14,12,IF(P172&lt;=17,13,IF(P172&lt;=20,14,IF(P172&lt;=22,15,IF(P172&lt;=25,16,IF(P172&lt;=27,17,IF(P172&lt;=29,18,IF(P172&lt;=32,19,IF(P172&lt;=34,20,IF(P172&lt;=36,21,IF(P172&lt;=40,22,24)))))))))))))</f>
        <v>0</v>
      </c>
      <c r="S172" s="3" t="n">
        <f aca="false">ROUND((Q172+R172+I172+J172+M172+N172)/3,0)</f>
        <v>9</v>
      </c>
      <c r="T172" s="17" t="n">
        <f aca="false">F172*LOG10(S172+2)</f>
        <v>4.1655707406329</v>
      </c>
    </row>
    <row r="173" customFormat="false" ht="14.65" hidden="false" customHeight="true" outlineLevel="0" collapsed="false">
      <c r="A173" s="13" t="s">
        <v>230</v>
      </c>
      <c r="B173" s="14" t="n">
        <v>39977</v>
      </c>
      <c r="C173" s="15" t="s">
        <v>21</v>
      </c>
      <c r="D173" s="16" t="s">
        <v>108</v>
      </c>
      <c r="E173" s="3" t="n">
        <v>4</v>
      </c>
      <c r="F173" s="3" t="n">
        <v>4</v>
      </c>
      <c r="H173" s="3" t="n">
        <v>31</v>
      </c>
      <c r="I173" s="3" t="n">
        <f aca="false">_xlfn.IFS(G173="взв",11,G173="накл",24,G173="прокл",25,G173="пт",26,G173=90,10,G173=85,10,G173=80,9,G173=75,8,G173=70,8,G173=65,7,G173=60,7,G173=55,6,G173=50,6,G173=45,6,G173=40,5,G173=35,4,G173=30,4,G173=25,3,G173=20,2,G173=15,1,G173=10,1,G173=0,0)</f>
        <v>0</v>
      </c>
      <c r="J173" s="3" t="n">
        <f aca="false">IF(H173&lt;=1,0,IF(H173&lt;=10,11,IF(H173&lt;=14,12,IF(H173&lt;=17,13,IF(H173&lt;=20,14,IF(H173&lt;=22,15,IF(H173&lt;=25,16,IF(H173&lt;=27,17,IF(H173&lt;=29,18,IF(H173&lt;=32,19,IF(H173&lt;=34,20,IF(H173&lt;=36,21,IF(H173&lt;=40,22,24)))))))))))))</f>
        <v>19</v>
      </c>
      <c r="L173" s="3" t="n">
        <v>33</v>
      </c>
      <c r="M173" s="3" t="n">
        <f aca="false">_xlfn.IFS(K173="взв",11,K173="накл",24,K173="прокл",25,K173="пт",26,K173=90,10,K173=85,10,K173=80,9,K173=75,8,K173=70,8,K173=65,7,K173=60,7,K173=55,6,K173=50,6,K173=45,6,K173=40,5,K173=35,4,K173=30,4,K173=25,3,K173=20,2,K173=15,1,K173=10,1,K173=0,0)</f>
        <v>0</v>
      </c>
      <c r="N173" s="3" t="n">
        <f aca="false">IF(L173&lt;=1,0,IF(L173&lt;=10,11,IF(L173&lt;=14,12,IF(L173&lt;=17,13,IF(L173&lt;=20,14,IF(L173&lt;=22,15,IF(L173&lt;=25,16,IF(L173&lt;=27,17,IF(L173&lt;=29,18,IF(L173&lt;=32,19,IF(L173&lt;=34,20,IF(L173&lt;=36,21,IF(L173&lt;=40,22,24)))))))))))))</f>
        <v>20</v>
      </c>
      <c r="P173" s="3" t="n">
        <v>29</v>
      </c>
      <c r="Q173" s="3" t="n">
        <f aca="false">_xlfn.IFS(O173="взв",11,O173="накл",24,O173="прокл",25,O173="пт",26,O173=90,10,O173=85,10,O173=80,9,O173=75,8,O173=70,8,O173=65,7,O173=60,7,O173=55,6,O173=50,6,O173=45,6,O173=40,5,O173=35,4,O173=30,4,O173=25,3,O173=20,2,O173=15,1,O173=10,1,O173=0,0)</f>
        <v>0</v>
      </c>
      <c r="R173" s="3" t="n">
        <f aca="false">IF(P173&lt;=1,0,IF(P173&lt;=10,11,IF(P173&lt;=14,12,IF(P173&lt;=17,13,IF(P173&lt;=20,14,IF(P173&lt;=22,15,IF(P173&lt;=25,16,IF(P173&lt;=27,17,IF(P173&lt;=29,18,IF(P173&lt;=32,19,IF(P173&lt;=34,20,IF(P173&lt;=36,21,IF(P173&lt;=40,22,24)))))))))))))</f>
        <v>18</v>
      </c>
      <c r="S173" s="3" t="n">
        <f aca="false">ROUND((Q173+R173+I173+J173+M173+N173)/3,0)</f>
        <v>19</v>
      </c>
      <c r="T173" s="17" t="n">
        <f aca="false">F173*LOG10(S173+2)</f>
        <v>5.28887717893568</v>
      </c>
    </row>
    <row r="174" customFormat="false" ht="14.65" hidden="false" customHeight="true" outlineLevel="0" collapsed="false">
      <c r="A174" s="13" t="s">
        <v>231</v>
      </c>
      <c r="B174" s="14" t="n">
        <v>39981</v>
      </c>
      <c r="C174" s="15" t="s">
        <v>27</v>
      </c>
      <c r="D174" s="4" t="s">
        <v>51</v>
      </c>
      <c r="E174" s="3" t="n">
        <v>6</v>
      </c>
      <c r="F174" s="3" t="n">
        <v>4</v>
      </c>
      <c r="G174" s="3" t="n">
        <v>45</v>
      </c>
      <c r="I174" s="3" t="n">
        <f aca="false">_xlfn.IFS(G174="взв",11,G174="накл",24,G174="прокл",25,G174="пт",26,G174=90,10,G174=85,10,G174=80,9,G174=75,8,G174=70,8,G174=65,7,G174=60,7,G174=55,6,G174=50,6,G174=45,6,G174=40,5,G174=35,4,G174=30,4,G174=25,3,G174=20,2,G174=15,1,G174=10,1,G174=0,0)</f>
        <v>6</v>
      </c>
      <c r="J174" s="3" t="n">
        <f aca="false">IF(H174&lt;=1,0,IF(H174&lt;=10,11,IF(H174&lt;=14,12,IF(H174&lt;=17,13,IF(H174&lt;=20,14,IF(H174&lt;=22,15,IF(H174&lt;=25,16,IF(H174&lt;=27,17,IF(H174&lt;=29,18,IF(H174&lt;=32,19,IF(H174&lt;=34,20,IF(H174&lt;=36,21,IF(H174&lt;=40,22,24)))))))))))))</f>
        <v>0</v>
      </c>
      <c r="K174" s="3" t="n">
        <v>60</v>
      </c>
      <c r="M174" s="3" t="n">
        <f aca="false">_xlfn.IFS(K174="взв",11,K174="накл",24,K174="прокл",25,K174="пт",26,K174=90,10,K174=85,10,K174=80,9,K174=75,8,K174=70,8,K174=65,7,K174=60,7,K174=55,6,K174=50,6,K174=45,6,K174=40,5,K174=35,4,K174=30,4,K174=25,3,K174=20,2,K174=15,1,K174=10,1,K174=0,0)</f>
        <v>7</v>
      </c>
      <c r="N174" s="3" t="n">
        <f aca="false">IF(L174&lt;=1,0,IF(L174&lt;=10,11,IF(L174&lt;=14,12,IF(L174&lt;=17,13,IF(L174&lt;=20,14,IF(L174&lt;=22,15,IF(L174&lt;=25,16,IF(L174&lt;=27,17,IF(L174&lt;=29,18,IF(L174&lt;=32,19,IF(L174&lt;=34,20,IF(L174&lt;=36,21,IF(L174&lt;=40,22,24)))))))))))))</f>
        <v>0</v>
      </c>
      <c r="O174" s="3" t="n">
        <v>60</v>
      </c>
      <c r="Q174" s="3" t="n">
        <f aca="false">_xlfn.IFS(O174="взв",11,O174="накл",24,O174="прокл",25,O174="пт",26,O174=90,10,O174=85,10,O174=80,9,O174=75,8,O174=70,8,O174=65,7,O174=60,7,O174=55,6,O174=50,6,O174=45,6,O174=40,5,O174=35,4,O174=30,4,O174=25,3,O174=20,2,O174=15,1,O174=10,1,O174=0,0)</f>
        <v>7</v>
      </c>
      <c r="R174" s="3" t="n">
        <f aca="false">IF(P174&lt;=1,0,IF(P174&lt;=10,11,IF(P174&lt;=14,12,IF(P174&lt;=17,13,IF(P174&lt;=20,14,IF(P174&lt;=22,15,IF(P174&lt;=25,16,IF(P174&lt;=27,17,IF(P174&lt;=29,18,IF(P174&lt;=32,19,IF(P174&lt;=34,20,IF(P174&lt;=36,21,IF(P174&lt;=40,22,24)))))))))))))</f>
        <v>0</v>
      </c>
      <c r="S174" s="3" t="n">
        <f aca="false">ROUND((Q174+R174+I174+J174+M174+N174)/3,0)</f>
        <v>7</v>
      </c>
      <c r="T174" s="17" t="n">
        <f aca="false">F174*LOG10(S174+2)</f>
        <v>3.8169700377573</v>
      </c>
    </row>
    <row r="175" customFormat="false" ht="14.65" hidden="false" customHeight="true" outlineLevel="0" collapsed="false">
      <c r="A175" s="13" t="s">
        <v>232</v>
      </c>
      <c r="B175" s="14" t="n">
        <v>39981</v>
      </c>
      <c r="C175" s="15" t="s">
        <v>27</v>
      </c>
      <c r="D175" s="4" t="s">
        <v>51</v>
      </c>
      <c r="E175" s="3" t="n">
        <v>2</v>
      </c>
      <c r="F175" s="3" t="n">
        <v>4</v>
      </c>
      <c r="H175" s="3" t="n">
        <v>30</v>
      </c>
      <c r="I175" s="3" t="n">
        <f aca="false">_xlfn.IFS(G175="взв",11,G175="накл",24,G175="прокл",25,G175="пт",26,G175=90,10,G175=85,10,G175=80,9,G175=75,8,G175=70,8,G175=65,7,G175=60,7,G175=55,6,G175=50,6,G175=45,6,G175=40,5,G175=35,4,G175=30,4,G175=25,3,G175=20,2,G175=15,1,G175=10,1,G175=0,0)</f>
        <v>0</v>
      </c>
      <c r="J175" s="3" t="n">
        <f aca="false">IF(H175&lt;=1,0,IF(H175&lt;=10,11,IF(H175&lt;=14,12,IF(H175&lt;=17,13,IF(H175&lt;=20,14,IF(H175&lt;=22,15,IF(H175&lt;=25,16,IF(H175&lt;=27,17,IF(H175&lt;=29,18,IF(H175&lt;=32,19,IF(H175&lt;=34,20,IF(H175&lt;=36,21,IF(H175&lt;=40,22,24)))))))))))))</f>
        <v>19</v>
      </c>
      <c r="L175" s="3" t="n">
        <v>28</v>
      </c>
      <c r="M175" s="3" t="n">
        <f aca="false">_xlfn.IFS(K175="взв",11,K175="накл",24,K175="прокл",25,K175="пт",26,K175=90,10,K175=85,10,K175=80,9,K175=75,8,K175=70,8,K175=65,7,K175=60,7,K175=55,6,K175=50,6,K175=45,6,K175=40,5,K175=35,4,K175=30,4,K175=25,3,K175=20,2,K175=15,1,K175=10,1,K175=0,0)</f>
        <v>0</v>
      </c>
      <c r="N175" s="3" t="n">
        <f aca="false">IF(L175&lt;=1,0,IF(L175&lt;=10,11,IF(L175&lt;=14,12,IF(L175&lt;=17,13,IF(L175&lt;=20,14,IF(L175&lt;=22,15,IF(L175&lt;=25,16,IF(L175&lt;=27,17,IF(L175&lt;=29,18,IF(L175&lt;=32,19,IF(L175&lt;=34,20,IF(L175&lt;=36,21,IF(L175&lt;=40,22,24)))))))))))))</f>
        <v>18</v>
      </c>
      <c r="Q175" s="3" t="n">
        <f aca="false">_xlfn.IFS(O175="взв",11,O175="накл",24,O175="прокл",25,O175="пт",26,O175=90,10,O175=85,10,O175=80,9,O175=75,8,O175=70,8,O175=65,7,O175=60,7,O175=55,6,O175=50,6,O175=45,6,O175=40,5,O175=35,4,O175=30,4,O175=25,3,O175=20,2,O175=15,1,O175=10,1,O175=0,0)</f>
        <v>0</v>
      </c>
      <c r="R175" s="3" t="n">
        <f aca="false">IF(P175&lt;=1,0,IF(P175&lt;=10,11,IF(P175&lt;=14,12,IF(P175&lt;=17,13,IF(P175&lt;=20,14,IF(P175&lt;=22,15,IF(P175&lt;=25,16,IF(P175&lt;=27,17,IF(P175&lt;=29,18,IF(P175&lt;=32,19,IF(P175&lt;=34,20,IF(P175&lt;=36,21,IF(P175&lt;=40,22,24)))))))))))))</f>
        <v>0</v>
      </c>
      <c r="S175" s="3" t="n">
        <f aca="false">ROUND((Q175+R175+I175+J175+M175+N175)/2,0)</f>
        <v>19</v>
      </c>
      <c r="T175" s="17" t="n">
        <f aca="false">F175*LOG10(S175+2)</f>
        <v>5.28887717893568</v>
      </c>
    </row>
    <row r="176" customFormat="false" ht="14.65" hidden="false" customHeight="true" outlineLevel="0" collapsed="false">
      <c r="A176" s="13" t="s">
        <v>233</v>
      </c>
      <c r="B176" s="14" t="n">
        <v>39981</v>
      </c>
      <c r="C176" s="15" t="s">
        <v>27</v>
      </c>
      <c r="D176" s="4" t="s">
        <v>51</v>
      </c>
      <c r="E176" s="3" t="n">
        <v>5</v>
      </c>
      <c r="F176" s="3" t="n">
        <v>4</v>
      </c>
      <c r="G176" s="3" t="n">
        <v>75</v>
      </c>
      <c r="I176" s="3" t="n">
        <f aca="false">_xlfn.IFS(G176="взв",11,G176="накл",24,G176="прокл",25,G176="пт",26,G176=90,10,G176=85,10,G176=80,9,G176=75,8,G176=70,8,G176=65,7,G176=60,7,G176=55,6,G176=50,6,G176=45,6,G176=40,5,G176=35,4,G176=30,4,G176=25,3,G176=20,2,G176=15,1,G176=10,1,G176=0,0)</f>
        <v>8</v>
      </c>
      <c r="J176" s="3" t="n">
        <f aca="false">IF(H176&lt;=1,0,IF(H176&lt;=10,11,IF(H176&lt;=14,12,IF(H176&lt;=17,13,IF(H176&lt;=20,14,IF(H176&lt;=22,15,IF(H176&lt;=25,16,IF(H176&lt;=27,17,IF(H176&lt;=29,18,IF(H176&lt;=32,19,IF(H176&lt;=34,20,IF(H176&lt;=36,21,IF(H176&lt;=40,22,24)))))))))))))</f>
        <v>0</v>
      </c>
      <c r="K176" s="3" t="n">
        <v>75</v>
      </c>
      <c r="M176" s="3" t="n">
        <f aca="false">_xlfn.IFS(K176="взв",11,K176="накл",24,K176="прокл",25,K176="пт",26,K176=90,10,K176=85,10,K176=80,9,K176=75,8,K176=70,8,K176=65,7,K176=60,7,K176=55,6,K176=50,6,K176=45,6,K176=40,5,K176=35,4,K176=30,4,K176=25,3,K176=20,2,K176=15,1,K176=10,1,K176=0,0)</f>
        <v>8</v>
      </c>
      <c r="N176" s="3" t="n">
        <f aca="false">IF(L176&lt;=1,0,IF(L176&lt;=10,11,IF(L176&lt;=14,12,IF(L176&lt;=17,13,IF(L176&lt;=20,14,IF(L176&lt;=22,15,IF(L176&lt;=25,16,IF(L176&lt;=27,17,IF(L176&lt;=29,18,IF(L176&lt;=32,19,IF(L176&lt;=34,20,IF(L176&lt;=36,21,IF(L176&lt;=40,22,24)))))))))))))</f>
        <v>0</v>
      </c>
      <c r="O176" s="3" t="n">
        <v>75</v>
      </c>
      <c r="Q176" s="3" t="n">
        <f aca="false">_xlfn.IFS(O176="взв",11,O176="накл",24,O176="прокл",25,O176="пт",26,O176=90,10,O176=85,10,O176=80,9,O176=75,8,O176=70,8,O176=65,7,O176=60,7,O176=55,6,O176=50,6,O176=45,6,O176=40,5,O176=35,4,O176=30,4,O176=25,3,O176=20,2,O176=15,1,O176=10,1,O176=0,0)</f>
        <v>8</v>
      </c>
      <c r="R176" s="3" t="n">
        <f aca="false">IF(P176&lt;=1,0,IF(P176&lt;=10,11,IF(P176&lt;=14,12,IF(P176&lt;=17,13,IF(P176&lt;=20,14,IF(P176&lt;=22,15,IF(P176&lt;=25,16,IF(P176&lt;=27,17,IF(P176&lt;=29,18,IF(P176&lt;=32,19,IF(P176&lt;=34,20,IF(P176&lt;=36,21,IF(P176&lt;=40,22,24)))))))))))))</f>
        <v>0</v>
      </c>
      <c r="S176" s="3" t="n">
        <f aca="false">ROUND((Q176+R176+I176+J176+M176+N176)/3,0)</f>
        <v>8</v>
      </c>
      <c r="T176" s="17" t="n">
        <f aca="false">F176*LOG10(S176+2)</f>
        <v>4</v>
      </c>
    </row>
    <row r="177" customFormat="false" ht="14.65" hidden="false" customHeight="true" outlineLevel="0" collapsed="false">
      <c r="A177" s="13" t="s">
        <v>234</v>
      </c>
      <c r="B177" s="14" t="n">
        <v>39981</v>
      </c>
      <c r="C177" s="15" t="s">
        <v>27</v>
      </c>
      <c r="D177" s="4" t="s">
        <v>28</v>
      </c>
      <c r="E177" s="3" t="n">
        <v>5</v>
      </c>
      <c r="F177" s="3" t="n">
        <v>4</v>
      </c>
      <c r="H177" s="3" t="n">
        <v>30</v>
      </c>
      <c r="I177" s="3" t="n">
        <f aca="false">_xlfn.IFS(G177="взв",11,G177="накл",24,G177="прокл",25,G177="пт",26,G177=90,10,G177=85,10,G177=80,9,G177=75,8,G177=70,8,G177=65,7,G177=60,7,G177=55,6,G177=50,6,G177=45,6,G177=40,5,G177=35,4,G177=30,4,G177=25,3,G177=20,2,G177=15,1,G177=10,1,G177=0,0)</f>
        <v>0</v>
      </c>
      <c r="J177" s="3" t="n">
        <f aca="false">IF(H177&lt;=1,0,IF(H177&lt;=10,11,IF(H177&lt;=14,12,IF(H177&lt;=17,13,IF(H177&lt;=20,14,IF(H177&lt;=22,15,IF(H177&lt;=25,16,IF(H177&lt;=27,17,IF(H177&lt;=29,18,IF(H177&lt;=32,19,IF(H177&lt;=34,20,IF(H177&lt;=36,21,IF(H177&lt;=40,22,24)))))))))))))</f>
        <v>19</v>
      </c>
      <c r="L177" s="3" t="n">
        <v>18</v>
      </c>
      <c r="M177" s="3" t="n">
        <f aca="false">_xlfn.IFS(K177="взв",11,K177="накл",24,K177="прокл",25,K177="пт",26,K177=90,10,K177=85,10,K177=80,9,K177=75,8,K177=70,8,K177=65,7,K177=60,7,K177=55,6,K177=50,6,K177=45,6,K177=40,5,K177=35,4,K177=30,4,K177=25,3,K177=20,2,K177=15,1,K177=10,1,K177=0,0)</f>
        <v>0</v>
      </c>
      <c r="N177" s="3" t="n">
        <f aca="false">IF(L177&lt;=1,0,IF(L177&lt;=10,11,IF(L177&lt;=14,12,IF(L177&lt;=17,13,IF(L177&lt;=20,14,IF(L177&lt;=22,15,IF(L177&lt;=25,16,IF(L177&lt;=27,17,IF(L177&lt;=29,18,IF(L177&lt;=32,19,IF(L177&lt;=34,20,IF(L177&lt;=36,21,IF(L177&lt;=40,22,24)))))))))))))</f>
        <v>14</v>
      </c>
      <c r="P177" s="3" t="n">
        <v>24</v>
      </c>
      <c r="Q177" s="3" t="n">
        <f aca="false">_xlfn.IFS(O177="взв",11,O177="накл",24,O177="прокл",25,O177="пт",26,O177=90,10,O177=85,10,O177=80,9,O177=75,8,O177=70,8,O177=65,7,O177=60,7,O177=55,6,O177=50,6,O177=45,6,O177=40,5,O177=35,4,O177=30,4,O177=25,3,O177=20,2,O177=15,1,O177=10,1,O177=0,0)</f>
        <v>0</v>
      </c>
      <c r="R177" s="3" t="n">
        <f aca="false">IF(P177&lt;=1,0,IF(P177&lt;=10,11,IF(P177&lt;=14,12,IF(P177&lt;=17,13,IF(P177&lt;=20,14,IF(P177&lt;=22,15,IF(P177&lt;=25,16,IF(P177&lt;=27,17,IF(P177&lt;=29,18,IF(P177&lt;=32,19,IF(P177&lt;=34,20,IF(P177&lt;=36,21,IF(P177&lt;=40,22,24)))))))))))))</f>
        <v>16</v>
      </c>
      <c r="S177" s="3" t="n">
        <f aca="false">ROUND((Q177+R177+I177+J177+M177+N177)/3,0)</f>
        <v>16</v>
      </c>
      <c r="T177" s="17" t="n">
        <f aca="false">F177*LOG10(S177+2)</f>
        <v>5.02109002041322</v>
      </c>
    </row>
    <row r="178" customFormat="false" ht="14.65" hidden="false" customHeight="true" outlineLevel="0" collapsed="false">
      <c r="A178" s="13" t="s">
        <v>235</v>
      </c>
      <c r="B178" s="14" t="n">
        <v>39981</v>
      </c>
      <c r="C178" s="15" t="s">
        <v>27</v>
      </c>
      <c r="D178" s="4" t="s">
        <v>47</v>
      </c>
      <c r="E178" s="3" t="n">
        <v>5</v>
      </c>
      <c r="F178" s="3" t="n">
        <v>4</v>
      </c>
      <c r="G178" s="3" t="n">
        <v>90</v>
      </c>
      <c r="I178" s="3" t="n">
        <f aca="false">_xlfn.IFS(G178="взв",11,G178="накл",24,G178="прокл",25,G178="пт",26,G178=90,10,G178=85,10,G178=80,9,G178=75,8,G178=70,8,G178=65,7,G178=60,7,G178=55,6,G178=50,6,G178=45,6,G178=40,5,G178=35,4,G178=30,4,G178=25,3,G178=20,2,G178=15,1,G178=10,1,G178=0,0)</f>
        <v>10</v>
      </c>
      <c r="J178" s="3" t="n">
        <f aca="false">IF(H178&lt;=1,0,IF(H178&lt;=10,11,IF(H178&lt;=14,12,IF(H178&lt;=17,13,IF(H178&lt;=20,14,IF(H178&lt;=22,15,IF(H178&lt;=25,16,IF(H178&lt;=27,17,IF(H178&lt;=29,18,IF(H178&lt;=32,19,IF(H178&lt;=34,20,IF(H178&lt;=36,21,IF(H178&lt;=40,22,24)))))))))))))</f>
        <v>0</v>
      </c>
      <c r="K178" s="3" t="n">
        <v>15</v>
      </c>
      <c r="M178" s="3" t="n">
        <f aca="false">_xlfn.IFS(K178="взв",11,K178="накл",24,K178="прокл",25,K178="пт",26,K178=90,10,K178=85,10,K178=80,9,K178=75,8,K178=70,8,K178=65,7,K178=60,7,K178=55,6,K178=50,6,K178=45,6,K178=40,5,K178=35,4,K178=30,4,K178=25,3,K178=20,2,K178=15,1,K178=10,1,K178=0,0)</f>
        <v>1</v>
      </c>
      <c r="N178" s="3" t="n">
        <f aca="false">IF(L178&lt;=1,0,IF(L178&lt;=10,11,IF(L178&lt;=14,12,IF(L178&lt;=17,13,IF(L178&lt;=20,14,IF(L178&lt;=22,15,IF(L178&lt;=25,16,IF(L178&lt;=27,17,IF(L178&lt;=29,18,IF(L178&lt;=32,19,IF(L178&lt;=34,20,IF(L178&lt;=36,21,IF(L178&lt;=40,22,24)))))))))))))</f>
        <v>0</v>
      </c>
      <c r="O178" s="3" t="n">
        <v>30</v>
      </c>
      <c r="Q178" s="3" t="n">
        <f aca="false">_xlfn.IFS(O178="взв",11,O178="накл",24,O178="прокл",25,O178="пт",26,O178=90,10,O178=85,10,O178=80,9,O178=75,8,O178=70,8,O178=65,7,O178=60,7,O178=55,6,O178=50,6,O178=45,6,O178=40,5,O178=35,4,O178=30,4,O178=25,3,O178=20,2,O178=15,1,O178=10,1,O178=0,0)</f>
        <v>4</v>
      </c>
      <c r="R178" s="3" t="n">
        <f aca="false">IF(P178&lt;=1,0,IF(P178&lt;=10,11,IF(P178&lt;=14,12,IF(P178&lt;=17,13,IF(P178&lt;=20,14,IF(P178&lt;=22,15,IF(P178&lt;=25,16,IF(P178&lt;=27,17,IF(P178&lt;=29,18,IF(P178&lt;=32,19,IF(P178&lt;=34,20,IF(P178&lt;=36,21,IF(P178&lt;=40,22,24)))))))))))))</f>
        <v>0</v>
      </c>
      <c r="S178" s="3" t="n">
        <f aca="false">ROUND((Q178+R178+I178+J178+M178+N178)/3,0)</f>
        <v>5</v>
      </c>
      <c r="T178" s="17" t="n">
        <f aca="false">F178*LOG10(S178+2)</f>
        <v>3.38039216005703</v>
      </c>
    </row>
    <row r="179" customFormat="false" ht="14.65" hidden="false" customHeight="true" outlineLevel="0" collapsed="false">
      <c r="A179" s="13" t="s">
        <v>236</v>
      </c>
      <c r="B179" s="14" t="n">
        <v>39981</v>
      </c>
      <c r="C179" s="15" t="s">
        <v>27</v>
      </c>
      <c r="D179" s="4" t="s">
        <v>47</v>
      </c>
      <c r="E179" s="3" t="n">
        <v>1</v>
      </c>
      <c r="F179" s="3" t="n">
        <v>4</v>
      </c>
      <c r="H179" s="3" t="n">
        <v>32</v>
      </c>
      <c r="I179" s="3" t="n">
        <f aca="false">_xlfn.IFS(G179="взв",11,G179="накл",24,G179="прокл",25,G179="пт",26,G179=90,10,G179=85,10,G179=80,9,G179=75,8,G179=70,8,G179=65,7,G179=60,7,G179=55,6,G179=50,6,G179=45,6,G179=40,5,G179=35,4,G179=30,4,G179=25,3,G179=20,2,G179=15,1,G179=10,1,G179=0,0)</f>
        <v>0</v>
      </c>
      <c r="J179" s="3" t="n">
        <f aca="false">IF(H179&lt;=1,0,IF(H179&lt;=10,11,IF(H179&lt;=14,12,IF(H179&lt;=17,13,IF(H179&lt;=20,14,IF(H179&lt;=22,15,IF(H179&lt;=25,16,IF(H179&lt;=27,17,IF(H179&lt;=29,18,IF(H179&lt;=32,19,IF(H179&lt;=34,20,IF(H179&lt;=36,21,IF(H179&lt;=40,22,24)))))))))))))</f>
        <v>19</v>
      </c>
      <c r="M179" s="3" t="n">
        <f aca="false">_xlfn.IFS(K179="взв",11,K179="накл",24,K179="прокл",25,K179="пт",26,K179=90,10,K179=85,10,K179=80,9,K179=75,8,K179=70,8,K179=65,7,K179=60,7,K179=55,6,K179=50,6,K179=45,6,K179=40,5,K179=35,4,K179=30,4,K179=25,3,K179=20,2,K179=15,1,K179=10,1,K179=0,0)</f>
        <v>0</v>
      </c>
      <c r="N179" s="3" t="n">
        <f aca="false">IF(L179&lt;=1,0,IF(L179&lt;=10,11,IF(L179&lt;=14,12,IF(L179&lt;=17,13,IF(L179&lt;=20,14,IF(L179&lt;=22,15,IF(L179&lt;=25,16,IF(L179&lt;=27,17,IF(L179&lt;=29,18,IF(L179&lt;=32,19,IF(L179&lt;=34,20,IF(L179&lt;=36,21,IF(L179&lt;=40,22,24)))))))))))))</f>
        <v>0</v>
      </c>
      <c r="Q179" s="3" t="n">
        <f aca="false">_xlfn.IFS(O179="взв",11,O179="накл",24,O179="прокл",25,O179="пт",26,O179=90,10,O179=85,10,O179=80,9,O179=75,8,O179=70,8,O179=65,7,O179=60,7,O179=55,6,O179=50,6,O179=45,6,O179=40,5,O179=35,4,O179=30,4,O179=25,3,O179=20,2,O179=15,1,O179=10,1,O179=0,0)</f>
        <v>0</v>
      </c>
      <c r="R179" s="3" t="n">
        <f aca="false">IF(P179&lt;=1,0,IF(P179&lt;=10,11,IF(P179&lt;=14,12,IF(P179&lt;=17,13,IF(P179&lt;=20,14,IF(P179&lt;=22,15,IF(P179&lt;=25,16,IF(P179&lt;=27,17,IF(P179&lt;=29,18,IF(P179&lt;=32,19,IF(P179&lt;=34,20,IF(P179&lt;=36,21,IF(P179&lt;=40,22,24)))))))))))))</f>
        <v>0</v>
      </c>
      <c r="S179" s="3" t="n">
        <v>19</v>
      </c>
      <c r="T179" s="17" t="n">
        <f aca="false">F179*LOG10(S179+2)</f>
        <v>5.28887717893568</v>
      </c>
    </row>
    <row r="180" customFormat="false" ht="14.65" hidden="false" customHeight="true" outlineLevel="0" collapsed="false">
      <c r="A180" s="13" t="s">
        <v>237</v>
      </c>
      <c r="B180" s="14" t="n">
        <v>39981</v>
      </c>
      <c r="C180" s="15" t="s">
        <v>27</v>
      </c>
      <c r="D180" s="4" t="s">
        <v>47</v>
      </c>
      <c r="E180" s="3" t="n">
        <v>2</v>
      </c>
      <c r="F180" s="3" t="n">
        <v>4</v>
      </c>
      <c r="H180" s="3" t="n">
        <v>33</v>
      </c>
      <c r="I180" s="3" t="n">
        <f aca="false">_xlfn.IFS(G180="взв",11,G180="накл",24,G180="прокл",25,G180="пт",26,G180=90,10,G180=85,10,G180=80,9,G180=75,8,G180=70,8,G180=65,7,G180=60,7,G180=55,6,G180=50,6,G180=45,6,G180=40,5,G180=35,4,G180=30,4,G180=25,3,G180=20,2,G180=15,1,G180=10,1,G180=0,0)</f>
        <v>0</v>
      </c>
      <c r="J180" s="3" t="n">
        <f aca="false">IF(H180&lt;=1,0,IF(H180&lt;=10,11,IF(H180&lt;=14,12,IF(H180&lt;=17,13,IF(H180&lt;=20,14,IF(H180&lt;=22,15,IF(H180&lt;=25,16,IF(H180&lt;=27,17,IF(H180&lt;=29,18,IF(H180&lt;=32,19,IF(H180&lt;=34,20,IF(H180&lt;=36,21,IF(H180&lt;=40,22,24)))))))))))))</f>
        <v>20</v>
      </c>
      <c r="L180" s="3" t="n">
        <v>30</v>
      </c>
      <c r="M180" s="3" t="n">
        <f aca="false">_xlfn.IFS(K180="взв",11,K180="накл",24,K180="прокл",25,K180="пт",26,K180=90,10,K180=85,10,K180=80,9,K180=75,8,K180=70,8,K180=65,7,K180=60,7,K180=55,6,K180=50,6,K180=45,6,K180=40,5,K180=35,4,K180=30,4,K180=25,3,K180=20,2,K180=15,1,K180=10,1,K180=0,0)</f>
        <v>0</v>
      </c>
      <c r="N180" s="3" t="n">
        <f aca="false">IF(L180&lt;=1,0,IF(L180&lt;=10,11,IF(L180&lt;=14,12,IF(L180&lt;=17,13,IF(L180&lt;=20,14,IF(L180&lt;=22,15,IF(L180&lt;=25,16,IF(L180&lt;=27,17,IF(L180&lt;=29,18,IF(L180&lt;=32,19,IF(L180&lt;=34,20,IF(L180&lt;=36,21,IF(L180&lt;=40,22,24)))))))))))))</f>
        <v>19</v>
      </c>
      <c r="Q180" s="3" t="n">
        <f aca="false">_xlfn.IFS(O180="взв",11,O180="накл",24,O180="прокл",25,O180="пт",26,O180=90,10,O180=85,10,O180=80,9,O180=75,8,O180=70,8,O180=65,7,O180=60,7,O180=55,6,O180=50,6,O180=45,6,O180=40,5,O180=35,4,O180=30,4,O180=25,3,O180=20,2,O180=15,1,O180=10,1,O180=0,0)</f>
        <v>0</v>
      </c>
      <c r="R180" s="3" t="n">
        <f aca="false">IF(P180&lt;=1,0,IF(P180&lt;=10,11,IF(P180&lt;=14,12,IF(P180&lt;=17,13,IF(P180&lt;=20,14,IF(P180&lt;=22,15,IF(P180&lt;=25,16,IF(P180&lt;=27,17,IF(P180&lt;=29,18,IF(P180&lt;=32,19,IF(P180&lt;=34,20,IF(P180&lt;=36,21,IF(P180&lt;=40,22,24)))))))))))))</f>
        <v>0</v>
      </c>
      <c r="S180" s="3" t="n">
        <f aca="false">ROUND((Q180+R180+I180+J180+M180+N180)/2,0)</f>
        <v>20</v>
      </c>
      <c r="T180" s="17" t="n">
        <f aca="false">F180*LOG10(S180+2)</f>
        <v>5.36969072328883</v>
      </c>
    </row>
    <row r="181" customFormat="false" ht="14.65" hidden="false" customHeight="true" outlineLevel="0" collapsed="false">
      <c r="A181" s="13" t="s">
        <v>238</v>
      </c>
      <c r="B181" s="14" t="n">
        <v>39981</v>
      </c>
      <c r="C181" s="15" t="s">
        <v>27</v>
      </c>
      <c r="D181" s="4" t="s">
        <v>45</v>
      </c>
      <c r="E181" s="3" t="n">
        <v>3</v>
      </c>
      <c r="F181" s="3" t="n">
        <v>4</v>
      </c>
      <c r="H181" s="3" t="n">
        <v>31</v>
      </c>
      <c r="I181" s="3" t="n">
        <f aca="false">_xlfn.IFS(G181="взв",11,G181="накл",24,G181="прокл",25,G181="пт",26,G181=90,10,G181=85,10,G181=80,9,G181=75,8,G181=70,8,G181=65,7,G181=60,7,G181=55,6,G181=50,6,G181=45,6,G181=40,5,G181=35,4,G181=30,4,G181=25,3,G181=20,2,G181=15,1,G181=10,1,G181=0,0)</f>
        <v>0</v>
      </c>
      <c r="J181" s="3" t="n">
        <f aca="false">IF(H181&lt;=1,0,IF(H181&lt;=10,11,IF(H181&lt;=14,12,IF(H181&lt;=17,13,IF(H181&lt;=20,14,IF(H181&lt;=22,15,IF(H181&lt;=25,16,IF(H181&lt;=27,17,IF(H181&lt;=29,18,IF(H181&lt;=32,19,IF(H181&lt;=34,20,IF(H181&lt;=36,21,IF(H181&lt;=40,22,24)))))))))))))</f>
        <v>19</v>
      </c>
      <c r="L181" s="3" t="n">
        <v>33</v>
      </c>
      <c r="M181" s="3" t="n">
        <f aca="false">_xlfn.IFS(K181="взв",11,K181="накл",24,K181="прокл",25,K181="пт",26,K181=90,10,K181=85,10,K181=80,9,K181=75,8,K181=70,8,K181=65,7,K181=60,7,K181=55,6,K181=50,6,K181=45,6,K181=40,5,K181=35,4,K181=30,4,K181=25,3,K181=20,2,K181=15,1,K181=10,1,K181=0,0)</f>
        <v>0</v>
      </c>
      <c r="N181" s="3" t="n">
        <f aca="false">IF(L181&lt;=1,0,IF(L181&lt;=10,11,IF(L181&lt;=14,12,IF(L181&lt;=17,13,IF(L181&lt;=20,14,IF(L181&lt;=22,15,IF(L181&lt;=25,16,IF(L181&lt;=27,17,IF(L181&lt;=29,18,IF(L181&lt;=32,19,IF(L181&lt;=34,20,IF(L181&lt;=36,21,IF(L181&lt;=40,22,24)))))))))))))</f>
        <v>20</v>
      </c>
      <c r="P181" s="3" t="n">
        <v>32</v>
      </c>
      <c r="Q181" s="3" t="n">
        <f aca="false">_xlfn.IFS(O181="взв",11,O181="накл",24,O181="прокл",25,O181="пт",26,O181=90,10,O181=85,10,O181=80,9,O181=75,8,O181=70,8,O181=65,7,O181=60,7,O181=55,6,O181=50,6,O181=45,6,O181=40,5,O181=35,4,O181=30,4,O181=25,3,O181=20,2,O181=15,1,O181=10,1,O181=0,0)</f>
        <v>0</v>
      </c>
      <c r="R181" s="3" t="n">
        <f aca="false">IF(P181&lt;=1,0,IF(P181&lt;=10,11,IF(P181&lt;=14,12,IF(P181&lt;=17,13,IF(P181&lt;=20,14,IF(P181&lt;=22,15,IF(P181&lt;=25,16,IF(P181&lt;=27,17,IF(P181&lt;=29,18,IF(P181&lt;=32,19,IF(P181&lt;=34,20,IF(P181&lt;=36,21,IF(P181&lt;=40,22,24)))))))))))))</f>
        <v>19</v>
      </c>
      <c r="S181" s="3" t="n">
        <f aca="false">ROUND((Q181+R181+I181+J181+M181+N181)/3,0)</f>
        <v>19</v>
      </c>
      <c r="T181" s="17" t="n">
        <f aca="false">F181*LOG10(S181+2)</f>
        <v>5.28887717893568</v>
      </c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</row>
    <row r="182" customFormat="false" ht="14.65" hidden="false" customHeight="true" outlineLevel="0" collapsed="false">
      <c r="A182" s="13" t="s">
        <v>239</v>
      </c>
      <c r="B182" s="14" t="n">
        <v>39981</v>
      </c>
      <c r="C182" s="15" t="s">
        <v>27</v>
      </c>
      <c r="D182" s="4" t="s">
        <v>51</v>
      </c>
      <c r="E182" s="3" t="n">
        <v>5</v>
      </c>
      <c r="F182" s="3" t="n">
        <v>4</v>
      </c>
      <c r="H182" s="3" t="n">
        <v>40</v>
      </c>
      <c r="I182" s="3" t="n">
        <f aca="false">_xlfn.IFS(G182="взв",11,G182="накл",24,G182="прокл",25,G182="пт",26,G182=90,10,G182=85,10,G182=80,9,G182=75,8,G182=70,8,G182=65,7,G182=60,7,G182=55,6,G182=50,6,G182=45,6,G182=40,5,G182=35,4,G182=30,4,G182=25,3,G182=20,2,G182=15,1,G182=10,1,G182=0,0)</f>
        <v>0</v>
      </c>
      <c r="J182" s="3" t="n">
        <f aca="false">IF(H182&lt;=1,0,IF(H182&lt;=10,11,IF(H182&lt;=14,12,IF(H182&lt;=17,13,IF(H182&lt;=20,14,IF(H182&lt;=22,15,IF(H182&lt;=25,16,IF(H182&lt;=27,17,IF(H182&lt;=29,18,IF(H182&lt;=32,19,IF(H182&lt;=34,20,IF(H182&lt;=36,21,IF(H182&lt;=40,22,24)))))))))))))</f>
        <v>22</v>
      </c>
      <c r="L182" s="3" t="n">
        <v>39</v>
      </c>
      <c r="M182" s="3" t="n">
        <f aca="false">_xlfn.IFS(K182="взв",11,K182="накл",24,K182="прокл",25,K182="пт",26,K182=90,10,K182=85,10,K182=80,9,K182=75,8,K182=70,8,K182=65,7,K182=60,7,K182=55,6,K182=50,6,K182=45,6,K182=40,5,K182=35,4,K182=30,4,K182=25,3,K182=20,2,K182=15,1,K182=10,1,K182=0,0)</f>
        <v>0</v>
      </c>
      <c r="N182" s="3" t="n">
        <f aca="false">IF(L182&lt;=1,0,IF(L182&lt;=10,11,IF(L182&lt;=14,12,IF(L182&lt;=17,13,IF(L182&lt;=20,14,IF(L182&lt;=22,15,IF(L182&lt;=25,16,IF(L182&lt;=27,17,IF(L182&lt;=29,18,IF(L182&lt;=32,19,IF(L182&lt;=34,20,IF(L182&lt;=36,21,IF(L182&lt;=40,22,24)))))))))))))</f>
        <v>22</v>
      </c>
      <c r="P182" s="3" t="n">
        <v>38</v>
      </c>
      <c r="Q182" s="3" t="n">
        <f aca="false">_xlfn.IFS(O182="взв",11,O182="накл",24,O182="прокл",25,O182="пт",26,O182=90,10,O182=85,10,O182=80,9,O182=75,8,O182=70,8,O182=65,7,O182=60,7,O182=55,6,O182=50,6,O182=45,6,O182=40,5,O182=35,4,O182=30,4,O182=25,3,O182=20,2,O182=15,1,O182=10,1,O182=0,0)</f>
        <v>0</v>
      </c>
      <c r="R182" s="3" t="n">
        <f aca="false">IF(P182&lt;=1,0,IF(P182&lt;=10,11,IF(P182&lt;=14,12,IF(P182&lt;=17,13,IF(P182&lt;=20,14,IF(P182&lt;=22,15,IF(P182&lt;=25,16,IF(P182&lt;=27,17,IF(P182&lt;=29,18,IF(P182&lt;=32,19,IF(P182&lt;=34,20,IF(P182&lt;=36,21,IF(P182&lt;=40,22,24)))))))))))))</f>
        <v>22</v>
      </c>
      <c r="S182" s="3" t="n">
        <f aca="false">ROUND((Q182+R182+I182+J182+M182+N182)/3,0)</f>
        <v>22</v>
      </c>
      <c r="T182" s="17" t="n">
        <f aca="false">F182*LOG10(S182+2)</f>
        <v>5.52084496684642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</row>
    <row r="183" customFormat="false" ht="14.65" hidden="false" customHeight="true" outlineLevel="0" collapsed="false">
      <c r="A183" s="13" t="s">
        <v>240</v>
      </c>
      <c r="B183" s="14" t="n">
        <v>39985</v>
      </c>
      <c r="C183" s="15" t="s">
        <v>27</v>
      </c>
      <c r="D183" s="4" t="s">
        <v>64</v>
      </c>
      <c r="E183" s="3" t="n">
        <v>4</v>
      </c>
      <c r="F183" s="3" t="n">
        <v>4</v>
      </c>
      <c r="H183" s="3" t="n">
        <v>34</v>
      </c>
      <c r="I183" s="3" t="n">
        <f aca="false">_xlfn.IFS(G183="взв",11,G183="накл",24,G183="прокл",25,G183="пт",26,G183=90,10,G183=85,10,G183=80,9,G183=75,8,G183=70,8,G183=65,7,G183=60,7,G183=55,6,G183=50,6,G183=45,6,G183=40,5,G183=35,4,G183=30,4,G183=25,3,G183=20,2,G183=15,1,G183=10,1,G183=0,0)</f>
        <v>0</v>
      </c>
      <c r="J183" s="3" t="n">
        <f aca="false">IF(H183&lt;=1,0,IF(H183&lt;=10,11,IF(H183&lt;=14,12,IF(H183&lt;=17,13,IF(H183&lt;=20,14,IF(H183&lt;=22,15,IF(H183&lt;=25,16,IF(H183&lt;=27,17,IF(H183&lt;=29,18,IF(H183&lt;=32,19,IF(H183&lt;=34,20,IF(H183&lt;=36,21,IF(H183&lt;=40,22,24)))))))))))))</f>
        <v>20</v>
      </c>
      <c r="L183" s="3" t="n">
        <v>36</v>
      </c>
      <c r="M183" s="3" t="n">
        <f aca="false">_xlfn.IFS(K183="взв",11,K183="накл",24,K183="прокл",25,K183="пт",26,K183=90,10,K183=85,10,K183=80,9,K183=75,8,K183=70,8,K183=65,7,K183=60,7,K183=55,6,K183=50,6,K183=45,6,K183=40,5,K183=35,4,K183=30,4,K183=25,3,K183=20,2,K183=15,1,K183=10,1,K183=0,0)</f>
        <v>0</v>
      </c>
      <c r="N183" s="3" t="n">
        <f aca="false">IF(L183&lt;=1,0,IF(L183&lt;=10,11,IF(L183&lt;=14,12,IF(L183&lt;=17,13,IF(L183&lt;=20,14,IF(L183&lt;=22,15,IF(L183&lt;=25,16,IF(L183&lt;=27,17,IF(L183&lt;=29,18,IF(L183&lt;=32,19,IF(L183&lt;=34,20,IF(L183&lt;=36,21,IF(L183&lt;=40,22,24)))))))))))))</f>
        <v>21</v>
      </c>
      <c r="P183" s="3" t="n">
        <v>33</v>
      </c>
      <c r="Q183" s="3" t="n">
        <f aca="false">_xlfn.IFS(O183="взв",11,O183="накл",24,O183="прокл",25,O183="пт",26,O183=90,10,O183=85,10,O183=80,9,O183=75,8,O183=70,8,O183=65,7,O183=60,7,O183=55,6,O183=50,6,O183=45,6,O183=40,5,O183=35,4,O183=30,4,O183=25,3,O183=20,2,O183=15,1,O183=10,1,O183=0,0)</f>
        <v>0</v>
      </c>
      <c r="R183" s="3" t="n">
        <f aca="false">IF(P183&lt;=1,0,IF(P183&lt;=10,11,IF(P183&lt;=14,12,IF(P183&lt;=17,13,IF(P183&lt;=20,14,IF(P183&lt;=22,15,IF(P183&lt;=25,16,IF(P183&lt;=27,17,IF(P183&lt;=29,18,IF(P183&lt;=32,19,IF(P183&lt;=34,20,IF(P183&lt;=36,21,IF(P183&lt;=40,22,24)))))))))))))</f>
        <v>20</v>
      </c>
      <c r="S183" s="3" t="n">
        <f aca="false">ROUND((Q183+R183+I183+J183+M183+N183)/3,0)</f>
        <v>20</v>
      </c>
      <c r="T183" s="17" t="n">
        <f aca="false">F183*LOG10(S183+2)</f>
        <v>5.36969072328883</v>
      </c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</row>
    <row r="184" customFormat="false" ht="14.65" hidden="false" customHeight="true" outlineLevel="0" collapsed="false">
      <c r="A184" s="13" t="s">
        <v>241</v>
      </c>
      <c r="B184" s="14" t="n">
        <v>39985</v>
      </c>
      <c r="C184" s="15" t="s">
        <v>27</v>
      </c>
      <c r="D184" s="4" t="s">
        <v>64</v>
      </c>
      <c r="E184" s="3" t="n">
        <v>4</v>
      </c>
      <c r="F184" s="3" t="n">
        <v>4</v>
      </c>
      <c r="G184" s="3" t="s">
        <v>81</v>
      </c>
      <c r="I184" s="3" t="n">
        <f aca="false">_xlfn.IFS(G184="взв",11,G184="накл",24,G184="прокл",25,G184="пт",26,G184=90,10,G184=85,10,G184=80,9,G184=75,8,G184=70,8,G184=65,7,G184=60,7,G184=55,6,G184=50,6,G184=45,6,G184=40,5,G184=35,4,G184=30,4,G184=25,3,G184=20,2,G184=15,1,G184=10,1,G184=0,0)</f>
        <v>25</v>
      </c>
      <c r="J184" s="3" t="n">
        <f aca="false">IF(H184&lt;=1,0,IF(H184&lt;=10,11,IF(H184&lt;=14,12,IF(H184&lt;=17,13,IF(H184&lt;=20,14,IF(H184&lt;=22,15,IF(H184&lt;=25,16,IF(H184&lt;=27,17,IF(H184&lt;=29,18,IF(H184&lt;=32,19,IF(H184&lt;=34,20,IF(H184&lt;=36,21,IF(H184&lt;=40,22,24)))))))))))))</f>
        <v>0</v>
      </c>
      <c r="K184" s="3" t="s">
        <v>36</v>
      </c>
      <c r="M184" s="3" t="n">
        <f aca="false">_xlfn.IFS(K184="взв",11,K184="накл",24,K184="прокл",25,K184="пт",26,K184=90,10,K184=85,10,K184=80,9,K184=75,8,K184=70,8,K184=65,7,K184=60,7,K184=55,6,K184=50,6,K184=45,6,K184=40,5,K184=35,4,K184=30,4,K184=25,3,K184=20,2,K184=15,1,K184=10,1,K184=0,0)</f>
        <v>26</v>
      </c>
      <c r="N184" s="3" t="n">
        <f aca="false">IF(L184&lt;=1,0,IF(L184&lt;=10,11,IF(L184&lt;=14,12,IF(L184&lt;=17,13,IF(L184&lt;=20,14,IF(L184&lt;=22,15,IF(L184&lt;=25,16,IF(L184&lt;=27,17,IF(L184&lt;=29,18,IF(L184&lt;=32,19,IF(L184&lt;=34,20,IF(L184&lt;=36,21,IF(L184&lt;=40,22,24)))))))))))))</f>
        <v>0</v>
      </c>
      <c r="O184" s="3" t="s">
        <v>36</v>
      </c>
      <c r="Q184" s="3" t="n">
        <f aca="false">_xlfn.IFS(O184="взв",11,O184="накл",24,O184="прокл",25,O184="пт",26,O184=90,10,O184=85,10,O184=80,9,O184=75,8,O184=70,8,O184=65,7,O184=60,7,O184=55,6,O184=50,6,O184=45,6,O184=40,5,O184=35,4,O184=30,4,O184=25,3,O184=20,2,O184=15,1,O184=10,1,O184=0,0)</f>
        <v>26</v>
      </c>
      <c r="R184" s="3" t="n">
        <f aca="false">IF(P184&lt;=1,0,IF(P184&lt;=10,11,IF(P184&lt;=14,12,IF(P184&lt;=17,13,IF(P184&lt;=20,14,IF(P184&lt;=22,15,IF(P184&lt;=25,16,IF(P184&lt;=27,17,IF(P184&lt;=29,18,IF(P184&lt;=32,19,IF(P184&lt;=34,20,IF(P184&lt;=36,21,IF(P184&lt;=40,22,24)))))))))))))</f>
        <v>0</v>
      </c>
      <c r="S184" s="3" t="n">
        <f aca="false">ROUND((Q184+R184+I184+J184+M184+N184)/3,0)</f>
        <v>26</v>
      </c>
      <c r="T184" s="17" t="n">
        <f aca="false">F184*LOG10(S184+2)</f>
        <v>5.78863212536888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</row>
    <row r="185" customFormat="false" ht="14.65" hidden="false" customHeight="true" outlineLevel="0" collapsed="false">
      <c r="A185" s="13" t="s">
        <v>242</v>
      </c>
      <c r="B185" s="14" t="n">
        <v>39985</v>
      </c>
      <c r="C185" s="15" t="s">
        <v>27</v>
      </c>
      <c r="D185" s="4" t="s">
        <v>64</v>
      </c>
      <c r="E185" s="3" t="n">
        <v>2</v>
      </c>
      <c r="F185" s="3" t="n">
        <v>4</v>
      </c>
      <c r="G185" s="3" t="n">
        <v>60</v>
      </c>
      <c r="I185" s="3" t="n">
        <f aca="false">_xlfn.IFS(G185="взв",11,G185="накл",24,G185="прокл",25,G185="пт",26,G185=90,10,G185=85,10,G185=80,9,G185=75,8,G185=70,8,G185=65,7,G185=60,7,G185=55,6,G185=50,6,G185=45,6,G185=40,5,G185=35,4,G185=30,4,G185=25,3,G185=20,2,G185=15,1,G185=10,1,G185=0,0)</f>
        <v>7</v>
      </c>
      <c r="J185" s="3" t="n">
        <f aca="false">IF(H185&lt;=1,0,IF(H185&lt;=10,11,IF(H185&lt;=14,12,IF(H185&lt;=17,13,IF(H185&lt;=20,14,IF(H185&lt;=22,15,IF(H185&lt;=25,16,IF(H185&lt;=27,17,IF(H185&lt;=29,18,IF(H185&lt;=32,19,IF(H185&lt;=34,20,IF(H185&lt;=36,21,IF(H185&lt;=40,22,24)))))))))))))</f>
        <v>0</v>
      </c>
      <c r="K185" s="3" t="n">
        <v>45</v>
      </c>
      <c r="M185" s="3" t="n">
        <f aca="false">_xlfn.IFS(K185="взв",11,K185="накл",24,K185="прокл",25,K185="пт",26,K185=90,10,K185=85,10,K185=80,9,K185=75,8,K185=70,8,K185=65,7,K185=60,7,K185=55,6,K185=50,6,K185=45,6,K185=40,5,K185=35,4,K185=30,4,K185=25,3,K185=20,2,K185=15,1,K185=10,1,K185=0,0)</f>
        <v>6</v>
      </c>
      <c r="N185" s="3" t="n">
        <f aca="false">IF(L185&lt;=1,0,IF(L185&lt;=10,11,IF(L185&lt;=14,12,IF(L185&lt;=17,13,IF(L185&lt;=20,14,IF(L185&lt;=22,15,IF(L185&lt;=25,16,IF(L185&lt;=27,17,IF(L185&lt;=29,18,IF(L185&lt;=32,19,IF(L185&lt;=34,20,IF(L185&lt;=36,21,IF(L185&lt;=40,22,24)))))))))))))</f>
        <v>0</v>
      </c>
      <c r="Q185" s="3" t="n">
        <f aca="false">_xlfn.IFS(O185="взв",11,O185="накл",24,O185="прокл",25,O185="пт",26,O185=90,10,O185=85,10,O185=80,9,O185=75,8,O185=70,8,O185=65,7,O185=60,7,O185=55,6,O185=50,6,O185=45,6,O185=40,5,O185=35,4,O185=30,4,O185=25,3,O185=20,2,O185=15,1,O185=10,1,O185=0,0)</f>
        <v>0</v>
      </c>
      <c r="R185" s="3" t="n">
        <f aca="false">IF(P185&lt;=1,0,IF(P185&lt;=10,11,IF(P185&lt;=14,12,IF(P185&lt;=17,13,IF(P185&lt;=20,14,IF(P185&lt;=22,15,IF(P185&lt;=25,16,IF(P185&lt;=27,17,IF(P185&lt;=29,18,IF(P185&lt;=32,19,IF(P185&lt;=34,20,IF(P185&lt;=36,21,IF(P185&lt;=40,22,24)))))))))))))</f>
        <v>0</v>
      </c>
      <c r="S185" s="3" t="n">
        <f aca="false">ROUND((Q185+R185+I185+J185+M185+N185)/2,0)</f>
        <v>7</v>
      </c>
      <c r="T185" s="17" t="n">
        <f aca="false">F185*LOG10(S185+2)</f>
        <v>3.8169700377573</v>
      </c>
    </row>
    <row r="186" customFormat="false" ht="14.65" hidden="false" customHeight="true" outlineLevel="0" collapsed="false">
      <c r="A186" s="13" t="s">
        <v>243</v>
      </c>
      <c r="B186" s="14" t="n">
        <v>39985</v>
      </c>
      <c r="C186" s="15" t="s">
        <v>27</v>
      </c>
      <c r="D186" s="4" t="s">
        <v>64</v>
      </c>
      <c r="E186" s="3" t="n">
        <v>4</v>
      </c>
      <c r="F186" s="3" t="n">
        <v>4</v>
      </c>
      <c r="G186" s="3" t="n">
        <v>60</v>
      </c>
      <c r="I186" s="3" t="n">
        <f aca="false">_xlfn.IFS(G186="взв",11,G186="накл",24,G186="прокл",25,G186="пт",26,G186=90,10,G186=85,10,G186=80,9,G186=75,8,G186=70,8,G186=65,7,G186=60,7,G186=55,6,G186=50,6,G186=45,6,G186=40,5,G186=35,4,G186=30,4,G186=25,3,G186=20,2,G186=15,1,G186=10,1,G186=0,0)</f>
        <v>7</v>
      </c>
      <c r="J186" s="3" t="n">
        <f aca="false">IF(H186&lt;=1,0,IF(H186&lt;=10,11,IF(H186&lt;=14,12,IF(H186&lt;=17,13,IF(H186&lt;=20,14,IF(H186&lt;=22,15,IF(H186&lt;=25,16,IF(H186&lt;=27,17,IF(H186&lt;=29,18,IF(H186&lt;=32,19,IF(H186&lt;=34,20,IF(H186&lt;=36,21,IF(H186&lt;=40,22,24)))))))))))))</f>
        <v>0</v>
      </c>
      <c r="K186" s="3" t="n">
        <v>45</v>
      </c>
      <c r="M186" s="3" t="n">
        <f aca="false">_xlfn.IFS(K186="взв",11,K186="накл",24,K186="прокл",25,K186="пт",26,K186=90,10,K186=85,10,K186=80,9,K186=75,8,K186=70,8,K186=65,7,K186=60,7,K186=55,6,K186=50,6,K186=45,6,K186=40,5,K186=35,4,K186=30,4,K186=25,3,K186=20,2,K186=15,1,K186=10,1,K186=0,0)</f>
        <v>6</v>
      </c>
      <c r="N186" s="3" t="n">
        <f aca="false">IF(L186&lt;=1,0,IF(L186&lt;=10,11,IF(L186&lt;=14,12,IF(L186&lt;=17,13,IF(L186&lt;=20,14,IF(L186&lt;=22,15,IF(L186&lt;=25,16,IF(L186&lt;=27,17,IF(L186&lt;=29,18,IF(L186&lt;=32,19,IF(L186&lt;=34,20,IF(L186&lt;=36,21,IF(L186&lt;=40,22,24)))))))))))))</f>
        <v>0</v>
      </c>
      <c r="O186" s="3" t="n">
        <v>45</v>
      </c>
      <c r="Q186" s="3" t="n">
        <f aca="false">_xlfn.IFS(O186="взв",11,O186="накл",24,O186="прокл",25,O186="пт",26,O186=90,10,O186=85,10,O186=80,9,O186=75,8,O186=70,8,O186=65,7,O186=60,7,O186=55,6,O186=50,6,O186=45,6,O186=40,5,O186=35,4,O186=30,4,O186=25,3,O186=20,2,O186=15,1,O186=10,1,O186=0,0)</f>
        <v>6</v>
      </c>
      <c r="R186" s="3" t="n">
        <f aca="false">IF(P186&lt;=1,0,IF(P186&lt;=10,11,IF(P186&lt;=14,12,IF(P186&lt;=17,13,IF(P186&lt;=20,14,IF(P186&lt;=22,15,IF(P186&lt;=25,16,IF(P186&lt;=27,17,IF(P186&lt;=29,18,IF(P186&lt;=32,19,IF(P186&lt;=34,20,IF(P186&lt;=36,21,IF(P186&lt;=40,22,24)))))))))))))</f>
        <v>0</v>
      </c>
      <c r="S186" s="3" t="n">
        <f aca="false">ROUND((Q186+R186+I186+J186+M186+N186)/3,0)</f>
        <v>6</v>
      </c>
      <c r="T186" s="17" t="n">
        <f aca="false">F186*LOG10(S186+2)</f>
        <v>3.61235994796777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</row>
    <row r="187" customFormat="false" ht="14.65" hidden="false" customHeight="true" outlineLevel="0" collapsed="false">
      <c r="A187" s="13" t="s">
        <v>244</v>
      </c>
      <c r="B187" s="14" t="n">
        <v>39985</v>
      </c>
      <c r="C187" s="15" t="s">
        <v>27</v>
      </c>
      <c r="D187" s="4" t="s">
        <v>31</v>
      </c>
      <c r="E187" s="3" t="n">
        <v>4</v>
      </c>
      <c r="F187" s="3" t="n">
        <v>4</v>
      </c>
      <c r="H187" s="3" t="n">
        <v>33</v>
      </c>
      <c r="I187" s="3" t="n">
        <f aca="false">_xlfn.IFS(G187="взв",11,G187="накл",24,G187="прокл",25,G187="пт",26,G187=90,10,G187=85,10,G187=80,9,G187=75,8,G187=70,8,G187=65,7,G187=60,7,G187=55,6,G187=50,6,G187=45,6,G187=40,5,G187=35,4,G187=30,4,G187=25,3,G187=20,2,G187=15,1,G187=10,1,G187=0,0)</f>
        <v>0</v>
      </c>
      <c r="J187" s="3" t="n">
        <f aca="false">IF(H187&lt;=1,0,IF(H187&lt;=10,11,IF(H187&lt;=14,12,IF(H187&lt;=17,13,IF(H187&lt;=20,14,IF(H187&lt;=22,15,IF(H187&lt;=25,16,IF(H187&lt;=27,17,IF(H187&lt;=29,18,IF(H187&lt;=32,19,IF(H187&lt;=34,20,IF(H187&lt;=36,21,IF(H187&lt;=40,22,24)))))))))))))</f>
        <v>20</v>
      </c>
      <c r="L187" s="3" t="n">
        <v>34</v>
      </c>
      <c r="M187" s="3" t="n">
        <f aca="false">_xlfn.IFS(K187="взв",11,K187="накл",24,K187="прокл",25,K187="пт",26,K187=90,10,K187=85,10,K187=80,9,K187=75,8,K187=70,8,K187=65,7,K187=60,7,K187=55,6,K187=50,6,K187=45,6,K187=40,5,K187=35,4,K187=30,4,K187=25,3,K187=20,2,K187=15,1,K187=10,1,K187=0,0)</f>
        <v>0</v>
      </c>
      <c r="N187" s="3" t="n">
        <f aca="false">IF(L187&lt;=1,0,IF(L187&lt;=10,11,IF(L187&lt;=14,12,IF(L187&lt;=17,13,IF(L187&lt;=20,14,IF(L187&lt;=22,15,IF(L187&lt;=25,16,IF(L187&lt;=27,17,IF(L187&lt;=29,18,IF(L187&lt;=32,19,IF(L187&lt;=34,20,IF(L187&lt;=36,21,IF(L187&lt;=40,22,24)))))))))))))</f>
        <v>20</v>
      </c>
      <c r="P187" s="3" t="n">
        <v>36</v>
      </c>
      <c r="Q187" s="3" t="n">
        <f aca="false">_xlfn.IFS(O187="взв",11,O187="накл",24,O187="прокл",25,O187="пт",26,O187=90,10,O187=85,10,O187=80,9,O187=75,8,O187=70,8,O187=65,7,O187=60,7,O187=55,6,O187=50,6,O187=45,6,O187=40,5,O187=35,4,O187=30,4,O187=25,3,O187=20,2,O187=15,1,O187=10,1,O187=0,0)</f>
        <v>0</v>
      </c>
      <c r="R187" s="3" t="n">
        <f aca="false">IF(P187&lt;=1,0,IF(P187&lt;=10,11,IF(P187&lt;=14,12,IF(P187&lt;=17,13,IF(P187&lt;=20,14,IF(P187&lt;=22,15,IF(P187&lt;=25,16,IF(P187&lt;=27,17,IF(P187&lt;=29,18,IF(P187&lt;=32,19,IF(P187&lt;=34,20,IF(P187&lt;=36,21,IF(P187&lt;=40,22,24)))))))))))))</f>
        <v>21</v>
      </c>
      <c r="S187" s="3" t="n">
        <f aca="false">ROUND((Q187+R187+I187+J187+M187+N187)/3,0)</f>
        <v>20</v>
      </c>
      <c r="T187" s="17" t="n">
        <f aca="false">F187*LOG10(S187+2)</f>
        <v>5.36969072328883</v>
      </c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</row>
    <row r="188" customFormat="false" ht="14.65" hidden="false" customHeight="true" outlineLevel="0" collapsed="false">
      <c r="A188" s="13" t="s">
        <v>245</v>
      </c>
      <c r="B188" s="14" t="n">
        <v>39985</v>
      </c>
      <c r="C188" s="15" t="s">
        <v>27</v>
      </c>
      <c r="D188" s="4" t="s">
        <v>31</v>
      </c>
      <c r="E188" s="3" t="n">
        <v>5</v>
      </c>
      <c r="F188" s="3" t="n">
        <v>4</v>
      </c>
      <c r="H188" s="3" t="n">
        <v>39</v>
      </c>
      <c r="I188" s="3" t="n">
        <f aca="false">_xlfn.IFS(G188="взв",11,G188="накл",24,G188="прокл",25,G188="пт",26,G188=90,10,G188=85,10,G188=80,9,G188=75,8,G188=70,8,G188=65,7,G188=60,7,G188=55,6,G188=50,6,G188=45,6,G188=40,5,G188=35,4,G188=30,4,G188=25,3,G188=20,2,G188=15,1,G188=10,1,G188=0,0)</f>
        <v>0</v>
      </c>
      <c r="J188" s="3" t="n">
        <f aca="false">IF(H188&lt;=1,0,IF(H188&lt;=10,11,IF(H188&lt;=14,12,IF(H188&lt;=17,13,IF(H188&lt;=20,14,IF(H188&lt;=22,15,IF(H188&lt;=25,16,IF(H188&lt;=27,17,IF(H188&lt;=29,18,IF(H188&lt;=32,19,IF(H188&lt;=34,20,IF(H188&lt;=36,21,IF(H188&lt;=40,22,24)))))))))))))</f>
        <v>22</v>
      </c>
      <c r="L188" s="3" t="n">
        <v>35</v>
      </c>
      <c r="M188" s="3" t="n">
        <f aca="false">_xlfn.IFS(K188="взв",11,K188="накл",24,K188="прокл",25,K188="пт",26,K188=90,10,K188=85,10,K188=80,9,K188=75,8,K188=70,8,K188=65,7,K188=60,7,K188=55,6,K188=50,6,K188=45,6,K188=40,5,K188=35,4,K188=30,4,K188=25,3,K188=20,2,K188=15,1,K188=10,1,K188=0,0)</f>
        <v>0</v>
      </c>
      <c r="N188" s="3" t="n">
        <f aca="false">IF(L188&lt;=1,0,IF(L188&lt;=10,11,IF(L188&lt;=14,12,IF(L188&lt;=17,13,IF(L188&lt;=20,14,IF(L188&lt;=22,15,IF(L188&lt;=25,16,IF(L188&lt;=27,17,IF(L188&lt;=29,18,IF(L188&lt;=32,19,IF(L188&lt;=34,20,IF(L188&lt;=36,21,IF(L188&lt;=40,22,24)))))))))))))</f>
        <v>21</v>
      </c>
      <c r="P188" s="3" t="n">
        <v>36</v>
      </c>
      <c r="Q188" s="3" t="n">
        <f aca="false">_xlfn.IFS(O188="взв",11,O188="накл",24,O188="прокл",25,O188="пт",26,O188=90,10,O188=85,10,O188=80,9,O188=75,8,O188=70,8,O188=65,7,O188=60,7,O188=55,6,O188=50,6,O188=45,6,O188=40,5,O188=35,4,O188=30,4,O188=25,3,O188=20,2,O188=15,1,O188=10,1,O188=0,0)</f>
        <v>0</v>
      </c>
      <c r="R188" s="3" t="n">
        <f aca="false">IF(P188&lt;=1,0,IF(P188&lt;=10,11,IF(P188&lt;=14,12,IF(P188&lt;=17,13,IF(P188&lt;=20,14,IF(P188&lt;=22,15,IF(P188&lt;=25,16,IF(P188&lt;=27,17,IF(P188&lt;=29,18,IF(P188&lt;=32,19,IF(P188&lt;=34,20,IF(P188&lt;=36,21,IF(P188&lt;=40,22,24)))))))))))))</f>
        <v>21</v>
      </c>
      <c r="S188" s="3" t="n">
        <f aca="false">ROUND((Q188+R188+I188+J188+M188+N188)/3,0)</f>
        <v>21</v>
      </c>
      <c r="T188" s="17" t="n">
        <f aca="false">F188*LOG10(S188+2)</f>
        <v>5.44691134407037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</row>
    <row r="189" customFormat="false" ht="14.65" hidden="false" customHeight="true" outlineLevel="0" collapsed="false">
      <c r="A189" s="13" t="s">
        <v>246</v>
      </c>
      <c r="B189" s="14" t="n">
        <v>39985</v>
      </c>
      <c r="C189" s="15" t="s">
        <v>27</v>
      </c>
      <c r="D189" s="4" t="s">
        <v>31</v>
      </c>
      <c r="E189" s="3" t="n">
        <v>3</v>
      </c>
      <c r="F189" s="3" t="n">
        <v>4</v>
      </c>
      <c r="G189" s="3" t="n">
        <v>75</v>
      </c>
      <c r="I189" s="3" t="n">
        <f aca="false">_xlfn.IFS(G189="взв",11,G189="накл",24,G189="прокл",25,G189="пт",26,G189=90,10,G189=85,10,G189=80,9,G189=75,8,G189=70,8,G189=65,7,G189=60,7,G189=55,6,G189=50,6,G189=45,6,G189=40,5,G189=35,4,G189=30,4,G189=25,3,G189=20,2,G189=15,1,G189=10,1,G189=0,0)</f>
        <v>8</v>
      </c>
      <c r="J189" s="3" t="n">
        <f aca="false">IF(H189&lt;=1,0,IF(H189&lt;=10,11,IF(H189&lt;=14,12,IF(H189&lt;=17,13,IF(H189&lt;=20,14,IF(H189&lt;=22,15,IF(H189&lt;=25,16,IF(H189&lt;=27,17,IF(H189&lt;=29,18,IF(H189&lt;=32,19,IF(H189&lt;=34,20,IF(H189&lt;=36,21,IF(H189&lt;=40,22,24)))))))))))))</f>
        <v>0</v>
      </c>
      <c r="K189" s="3" t="n">
        <v>75</v>
      </c>
      <c r="M189" s="3" t="n">
        <f aca="false">_xlfn.IFS(K189="взв",11,K189="накл",24,K189="прокл",25,K189="пт",26,K189=90,10,K189=85,10,K189=80,9,K189=75,8,K189=70,8,K189=65,7,K189=60,7,K189=55,6,K189=50,6,K189=45,6,K189=40,5,K189=35,4,K189=30,4,K189=25,3,K189=20,2,K189=15,1,K189=10,1,K189=0,0)</f>
        <v>8</v>
      </c>
      <c r="N189" s="3" t="n">
        <f aca="false">IF(L189&lt;=1,0,IF(L189&lt;=10,11,IF(L189&lt;=14,12,IF(L189&lt;=17,13,IF(L189&lt;=20,14,IF(L189&lt;=22,15,IF(L189&lt;=25,16,IF(L189&lt;=27,17,IF(L189&lt;=29,18,IF(L189&lt;=32,19,IF(L189&lt;=34,20,IF(L189&lt;=36,21,IF(L189&lt;=40,22,24)))))))))))))</f>
        <v>0</v>
      </c>
      <c r="O189" s="3" t="n">
        <v>90</v>
      </c>
      <c r="Q189" s="3" t="n">
        <f aca="false">_xlfn.IFS(O189="взв",11,O189="накл",24,O189="прокл",25,O189="пт",26,O189=90,10,O189=85,10,O189=80,9,O189=75,8,O189=70,8,O189=65,7,O189=60,7,O189=55,6,O189=50,6,O189=45,6,O189=40,5,O189=35,4,O189=30,4,O189=25,3,O189=20,2,O189=15,1,O189=10,1,O189=0,0)</f>
        <v>10</v>
      </c>
      <c r="R189" s="3" t="n">
        <f aca="false">IF(P189&lt;=1,0,IF(P189&lt;=10,11,IF(P189&lt;=14,12,IF(P189&lt;=17,13,IF(P189&lt;=20,14,IF(P189&lt;=22,15,IF(P189&lt;=25,16,IF(P189&lt;=27,17,IF(P189&lt;=29,18,IF(P189&lt;=32,19,IF(P189&lt;=34,20,IF(P189&lt;=36,21,IF(P189&lt;=40,22,24)))))))))))))</f>
        <v>0</v>
      </c>
      <c r="S189" s="3" t="n">
        <f aca="false">ROUND((Q189+R189+I189+J189+M189+N189)/3,0)</f>
        <v>9</v>
      </c>
      <c r="T189" s="17" t="n">
        <f aca="false">F189*LOG10(S189+2)</f>
        <v>4.1655707406329</v>
      </c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</row>
    <row r="190" customFormat="false" ht="14.65" hidden="false" customHeight="true" outlineLevel="0" collapsed="false">
      <c r="A190" s="13" t="s">
        <v>247</v>
      </c>
      <c r="B190" s="14" t="n">
        <v>39986</v>
      </c>
      <c r="C190" s="15" t="s">
        <v>21</v>
      </c>
      <c r="D190" s="4" t="s">
        <v>248</v>
      </c>
      <c r="E190" s="3" t="n">
        <v>5</v>
      </c>
      <c r="F190" s="3" t="n">
        <v>4</v>
      </c>
      <c r="G190" s="3" t="s">
        <v>43</v>
      </c>
      <c r="I190" s="3" t="n">
        <f aca="false">_xlfn.IFS(G190="взв",11,G190="накл",24,G190="прокл",25,G190="пт",26,G190=90,10,G190=85,10,G190=80,9,G190=75,8,G190=70,8,G190=65,7,G190=60,7,G190=55,6,G190=50,6,G190=45,6,G190=40,5,G190=35,4,G190=30,4,G190=25,3,G190=20,2,G190=15,1,G190=10,1,G190=0,0)</f>
        <v>24</v>
      </c>
      <c r="J190" s="3" t="n">
        <f aca="false">IF(H190&lt;=1,0,IF(H190&lt;=10,11,IF(H190&lt;=14,12,IF(H190&lt;=17,13,IF(H190&lt;=20,14,IF(H190&lt;=22,15,IF(H190&lt;=25,16,IF(H190&lt;=27,17,IF(H190&lt;=29,18,IF(H190&lt;=32,19,IF(H190&lt;=34,20,IF(H190&lt;=36,21,IF(H190&lt;=40,22,24)))))))))))))</f>
        <v>0</v>
      </c>
      <c r="K190" s="3" t="s">
        <v>43</v>
      </c>
      <c r="M190" s="3" t="n">
        <f aca="false">_xlfn.IFS(K190="взв",11,K190="накл",24,K190="прокл",25,K190="пт",26,K190=90,10,K190=85,10,K190=80,9,K190=75,8,K190=70,8,K190=65,7,K190=60,7,K190=55,6,K190=50,6,K190=45,6,K190=40,5,K190=35,4,K190=30,4,K190=25,3,K190=20,2,K190=15,1,K190=10,1,K190=0,0)</f>
        <v>24</v>
      </c>
      <c r="N190" s="3" t="n">
        <f aca="false">IF(L190&lt;=1,0,IF(L190&lt;=10,11,IF(L190&lt;=14,12,IF(L190&lt;=17,13,IF(L190&lt;=20,14,IF(L190&lt;=22,15,IF(L190&lt;=25,16,IF(L190&lt;=27,17,IF(L190&lt;=29,18,IF(L190&lt;=32,19,IF(L190&lt;=34,20,IF(L190&lt;=36,21,IF(L190&lt;=40,22,24)))))))))))))</f>
        <v>0</v>
      </c>
      <c r="O190" s="3" t="s">
        <v>43</v>
      </c>
      <c r="Q190" s="3" t="n">
        <f aca="false">_xlfn.IFS(O190="взв",11,O190="накл",24,O190="прокл",25,O190="пт",26,O190=90,10,O190=85,10,O190=80,9,O190=75,8,O190=70,8,O190=65,7,O190=60,7,O190=55,6,O190=50,6,O190=45,6,O190=40,5,O190=35,4,O190=30,4,O190=25,3,O190=20,2,O190=15,1,O190=10,1,O190=0,0)</f>
        <v>24</v>
      </c>
      <c r="R190" s="3" t="n">
        <f aca="false">IF(P190&lt;=1,0,IF(P190&lt;=10,11,IF(P190&lt;=14,12,IF(P190&lt;=17,13,IF(P190&lt;=20,14,IF(P190&lt;=22,15,IF(P190&lt;=25,16,IF(P190&lt;=27,17,IF(P190&lt;=29,18,IF(P190&lt;=32,19,IF(P190&lt;=34,20,IF(P190&lt;=36,21,IF(P190&lt;=40,22,24)))))))))))))</f>
        <v>0</v>
      </c>
      <c r="S190" s="3" t="n">
        <f aca="false">ROUND((Q190+R190+I190+J190+M190+N190)/3,0)</f>
        <v>24</v>
      </c>
      <c r="T190" s="17" t="n">
        <f aca="false">F190*LOG10(S190+2)</f>
        <v>5.65989339188327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</row>
    <row r="191" customFormat="false" ht="14.65" hidden="false" customHeight="true" outlineLevel="0" collapsed="false">
      <c r="A191" s="13" t="s">
        <v>249</v>
      </c>
      <c r="B191" s="14" t="n">
        <v>39993</v>
      </c>
      <c r="C191" s="15" t="s">
        <v>78</v>
      </c>
      <c r="D191" s="4" t="s">
        <v>79</v>
      </c>
      <c r="E191" s="3" t="n">
        <v>5</v>
      </c>
      <c r="F191" s="3" t="n">
        <v>4</v>
      </c>
      <c r="G191" s="3" t="n">
        <v>0</v>
      </c>
      <c r="I191" s="3" t="n">
        <f aca="false">_xlfn.IFS(G191="взв",11,G191="накл",24,G191="прокл",25,G191="пт",26,G191=90,10,G191=85,10,G191=80,9,G191=75,8,G191=70,8,G191=65,7,G191=60,7,G191=55,6,G191=50,6,G191=45,6,G191=40,5,G191=35,4,G191=30,4,G191=25,3,G191=20,2,G191=15,1,G191=10,1,G191=0,0)</f>
        <v>0</v>
      </c>
      <c r="J191" s="3" t="n">
        <f aca="false">IF(H191&lt;=1,0,IF(H191&lt;=10,11,IF(H191&lt;=14,12,IF(H191&lt;=17,13,IF(H191&lt;=20,14,IF(H191&lt;=22,15,IF(H191&lt;=25,16,IF(H191&lt;=27,17,IF(H191&lt;=29,18,IF(H191&lt;=32,19,IF(H191&lt;=34,20,IF(H191&lt;=36,21,IF(H191&lt;=40,22,24)))))))))))))</f>
        <v>0</v>
      </c>
      <c r="K191" s="3" t="n">
        <v>0</v>
      </c>
      <c r="M191" s="3" t="n">
        <f aca="false">_xlfn.IFS(K191="взв",11,K191="накл",24,K191="прокл",25,K191="пт",26,K191=90,10,K191=85,10,K191=80,9,K191=75,8,K191=70,8,K191=65,7,K191=60,7,K191=55,6,K191=50,6,K191=45,6,K191=40,5,K191=35,4,K191=30,4,K191=25,3,K191=20,2,K191=15,1,K191=10,1,K191=0,0)</f>
        <v>0</v>
      </c>
      <c r="N191" s="3" t="n">
        <f aca="false">IF(L191&lt;=1,0,IF(L191&lt;=10,11,IF(L191&lt;=14,12,IF(L191&lt;=17,13,IF(L191&lt;=20,14,IF(L191&lt;=22,15,IF(L191&lt;=25,16,IF(L191&lt;=27,17,IF(L191&lt;=29,18,IF(L191&lt;=32,19,IF(L191&lt;=34,20,IF(L191&lt;=36,21,IF(L191&lt;=40,22,24)))))))))))))</f>
        <v>0</v>
      </c>
      <c r="O191" s="3" t="n">
        <v>0</v>
      </c>
      <c r="Q191" s="3" t="n">
        <f aca="false">_xlfn.IFS(O191="взв",11,O191="накл",24,O191="прокл",25,O191="пт",26,O191=90,10,O191=85,10,O191=80,9,O191=75,8,O191=70,8,O191=65,7,O191=60,7,O191=55,6,O191=50,6,O191=45,6,O191=40,5,O191=35,4,O191=30,4,O191=25,3,O191=20,2,O191=15,1,O191=10,1,O191=0,0)</f>
        <v>0</v>
      </c>
      <c r="R191" s="3" t="n">
        <f aca="false">IF(P191&lt;=1,0,IF(P191&lt;=10,11,IF(P191&lt;=14,12,IF(P191&lt;=17,13,IF(P191&lt;=20,14,IF(P191&lt;=22,15,IF(P191&lt;=25,16,IF(P191&lt;=27,17,IF(P191&lt;=29,18,IF(P191&lt;=32,19,IF(P191&lt;=34,20,IF(P191&lt;=36,21,IF(P191&lt;=40,22,24)))))))))))))</f>
        <v>0</v>
      </c>
      <c r="S191" s="3" t="n">
        <f aca="false">ROUND((Q191+R191+I191+J191+M191+N191)/3,0)</f>
        <v>0</v>
      </c>
      <c r="T191" s="17" t="n">
        <f aca="false">F191*LOG10(S191+2)</f>
        <v>1.20411998265592</v>
      </c>
    </row>
    <row r="192" customFormat="false" ht="14.65" hidden="false" customHeight="true" outlineLevel="0" collapsed="false">
      <c r="A192" s="13" t="s">
        <v>250</v>
      </c>
      <c r="B192" s="2" t="n">
        <v>39996</v>
      </c>
      <c r="C192" s="15" t="s">
        <v>21</v>
      </c>
      <c r="D192" s="4" t="s">
        <v>34</v>
      </c>
      <c r="E192" s="3" t="n">
        <v>8</v>
      </c>
      <c r="F192" s="3" t="n">
        <v>4</v>
      </c>
      <c r="H192" s="3" t="n">
        <v>24</v>
      </c>
      <c r="I192" s="3" t="n">
        <f aca="false">_xlfn.IFS(G192="взв",11,G192="накл",24,G192="прокл",25,G192="пт",26,G192=90,10,G192=85,10,G192=80,9,G192=75,8,G192=70,8,G192=65,7,G192=60,7,G192=55,6,G192=50,6,G192=45,6,G192=40,5,G192=35,4,G192=30,4,G192=25,3,G192=20,2,G192=15,1,G192=10,1,G192=0,0)</f>
        <v>0</v>
      </c>
      <c r="J192" s="3" t="n">
        <f aca="false">IF(H192&lt;=1,0,IF(H192&lt;=10,11,IF(H192&lt;=14,12,IF(H192&lt;=17,13,IF(H192&lt;=20,14,IF(H192&lt;=22,15,IF(H192&lt;=25,16,IF(H192&lt;=27,17,IF(H192&lt;=29,18,IF(H192&lt;=32,19,IF(H192&lt;=34,20,IF(H192&lt;=36,21,IF(H192&lt;=40,22,24)))))))))))))</f>
        <v>16</v>
      </c>
      <c r="L192" s="3" t="n">
        <v>28</v>
      </c>
      <c r="M192" s="3" t="n">
        <f aca="false">_xlfn.IFS(K192="взв",11,K192="накл",24,K192="прокл",25,K192="пт",26,K192=90,10,K192=85,10,K192=80,9,K192=75,8,K192=70,8,K192=65,7,K192=60,7,K192=55,6,K192=50,6,K192=45,6,K192=40,5,K192=35,4,K192=30,4,K192=25,3,K192=20,2,K192=15,1,K192=10,1,K192=0,0)</f>
        <v>0</v>
      </c>
      <c r="N192" s="3" t="n">
        <f aca="false">IF(L192&lt;=1,0,IF(L192&lt;=10,11,IF(L192&lt;=14,12,IF(L192&lt;=17,13,IF(L192&lt;=20,14,IF(L192&lt;=22,15,IF(L192&lt;=25,16,IF(L192&lt;=27,17,IF(L192&lt;=29,18,IF(L192&lt;=32,19,IF(L192&lt;=34,20,IF(L192&lt;=36,21,IF(L192&lt;=40,22,24)))))))))))))</f>
        <v>18</v>
      </c>
      <c r="P192" s="3" t="n">
        <v>27</v>
      </c>
      <c r="Q192" s="3" t="n">
        <f aca="false">_xlfn.IFS(O192="взв",11,O192="накл",24,O192="прокл",25,O192="пт",26,O192=90,10,O192=85,10,O192=80,9,O192=75,8,O192=70,8,O192=65,7,O192=60,7,O192=55,6,O192=50,6,O192=45,6,O192=40,5,O192=35,4,O192=30,4,O192=25,3,O192=20,2,O192=15,1,O192=10,1,O192=0,0)</f>
        <v>0</v>
      </c>
      <c r="R192" s="3" t="n">
        <f aca="false">IF(P192&lt;=1,0,IF(P192&lt;=10,11,IF(P192&lt;=14,12,IF(P192&lt;=17,13,IF(P192&lt;=20,14,IF(P192&lt;=22,15,IF(P192&lt;=25,16,IF(P192&lt;=27,17,IF(P192&lt;=29,18,IF(P192&lt;=32,19,IF(P192&lt;=34,20,IF(P192&lt;=36,21,IF(P192&lt;=40,22,24)))))))))))))</f>
        <v>17</v>
      </c>
      <c r="S192" s="3" t="n">
        <f aca="false">ROUND((Q192+R192+I192+J192+M192+N192)/3,0)</f>
        <v>17</v>
      </c>
      <c r="T192" s="17" t="n">
        <f aca="false">F192*LOG10(S192+2)</f>
        <v>5.11501440381132</v>
      </c>
    </row>
    <row r="193" customFormat="false" ht="14.65" hidden="false" customHeight="true" outlineLevel="0" collapsed="false">
      <c r="A193" s="13" t="s">
        <v>251</v>
      </c>
      <c r="B193" s="2" t="n">
        <v>39996</v>
      </c>
      <c r="C193" s="15" t="s">
        <v>21</v>
      </c>
      <c r="D193" s="4" t="s">
        <v>34</v>
      </c>
      <c r="E193" s="3" t="n">
        <v>5</v>
      </c>
      <c r="F193" s="3" t="n">
        <v>4</v>
      </c>
      <c r="G193" s="3" t="n">
        <v>45</v>
      </c>
      <c r="I193" s="3" t="n">
        <f aca="false">_xlfn.IFS(G193="взв",11,G193="накл",24,G193="прокл",25,G193="пт",26,G193=90,10,G193=85,10,G193=80,9,G193=75,8,G193=70,8,G193=65,7,G193=60,7,G193=55,6,G193=50,6,G193=45,6,G193=40,5,G193=35,4,G193=30,4,G193=25,3,G193=20,2,G193=15,1,G193=10,1,G193=0,0)</f>
        <v>6</v>
      </c>
      <c r="J193" s="3" t="n">
        <f aca="false">IF(H193&lt;=1,0,IF(H193&lt;=10,11,IF(H193&lt;=14,12,IF(H193&lt;=17,13,IF(H193&lt;=20,14,IF(H193&lt;=22,15,IF(H193&lt;=25,16,IF(H193&lt;=27,17,IF(H193&lt;=29,18,IF(H193&lt;=32,19,IF(H193&lt;=34,20,IF(H193&lt;=36,21,IF(H193&lt;=40,22,24)))))))))))))</f>
        <v>0</v>
      </c>
      <c r="K193" s="3" t="n">
        <v>45</v>
      </c>
      <c r="M193" s="3" t="n">
        <f aca="false">_xlfn.IFS(K193="взв",11,K193="накл",24,K193="прокл",25,K193="пт",26,K193=90,10,K193=85,10,K193=80,9,K193=75,8,K193=70,8,K193=65,7,K193=60,7,K193=55,6,K193=50,6,K193=45,6,K193=40,5,K193=35,4,K193=30,4,K193=25,3,K193=20,2,K193=15,1,K193=10,1,K193=0,0)</f>
        <v>6</v>
      </c>
      <c r="N193" s="3" t="n">
        <f aca="false">IF(L193&lt;=1,0,IF(L193&lt;=10,11,IF(L193&lt;=14,12,IF(L193&lt;=17,13,IF(L193&lt;=20,14,IF(L193&lt;=22,15,IF(L193&lt;=25,16,IF(L193&lt;=27,17,IF(L193&lt;=29,18,IF(L193&lt;=32,19,IF(L193&lt;=34,20,IF(L193&lt;=36,21,IF(L193&lt;=40,22,24)))))))))))))</f>
        <v>0</v>
      </c>
      <c r="O193" s="3" t="n">
        <v>45</v>
      </c>
      <c r="Q193" s="3" t="n">
        <f aca="false">_xlfn.IFS(O193="взв",11,O193="накл",24,O193="прокл",25,O193="пт",26,O193=90,10,O193=85,10,O193=80,9,O193=75,8,O193=70,8,O193=65,7,O193=60,7,O193=55,6,O193=50,6,O193=45,6,O193=40,5,O193=35,4,O193=30,4,O193=25,3,O193=20,2,O193=15,1,O193=10,1,O193=0,0)</f>
        <v>6</v>
      </c>
      <c r="R193" s="3" t="n">
        <f aca="false">IF(P193&lt;=1,0,IF(P193&lt;=10,11,IF(P193&lt;=14,12,IF(P193&lt;=17,13,IF(P193&lt;=20,14,IF(P193&lt;=22,15,IF(P193&lt;=25,16,IF(P193&lt;=27,17,IF(P193&lt;=29,18,IF(P193&lt;=32,19,IF(P193&lt;=34,20,IF(P193&lt;=36,21,IF(P193&lt;=40,22,24)))))))))))))</f>
        <v>0</v>
      </c>
      <c r="S193" s="3" t="n">
        <f aca="false">ROUND((Q193+R193+I193+J193+M193+N193)/3,0)</f>
        <v>6</v>
      </c>
      <c r="T193" s="17" t="n">
        <f aca="false">F193*LOG10(S193+2)</f>
        <v>3.61235994796777</v>
      </c>
    </row>
    <row r="194" customFormat="false" ht="14.65" hidden="false" customHeight="true" outlineLevel="0" collapsed="false">
      <c r="A194" s="13" t="s">
        <v>252</v>
      </c>
      <c r="B194" s="2" t="n">
        <v>40001</v>
      </c>
      <c r="C194" s="15" t="s">
        <v>39</v>
      </c>
      <c r="D194" s="4" t="s">
        <v>39</v>
      </c>
      <c r="E194" s="3" t="n">
        <v>2</v>
      </c>
      <c r="F194" s="3" t="n">
        <v>4</v>
      </c>
      <c r="I194" s="3" t="n">
        <f aca="false">_xlfn.IFS(G194="взв",11,G194="накл",24,G194="прокл",25,G194="пт",26,G194=90,10,G194=85,10,G194=80,9,G194=75,8,G194=70,8,G194=65,7,G194=60,7,G194=55,6,G194=50,6,G194=45,6,G194=40,5,G194=35,4,G194=30,4,G194=25,3,G194=20,2,G194=15,1,G194=10,1,G194=0,0)</f>
        <v>0</v>
      </c>
      <c r="J194" s="3" t="n">
        <f aca="false">IF(H194&lt;=1,0,IF(H194&lt;=10,11,IF(H194&lt;=14,12,IF(H194&lt;=17,13,IF(H194&lt;=20,14,IF(H194&lt;=22,15,IF(H194&lt;=25,16,IF(H194&lt;=27,17,IF(H194&lt;=29,18,IF(H194&lt;=32,19,IF(H194&lt;=34,20,IF(H194&lt;=36,21,IF(H194&lt;=40,22,24)))))))))))))</f>
        <v>0</v>
      </c>
      <c r="L194" s="3" t="n">
        <v>36</v>
      </c>
      <c r="M194" s="3" t="n">
        <f aca="false">_xlfn.IFS(K194="взв",11,K194="накл",24,K194="прокл",25,K194="пт",26,K194=90,10,K194=85,10,K194=80,9,K194=75,8,K194=70,8,K194=65,7,K194=60,7,K194=55,6,K194=50,6,K194=45,6,K194=40,5,K194=35,4,K194=30,4,K194=25,3,K194=20,2,K194=15,1,K194=10,1,K194=0,0)</f>
        <v>0</v>
      </c>
      <c r="N194" s="3" t="n">
        <f aca="false">IF(L194&lt;=1,0,IF(L194&lt;=10,11,IF(L194&lt;=14,12,IF(L194&lt;=17,13,IF(L194&lt;=20,14,IF(L194&lt;=22,15,IF(L194&lt;=25,16,IF(L194&lt;=27,17,IF(L194&lt;=29,18,IF(L194&lt;=32,19,IF(L194&lt;=34,20,IF(L194&lt;=36,21,IF(L194&lt;=40,22,24)))))))))))))</f>
        <v>21</v>
      </c>
      <c r="Q194" s="3" t="n">
        <f aca="false">_xlfn.IFS(O194="взв",11,O194="накл",24,O194="прокл",25,O194="пт",26,O194=90,10,O194=85,10,O194=80,9,O194=75,8,O194=70,8,O194=65,7,O194=60,7,O194=55,6,O194=50,6,O194=45,6,O194=40,5,O194=35,4,O194=30,4,O194=25,3,O194=20,2,O194=15,1,O194=10,1,O194=0,0)</f>
        <v>0</v>
      </c>
      <c r="R194" s="3" t="n">
        <f aca="false">IF(P194&lt;=1,0,IF(P194&lt;=10,11,IF(P194&lt;=14,12,IF(P194&lt;=17,13,IF(P194&lt;=20,14,IF(P194&lt;=22,15,IF(P194&lt;=25,16,IF(P194&lt;=27,17,IF(P194&lt;=29,18,IF(P194&lt;=32,19,IF(P194&lt;=34,20,IF(P194&lt;=36,21,IF(P194&lt;=40,22,24)))))))))))))</f>
        <v>0</v>
      </c>
      <c r="S194" s="3" t="n">
        <v>21</v>
      </c>
      <c r="T194" s="17" t="n">
        <f aca="false">F194*LOG10(S194+2)</f>
        <v>5.44691134407037</v>
      </c>
    </row>
    <row r="195" customFormat="false" ht="14.65" hidden="false" customHeight="true" outlineLevel="0" collapsed="false">
      <c r="A195" s="13" t="s">
        <v>253</v>
      </c>
      <c r="B195" s="2" t="n">
        <v>40003</v>
      </c>
      <c r="C195" s="15" t="s">
        <v>39</v>
      </c>
      <c r="D195" s="4" t="s">
        <v>214</v>
      </c>
      <c r="E195" s="3" t="n">
        <v>4</v>
      </c>
      <c r="F195" s="3" t="n">
        <v>4</v>
      </c>
      <c r="H195" s="3" t="n">
        <v>34</v>
      </c>
      <c r="I195" s="3" t="n">
        <f aca="false">_xlfn.IFS(G195="взв",11,G195="накл",24,G195="прокл",25,G195="пт",26,G195=90,10,G195=85,10,G195=80,9,G195=75,8,G195=70,8,G195=65,7,G195=60,7,G195=55,6,G195=50,6,G195=45,6,G195=40,5,G195=35,4,G195=30,4,G195=25,3,G195=20,2,G195=15,1,G195=10,1,G195=0,0)</f>
        <v>0</v>
      </c>
      <c r="J195" s="3" t="n">
        <f aca="false">IF(H195&lt;=1,0,IF(H195&lt;=10,11,IF(H195&lt;=14,12,IF(H195&lt;=17,13,IF(H195&lt;=20,14,IF(H195&lt;=22,15,IF(H195&lt;=25,16,IF(H195&lt;=27,17,IF(H195&lt;=29,18,IF(H195&lt;=32,19,IF(H195&lt;=34,20,IF(H195&lt;=36,21,IF(H195&lt;=40,22,24)))))))))))))</f>
        <v>20</v>
      </c>
      <c r="L195" s="3" t="n">
        <v>29</v>
      </c>
      <c r="M195" s="3" t="n">
        <f aca="false">_xlfn.IFS(K195="взв",11,K195="накл",24,K195="прокл",25,K195="пт",26,K195=90,10,K195=85,10,K195=80,9,K195=75,8,K195=70,8,K195=65,7,K195=60,7,K195=55,6,K195=50,6,K195=45,6,K195=40,5,K195=35,4,K195=30,4,K195=25,3,K195=20,2,K195=15,1,K195=10,1,K195=0,0)</f>
        <v>0</v>
      </c>
      <c r="N195" s="3" t="n">
        <f aca="false">IF(L195&lt;=1,0,IF(L195&lt;=10,11,IF(L195&lt;=14,12,IF(L195&lt;=17,13,IF(L195&lt;=20,14,IF(L195&lt;=22,15,IF(L195&lt;=25,16,IF(L195&lt;=27,17,IF(L195&lt;=29,18,IF(L195&lt;=32,19,IF(L195&lt;=34,20,IF(L195&lt;=36,21,IF(L195&lt;=40,22,24)))))))))))))</f>
        <v>18</v>
      </c>
      <c r="Q195" s="3" t="n">
        <f aca="false">_xlfn.IFS(O195="взв",11,O195="накл",24,O195="прокл",25,O195="пт",26,O195=90,10,O195=85,10,O195=80,9,O195=75,8,O195=70,8,O195=65,7,O195=60,7,O195=55,6,O195=50,6,O195=45,6,O195=40,5,O195=35,4,O195=30,4,O195=25,3,O195=20,2,O195=15,1,O195=10,1,O195=0,0)</f>
        <v>0</v>
      </c>
      <c r="R195" s="3" t="n">
        <f aca="false">IF(P195&lt;=1,0,IF(P195&lt;=10,11,IF(P195&lt;=14,12,IF(P195&lt;=17,13,IF(P195&lt;=20,14,IF(P195&lt;=22,15,IF(P195&lt;=25,16,IF(P195&lt;=27,17,IF(P195&lt;=29,18,IF(P195&lt;=32,19,IF(P195&lt;=34,20,IF(P195&lt;=36,21,IF(P195&lt;=40,22,24)))))))))))))</f>
        <v>0</v>
      </c>
      <c r="S195" s="3" t="n">
        <f aca="false">ROUND((Q195+R195+I195+J195+M195+N195)/2,0)</f>
        <v>19</v>
      </c>
      <c r="T195" s="17" t="n">
        <f aca="false">F195*LOG10(S195+2)</f>
        <v>5.28887717893568</v>
      </c>
    </row>
    <row r="196" customFormat="false" ht="14.65" hidden="false" customHeight="true" outlineLevel="0" collapsed="false">
      <c r="A196" s="13" t="s">
        <v>254</v>
      </c>
      <c r="B196" s="14" t="n">
        <v>39976</v>
      </c>
      <c r="C196" s="15" t="s">
        <v>21</v>
      </c>
      <c r="D196" s="16" t="s">
        <v>96</v>
      </c>
      <c r="E196" s="3" t="n">
        <v>5</v>
      </c>
      <c r="F196" s="3" t="n">
        <v>5</v>
      </c>
      <c r="H196" s="3" t="n">
        <v>35</v>
      </c>
      <c r="I196" s="3" t="n">
        <f aca="false">_xlfn.IFS(G196="взв",11,G196="накл",24,G196="прокл",25,G196="пт",26,G196=90,10,G196=85,10,G196=80,9,G196=75,8,G196=70,8,G196=65,7,G196=60,7,G196=55,6,G196=50,6,G196=45,6,G196=40,5,G196=35,4,G196=30,4,G196=25,3,G196=20,2,G196=15,1,G196=10,1,G196=0,0)</f>
        <v>0</v>
      </c>
      <c r="J196" s="3" t="n">
        <f aca="false">IF(H196&lt;=1,0,IF(H196&lt;=10,11,IF(H196&lt;=14,12,IF(H196&lt;=17,13,IF(H196&lt;=20,14,IF(H196&lt;=22,15,IF(H196&lt;=25,16,IF(H196&lt;=27,17,IF(H196&lt;=29,18,IF(H196&lt;=32,19,IF(H196&lt;=34,20,IF(H196&lt;=36,21,IF(H196&lt;=40,22,24)))))))))))))</f>
        <v>21</v>
      </c>
      <c r="L196" s="3" t="n">
        <v>35</v>
      </c>
      <c r="M196" s="3" t="n">
        <f aca="false">_xlfn.IFS(K196="взв",11,K196="накл",24,K196="прокл",25,K196="пт",26,K196=90,10,K196=85,10,K196=80,9,K196=75,8,K196=70,8,K196=65,7,K196=60,7,K196=55,6,K196=50,6,K196=45,6,K196=40,5,K196=35,4,K196=30,4,K196=25,3,K196=20,2,K196=15,1,K196=10,1,K196=0,0)</f>
        <v>0</v>
      </c>
      <c r="N196" s="3" t="n">
        <f aca="false">IF(L196&lt;=1,0,IF(L196&lt;=10,11,IF(L196&lt;=14,12,IF(L196&lt;=17,13,IF(L196&lt;=20,14,IF(L196&lt;=22,15,IF(L196&lt;=25,16,IF(L196&lt;=27,17,IF(L196&lt;=29,18,IF(L196&lt;=32,19,IF(L196&lt;=34,20,IF(L196&lt;=36,21,IF(L196&lt;=40,22,24)))))))))))))</f>
        <v>21</v>
      </c>
      <c r="P196" s="3" t="n">
        <v>32</v>
      </c>
      <c r="Q196" s="3" t="n">
        <f aca="false">_xlfn.IFS(O196="взв",11,O196="накл",24,O196="прокл",25,O196="пт",26,O196=90,10,O196=85,10,O196=80,9,O196=75,8,O196=70,8,O196=65,7,O196=60,7,O196=55,6,O196=50,6,O196=45,6,O196=40,5,O196=35,4,O196=30,4,O196=25,3,O196=20,2,O196=15,1,O196=10,1,O196=0,0)</f>
        <v>0</v>
      </c>
      <c r="R196" s="3" t="n">
        <f aca="false">IF(P196&lt;=1,0,IF(P196&lt;=10,11,IF(P196&lt;=14,12,IF(P196&lt;=17,13,IF(P196&lt;=20,14,IF(P196&lt;=22,15,IF(P196&lt;=25,16,IF(P196&lt;=27,17,IF(P196&lt;=29,18,IF(P196&lt;=32,19,IF(P196&lt;=34,20,IF(P196&lt;=36,21,IF(P196&lt;=40,22,24)))))))))))))</f>
        <v>19</v>
      </c>
      <c r="S196" s="3" t="n">
        <f aca="false">ROUND((Q196+R196+I196+J196+M196+N196)/3,0)</f>
        <v>20</v>
      </c>
      <c r="T196" s="17" t="n">
        <f aca="false">F196*LOG10(S196+2)</f>
        <v>6.71211340411103</v>
      </c>
    </row>
    <row r="197" customFormat="false" ht="14.65" hidden="false" customHeight="true" outlineLevel="0" collapsed="false">
      <c r="A197" s="13" t="s">
        <v>255</v>
      </c>
      <c r="B197" s="14" t="n">
        <v>39977</v>
      </c>
      <c r="C197" s="15" t="s">
        <v>21</v>
      </c>
      <c r="D197" s="16" t="s">
        <v>256</v>
      </c>
      <c r="E197" s="3" t="n">
        <v>6</v>
      </c>
      <c r="F197" s="3" t="n">
        <v>5</v>
      </c>
      <c r="H197" s="3" t="n">
        <v>35</v>
      </c>
      <c r="I197" s="3" t="n">
        <f aca="false">_xlfn.IFS(G197="взв",11,G197="накл",24,G197="прокл",25,G197="пт",26,G197=90,10,G197=85,10,G197=80,9,G197=75,8,G197=70,8,G197=65,7,G197=60,7,G197=55,6,G197=50,6,G197=45,6,G197=40,5,G197=35,4,G197=30,4,G197=25,3,G197=20,2,G197=15,1,G197=10,1,G197=0,0)</f>
        <v>0</v>
      </c>
      <c r="J197" s="3" t="n">
        <f aca="false">IF(H197&lt;=1,0,IF(H197&lt;=10,11,IF(H197&lt;=14,12,IF(H197&lt;=17,13,IF(H197&lt;=20,14,IF(H197&lt;=22,15,IF(H197&lt;=25,16,IF(H197&lt;=27,17,IF(H197&lt;=29,18,IF(H197&lt;=32,19,IF(H197&lt;=34,20,IF(H197&lt;=36,21,IF(H197&lt;=40,22,24)))))))))))))</f>
        <v>21</v>
      </c>
      <c r="L197" s="3" t="n">
        <v>37</v>
      </c>
      <c r="M197" s="3" t="n">
        <f aca="false">_xlfn.IFS(K197="взв",11,K197="накл",24,K197="прокл",25,K197="пт",26,K197=90,10,K197=85,10,K197=80,9,K197=75,8,K197=70,8,K197=65,7,K197=60,7,K197=55,6,K197=50,6,K197=45,6,K197=40,5,K197=35,4,K197=30,4,K197=25,3,K197=20,2,K197=15,1,K197=10,1,K197=0,0)</f>
        <v>0</v>
      </c>
      <c r="N197" s="3" t="n">
        <f aca="false">IF(L197&lt;=1,0,IF(L197&lt;=10,11,IF(L197&lt;=14,12,IF(L197&lt;=17,13,IF(L197&lt;=20,14,IF(L197&lt;=22,15,IF(L197&lt;=25,16,IF(L197&lt;=27,17,IF(L197&lt;=29,18,IF(L197&lt;=32,19,IF(L197&lt;=34,20,IF(L197&lt;=36,21,IF(L197&lt;=40,22,24)))))))))))))</f>
        <v>22</v>
      </c>
      <c r="P197" s="3" t="n">
        <v>34</v>
      </c>
      <c r="Q197" s="3" t="n">
        <f aca="false">_xlfn.IFS(O197="взв",11,O197="накл",24,O197="прокл",25,O197="пт",26,O197=90,10,O197=85,10,O197=80,9,O197=75,8,O197=70,8,O197=65,7,O197=60,7,O197=55,6,O197=50,6,O197=45,6,O197=40,5,O197=35,4,O197=30,4,O197=25,3,O197=20,2,O197=15,1,O197=10,1,O197=0,0)</f>
        <v>0</v>
      </c>
      <c r="R197" s="3" t="n">
        <f aca="false">IF(P197&lt;=1,0,IF(P197&lt;=10,11,IF(P197&lt;=14,12,IF(P197&lt;=17,13,IF(P197&lt;=20,14,IF(P197&lt;=22,15,IF(P197&lt;=25,16,IF(P197&lt;=27,17,IF(P197&lt;=29,18,IF(P197&lt;=32,19,IF(P197&lt;=34,20,IF(P197&lt;=36,21,IF(P197&lt;=40,22,24)))))))))))))</f>
        <v>20</v>
      </c>
      <c r="S197" s="3" t="n">
        <f aca="false">ROUND((Q197+R197+I197+J197+M197+N197)/3,0)</f>
        <v>21</v>
      </c>
      <c r="T197" s="17" t="n">
        <f aca="false">F197*LOG10(S197+2)</f>
        <v>6.80863918008796</v>
      </c>
    </row>
    <row r="198" customFormat="false" ht="14.65" hidden="false" customHeight="true" outlineLevel="0" collapsed="false">
      <c r="A198" s="13" t="s">
        <v>257</v>
      </c>
      <c r="B198" s="14" t="n">
        <v>39977</v>
      </c>
      <c r="C198" s="15" t="s">
        <v>21</v>
      </c>
      <c r="D198" s="16" t="s">
        <v>108</v>
      </c>
      <c r="E198" s="3" t="n">
        <v>6</v>
      </c>
      <c r="F198" s="3" t="n">
        <v>5</v>
      </c>
      <c r="H198" s="3" t="n">
        <v>39</v>
      </c>
      <c r="I198" s="3" t="n">
        <f aca="false">_xlfn.IFS(G198="взв",11,G198="накл",24,G198="прокл",25,G198="пт",26,G198=90,10,G198=85,10,G198=80,9,G198=75,8,G198=70,8,G198=65,7,G198=60,7,G198=55,6,G198=50,6,G198=45,6,G198=40,5,G198=35,4,G198=30,4,G198=25,3,G198=20,2,G198=15,1,G198=10,1,G198=0,0)</f>
        <v>0</v>
      </c>
      <c r="J198" s="3" t="n">
        <f aca="false">IF(H198&lt;=1,0,IF(H198&lt;=10,11,IF(H198&lt;=14,12,IF(H198&lt;=17,13,IF(H198&lt;=20,14,IF(H198&lt;=22,15,IF(H198&lt;=25,16,IF(H198&lt;=27,17,IF(H198&lt;=29,18,IF(H198&lt;=32,19,IF(H198&lt;=34,20,IF(H198&lt;=36,21,IF(H198&lt;=40,22,24)))))))))))))</f>
        <v>22</v>
      </c>
      <c r="L198" s="3" t="n">
        <v>34</v>
      </c>
      <c r="M198" s="3" t="n">
        <f aca="false">_xlfn.IFS(K198="взв",11,K198="накл",24,K198="прокл",25,K198="пт",26,K198=90,10,K198=85,10,K198=80,9,K198=75,8,K198=70,8,K198=65,7,K198=60,7,K198=55,6,K198=50,6,K198=45,6,K198=40,5,K198=35,4,K198=30,4,K198=25,3,K198=20,2,K198=15,1,K198=10,1,K198=0,0)</f>
        <v>0</v>
      </c>
      <c r="N198" s="3" t="n">
        <f aca="false">IF(L198&lt;=1,0,IF(L198&lt;=10,11,IF(L198&lt;=14,12,IF(L198&lt;=17,13,IF(L198&lt;=20,14,IF(L198&lt;=22,15,IF(L198&lt;=25,16,IF(L198&lt;=27,17,IF(L198&lt;=29,18,IF(L198&lt;=32,19,IF(L198&lt;=34,20,IF(L198&lt;=36,21,IF(L198&lt;=40,22,24)))))))))))))</f>
        <v>20</v>
      </c>
      <c r="P198" s="3" t="n">
        <v>38</v>
      </c>
      <c r="Q198" s="3" t="n">
        <f aca="false">_xlfn.IFS(O198="взв",11,O198="накл",24,O198="прокл",25,O198="пт",26,O198=90,10,O198=85,10,O198=80,9,O198=75,8,O198=70,8,O198=65,7,O198=60,7,O198=55,6,O198=50,6,O198=45,6,O198=40,5,O198=35,4,O198=30,4,O198=25,3,O198=20,2,O198=15,1,O198=10,1,O198=0,0)</f>
        <v>0</v>
      </c>
      <c r="R198" s="3" t="n">
        <f aca="false">IF(P198&lt;=1,0,IF(P198&lt;=10,11,IF(P198&lt;=14,12,IF(P198&lt;=17,13,IF(P198&lt;=20,14,IF(P198&lt;=22,15,IF(P198&lt;=25,16,IF(P198&lt;=27,17,IF(P198&lt;=29,18,IF(P198&lt;=32,19,IF(P198&lt;=34,20,IF(P198&lt;=36,21,IF(P198&lt;=40,22,24)))))))))))))</f>
        <v>22</v>
      </c>
      <c r="S198" s="3" t="n">
        <f aca="false">ROUND((Q198+R198+I198+J198+M198+N198)/3,0)</f>
        <v>21</v>
      </c>
      <c r="T198" s="17" t="n">
        <f aca="false">F198*LOG10(S198+2)</f>
        <v>6.80863918008796</v>
      </c>
    </row>
    <row r="199" customFormat="false" ht="14.65" hidden="false" customHeight="true" outlineLevel="0" collapsed="false">
      <c r="A199" s="13" t="s">
        <v>258</v>
      </c>
      <c r="B199" s="14" t="n">
        <v>39977</v>
      </c>
      <c r="C199" s="15" t="s">
        <v>21</v>
      </c>
      <c r="D199" s="16" t="s">
        <v>108</v>
      </c>
      <c r="E199" s="3" t="n">
        <v>1</v>
      </c>
      <c r="F199" s="3" t="n">
        <v>5</v>
      </c>
      <c r="G199" s="3" t="s">
        <v>72</v>
      </c>
      <c r="I199" s="3" t="n">
        <f aca="false">_xlfn.IFS(G199="взв",11,G199="накл",24,G199="прокл",25,G199="пт",26,G199=90,10,G199=85,10,G199=80,9,G199=75,8,G199=70,8,G199=65,7,G199=60,7,G199=55,6,G199=50,6,G199=45,6,G199=40,5,G199=35,4,G199=30,4,G199=25,3,G199=20,2,G199=15,1,G199=10,1,G199=0,0)</f>
        <v>11</v>
      </c>
      <c r="J199" s="3" t="n">
        <f aca="false">IF(H199&lt;=1,0,IF(H199&lt;=10,11,IF(H199&lt;=14,12,IF(H199&lt;=17,13,IF(H199&lt;=20,14,IF(H199&lt;=22,15,IF(H199&lt;=25,16,IF(H199&lt;=27,17,IF(H199&lt;=29,18,IF(H199&lt;=32,19,IF(H199&lt;=34,20,IF(H199&lt;=36,21,IF(H199&lt;=40,22,24)))))))))))))</f>
        <v>0</v>
      </c>
      <c r="M199" s="3" t="n">
        <f aca="false">_xlfn.IFS(K199="взв",11,K199="накл",24,K199="прокл",25,K199="пт",26,K199=90,10,K199=85,10,K199=80,9,K199=75,8,K199=70,8,K199=65,7,K199=60,7,K199=55,6,K199=50,6,K199=45,6,K199=40,5,K199=35,4,K199=30,4,K199=25,3,K199=20,2,K199=15,1,K199=10,1,K199=0,0)</f>
        <v>0</v>
      </c>
      <c r="N199" s="3" t="n">
        <f aca="false">IF(L199&lt;=1,0,IF(L199&lt;=10,11,IF(L199&lt;=14,12,IF(L199&lt;=17,13,IF(L199&lt;=20,14,IF(L199&lt;=22,15,IF(L199&lt;=25,16,IF(L199&lt;=27,17,IF(L199&lt;=29,18,IF(L199&lt;=32,19,IF(L199&lt;=34,20,IF(L199&lt;=36,21,IF(L199&lt;=40,22,24)))))))))))))</f>
        <v>0</v>
      </c>
      <c r="Q199" s="3" t="n">
        <f aca="false">_xlfn.IFS(O199="взв",11,O199="накл",24,O199="прокл",25,O199="пт",26,O199=90,10,O199=85,10,O199=80,9,O199=75,8,O199=70,8,O199=65,7,O199=60,7,O199=55,6,O199=50,6,O199=45,6,O199=40,5,O199=35,4,O199=30,4,O199=25,3,O199=20,2,O199=15,1,O199=10,1,O199=0,0)</f>
        <v>0</v>
      </c>
      <c r="R199" s="3" t="n">
        <f aca="false">IF(P199&lt;=1,0,IF(P199&lt;=10,11,IF(P199&lt;=14,12,IF(P199&lt;=17,13,IF(P199&lt;=20,14,IF(P199&lt;=22,15,IF(P199&lt;=25,16,IF(P199&lt;=27,17,IF(P199&lt;=29,18,IF(P199&lt;=32,19,IF(P199&lt;=34,20,IF(P199&lt;=36,21,IF(P199&lt;=40,22,24)))))))))))))</f>
        <v>0</v>
      </c>
      <c r="S199" s="3" t="n">
        <v>11</v>
      </c>
      <c r="T199" s="17" t="n">
        <f aca="false">F199*LOG10(S199+2)</f>
        <v>5.56971676153418</v>
      </c>
    </row>
    <row r="200" customFormat="false" ht="14.65" hidden="false" customHeight="true" outlineLevel="0" collapsed="false">
      <c r="A200" s="13" t="s">
        <v>259</v>
      </c>
      <c r="B200" s="14" t="n">
        <v>39979</v>
      </c>
      <c r="C200" s="15" t="s">
        <v>27</v>
      </c>
      <c r="D200" s="4" t="s">
        <v>84</v>
      </c>
      <c r="E200" s="3" t="n">
        <v>4</v>
      </c>
      <c r="F200" s="3" t="n">
        <v>5</v>
      </c>
      <c r="G200" s="3" t="s">
        <v>43</v>
      </c>
      <c r="I200" s="3" t="n">
        <f aca="false">_xlfn.IFS(G200="взв",11,G200="накл",24,G200="прокл",25,G200="пт",26,G200=90,10,G200=85,10,G200=80,9,G200=75,8,G200=70,8,G200=65,7,G200=60,7,G200=55,6,G200=50,6,G200=45,6,G200=40,5,G200=35,4,G200=30,4,G200=25,3,G200=20,2,G200=15,1,G200=10,1,G200=0,0)</f>
        <v>24</v>
      </c>
      <c r="J200" s="3" t="n">
        <f aca="false">IF(H200&lt;=1,0,IF(H200&lt;=10,11,IF(H200&lt;=14,12,IF(H200&lt;=17,13,IF(H200&lt;=20,14,IF(H200&lt;=22,15,IF(H200&lt;=25,16,IF(H200&lt;=27,17,IF(H200&lt;=29,18,IF(H200&lt;=32,19,IF(H200&lt;=34,20,IF(H200&lt;=36,21,IF(H200&lt;=40,22,24)))))))))))))</f>
        <v>0</v>
      </c>
      <c r="L200" s="3" t="s">
        <v>43</v>
      </c>
      <c r="M200" s="3" t="n">
        <f aca="false">_xlfn.IFS(K200="взв",11,K200="накл",24,K200="прокл",25,K200="пт",26,K200=90,10,K200=85,10,K200=80,9,K200=75,8,K200=70,8,K200=65,7,K200=60,7,K200=55,6,K200=50,6,K200=45,6,K200=40,5,K200=35,4,K200=30,4,K200=25,3,K200=20,2,K200=15,1,K200=10,1,K200=0,0)</f>
        <v>0</v>
      </c>
      <c r="N200" s="3" t="n">
        <f aca="false">IF(L200&lt;=1,0,IF(L200&lt;=10,11,IF(L200&lt;=14,12,IF(L200&lt;=17,13,IF(L200&lt;=20,14,IF(L200&lt;=22,15,IF(L200&lt;=25,16,IF(L200&lt;=27,17,IF(L200&lt;=29,18,IF(L200&lt;=32,19,IF(L200&lt;=34,20,IF(L200&lt;=36,21,IF(L200&lt;=40,22,24)))))))))))))</f>
        <v>24</v>
      </c>
      <c r="O200" s="3" t="s">
        <v>43</v>
      </c>
      <c r="Q200" s="3" t="n">
        <f aca="false">_xlfn.IFS(O200="взв",11,O200="накл",24,O200="прокл",25,O200="пт",26,O200=90,10,O200=85,10,O200=80,9,O200=75,8,O200=70,8,O200=65,7,O200=60,7,O200=55,6,O200=50,6,O200=45,6,O200=40,5,O200=35,4,O200=30,4,O200=25,3,O200=20,2,O200=15,1,O200=10,1,O200=0,0)</f>
        <v>24</v>
      </c>
      <c r="R200" s="3" t="n">
        <f aca="false">IF(P200&lt;=1,0,IF(P200&lt;=10,11,IF(P200&lt;=14,12,IF(P200&lt;=17,13,IF(P200&lt;=20,14,IF(P200&lt;=22,15,IF(P200&lt;=25,16,IF(P200&lt;=27,17,IF(P200&lt;=29,18,IF(P200&lt;=32,19,IF(P200&lt;=34,20,IF(P200&lt;=36,21,IF(P200&lt;=40,22,24)))))))))))))</f>
        <v>0</v>
      </c>
      <c r="S200" s="3" t="n">
        <f aca="false">ROUND((Q200+R200+I200+J200+M200+N200)/3,0)</f>
        <v>24</v>
      </c>
      <c r="T200" s="17" t="n">
        <f aca="false">F200*LOG10(S200+2)</f>
        <v>7.07486673985409</v>
      </c>
    </row>
    <row r="201" customFormat="false" ht="14.65" hidden="false" customHeight="true" outlineLevel="0" collapsed="false">
      <c r="A201" s="13" t="s">
        <v>260</v>
      </c>
      <c r="B201" s="14" t="n">
        <v>39981</v>
      </c>
      <c r="C201" s="15" t="s">
        <v>27</v>
      </c>
      <c r="D201" s="4" t="s">
        <v>51</v>
      </c>
      <c r="E201" s="3" t="n">
        <v>3</v>
      </c>
      <c r="F201" s="3" t="n">
        <v>5</v>
      </c>
      <c r="G201" s="3" t="n">
        <v>45</v>
      </c>
      <c r="I201" s="3" t="n">
        <f aca="false">_xlfn.IFS(G201="взв",11,G201="накл",24,G201="прокл",25,G201="пт",26,G201=90,10,G201=85,10,G201=80,9,G201=75,8,G201=70,8,G201=65,7,G201=60,7,G201=55,6,G201=50,6,G201=45,6,G201=40,5,G201=35,4,G201=30,4,G201=25,3,G201=20,2,G201=15,1,G201=10,1,G201=0,0)</f>
        <v>6</v>
      </c>
      <c r="J201" s="3" t="n">
        <f aca="false">IF(H201&lt;=1,0,IF(H201&lt;=10,11,IF(H201&lt;=14,12,IF(H201&lt;=17,13,IF(H201&lt;=20,14,IF(H201&lt;=22,15,IF(H201&lt;=25,16,IF(H201&lt;=27,17,IF(H201&lt;=29,18,IF(H201&lt;=32,19,IF(H201&lt;=34,20,IF(H201&lt;=36,21,IF(H201&lt;=40,22,24)))))))))))))</f>
        <v>0</v>
      </c>
      <c r="K201" s="3" t="n">
        <v>30</v>
      </c>
      <c r="M201" s="3" t="n">
        <f aca="false">_xlfn.IFS(K201="взв",11,K201="накл",24,K201="прокл",25,K201="пт",26,K201=90,10,K201=85,10,K201=80,9,K201=75,8,K201=70,8,K201=65,7,K201=60,7,K201=55,6,K201=50,6,K201=45,6,K201=40,5,K201=35,4,K201=30,4,K201=25,3,K201=20,2,K201=15,1,K201=10,1,K201=0,0)</f>
        <v>4</v>
      </c>
      <c r="N201" s="3" t="n">
        <f aca="false">IF(L201&lt;=1,0,IF(L201&lt;=10,11,IF(L201&lt;=14,12,IF(L201&lt;=17,13,IF(L201&lt;=20,14,IF(L201&lt;=22,15,IF(L201&lt;=25,16,IF(L201&lt;=27,17,IF(L201&lt;=29,18,IF(L201&lt;=32,19,IF(L201&lt;=34,20,IF(L201&lt;=36,21,IF(L201&lt;=40,22,24)))))))))))))</f>
        <v>0</v>
      </c>
      <c r="O201" s="3" t="n">
        <v>45</v>
      </c>
      <c r="Q201" s="3" t="n">
        <f aca="false">_xlfn.IFS(O201="взв",11,O201="накл",24,O201="прокл",25,O201="пт",26,O201=90,10,O201=85,10,O201=80,9,O201=75,8,O201=70,8,O201=65,7,O201=60,7,O201=55,6,O201=50,6,O201=45,6,O201=40,5,O201=35,4,O201=30,4,O201=25,3,O201=20,2,O201=15,1,O201=10,1,O201=0,0)</f>
        <v>6</v>
      </c>
      <c r="R201" s="3" t="n">
        <f aca="false">IF(P201&lt;=1,0,IF(P201&lt;=10,11,IF(P201&lt;=14,12,IF(P201&lt;=17,13,IF(P201&lt;=20,14,IF(P201&lt;=22,15,IF(P201&lt;=25,16,IF(P201&lt;=27,17,IF(P201&lt;=29,18,IF(P201&lt;=32,19,IF(P201&lt;=34,20,IF(P201&lt;=36,21,IF(P201&lt;=40,22,24)))))))))))))</f>
        <v>0</v>
      </c>
      <c r="S201" s="3" t="n">
        <f aca="false">ROUND((Q201+R201+I201+J201+M201+N201)/3,0)</f>
        <v>5</v>
      </c>
      <c r="T201" s="17" t="n">
        <f aca="false">F201*LOG10(S201+2)</f>
        <v>4.22549020007128</v>
      </c>
    </row>
    <row r="202" customFormat="false" ht="14.65" hidden="false" customHeight="true" outlineLevel="0" collapsed="false">
      <c r="A202" s="13" t="s">
        <v>261</v>
      </c>
      <c r="B202" s="14" t="n">
        <v>39981</v>
      </c>
      <c r="C202" s="15" t="s">
        <v>27</v>
      </c>
      <c r="D202" s="4" t="s">
        <v>51</v>
      </c>
      <c r="E202" s="3" t="n">
        <v>6</v>
      </c>
      <c r="F202" s="3" t="n">
        <v>5</v>
      </c>
      <c r="G202" s="3" t="s">
        <v>72</v>
      </c>
      <c r="I202" s="3" t="n">
        <f aca="false">_xlfn.IFS(G202="взв",11,G202="накл",24,G202="прокл",25,G202="пт",26,G202=90,10,G202=85,10,G202=80,9,G202=75,8,G202=70,8,G202=65,7,G202=60,7,G202=55,6,G202=50,6,G202=45,6,G202=40,5,G202=35,4,G202=30,4,G202=25,3,G202=20,2,G202=15,1,G202=10,1,G202=0,0)</f>
        <v>11</v>
      </c>
      <c r="J202" s="3" t="n">
        <f aca="false">IF(H202&lt;=1,0,IF(H202&lt;=10,11,IF(H202&lt;=14,12,IF(H202&lt;=17,13,IF(H202&lt;=20,14,IF(H202&lt;=22,15,IF(H202&lt;=25,16,IF(H202&lt;=27,17,IF(H202&lt;=29,18,IF(H202&lt;=32,19,IF(H202&lt;=34,20,IF(H202&lt;=36,21,IF(H202&lt;=40,22,24)))))))))))))</f>
        <v>0</v>
      </c>
      <c r="K202" s="3" t="s">
        <v>72</v>
      </c>
      <c r="M202" s="3" t="n">
        <f aca="false">_xlfn.IFS(K202="взв",11,K202="накл",24,K202="прокл",25,K202="пт",26,K202=90,10,K202=85,10,K202=80,9,K202=75,8,K202=70,8,K202=65,7,K202=60,7,K202=55,6,K202=50,6,K202=45,6,K202=40,5,K202=35,4,K202=30,4,K202=25,3,K202=20,2,K202=15,1,K202=10,1,K202=0,0)</f>
        <v>11</v>
      </c>
      <c r="N202" s="3" t="n">
        <f aca="false">IF(L202&lt;=1,0,IF(L202&lt;=10,11,IF(L202&lt;=14,12,IF(L202&lt;=17,13,IF(L202&lt;=20,14,IF(L202&lt;=22,15,IF(L202&lt;=25,16,IF(L202&lt;=27,17,IF(L202&lt;=29,18,IF(L202&lt;=32,19,IF(L202&lt;=34,20,IF(L202&lt;=36,21,IF(L202&lt;=40,22,24)))))))))))))</f>
        <v>0</v>
      </c>
      <c r="P202" s="3" t="n">
        <v>21</v>
      </c>
      <c r="Q202" s="3" t="n">
        <f aca="false">_xlfn.IFS(O202="взв",11,O202="накл",24,O202="прокл",25,O202="пт",26,O202=90,10,O202=85,10,O202=80,9,O202=75,8,O202=70,8,O202=65,7,O202=60,7,O202=55,6,O202=50,6,O202=45,6,O202=40,5,O202=35,4,O202=30,4,O202=25,3,O202=20,2,O202=15,1,O202=10,1,O202=0,0)</f>
        <v>0</v>
      </c>
      <c r="R202" s="3" t="n">
        <f aca="false">IF(P202&lt;=1,0,IF(P202&lt;=10,11,IF(P202&lt;=14,12,IF(P202&lt;=17,13,IF(P202&lt;=20,14,IF(P202&lt;=22,15,IF(P202&lt;=25,16,IF(P202&lt;=27,17,IF(P202&lt;=29,18,IF(P202&lt;=32,19,IF(P202&lt;=34,20,IF(P202&lt;=36,21,IF(P202&lt;=40,22,24)))))))))))))</f>
        <v>15</v>
      </c>
      <c r="S202" s="3" t="n">
        <f aca="false">ROUND((Q202+R202+I202+J202+M202+N202)/3,0)</f>
        <v>12</v>
      </c>
      <c r="T202" s="17" t="n">
        <f aca="false">F202*LOG10(S202+2)</f>
        <v>5.73064017839119</v>
      </c>
    </row>
    <row r="203" customFormat="false" ht="14.65" hidden="false" customHeight="true" outlineLevel="0" collapsed="false">
      <c r="A203" s="13" t="s">
        <v>262</v>
      </c>
      <c r="B203" s="14" t="n">
        <v>39981</v>
      </c>
      <c r="C203" s="15" t="s">
        <v>27</v>
      </c>
      <c r="D203" s="4" t="s">
        <v>51</v>
      </c>
      <c r="E203" s="3" t="n">
        <v>2</v>
      </c>
      <c r="F203" s="3" t="n">
        <v>5</v>
      </c>
      <c r="G203" s="3" t="n">
        <v>90</v>
      </c>
      <c r="I203" s="3" t="n">
        <f aca="false">_xlfn.IFS(G203="взв",11,G203="накл",24,G203="прокл",25,G203="пт",26,G203=90,10,G203=85,10,G203=80,9,G203=75,8,G203=70,8,G203=65,7,G203=60,7,G203=55,6,G203=50,6,G203=45,6,G203=40,5,G203=35,4,G203=30,4,G203=25,3,G203=20,2,G203=15,1,G203=10,1,G203=0,0)</f>
        <v>10</v>
      </c>
      <c r="J203" s="3" t="n">
        <f aca="false">IF(H203&lt;=1,0,IF(H203&lt;=10,11,IF(H203&lt;=14,12,IF(H203&lt;=17,13,IF(H203&lt;=20,14,IF(H203&lt;=22,15,IF(H203&lt;=25,16,IF(H203&lt;=27,17,IF(H203&lt;=29,18,IF(H203&lt;=32,19,IF(H203&lt;=34,20,IF(H203&lt;=36,21,IF(H203&lt;=40,22,24)))))))))))))</f>
        <v>0</v>
      </c>
      <c r="K203" s="3" t="n">
        <v>90</v>
      </c>
      <c r="M203" s="3" t="n">
        <f aca="false">_xlfn.IFS(K203="взв",11,K203="накл",24,K203="прокл",25,K203="пт",26,K203=90,10,K203=85,10,K203=80,9,K203=75,8,K203=70,8,K203=65,7,K203=60,7,K203=55,6,K203=50,6,K203=45,6,K203=40,5,K203=35,4,K203=30,4,K203=25,3,K203=20,2,K203=15,1,K203=10,1,K203=0,0)</f>
        <v>10</v>
      </c>
      <c r="N203" s="3" t="n">
        <f aca="false">IF(L203&lt;=1,0,IF(L203&lt;=10,11,IF(L203&lt;=14,12,IF(L203&lt;=17,13,IF(L203&lt;=20,14,IF(L203&lt;=22,15,IF(L203&lt;=25,16,IF(L203&lt;=27,17,IF(L203&lt;=29,18,IF(L203&lt;=32,19,IF(L203&lt;=34,20,IF(L203&lt;=36,21,IF(L203&lt;=40,22,24)))))))))))))</f>
        <v>0</v>
      </c>
      <c r="Q203" s="3" t="n">
        <f aca="false">_xlfn.IFS(O203="взв",11,O203="накл",24,O203="прокл",25,O203="пт",26,O203=90,10,O203=85,10,O203=80,9,O203=75,8,O203=70,8,O203=65,7,O203=60,7,O203=55,6,O203=50,6,O203=45,6,O203=40,5,O203=35,4,O203=30,4,O203=25,3,O203=20,2,O203=15,1,O203=10,1,O203=0,0)</f>
        <v>0</v>
      </c>
      <c r="R203" s="3" t="n">
        <f aca="false">IF(P203&lt;=1,0,IF(P203&lt;=10,11,IF(P203&lt;=14,12,IF(P203&lt;=17,13,IF(P203&lt;=20,14,IF(P203&lt;=22,15,IF(P203&lt;=25,16,IF(P203&lt;=27,17,IF(P203&lt;=29,18,IF(P203&lt;=32,19,IF(P203&lt;=34,20,IF(P203&lt;=36,21,IF(P203&lt;=40,22,24)))))))))))))</f>
        <v>0</v>
      </c>
      <c r="S203" s="3" t="n">
        <f aca="false">ROUND((Q203+R203+I203+J203+M203+N203)/3,0)</f>
        <v>7</v>
      </c>
      <c r="T203" s="17" t="n">
        <f aca="false">F203*LOG10(S203+2)</f>
        <v>4.77121254719662</v>
      </c>
    </row>
    <row r="204" customFormat="false" ht="14.65" hidden="false" customHeight="true" outlineLevel="0" collapsed="false">
      <c r="A204" s="13" t="s">
        <v>263</v>
      </c>
      <c r="B204" s="14" t="n">
        <v>39981</v>
      </c>
      <c r="C204" s="15" t="s">
        <v>27</v>
      </c>
      <c r="D204" s="4" t="s">
        <v>51</v>
      </c>
      <c r="E204" s="3" t="n">
        <v>4</v>
      </c>
      <c r="F204" s="3" t="n">
        <v>5</v>
      </c>
      <c r="H204" s="3" t="n">
        <v>27</v>
      </c>
      <c r="I204" s="3" t="n">
        <f aca="false">_xlfn.IFS(G204="взв",11,G204="накл",24,G204="прокл",25,G204="пт",26,G204=90,10,G204=85,10,G204=80,9,G204=75,8,G204=70,8,G204=65,7,G204=60,7,G204=55,6,G204=50,6,G204=45,6,G204=40,5,G204=35,4,G204=30,4,G204=25,3,G204=20,2,G204=15,1,G204=10,1,G204=0,0)</f>
        <v>0</v>
      </c>
      <c r="J204" s="3" t="n">
        <f aca="false">IF(H204&lt;=1,0,IF(H204&lt;=10,11,IF(H204&lt;=14,12,IF(H204&lt;=17,13,IF(H204&lt;=20,14,IF(H204&lt;=22,15,IF(H204&lt;=25,16,IF(H204&lt;=27,17,IF(H204&lt;=29,18,IF(H204&lt;=32,19,IF(H204&lt;=34,20,IF(H204&lt;=36,21,IF(H204&lt;=40,22,24)))))))))))))</f>
        <v>17</v>
      </c>
      <c r="L204" s="3" t="n">
        <v>22</v>
      </c>
      <c r="M204" s="3" t="n">
        <f aca="false">_xlfn.IFS(K204="взв",11,K204="накл",24,K204="прокл",25,K204="пт",26,K204=90,10,K204=85,10,K204=80,9,K204=75,8,K204=70,8,K204=65,7,K204=60,7,K204=55,6,K204=50,6,K204=45,6,K204=40,5,K204=35,4,K204=30,4,K204=25,3,K204=20,2,K204=15,1,K204=10,1,K204=0,0)</f>
        <v>0</v>
      </c>
      <c r="N204" s="3" t="n">
        <f aca="false">IF(L204&lt;=1,0,IF(L204&lt;=10,11,IF(L204&lt;=14,12,IF(L204&lt;=17,13,IF(L204&lt;=20,14,IF(L204&lt;=22,15,IF(L204&lt;=25,16,IF(L204&lt;=27,17,IF(L204&lt;=29,18,IF(L204&lt;=32,19,IF(L204&lt;=34,20,IF(L204&lt;=36,21,IF(L204&lt;=40,22,24)))))))))))))</f>
        <v>15</v>
      </c>
      <c r="P204" s="3" t="n">
        <v>24</v>
      </c>
      <c r="Q204" s="3" t="n">
        <f aca="false">_xlfn.IFS(O204="взв",11,O204="накл",24,O204="прокл",25,O204="пт",26,O204=90,10,O204=85,10,O204=80,9,O204=75,8,O204=70,8,O204=65,7,O204=60,7,O204=55,6,O204=50,6,O204=45,6,O204=40,5,O204=35,4,O204=30,4,O204=25,3,O204=20,2,O204=15,1,O204=10,1,O204=0,0)</f>
        <v>0</v>
      </c>
      <c r="R204" s="3" t="n">
        <f aca="false">IF(P204&lt;=1,0,IF(P204&lt;=10,11,IF(P204&lt;=14,12,IF(P204&lt;=17,13,IF(P204&lt;=20,14,IF(P204&lt;=22,15,IF(P204&lt;=25,16,IF(P204&lt;=27,17,IF(P204&lt;=29,18,IF(P204&lt;=32,19,IF(P204&lt;=34,20,IF(P204&lt;=36,21,IF(P204&lt;=40,22,24)))))))))))))</f>
        <v>16</v>
      </c>
      <c r="S204" s="3" t="n">
        <f aca="false">ROUND((Q204+R204+I204+J204+M204+N204)/3,0)</f>
        <v>16</v>
      </c>
      <c r="T204" s="17" t="n">
        <f aca="false">F204*LOG10(S204+2)</f>
        <v>6.27636252551653</v>
      </c>
    </row>
    <row r="205" customFormat="false" ht="14.65" hidden="false" customHeight="true" outlineLevel="0" collapsed="false">
      <c r="A205" s="13" t="s">
        <v>264</v>
      </c>
      <c r="B205" s="14" t="n">
        <v>39981</v>
      </c>
      <c r="C205" s="15" t="s">
        <v>27</v>
      </c>
      <c r="D205" s="4" t="s">
        <v>28</v>
      </c>
      <c r="E205" s="3" t="n">
        <v>4</v>
      </c>
      <c r="F205" s="3" t="n">
        <v>5</v>
      </c>
      <c r="G205" s="3" t="s">
        <v>36</v>
      </c>
      <c r="I205" s="3" t="n">
        <f aca="false">_xlfn.IFS(G205="взв",11,G205="накл",24,G205="прокл",25,G205="пт",26,G205=90,10,G205=85,10,G205=80,9,G205=75,8,G205=70,8,G205=65,7,G205=60,7,G205=55,6,G205=50,6,G205=45,6,G205=40,5,G205=35,4,G205=30,4,G205=25,3,G205=20,2,G205=15,1,G205=10,1,G205=0,0)</f>
        <v>26</v>
      </c>
      <c r="J205" s="3" t="n">
        <f aca="false">IF(H205&lt;=1,0,IF(H205&lt;=10,11,IF(H205&lt;=14,12,IF(H205&lt;=17,13,IF(H205&lt;=20,14,IF(H205&lt;=22,15,IF(H205&lt;=25,16,IF(H205&lt;=27,17,IF(H205&lt;=29,18,IF(H205&lt;=32,19,IF(H205&lt;=34,20,IF(H205&lt;=36,21,IF(H205&lt;=40,22,24)))))))))))))</f>
        <v>0</v>
      </c>
      <c r="K205" s="3" t="s">
        <v>43</v>
      </c>
      <c r="M205" s="3" t="n">
        <f aca="false">_xlfn.IFS(K205="взв",11,K205="накл",24,K205="прокл",25,K205="пт",26,K205=90,10,K205=85,10,K205=80,9,K205=75,8,K205=70,8,K205=65,7,K205=60,7,K205=55,6,K205=50,6,K205=45,6,K205=40,5,K205=35,4,K205=30,4,K205=25,3,K205=20,2,K205=15,1,K205=10,1,K205=0,0)</f>
        <v>24</v>
      </c>
      <c r="N205" s="3" t="n">
        <f aca="false">IF(L205&lt;=1,0,IF(L205&lt;=10,11,IF(L205&lt;=14,12,IF(L205&lt;=17,13,IF(L205&lt;=20,14,IF(L205&lt;=22,15,IF(L205&lt;=25,16,IF(L205&lt;=27,17,IF(L205&lt;=29,18,IF(L205&lt;=32,19,IF(L205&lt;=34,20,IF(L205&lt;=36,21,IF(L205&lt;=40,22,24)))))))))))))</f>
        <v>0</v>
      </c>
      <c r="O205" s="3" t="s">
        <v>81</v>
      </c>
      <c r="Q205" s="3" t="n">
        <f aca="false">_xlfn.IFS(O205="взв",11,O205="накл",24,O205="прокл",25,O205="пт",26,O205=90,10,O205=85,10,O205=80,9,O205=75,8,O205=70,8,O205=65,7,O205=60,7,O205=55,6,O205=50,6,O205=45,6,O205=40,5,O205=35,4,O205=30,4,O205=25,3,O205=20,2,O205=15,1,O205=10,1,O205=0,0)</f>
        <v>25</v>
      </c>
      <c r="R205" s="3" t="n">
        <f aca="false">IF(P205&lt;=1,0,IF(P205&lt;=10,11,IF(P205&lt;=14,12,IF(P205&lt;=17,13,IF(P205&lt;=20,14,IF(P205&lt;=22,15,IF(P205&lt;=25,16,IF(P205&lt;=27,17,IF(P205&lt;=29,18,IF(P205&lt;=32,19,IF(P205&lt;=34,20,IF(P205&lt;=36,21,IF(P205&lt;=40,22,24)))))))))))))</f>
        <v>0</v>
      </c>
      <c r="S205" s="3" t="n">
        <f aca="false">ROUND((Q205+R205+I205+J205+M205+N205)/3,0)</f>
        <v>25</v>
      </c>
      <c r="T205" s="17" t="n">
        <f aca="false">F205*LOG10(S205+2)</f>
        <v>7.15681882079494</v>
      </c>
    </row>
    <row r="206" customFormat="false" ht="14.65" hidden="false" customHeight="true" outlineLevel="0" collapsed="false">
      <c r="A206" s="13" t="s">
        <v>265</v>
      </c>
      <c r="B206" s="14" t="n">
        <v>39981</v>
      </c>
      <c r="C206" s="15" t="s">
        <v>27</v>
      </c>
      <c r="D206" s="4" t="s">
        <v>28</v>
      </c>
      <c r="E206" s="3" t="n">
        <v>2</v>
      </c>
      <c r="F206" s="3" t="n">
        <v>5</v>
      </c>
      <c r="H206" s="3" t="n">
        <v>40</v>
      </c>
      <c r="I206" s="3" t="n">
        <f aca="false">_xlfn.IFS(G206="взв",11,G206="накл",24,G206="прокл",25,G206="пт",26,G206=90,10,G206=85,10,G206=80,9,G206=75,8,G206=70,8,G206=65,7,G206=60,7,G206=55,6,G206=50,6,G206=45,6,G206=40,5,G206=35,4,G206=30,4,G206=25,3,G206=20,2,G206=15,1,G206=10,1,G206=0,0)</f>
        <v>0</v>
      </c>
      <c r="J206" s="3" t="n">
        <f aca="false">IF(H206&lt;=1,0,IF(H206&lt;=10,11,IF(H206&lt;=14,12,IF(H206&lt;=17,13,IF(H206&lt;=20,14,IF(H206&lt;=22,15,IF(H206&lt;=25,16,IF(H206&lt;=27,17,IF(H206&lt;=29,18,IF(H206&lt;=32,19,IF(H206&lt;=34,20,IF(H206&lt;=36,21,IF(H206&lt;=40,22,24)))))))))))))</f>
        <v>22</v>
      </c>
      <c r="L206" s="3" t="n">
        <v>40</v>
      </c>
      <c r="M206" s="3" t="n">
        <f aca="false">_xlfn.IFS(K206="взв",11,K206="накл",24,K206="прокл",25,K206="пт",26,K206=90,10,K206=85,10,K206=80,9,K206=75,8,K206=70,8,K206=65,7,K206=60,7,K206=55,6,K206=50,6,K206=45,6,K206=40,5,K206=35,4,K206=30,4,K206=25,3,K206=20,2,K206=15,1,K206=10,1,K206=0,0)</f>
        <v>0</v>
      </c>
      <c r="N206" s="3" t="n">
        <f aca="false">IF(L206&lt;=1,0,IF(L206&lt;=10,11,IF(L206&lt;=14,12,IF(L206&lt;=17,13,IF(L206&lt;=20,14,IF(L206&lt;=22,15,IF(L206&lt;=25,16,IF(L206&lt;=27,17,IF(L206&lt;=29,18,IF(L206&lt;=32,19,IF(L206&lt;=34,20,IF(L206&lt;=36,21,IF(L206&lt;=40,22,24)))))))))))))</f>
        <v>22</v>
      </c>
      <c r="Q206" s="3" t="n">
        <f aca="false">_xlfn.IFS(O206="взв",11,O206="накл",24,O206="прокл",25,O206="пт",26,O206=90,10,O206=85,10,O206=80,9,O206=75,8,O206=70,8,O206=65,7,O206=60,7,O206=55,6,O206=50,6,O206=45,6,O206=40,5,O206=35,4,O206=30,4,O206=25,3,O206=20,2,O206=15,1,O206=10,1,O206=0,0)</f>
        <v>0</v>
      </c>
      <c r="R206" s="3" t="n">
        <f aca="false">IF(P206&lt;=1,0,IF(P206&lt;=10,11,IF(P206&lt;=14,12,IF(P206&lt;=17,13,IF(P206&lt;=20,14,IF(P206&lt;=22,15,IF(P206&lt;=25,16,IF(P206&lt;=27,17,IF(P206&lt;=29,18,IF(P206&lt;=32,19,IF(P206&lt;=34,20,IF(P206&lt;=36,21,IF(P206&lt;=40,22,24)))))))))))))</f>
        <v>0</v>
      </c>
      <c r="S206" s="3" t="n">
        <v>22</v>
      </c>
      <c r="T206" s="17" t="n">
        <f aca="false">F206*LOG10(S206+2)</f>
        <v>6.90105620855803</v>
      </c>
    </row>
    <row r="207" customFormat="false" ht="14.65" hidden="false" customHeight="true" outlineLevel="0" collapsed="false">
      <c r="A207" s="13" t="s">
        <v>266</v>
      </c>
      <c r="B207" s="14" t="n">
        <v>39981</v>
      </c>
      <c r="C207" s="15" t="s">
        <v>27</v>
      </c>
      <c r="D207" s="4" t="s">
        <v>47</v>
      </c>
      <c r="E207" s="3" t="n">
        <v>4</v>
      </c>
      <c r="F207" s="3" t="n">
        <v>5</v>
      </c>
      <c r="G207" s="3" t="n">
        <v>90</v>
      </c>
      <c r="I207" s="3" t="n">
        <f aca="false">_xlfn.IFS(G207="взв",11,G207="накл",24,G207="прокл",25,G207="пт",26,G207=90,10,G207=85,10,G207=80,9,G207=75,8,G207=70,8,G207=65,7,G207=60,7,G207=55,6,G207=50,6,G207=45,6,G207=40,5,G207=35,4,G207=30,4,G207=25,3,G207=20,2,G207=15,1,G207=10,1,G207=0,0)</f>
        <v>10</v>
      </c>
      <c r="J207" s="3" t="n">
        <f aca="false">IF(H207&lt;=1,0,IF(H207&lt;=10,11,IF(H207&lt;=14,12,IF(H207&lt;=17,13,IF(H207&lt;=20,14,IF(H207&lt;=22,15,IF(H207&lt;=25,16,IF(H207&lt;=27,17,IF(H207&lt;=29,18,IF(H207&lt;=32,19,IF(H207&lt;=34,20,IF(H207&lt;=36,21,IF(H207&lt;=40,22,24)))))))))))))</f>
        <v>0</v>
      </c>
      <c r="K207" s="3" t="n">
        <v>90</v>
      </c>
      <c r="M207" s="3" t="n">
        <f aca="false">_xlfn.IFS(K207="взв",11,K207="накл",24,K207="прокл",25,K207="пт",26,K207=90,10,K207=85,10,K207=80,9,K207=75,8,K207=70,8,K207=65,7,K207=60,7,K207=55,6,K207=50,6,K207=45,6,K207=40,5,K207=35,4,K207=30,4,K207=25,3,K207=20,2,K207=15,1,K207=10,1,K207=0,0)</f>
        <v>10</v>
      </c>
      <c r="N207" s="3" t="n">
        <f aca="false">IF(L207&lt;=1,0,IF(L207&lt;=10,11,IF(L207&lt;=14,12,IF(L207&lt;=17,13,IF(L207&lt;=20,14,IF(L207&lt;=22,15,IF(L207&lt;=25,16,IF(L207&lt;=27,17,IF(L207&lt;=29,18,IF(L207&lt;=32,19,IF(L207&lt;=34,20,IF(L207&lt;=36,21,IF(L207&lt;=40,22,24)))))))))))))</f>
        <v>0</v>
      </c>
      <c r="O207" s="3" t="n">
        <v>75</v>
      </c>
      <c r="Q207" s="3" t="n">
        <f aca="false">_xlfn.IFS(O207="взв",11,O207="накл",24,O207="прокл",25,O207="пт",26,O207=90,10,O207=85,10,O207=80,9,O207=75,8,O207=70,8,O207=65,7,O207=60,7,O207=55,6,O207=50,6,O207=45,6,O207=40,5,O207=35,4,O207=30,4,O207=25,3,O207=20,2,O207=15,1,O207=10,1,O207=0,0)</f>
        <v>8</v>
      </c>
      <c r="R207" s="3" t="n">
        <f aca="false">IF(P207&lt;=1,0,IF(P207&lt;=10,11,IF(P207&lt;=14,12,IF(P207&lt;=17,13,IF(P207&lt;=20,14,IF(P207&lt;=22,15,IF(P207&lt;=25,16,IF(P207&lt;=27,17,IF(P207&lt;=29,18,IF(P207&lt;=32,19,IF(P207&lt;=34,20,IF(P207&lt;=36,21,IF(P207&lt;=40,22,24)))))))))))))</f>
        <v>0</v>
      </c>
      <c r="S207" s="3" t="n">
        <f aca="false">ROUND((Q207+R207+I207+J207+M207+N207)/3,0)</f>
        <v>9</v>
      </c>
      <c r="T207" s="17" t="n">
        <f aca="false">F207*LOG10(S207+2)</f>
        <v>5.20696342579113</v>
      </c>
    </row>
    <row r="208" customFormat="false" ht="14.65" hidden="false" customHeight="true" outlineLevel="0" collapsed="false">
      <c r="A208" s="13" t="s">
        <v>267</v>
      </c>
      <c r="B208" s="14" t="n">
        <v>39981</v>
      </c>
      <c r="C208" s="15" t="s">
        <v>27</v>
      </c>
      <c r="D208" s="4" t="s">
        <v>47</v>
      </c>
      <c r="E208" s="3" t="n">
        <v>2</v>
      </c>
      <c r="F208" s="3" t="n">
        <v>5</v>
      </c>
      <c r="H208" s="3" t="n">
        <v>30</v>
      </c>
      <c r="I208" s="3" t="n">
        <f aca="false">_xlfn.IFS(G208="взв",11,G208="накл",24,G208="прокл",25,G208="пт",26,G208=90,10,G208=85,10,G208=80,9,G208=75,8,G208=70,8,G208=65,7,G208=60,7,G208=55,6,G208=50,6,G208=45,6,G208=40,5,G208=35,4,G208=30,4,G208=25,3,G208=20,2,G208=15,1,G208=10,1,G208=0,0)</f>
        <v>0</v>
      </c>
      <c r="J208" s="3" t="n">
        <f aca="false">IF(H208&lt;=1,0,IF(H208&lt;=10,11,IF(H208&lt;=14,12,IF(H208&lt;=17,13,IF(H208&lt;=20,14,IF(H208&lt;=22,15,IF(H208&lt;=25,16,IF(H208&lt;=27,17,IF(H208&lt;=29,18,IF(H208&lt;=32,19,IF(H208&lt;=34,20,IF(H208&lt;=36,21,IF(H208&lt;=40,22,24)))))))))))))</f>
        <v>19</v>
      </c>
      <c r="L208" s="3" t="n">
        <v>34</v>
      </c>
      <c r="M208" s="3" t="n">
        <f aca="false">_xlfn.IFS(K208="взв",11,K208="накл",24,K208="прокл",25,K208="пт",26,K208=90,10,K208=85,10,K208=80,9,K208=75,8,K208=70,8,K208=65,7,K208=60,7,K208=55,6,K208=50,6,K208=45,6,K208=40,5,K208=35,4,K208=30,4,K208=25,3,K208=20,2,K208=15,1,K208=10,1,K208=0,0)</f>
        <v>0</v>
      </c>
      <c r="N208" s="3" t="n">
        <f aca="false">IF(L208&lt;=1,0,IF(L208&lt;=10,11,IF(L208&lt;=14,12,IF(L208&lt;=17,13,IF(L208&lt;=20,14,IF(L208&lt;=22,15,IF(L208&lt;=25,16,IF(L208&lt;=27,17,IF(L208&lt;=29,18,IF(L208&lt;=32,19,IF(L208&lt;=34,20,IF(L208&lt;=36,21,IF(L208&lt;=40,22,24)))))))))))))</f>
        <v>20</v>
      </c>
      <c r="Q208" s="3" t="n">
        <f aca="false">_xlfn.IFS(O208="взв",11,O208="накл",24,O208="прокл",25,O208="пт",26,O208=90,10,O208=85,10,O208=80,9,O208=75,8,O208=70,8,O208=65,7,O208=60,7,O208=55,6,O208=50,6,O208=45,6,O208=40,5,O208=35,4,O208=30,4,O208=25,3,O208=20,2,O208=15,1,O208=10,1,O208=0,0)</f>
        <v>0</v>
      </c>
      <c r="R208" s="3" t="n">
        <f aca="false">IF(P208&lt;=1,0,IF(P208&lt;=10,11,IF(P208&lt;=14,12,IF(P208&lt;=17,13,IF(P208&lt;=20,14,IF(P208&lt;=22,15,IF(P208&lt;=25,16,IF(P208&lt;=27,17,IF(P208&lt;=29,18,IF(P208&lt;=32,19,IF(P208&lt;=34,20,IF(P208&lt;=36,21,IF(P208&lt;=40,22,24)))))))))))))</f>
        <v>0</v>
      </c>
      <c r="S208" s="3" t="n">
        <f aca="false">ROUND((Q208+R208+I208+J208+M208+N208)/2,0)</f>
        <v>20</v>
      </c>
      <c r="T208" s="17" t="n">
        <f aca="false">F208*LOG10(S208+2)</f>
        <v>6.71211340411103</v>
      </c>
    </row>
    <row r="209" customFormat="false" ht="14.65" hidden="false" customHeight="true" outlineLevel="0" collapsed="false">
      <c r="A209" s="13" t="s">
        <v>268</v>
      </c>
      <c r="B209" s="14" t="n">
        <v>39981</v>
      </c>
      <c r="C209" s="15" t="s">
        <v>27</v>
      </c>
      <c r="D209" s="4" t="s">
        <v>28</v>
      </c>
      <c r="E209" s="3" t="n">
        <v>2</v>
      </c>
      <c r="F209" s="3" t="n">
        <v>5</v>
      </c>
      <c r="G209" s="3" t="s">
        <v>72</v>
      </c>
      <c r="I209" s="3" t="n">
        <f aca="false">_xlfn.IFS(G209="взв",11,G209="накл",24,G209="прокл",25,G209="пт",26,G209=90,10,G209=85,10,G209=80,9,G209=75,8,G209=70,8,G209=65,7,G209=60,7,G209=55,6,G209=50,6,G209=45,6,G209=40,5,G209=35,4,G209=30,4,G209=25,3,G209=20,2,G209=15,1,G209=10,1,G209=0,0)</f>
        <v>11</v>
      </c>
      <c r="J209" s="3" t="n">
        <f aca="false">IF(H209&lt;=1,0,IF(H209&lt;=10,11,IF(H209&lt;=14,12,IF(H209&lt;=17,13,IF(H209&lt;=20,14,IF(H209&lt;=22,15,IF(H209&lt;=25,16,IF(H209&lt;=27,17,IF(H209&lt;=29,18,IF(H209&lt;=32,19,IF(H209&lt;=34,20,IF(H209&lt;=36,21,IF(H209&lt;=40,22,24)))))))))))))</f>
        <v>0</v>
      </c>
      <c r="L209" s="3" t="n">
        <v>16</v>
      </c>
      <c r="M209" s="3" t="n">
        <f aca="false">_xlfn.IFS(K209="взв",11,K209="накл",24,K209="прокл",25,K209="пт",26,K209=90,10,K209=85,10,K209=80,9,K209=75,8,K209=70,8,K209=65,7,K209=60,7,K209=55,6,K209=50,6,K209=45,6,K209=40,5,K209=35,4,K209=30,4,K209=25,3,K209=20,2,K209=15,1,K209=10,1,K209=0,0)</f>
        <v>0</v>
      </c>
      <c r="N209" s="3" t="n">
        <f aca="false">IF(L209&lt;=1,0,IF(L209&lt;=10,11,IF(L209&lt;=14,12,IF(L209&lt;=17,13,IF(L209&lt;=20,14,IF(L209&lt;=22,15,IF(L209&lt;=25,16,IF(L209&lt;=27,17,IF(L209&lt;=29,18,IF(L209&lt;=32,19,IF(L209&lt;=34,20,IF(L209&lt;=36,21,IF(L209&lt;=40,22,24)))))))))))))</f>
        <v>13</v>
      </c>
      <c r="Q209" s="3" t="n">
        <f aca="false">_xlfn.IFS(O209="взв",11,O209="накл",24,O209="прокл",25,O209="пт",26,O209=90,10,O209=85,10,O209=80,9,O209=75,8,O209=70,8,O209=65,7,O209=60,7,O209=55,6,O209=50,6,O209=45,6,O209=40,5,O209=35,4,O209=30,4,O209=25,3,O209=20,2,O209=15,1,O209=10,1,O209=0,0)</f>
        <v>0</v>
      </c>
      <c r="R209" s="3" t="n">
        <f aca="false">IF(P209&lt;=1,0,IF(P209&lt;=10,11,IF(P209&lt;=14,12,IF(P209&lt;=17,13,IF(P209&lt;=20,14,IF(P209&lt;=22,15,IF(P209&lt;=25,16,IF(P209&lt;=27,17,IF(P209&lt;=29,18,IF(P209&lt;=32,19,IF(P209&lt;=34,20,IF(P209&lt;=36,21,IF(P209&lt;=40,22,24)))))))))))))</f>
        <v>0</v>
      </c>
      <c r="S209" s="3" t="n">
        <f aca="false">ROUND((Q209+R209+I209+J209+M209+N209)/2,0)</f>
        <v>12</v>
      </c>
      <c r="T209" s="17" t="n">
        <f aca="false">F209*LOG10(S209+2)</f>
        <v>5.73064017839119</v>
      </c>
    </row>
    <row r="210" customFormat="false" ht="14.65" hidden="false" customHeight="true" outlineLevel="0" collapsed="false">
      <c r="A210" s="13" t="s">
        <v>269</v>
      </c>
      <c r="B210" s="14" t="n">
        <v>39981</v>
      </c>
      <c r="C210" s="15" t="s">
        <v>27</v>
      </c>
      <c r="D210" s="4" t="s">
        <v>28</v>
      </c>
      <c r="E210" s="3" t="n">
        <v>5</v>
      </c>
      <c r="F210" s="3" t="n">
        <v>5</v>
      </c>
      <c r="G210" s="3" t="n">
        <v>60</v>
      </c>
      <c r="I210" s="3" t="n">
        <f aca="false">_xlfn.IFS(G210="взв",11,G210="накл",24,G210="прокл",25,G210="пт",26,G210=90,10,G210=85,10,G210=80,9,G210=75,8,G210=70,8,G210=65,7,G210=60,7,G210=55,6,G210=50,6,G210=45,6,G210=40,5,G210=35,4,G210=30,4,G210=25,3,G210=20,2,G210=15,1,G210=10,1,G210=0,0)</f>
        <v>7</v>
      </c>
      <c r="J210" s="3" t="n">
        <f aca="false">IF(H210&lt;=1,0,IF(H210&lt;=10,11,IF(H210&lt;=14,12,IF(H210&lt;=17,13,IF(H210&lt;=20,14,IF(H210&lt;=22,15,IF(H210&lt;=25,16,IF(H210&lt;=27,17,IF(H210&lt;=29,18,IF(H210&lt;=32,19,IF(H210&lt;=34,20,IF(H210&lt;=36,21,IF(H210&lt;=40,22,24)))))))))))))</f>
        <v>0</v>
      </c>
      <c r="K210" s="3" t="n">
        <v>75</v>
      </c>
      <c r="M210" s="3" t="n">
        <f aca="false">_xlfn.IFS(K210="взв",11,K210="накл",24,K210="прокл",25,K210="пт",26,K210=90,10,K210=85,10,K210=80,9,K210=75,8,K210=70,8,K210=65,7,K210=60,7,K210=55,6,K210=50,6,K210=45,6,K210=40,5,K210=35,4,K210=30,4,K210=25,3,K210=20,2,K210=15,1,K210=10,1,K210=0,0)</f>
        <v>8</v>
      </c>
      <c r="N210" s="3" t="n">
        <f aca="false">IF(L210&lt;=1,0,IF(L210&lt;=10,11,IF(L210&lt;=14,12,IF(L210&lt;=17,13,IF(L210&lt;=20,14,IF(L210&lt;=22,15,IF(L210&lt;=25,16,IF(L210&lt;=27,17,IF(L210&lt;=29,18,IF(L210&lt;=32,19,IF(L210&lt;=34,20,IF(L210&lt;=36,21,IF(L210&lt;=40,22,24)))))))))))))</f>
        <v>0</v>
      </c>
      <c r="O210" s="3" t="n">
        <v>75</v>
      </c>
      <c r="Q210" s="3" t="n">
        <f aca="false">_xlfn.IFS(O210="взв",11,O210="накл",24,O210="прокл",25,O210="пт",26,O210=90,10,O210=85,10,O210=80,9,O210=75,8,O210=70,8,O210=65,7,O210=60,7,O210=55,6,O210=50,6,O210=45,6,O210=40,5,O210=35,4,O210=30,4,O210=25,3,O210=20,2,O210=15,1,O210=10,1,O210=0,0)</f>
        <v>8</v>
      </c>
      <c r="R210" s="3" t="n">
        <f aca="false">IF(P210&lt;=1,0,IF(P210&lt;=10,11,IF(P210&lt;=14,12,IF(P210&lt;=17,13,IF(P210&lt;=20,14,IF(P210&lt;=22,15,IF(P210&lt;=25,16,IF(P210&lt;=27,17,IF(P210&lt;=29,18,IF(P210&lt;=32,19,IF(P210&lt;=34,20,IF(P210&lt;=36,21,IF(P210&lt;=40,22,24)))))))))))))</f>
        <v>0</v>
      </c>
      <c r="S210" s="3" t="n">
        <f aca="false">ROUND((Q210+R210+I210+J210+M210+N210)/3,0)</f>
        <v>8</v>
      </c>
      <c r="T210" s="17" t="n">
        <f aca="false">F210*LOG10(S210+2)</f>
        <v>5</v>
      </c>
    </row>
    <row r="211" customFormat="false" ht="14.65" hidden="false" customHeight="true" outlineLevel="0" collapsed="false">
      <c r="A211" s="13" t="s">
        <v>270</v>
      </c>
      <c r="B211" s="14" t="n">
        <v>39981</v>
      </c>
      <c r="C211" s="15" t="s">
        <v>27</v>
      </c>
      <c r="D211" s="4" t="s">
        <v>60</v>
      </c>
      <c r="E211" s="3" t="n">
        <v>1</v>
      </c>
      <c r="F211" s="3" t="n">
        <v>5</v>
      </c>
      <c r="H211" s="3" t="n">
        <v>40</v>
      </c>
      <c r="I211" s="3" t="n">
        <f aca="false">_xlfn.IFS(G211="взв",11,G211="накл",24,G211="прокл",25,G211="пт",26,G211=90,10,G211=85,10,G211=80,9,G211=75,8,G211=70,8,G211=65,7,G211=60,7,G211=55,6,G211=50,6,G211=45,6,G211=40,5,G211=35,4,G211=30,4,G211=25,3,G211=20,2,G211=15,1,G211=10,1,G211=0,0)</f>
        <v>0</v>
      </c>
      <c r="J211" s="3" t="n">
        <f aca="false">IF(H211&lt;=1,0,IF(H211&lt;=10,11,IF(H211&lt;=14,12,IF(H211&lt;=17,13,IF(H211&lt;=20,14,IF(H211&lt;=22,15,IF(H211&lt;=25,16,IF(H211&lt;=27,17,IF(H211&lt;=29,18,IF(H211&lt;=32,19,IF(H211&lt;=34,20,IF(H211&lt;=36,21,IF(H211&lt;=40,22,24)))))))))))))</f>
        <v>22</v>
      </c>
      <c r="M211" s="3" t="n">
        <f aca="false">_xlfn.IFS(K211="взв",11,K211="накл",24,K211="прокл",25,K211="пт",26,K211=90,10,K211=85,10,K211=80,9,K211=75,8,K211=70,8,K211=65,7,K211=60,7,K211=55,6,K211=50,6,K211=45,6,K211=40,5,K211=35,4,K211=30,4,K211=25,3,K211=20,2,K211=15,1,K211=10,1,K211=0,0)</f>
        <v>0</v>
      </c>
      <c r="N211" s="3" t="n">
        <f aca="false">IF(L211&lt;=1,0,IF(L211&lt;=10,11,IF(L211&lt;=14,12,IF(L211&lt;=17,13,IF(L211&lt;=20,14,IF(L211&lt;=22,15,IF(L211&lt;=25,16,IF(L211&lt;=27,17,IF(L211&lt;=29,18,IF(L211&lt;=32,19,IF(L211&lt;=34,20,IF(L211&lt;=36,21,IF(L211&lt;=40,22,24)))))))))))))</f>
        <v>0</v>
      </c>
      <c r="Q211" s="3" t="n">
        <f aca="false">_xlfn.IFS(O211="взв",11,O211="накл",24,O211="прокл",25,O211="пт",26,O211=90,10,O211=85,10,O211=80,9,O211=75,8,O211=70,8,O211=65,7,O211=60,7,O211=55,6,O211=50,6,O211=45,6,O211=40,5,O211=35,4,O211=30,4,O211=25,3,O211=20,2,O211=15,1,O211=10,1,O211=0,0)</f>
        <v>0</v>
      </c>
      <c r="R211" s="3" t="n">
        <f aca="false">IF(P211&lt;=1,0,IF(P211&lt;=10,11,IF(P211&lt;=14,12,IF(P211&lt;=17,13,IF(P211&lt;=20,14,IF(P211&lt;=22,15,IF(P211&lt;=25,16,IF(P211&lt;=27,17,IF(P211&lt;=29,18,IF(P211&lt;=32,19,IF(P211&lt;=34,20,IF(P211&lt;=36,21,IF(P211&lt;=40,22,24)))))))))))))</f>
        <v>0</v>
      </c>
      <c r="S211" s="3" t="n">
        <v>22</v>
      </c>
      <c r="T211" s="17" t="n">
        <f aca="false">F211*LOG10(S211+2)</f>
        <v>6.90105620855803</v>
      </c>
    </row>
    <row r="212" customFormat="false" ht="14.65" hidden="false" customHeight="true" outlineLevel="0" collapsed="false">
      <c r="A212" s="13" t="s">
        <v>271</v>
      </c>
      <c r="B212" s="14" t="n">
        <v>39985</v>
      </c>
      <c r="C212" s="15" t="s">
        <v>27</v>
      </c>
      <c r="D212" s="4" t="s">
        <v>64</v>
      </c>
      <c r="E212" s="3" t="n">
        <v>5</v>
      </c>
      <c r="F212" s="3" t="n">
        <v>5</v>
      </c>
      <c r="H212" s="3" t="s">
        <v>43</v>
      </c>
      <c r="I212" s="3" t="n">
        <f aca="false">_xlfn.IFS(G212="взв",11,G212="накл",24,G212="прокл",25,G212="пт",26,G212=90,10,G212=85,10,G212=80,9,G212=75,8,G212=70,8,G212=65,7,G212=60,7,G212=55,6,G212=50,6,G212=45,6,G212=40,5,G212=35,4,G212=30,4,G212=25,3,G212=20,2,G212=15,1,G212=10,1,G212=0,0)</f>
        <v>0</v>
      </c>
      <c r="J212" s="3" t="n">
        <f aca="false">IF(H212&lt;=1,0,IF(H212&lt;=10,11,IF(H212&lt;=14,12,IF(H212&lt;=17,13,IF(H212&lt;=20,14,IF(H212&lt;=22,15,IF(H212&lt;=25,16,IF(H212&lt;=27,17,IF(H212&lt;=29,18,IF(H212&lt;=32,19,IF(H212&lt;=34,20,IF(H212&lt;=36,21,IF(H212&lt;=40,22,24)))))))))))))</f>
        <v>24</v>
      </c>
      <c r="L212" s="3" t="s">
        <v>43</v>
      </c>
      <c r="M212" s="3" t="n">
        <f aca="false">_xlfn.IFS(K212="взв",11,K212="накл",24,K212="прокл",25,K212="пт",26,K212=90,10,K212=85,10,K212=80,9,K212=75,8,K212=70,8,K212=65,7,K212=60,7,K212=55,6,K212=50,6,K212=45,6,K212=40,5,K212=35,4,K212=30,4,K212=25,3,K212=20,2,K212=15,1,K212=10,1,K212=0,0)</f>
        <v>0</v>
      </c>
      <c r="N212" s="3" t="n">
        <f aca="false">IF(L212&lt;=1,0,IF(L212&lt;=10,11,IF(L212&lt;=14,12,IF(L212&lt;=17,13,IF(L212&lt;=20,14,IF(L212&lt;=22,15,IF(L212&lt;=25,16,IF(L212&lt;=27,17,IF(L212&lt;=29,18,IF(L212&lt;=32,19,IF(L212&lt;=34,20,IF(L212&lt;=36,21,IF(L212&lt;=40,22,24)))))))))))))</f>
        <v>24</v>
      </c>
      <c r="Q212" s="3" t="n">
        <f aca="false">_xlfn.IFS(O212="взв",11,O212="накл",24,O212="прокл",25,O212="пт",26,O212=90,10,O212=85,10,O212=80,9,O212=75,8,O212=70,8,O212=65,7,O212=60,7,O212=55,6,O212=50,6,O212=45,6,O212=40,5,O212=35,4,O212=30,4,O212=25,3,O212=20,2,O212=15,1,O212=10,1,O212=0,0)</f>
        <v>0</v>
      </c>
      <c r="R212" s="3" t="n">
        <f aca="false">IF(P212&lt;=1,0,IF(P212&lt;=10,11,IF(P212&lt;=14,12,IF(P212&lt;=17,13,IF(P212&lt;=20,14,IF(P212&lt;=22,15,IF(P212&lt;=25,16,IF(P212&lt;=27,17,IF(P212&lt;=29,18,IF(P212&lt;=32,19,IF(P212&lt;=34,20,IF(P212&lt;=36,21,IF(P212&lt;=40,22,24)))))))))))))</f>
        <v>0</v>
      </c>
      <c r="S212" s="3" t="n">
        <v>24</v>
      </c>
      <c r="T212" s="17" t="n">
        <f aca="false">F212*LOG10(S212+2)</f>
        <v>7.07486673985409</v>
      </c>
    </row>
    <row r="213" customFormat="false" ht="14.65" hidden="false" customHeight="true" outlineLevel="0" collapsed="false">
      <c r="A213" s="13" t="s">
        <v>272</v>
      </c>
      <c r="B213" s="14" t="n">
        <v>39985</v>
      </c>
      <c r="C213" s="15" t="s">
        <v>27</v>
      </c>
      <c r="D213" s="4" t="s">
        <v>64</v>
      </c>
      <c r="E213" s="3" t="n">
        <v>4</v>
      </c>
      <c r="F213" s="3" t="n">
        <v>5</v>
      </c>
      <c r="H213" s="3" t="n">
        <v>33</v>
      </c>
      <c r="I213" s="3" t="n">
        <f aca="false">_xlfn.IFS(G213="взв",11,G213="накл",24,G213="прокл",25,G213="пт",26,G213=90,10,G213=85,10,G213=80,9,G213=75,8,G213=70,8,G213=65,7,G213=60,7,G213=55,6,G213=50,6,G213=45,6,G213=40,5,G213=35,4,G213=30,4,G213=25,3,G213=20,2,G213=15,1,G213=10,1,G213=0,0)</f>
        <v>0</v>
      </c>
      <c r="J213" s="3" t="n">
        <f aca="false">IF(H213&lt;=1,0,IF(H213&lt;=10,11,IF(H213&lt;=14,12,IF(H213&lt;=17,13,IF(H213&lt;=20,14,IF(H213&lt;=22,15,IF(H213&lt;=25,16,IF(H213&lt;=27,17,IF(H213&lt;=29,18,IF(H213&lt;=32,19,IF(H213&lt;=34,20,IF(H213&lt;=36,21,IF(H213&lt;=40,22,24)))))))))))))</f>
        <v>20</v>
      </c>
      <c r="L213" s="3" t="n">
        <v>20</v>
      </c>
      <c r="M213" s="3" t="n">
        <f aca="false">_xlfn.IFS(K213="взв",11,K213="накл",24,K213="прокл",25,K213="пт",26,K213=90,10,K213=85,10,K213=80,9,K213=75,8,K213=70,8,K213=65,7,K213=60,7,K213=55,6,K213=50,6,K213=45,6,K213=40,5,K213=35,4,K213=30,4,K213=25,3,K213=20,2,K213=15,1,K213=10,1,K213=0,0)</f>
        <v>0</v>
      </c>
      <c r="N213" s="3" t="n">
        <f aca="false">IF(L213&lt;=1,0,IF(L213&lt;=10,11,IF(L213&lt;=14,12,IF(L213&lt;=17,13,IF(L213&lt;=20,14,IF(L213&lt;=22,15,IF(L213&lt;=25,16,IF(L213&lt;=27,17,IF(L213&lt;=29,18,IF(L213&lt;=32,19,IF(L213&lt;=34,20,IF(L213&lt;=36,21,IF(L213&lt;=40,22,24)))))))))))))</f>
        <v>14</v>
      </c>
      <c r="P213" s="3" t="n">
        <v>25</v>
      </c>
      <c r="Q213" s="3" t="n">
        <f aca="false">_xlfn.IFS(O213="взв",11,O213="накл",24,O213="прокл",25,O213="пт",26,O213=90,10,O213=85,10,O213=80,9,O213=75,8,O213=70,8,O213=65,7,O213=60,7,O213=55,6,O213=50,6,O213=45,6,O213=40,5,O213=35,4,O213=30,4,O213=25,3,O213=20,2,O213=15,1,O213=10,1,O213=0,0)</f>
        <v>0</v>
      </c>
      <c r="R213" s="3" t="n">
        <f aca="false">IF(P213&lt;=1,0,IF(P213&lt;=10,11,IF(P213&lt;=14,12,IF(P213&lt;=17,13,IF(P213&lt;=20,14,IF(P213&lt;=22,15,IF(P213&lt;=25,16,IF(P213&lt;=27,17,IF(P213&lt;=29,18,IF(P213&lt;=32,19,IF(P213&lt;=34,20,IF(P213&lt;=36,21,IF(P213&lt;=40,22,24)))))))))))))</f>
        <v>16</v>
      </c>
      <c r="S213" s="3" t="n">
        <f aca="false">ROUND((Q213+R213+I213+J213+M213+N213)/3,0)</f>
        <v>17</v>
      </c>
      <c r="T213" s="17" t="n">
        <f aca="false">F213*LOG10(S213+2)</f>
        <v>6.39376800476414</v>
      </c>
    </row>
    <row r="214" customFormat="false" ht="14.65" hidden="false" customHeight="true" outlineLevel="0" collapsed="false">
      <c r="A214" s="13" t="s">
        <v>273</v>
      </c>
      <c r="B214" s="14" t="n">
        <v>39985</v>
      </c>
      <c r="C214" s="15" t="s">
        <v>27</v>
      </c>
      <c r="D214" s="4" t="s">
        <v>64</v>
      </c>
      <c r="E214" s="3" t="n">
        <v>4</v>
      </c>
      <c r="F214" s="3" t="n">
        <v>5</v>
      </c>
      <c r="G214" s="3" t="n">
        <v>15</v>
      </c>
      <c r="I214" s="3" t="n">
        <f aca="false">_xlfn.IFS(G214="взв",11,G214="накл",24,G214="прокл",25,G214="пт",26,G214=90,10,G214=85,10,G214=80,9,G214=75,8,G214=70,8,G214=65,7,G214=60,7,G214=55,6,G214=50,6,G214=45,6,G214=40,5,G214=35,4,G214=30,4,G214=25,3,G214=20,2,G214=15,1,G214=10,1,G214=0,0)</f>
        <v>1</v>
      </c>
      <c r="J214" s="3" t="n">
        <f aca="false">IF(H214&lt;=1,0,IF(H214&lt;=10,11,IF(H214&lt;=14,12,IF(H214&lt;=17,13,IF(H214&lt;=20,14,IF(H214&lt;=22,15,IF(H214&lt;=25,16,IF(H214&lt;=27,17,IF(H214&lt;=29,18,IF(H214&lt;=32,19,IF(H214&lt;=34,20,IF(H214&lt;=36,21,IF(H214&lt;=40,22,24)))))))))))))</f>
        <v>0</v>
      </c>
      <c r="K214" s="3" t="n">
        <v>30</v>
      </c>
      <c r="M214" s="3" t="n">
        <f aca="false">_xlfn.IFS(K214="взв",11,K214="накл",24,K214="прокл",25,K214="пт",26,K214=90,10,K214=85,10,K214=80,9,K214=75,8,K214=70,8,K214=65,7,K214=60,7,K214=55,6,K214=50,6,K214=45,6,K214=40,5,K214=35,4,K214=30,4,K214=25,3,K214=20,2,K214=15,1,K214=10,1,K214=0,0)</f>
        <v>4</v>
      </c>
      <c r="N214" s="3" t="n">
        <f aca="false">IF(L214&lt;=1,0,IF(L214&lt;=10,11,IF(L214&lt;=14,12,IF(L214&lt;=17,13,IF(L214&lt;=20,14,IF(L214&lt;=22,15,IF(L214&lt;=25,16,IF(L214&lt;=27,17,IF(L214&lt;=29,18,IF(L214&lt;=32,19,IF(L214&lt;=34,20,IF(L214&lt;=36,21,IF(L214&lt;=40,22,24)))))))))))))</f>
        <v>0</v>
      </c>
      <c r="O214" s="3" t="n">
        <v>15</v>
      </c>
      <c r="Q214" s="3" t="n">
        <f aca="false">_xlfn.IFS(O214="взв",11,O214="накл",24,O214="прокл",25,O214="пт",26,O214=90,10,O214=85,10,O214=80,9,O214=75,8,O214=70,8,O214=65,7,O214=60,7,O214=55,6,O214=50,6,O214=45,6,O214=40,5,O214=35,4,O214=30,4,O214=25,3,O214=20,2,O214=15,1,O214=10,1,O214=0,0)</f>
        <v>1</v>
      </c>
      <c r="R214" s="3" t="n">
        <f aca="false">IF(P214&lt;=1,0,IF(P214&lt;=10,11,IF(P214&lt;=14,12,IF(P214&lt;=17,13,IF(P214&lt;=20,14,IF(P214&lt;=22,15,IF(P214&lt;=25,16,IF(P214&lt;=27,17,IF(P214&lt;=29,18,IF(P214&lt;=32,19,IF(P214&lt;=34,20,IF(P214&lt;=36,21,IF(P214&lt;=40,22,24)))))))))))))</f>
        <v>0</v>
      </c>
      <c r="S214" s="3" t="n">
        <f aca="false">ROUND((Q214+R214+I214+J214+M214+N214)/3,0)</f>
        <v>2</v>
      </c>
      <c r="T214" s="17" t="n">
        <f aca="false">F214*LOG10(S214+2)</f>
        <v>3.01029995663981</v>
      </c>
    </row>
    <row r="215" customFormat="false" ht="14.65" hidden="false" customHeight="true" outlineLevel="0" collapsed="false">
      <c r="A215" s="13" t="s">
        <v>274</v>
      </c>
      <c r="B215" s="14" t="n">
        <v>39985</v>
      </c>
      <c r="C215" s="15" t="s">
        <v>27</v>
      </c>
      <c r="D215" s="4" t="s">
        <v>64</v>
      </c>
      <c r="E215" s="3" t="n">
        <v>5</v>
      </c>
      <c r="F215" s="3" t="n">
        <v>5</v>
      </c>
      <c r="G215" s="3" t="n">
        <v>45</v>
      </c>
      <c r="I215" s="3" t="n">
        <f aca="false">_xlfn.IFS(G215="взв",11,G215="накл",24,G215="прокл",25,G215="пт",26,G215=90,10,G215=85,10,G215=80,9,G215=75,8,G215=70,8,G215=65,7,G215=60,7,G215=55,6,G215=50,6,G215=45,6,G215=40,5,G215=35,4,G215=30,4,G215=25,3,G215=20,2,G215=15,1,G215=10,1,G215=0,0)</f>
        <v>6</v>
      </c>
      <c r="J215" s="3" t="n">
        <f aca="false">IF(H215&lt;=1,0,IF(H215&lt;=10,11,IF(H215&lt;=14,12,IF(H215&lt;=17,13,IF(H215&lt;=20,14,IF(H215&lt;=22,15,IF(H215&lt;=25,16,IF(H215&lt;=27,17,IF(H215&lt;=29,18,IF(H215&lt;=32,19,IF(H215&lt;=34,20,IF(H215&lt;=36,21,IF(H215&lt;=40,22,24)))))))))))))</f>
        <v>0</v>
      </c>
      <c r="K215" s="3" t="n">
        <v>30</v>
      </c>
      <c r="M215" s="3" t="n">
        <f aca="false">_xlfn.IFS(K215="взв",11,K215="накл",24,K215="прокл",25,K215="пт",26,K215=90,10,K215=85,10,K215=80,9,K215=75,8,K215=70,8,K215=65,7,K215=60,7,K215=55,6,K215=50,6,K215=45,6,K215=40,5,K215=35,4,K215=30,4,K215=25,3,K215=20,2,K215=15,1,K215=10,1,K215=0,0)</f>
        <v>4</v>
      </c>
      <c r="N215" s="3" t="n">
        <f aca="false">IF(L215&lt;=1,0,IF(L215&lt;=10,11,IF(L215&lt;=14,12,IF(L215&lt;=17,13,IF(L215&lt;=20,14,IF(L215&lt;=22,15,IF(L215&lt;=25,16,IF(L215&lt;=27,17,IF(L215&lt;=29,18,IF(L215&lt;=32,19,IF(L215&lt;=34,20,IF(L215&lt;=36,21,IF(L215&lt;=40,22,24)))))))))))))</f>
        <v>0</v>
      </c>
      <c r="O215" s="3" t="n">
        <v>45</v>
      </c>
      <c r="Q215" s="3" t="n">
        <f aca="false">_xlfn.IFS(O215="взв",11,O215="накл",24,O215="прокл",25,O215="пт",26,O215=90,10,O215=85,10,O215=80,9,O215=75,8,O215=70,8,O215=65,7,O215=60,7,O215=55,6,O215=50,6,O215=45,6,O215=40,5,O215=35,4,O215=30,4,O215=25,3,O215=20,2,O215=15,1,O215=10,1,O215=0,0)</f>
        <v>6</v>
      </c>
      <c r="R215" s="3" t="n">
        <f aca="false">IF(P215&lt;=1,0,IF(P215&lt;=10,11,IF(P215&lt;=14,12,IF(P215&lt;=17,13,IF(P215&lt;=20,14,IF(P215&lt;=22,15,IF(P215&lt;=25,16,IF(P215&lt;=27,17,IF(P215&lt;=29,18,IF(P215&lt;=32,19,IF(P215&lt;=34,20,IF(P215&lt;=36,21,IF(P215&lt;=40,22,24)))))))))))))</f>
        <v>0</v>
      </c>
      <c r="S215" s="3" t="n">
        <f aca="false">ROUND((Q215+R215+I215+J215+M215+N215)/3,0)</f>
        <v>5</v>
      </c>
      <c r="T215" s="17" t="n">
        <f aca="false">F215*LOG10(S215+2)</f>
        <v>4.22549020007128</v>
      </c>
    </row>
    <row r="216" customFormat="false" ht="14.65" hidden="false" customHeight="true" outlineLevel="0" collapsed="false">
      <c r="A216" s="13" t="s">
        <v>275</v>
      </c>
      <c r="B216" s="14" t="n">
        <v>39985</v>
      </c>
      <c r="C216" s="15" t="s">
        <v>27</v>
      </c>
      <c r="D216" s="4" t="s">
        <v>64</v>
      </c>
      <c r="E216" s="3" t="n">
        <v>5</v>
      </c>
      <c r="F216" s="3" t="n">
        <v>5</v>
      </c>
      <c r="G216" s="3" t="n">
        <v>90</v>
      </c>
      <c r="I216" s="3" t="n">
        <f aca="false">_xlfn.IFS(G216="взв",11,G216="накл",24,G216="прокл",25,G216="пт",26,G216=90,10,G216=85,10,G216=80,9,G216=75,8,G216=70,8,G216=65,7,G216=60,7,G216=55,6,G216=50,6,G216=45,6,G216=40,5,G216=35,4,G216=30,4,G216=25,3,G216=20,2,G216=15,1,G216=10,1,G216=0,0)</f>
        <v>10</v>
      </c>
      <c r="J216" s="3" t="n">
        <f aca="false">IF(H216&lt;=1,0,IF(H216&lt;=10,11,IF(H216&lt;=14,12,IF(H216&lt;=17,13,IF(H216&lt;=20,14,IF(H216&lt;=22,15,IF(H216&lt;=25,16,IF(H216&lt;=27,17,IF(H216&lt;=29,18,IF(H216&lt;=32,19,IF(H216&lt;=34,20,IF(H216&lt;=36,21,IF(H216&lt;=40,22,24)))))))))))))</f>
        <v>0</v>
      </c>
      <c r="L216" s="3" t="n">
        <v>14</v>
      </c>
      <c r="M216" s="3" t="n">
        <f aca="false">_xlfn.IFS(K216="взв",11,K216="накл",24,K216="прокл",25,K216="пт",26,K216=90,10,K216=85,10,K216=80,9,K216=75,8,K216=70,8,K216=65,7,K216=60,7,K216=55,6,K216=50,6,K216=45,6,K216=40,5,K216=35,4,K216=30,4,K216=25,3,K216=20,2,K216=15,1,K216=10,1,K216=0,0)</f>
        <v>0</v>
      </c>
      <c r="N216" s="3" t="n">
        <f aca="false">IF(L216&lt;=1,0,IF(L216&lt;=10,11,IF(L216&lt;=14,12,IF(L216&lt;=17,13,IF(L216&lt;=20,14,IF(L216&lt;=22,15,IF(L216&lt;=25,16,IF(L216&lt;=27,17,IF(L216&lt;=29,18,IF(L216&lt;=32,19,IF(L216&lt;=34,20,IF(L216&lt;=36,21,IF(L216&lt;=40,22,24)))))))))))))</f>
        <v>12</v>
      </c>
      <c r="O216" s="3" t="n">
        <v>90</v>
      </c>
      <c r="Q216" s="3" t="n">
        <f aca="false">_xlfn.IFS(O216="взв",11,O216="накл",24,O216="прокл",25,O216="пт",26,O216=90,10,O216=85,10,O216=80,9,O216=75,8,O216=70,8,O216=65,7,O216=60,7,O216=55,6,O216=50,6,O216=45,6,O216=40,5,O216=35,4,O216=30,4,O216=25,3,O216=20,2,O216=15,1,O216=10,1,O216=0,0)</f>
        <v>10</v>
      </c>
      <c r="R216" s="3" t="n">
        <f aca="false">IF(P216&lt;=1,0,IF(P216&lt;=10,11,IF(P216&lt;=14,12,IF(P216&lt;=17,13,IF(P216&lt;=20,14,IF(P216&lt;=22,15,IF(P216&lt;=25,16,IF(P216&lt;=27,17,IF(P216&lt;=29,18,IF(P216&lt;=32,19,IF(P216&lt;=34,20,IF(P216&lt;=36,21,IF(P216&lt;=40,22,24)))))))))))))</f>
        <v>0</v>
      </c>
      <c r="S216" s="3" t="n">
        <f aca="false">ROUND((Q216+R216+I216+J216+M216+N216)/3,0)</f>
        <v>11</v>
      </c>
      <c r="T216" s="17" t="n">
        <f aca="false">F216*LOG10(S216+2)</f>
        <v>5.56971676153418</v>
      </c>
    </row>
    <row r="217" customFormat="false" ht="14.65" hidden="false" customHeight="true" outlineLevel="0" collapsed="false">
      <c r="A217" s="13" t="s">
        <v>276</v>
      </c>
      <c r="B217" s="14" t="n">
        <v>39985</v>
      </c>
      <c r="C217" s="15" t="s">
        <v>27</v>
      </c>
      <c r="D217" s="4" t="s">
        <v>64</v>
      </c>
      <c r="E217" s="3" t="n">
        <v>9</v>
      </c>
      <c r="F217" s="3" t="n">
        <v>5</v>
      </c>
      <c r="G217" s="3" t="n">
        <v>75</v>
      </c>
      <c r="I217" s="3" t="n">
        <f aca="false">_xlfn.IFS(G217="взв",11,G217="накл",24,G217="прокл",25,G217="пт",26,G217=90,10,G217=85,10,G217=80,9,G217=75,8,G217=70,8,G217=65,7,G217=60,7,G217=55,6,G217=50,6,G217=45,6,G217=40,5,G217=35,4,G217=30,4,G217=25,3,G217=20,2,G217=15,1,G217=10,1,G217=0,0)</f>
        <v>8</v>
      </c>
      <c r="J217" s="3" t="n">
        <f aca="false">IF(H217&lt;=1,0,IF(H217&lt;=10,11,IF(H217&lt;=14,12,IF(H217&lt;=17,13,IF(H217&lt;=20,14,IF(H217&lt;=22,15,IF(H217&lt;=25,16,IF(H217&lt;=27,17,IF(H217&lt;=29,18,IF(H217&lt;=32,19,IF(H217&lt;=34,20,IF(H217&lt;=36,21,IF(H217&lt;=40,22,24)))))))))))))</f>
        <v>0</v>
      </c>
      <c r="K217" s="3" t="n">
        <v>90</v>
      </c>
      <c r="M217" s="3" t="n">
        <f aca="false">_xlfn.IFS(K217="взв",11,K217="накл",24,K217="прокл",25,K217="пт",26,K217=90,10,K217=85,10,K217=80,9,K217=75,8,K217=70,8,K217=65,7,K217=60,7,K217=55,6,K217=50,6,K217=45,6,K217=40,5,K217=35,4,K217=30,4,K217=25,3,K217=20,2,K217=15,1,K217=10,1,K217=0,0)</f>
        <v>10</v>
      </c>
      <c r="N217" s="3" t="n">
        <f aca="false">IF(L217&lt;=1,0,IF(L217&lt;=10,11,IF(L217&lt;=14,12,IF(L217&lt;=17,13,IF(L217&lt;=20,14,IF(L217&lt;=22,15,IF(L217&lt;=25,16,IF(L217&lt;=27,17,IF(L217&lt;=29,18,IF(L217&lt;=32,19,IF(L217&lt;=34,20,IF(L217&lt;=36,21,IF(L217&lt;=40,22,24)))))))))))))</f>
        <v>0</v>
      </c>
      <c r="O217" s="3" t="n">
        <v>90</v>
      </c>
      <c r="Q217" s="3" t="n">
        <f aca="false">_xlfn.IFS(O217="взв",11,O217="накл",24,O217="прокл",25,O217="пт",26,O217=90,10,O217=85,10,O217=80,9,O217=75,8,O217=70,8,O217=65,7,O217=60,7,O217=55,6,O217=50,6,O217=45,6,O217=40,5,O217=35,4,O217=30,4,O217=25,3,O217=20,2,O217=15,1,O217=10,1,O217=0,0)</f>
        <v>10</v>
      </c>
      <c r="R217" s="3" t="n">
        <f aca="false">IF(P217&lt;=1,0,IF(P217&lt;=10,11,IF(P217&lt;=14,12,IF(P217&lt;=17,13,IF(P217&lt;=20,14,IF(P217&lt;=22,15,IF(P217&lt;=25,16,IF(P217&lt;=27,17,IF(P217&lt;=29,18,IF(P217&lt;=32,19,IF(P217&lt;=34,20,IF(P217&lt;=36,21,IF(P217&lt;=40,22,24)))))))))))))</f>
        <v>0</v>
      </c>
      <c r="S217" s="3" t="n">
        <f aca="false">ROUND((Q217+R217+I217+J217+M217+N217)/3,0)</f>
        <v>9</v>
      </c>
      <c r="T217" s="17" t="n">
        <f aca="false">F217*LOG10(S217+2)</f>
        <v>5.20696342579113</v>
      </c>
    </row>
    <row r="218" customFormat="false" ht="14.65" hidden="false" customHeight="true" outlineLevel="0" collapsed="false">
      <c r="A218" s="13" t="s">
        <v>277</v>
      </c>
      <c r="B218" s="14" t="n">
        <v>39985</v>
      </c>
      <c r="C218" s="15" t="s">
        <v>27</v>
      </c>
      <c r="D218" s="4" t="s">
        <v>64</v>
      </c>
      <c r="E218" s="3" t="n">
        <v>5</v>
      </c>
      <c r="F218" s="3" t="n">
        <v>5</v>
      </c>
      <c r="H218" s="3" t="n">
        <v>41</v>
      </c>
      <c r="I218" s="3" t="n">
        <f aca="false">_xlfn.IFS(G218="взв",11,G218="накл",24,G218="прокл",25,G218="пт",26,G218=90,10,G218=85,10,G218=80,9,G218=75,8,G218=70,8,G218=65,7,G218=60,7,G218=55,6,G218=50,6,G218=45,6,G218=40,5,G218=35,4,G218=30,4,G218=25,3,G218=20,2,G218=15,1,G218=10,1,G218=0,0)</f>
        <v>0</v>
      </c>
      <c r="J218" s="3" t="n">
        <f aca="false">IF(H218&lt;=1,0,IF(H218&lt;=10,11,IF(H218&lt;=14,12,IF(H218&lt;=17,13,IF(H218&lt;=20,14,IF(H218&lt;=22,15,IF(H218&lt;=25,16,IF(H218&lt;=27,17,IF(H218&lt;=29,18,IF(H218&lt;=32,19,IF(H218&lt;=34,20,IF(H218&lt;=36,21,IF(H218&lt;=40,22,24)))))))))))))</f>
        <v>24</v>
      </c>
      <c r="L218" s="3" t="n">
        <v>40</v>
      </c>
      <c r="M218" s="3" t="n">
        <f aca="false">_xlfn.IFS(K218="взв",11,K218="накл",24,K218="прокл",25,K218="пт",26,K218=90,10,K218=85,10,K218=80,9,K218=75,8,K218=70,8,K218=65,7,K218=60,7,K218=55,6,K218=50,6,K218=45,6,K218=40,5,K218=35,4,K218=30,4,K218=25,3,K218=20,2,K218=15,1,K218=10,1,K218=0,0)</f>
        <v>0</v>
      </c>
      <c r="N218" s="3" t="n">
        <f aca="false">IF(L218&lt;=1,0,IF(L218&lt;=10,11,IF(L218&lt;=14,12,IF(L218&lt;=17,13,IF(L218&lt;=20,14,IF(L218&lt;=22,15,IF(L218&lt;=25,16,IF(L218&lt;=27,17,IF(L218&lt;=29,18,IF(L218&lt;=32,19,IF(L218&lt;=34,20,IF(L218&lt;=36,21,IF(L218&lt;=40,22,24)))))))))))))</f>
        <v>22</v>
      </c>
      <c r="P218" s="3" t="n">
        <v>38</v>
      </c>
      <c r="Q218" s="3" t="n">
        <f aca="false">_xlfn.IFS(O218="взв",11,O218="накл",24,O218="прокл",25,O218="пт",26,O218=90,10,O218=85,10,O218=80,9,O218=75,8,O218=70,8,O218=65,7,O218=60,7,O218=55,6,O218=50,6,O218=45,6,O218=40,5,O218=35,4,O218=30,4,O218=25,3,O218=20,2,O218=15,1,O218=10,1,O218=0,0)</f>
        <v>0</v>
      </c>
      <c r="R218" s="3" t="n">
        <f aca="false">IF(P218&lt;=1,0,IF(P218&lt;=10,11,IF(P218&lt;=14,12,IF(P218&lt;=17,13,IF(P218&lt;=20,14,IF(P218&lt;=22,15,IF(P218&lt;=25,16,IF(P218&lt;=27,17,IF(P218&lt;=29,18,IF(P218&lt;=32,19,IF(P218&lt;=34,20,IF(P218&lt;=36,21,IF(P218&lt;=40,22,24)))))))))))))</f>
        <v>22</v>
      </c>
      <c r="S218" s="3" t="n">
        <f aca="false">ROUND((Q218+R218+I218+J218+M218+N218)/3,0)</f>
        <v>23</v>
      </c>
      <c r="T218" s="17" t="n">
        <f aca="false">F218*LOG10(S218+2)</f>
        <v>6.98970004336019</v>
      </c>
    </row>
    <row r="219" customFormat="false" ht="14.65" hidden="false" customHeight="true" outlineLevel="0" collapsed="false">
      <c r="A219" s="13" t="s">
        <v>278</v>
      </c>
      <c r="B219" s="14" t="n">
        <v>39985</v>
      </c>
      <c r="C219" s="15" t="s">
        <v>27</v>
      </c>
      <c r="D219" s="4" t="s">
        <v>64</v>
      </c>
      <c r="E219" s="3" t="n">
        <v>4</v>
      </c>
      <c r="F219" s="3" t="n">
        <v>5</v>
      </c>
      <c r="I219" s="3" t="n">
        <f aca="false">_xlfn.IFS(G219="взв",11,G219="накл",24,G219="прокл",25,G219="пт",26,G219=90,10,G219=85,10,G219=80,9,G219=75,8,G219=70,8,G219=65,7,G219=60,7,G219=55,6,G219=50,6,G219=45,6,G219=40,5,G219=35,4,G219=30,4,G219=25,3,G219=20,2,G219=15,1,G219=10,1,G219=0,0)</f>
        <v>0</v>
      </c>
      <c r="J219" s="3" t="n">
        <f aca="false">IF(H219&lt;=1,0,IF(H219&lt;=10,11,IF(H219&lt;=14,12,IF(H219&lt;=17,13,IF(H219&lt;=20,14,IF(H219&lt;=22,15,IF(H219&lt;=25,16,IF(H219&lt;=27,17,IF(H219&lt;=29,18,IF(H219&lt;=32,19,IF(H219&lt;=34,20,IF(H219&lt;=36,21,IF(H219&lt;=40,22,24)))))))))))))</f>
        <v>0</v>
      </c>
      <c r="M219" s="3" t="n">
        <f aca="false">_xlfn.IFS(K219="взв",11,K219="накл",24,K219="прокл",25,K219="пт",26,K219=90,10,K219=85,10,K219=80,9,K219=75,8,K219=70,8,K219=65,7,K219=60,7,K219=55,6,K219=50,6,K219=45,6,K219=40,5,K219=35,4,K219=30,4,K219=25,3,K219=20,2,K219=15,1,K219=10,1,K219=0,0)</f>
        <v>0</v>
      </c>
      <c r="N219" s="3" t="n">
        <f aca="false">IF(L219&lt;=1,0,IF(L219&lt;=10,11,IF(L219&lt;=14,12,IF(L219&lt;=17,13,IF(L219&lt;=20,14,IF(L219&lt;=22,15,IF(L219&lt;=25,16,IF(L219&lt;=27,17,IF(L219&lt;=29,18,IF(L219&lt;=32,19,IF(L219&lt;=34,20,IF(L219&lt;=36,21,IF(L219&lt;=40,22,24)))))))))))))</f>
        <v>0</v>
      </c>
      <c r="Q219" s="3" t="n">
        <f aca="false">_xlfn.IFS(O219="взв",11,O219="накл",24,O219="прокл",25,O219="пт",26,O219=90,10,O219=85,10,O219=80,9,O219=75,8,O219=70,8,O219=65,7,O219=60,7,O219=55,6,O219=50,6,O219=45,6,O219=40,5,O219=35,4,O219=30,4,O219=25,3,O219=20,2,O219=15,1,O219=10,1,O219=0,0)</f>
        <v>0</v>
      </c>
      <c r="R219" s="3" t="n">
        <f aca="false">IF(P219&lt;=1,0,IF(P219&lt;=10,11,IF(P219&lt;=14,12,IF(P219&lt;=17,13,IF(P219&lt;=20,14,IF(P219&lt;=22,15,IF(P219&lt;=25,16,IF(P219&lt;=27,17,IF(P219&lt;=29,18,IF(P219&lt;=32,19,IF(P219&lt;=34,20,IF(P219&lt;=36,21,IF(P219&lt;=40,22,24)))))))))))))</f>
        <v>0</v>
      </c>
      <c r="S219" s="3" t="n">
        <f aca="false">ROUND((Q219+R219+I219+J219+M219+N219)/3,0)</f>
        <v>0</v>
      </c>
      <c r="T219" s="17" t="n">
        <f aca="false">F219*LOG10(S219+2)</f>
        <v>1.50514997831991</v>
      </c>
    </row>
    <row r="220" customFormat="false" ht="14.65" hidden="false" customHeight="true" outlineLevel="0" collapsed="false">
      <c r="A220" s="13" t="s">
        <v>279</v>
      </c>
      <c r="B220" s="14" t="n">
        <v>39985</v>
      </c>
      <c r="C220" s="15" t="s">
        <v>27</v>
      </c>
      <c r="D220" s="4" t="s">
        <v>64</v>
      </c>
      <c r="E220" s="3" t="n">
        <v>5</v>
      </c>
      <c r="F220" s="3" t="n">
        <v>5</v>
      </c>
      <c r="G220" s="3" t="s">
        <v>36</v>
      </c>
      <c r="I220" s="3" t="n">
        <f aca="false">_xlfn.IFS(G220="взв",11,G220="накл",24,G220="прокл",25,G220="пт",26,G220=90,10,G220=85,10,G220=80,9,G220=75,8,G220=70,8,G220=65,7,G220=60,7,G220=55,6,G220=50,6,G220=45,6,G220=40,5,G220=35,4,G220=30,4,G220=25,3,G220=20,2,G220=15,1,G220=10,1,G220=0,0)</f>
        <v>26</v>
      </c>
      <c r="J220" s="3" t="n">
        <f aca="false">IF(H220&lt;=1,0,IF(H220&lt;=10,11,IF(H220&lt;=14,12,IF(H220&lt;=17,13,IF(H220&lt;=20,14,IF(H220&lt;=22,15,IF(H220&lt;=25,16,IF(H220&lt;=27,17,IF(H220&lt;=29,18,IF(H220&lt;=32,19,IF(H220&lt;=34,20,IF(H220&lt;=36,21,IF(H220&lt;=40,22,24)))))))))))))</f>
        <v>0</v>
      </c>
      <c r="K220" s="3" t="s">
        <v>43</v>
      </c>
      <c r="M220" s="3" t="n">
        <f aca="false">_xlfn.IFS(K220="взв",11,K220="накл",24,K220="прокл",25,K220="пт",26,K220=90,10,K220=85,10,K220=80,9,K220=75,8,K220=70,8,K220=65,7,K220=60,7,K220=55,6,K220=50,6,K220=45,6,K220=40,5,K220=35,4,K220=30,4,K220=25,3,K220=20,2,K220=15,1,K220=10,1,K220=0,0)</f>
        <v>24</v>
      </c>
      <c r="N220" s="3" t="n">
        <f aca="false">IF(L220&lt;=1,0,IF(L220&lt;=10,11,IF(L220&lt;=14,12,IF(L220&lt;=17,13,IF(L220&lt;=20,14,IF(L220&lt;=22,15,IF(L220&lt;=25,16,IF(L220&lt;=27,17,IF(L220&lt;=29,18,IF(L220&lt;=32,19,IF(L220&lt;=34,20,IF(L220&lt;=36,21,IF(L220&lt;=40,22,24)))))))))))))</f>
        <v>0</v>
      </c>
      <c r="O220" s="3" t="s">
        <v>81</v>
      </c>
      <c r="Q220" s="3" t="n">
        <f aca="false">_xlfn.IFS(O220="взв",11,O220="накл",24,O220="прокл",25,O220="пт",26,O220=90,10,O220=85,10,O220=80,9,O220=75,8,O220=70,8,O220=65,7,O220=60,7,O220=55,6,O220=50,6,O220=45,6,O220=40,5,O220=35,4,O220=30,4,O220=25,3,O220=20,2,O220=15,1,O220=10,1,O220=0,0)</f>
        <v>25</v>
      </c>
      <c r="R220" s="3" t="n">
        <f aca="false">IF(P220&lt;=1,0,IF(P220&lt;=10,11,IF(P220&lt;=14,12,IF(P220&lt;=17,13,IF(P220&lt;=20,14,IF(P220&lt;=22,15,IF(P220&lt;=25,16,IF(P220&lt;=27,17,IF(P220&lt;=29,18,IF(P220&lt;=32,19,IF(P220&lt;=34,20,IF(P220&lt;=36,21,IF(P220&lt;=40,22,24)))))))))))))</f>
        <v>0</v>
      </c>
      <c r="S220" s="3" t="n">
        <f aca="false">ROUND((Q220+R220+I220+J220+M220+N220)/3,0)</f>
        <v>25</v>
      </c>
      <c r="T220" s="17" t="n">
        <f aca="false">F220*LOG10(S220+2)</f>
        <v>7.15681882079494</v>
      </c>
    </row>
    <row r="221" customFormat="false" ht="14.65" hidden="false" customHeight="true" outlineLevel="0" collapsed="false">
      <c r="A221" s="13" t="s">
        <v>280</v>
      </c>
      <c r="B221" s="14" t="n">
        <v>39985</v>
      </c>
      <c r="C221" s="15" t="s">
        <v>27</v>
      </c>
      <c r="D221" s="4" t="s">
        <v>64</v>
      </c>
      <c r="E221" s="3" t="n">
        <v>6</v>
      </c>
      <c r="F221" s="3" t="n">
        <v>5</v>
      </c>
      <c r="H221" s="3" t="n">
        <v>31</v>
      </c>
      <c r="I221" s="3" t="n">
        <f aca="false">_xlfn.IFS(G221="взв",11,G221="накл",24,G221="прокл",25,G221="пт",26,G221=90,10,G221=85,10,G221=80,9,G221=75,8,G221=70,8,G221=65,7,G221=60,7,G221=55,6,G221=50,6,G221=45,6,G221=40,5,G221=35,4,G221=30,4,G221=25,3,G221=20,2,G221=15,1,G221=10,1,G221=0,0)</f>
        <v>0</v>
      </c>
      <c r="J221" s="3" t="n">
        <f aca="false">IF(H221&lt;=1,0,IF(H221&lt;=10,11,IF(H221&lt;=14,12,IF(H221&lt;=17,13,IF(H221&lt;=20,14,IF(H221&lt;=22,15,IF(H221&lt;=25,16,IF(H221&lt;=27,17,IF(H221&lt;=29,18,IF(H221&lt;=32,19,IF(H221&lt;=34,20,IF(H221&lt;=36,21,IF(H221&lt;=40,22,24)))))))))))))</f>
        <v>19</v>
      </c>
      <c r="L221" s="3" t="n">
        <v>36</v>
      </c>
      <c r="M221" s="3" t="n">
        <f aca="false">_xlfn.IFS(K221="взв",11,K221="накл",24,K221="прокл",25,K221="пт",26,K221=90,10,K221=85,10,K221=80,9,K221=75,8,K221=70,8,K221=65,7,K221=60,7,K221=55,6,K221=50,6,K221=45,6,K221=40,5,K221=35,4,K221=30,4,K221=25,3,K221=20,2,K221=15,1,K221=10,1,K221=0,0)</f>
        <v>0</v>
      </c>
      <c r="N221" s="3" t="n">
        <f aca="false">IF(L221&lt;=1,0,IF(L221&lt;=10,11,IF(L221&lt;=14,12,IF(L221&lt;=17,13,IF(L221&lt;=20,14,IF(L221&lt;=22,15,IF(L221&lt;=25,16,IF(L221&lt;=27,17,IF(L221&lt;=29,18,IF(L221&lt;=32,19,IF(L221&lt;=34,20,IF(L221&lt;=36,21,IF(L221&lt;=40,22,24)))))))))))))</f>
        <v>21</v>
      </c>
      <c r="P221" s="3" t="n">
        <v>34</v>
      </c>
      <c r="Q221" s="3" t="n">
        <f aca="false">_xlfn.IFS(O221="взв",11,O221="накл",24,O221="прокл",25,O221="пт",26,O221=90,10,O221=85,10,O221=80,9,O221=75,8,O221=70,8,O221=65,7,O221=60,7,O221=55,6,O221=50,6,O221=45,6,O221=40,5,O221=35,4,O221=30,4,O221=25,3,O221=20,2,O221=15,1,O221=10,1,O221=0,0)</f>
        <v>0</v>
      </c>
      <c r="R221" s="3" t="n">
        <f aca="false">IF(P221&lt;=1,0,IF(P221&lt;=10,11,IF(P221&lt;=14,12,IF(P221&lt;=17,13,IF(P221&lt;=20,14,IF(P221&lt;=22,15,IF(P221&lt;=25,16,IF(P221&lt;=27,17,IF(P221&lt;=29,18,IF(P221&lt;=32,19,IF(P221&lt;=34,20,IF(P221&lt;=36,21,IF(P221&lt;=40,22,24)))))))))))))</f>
        <v>20</v>
      </c>
      <c r="S221" s="3" t="n">
        <f aca="false">ROUND((Q221+R221+I221+J221+M221+N221)/3,0)</f>
        <v>20</v>
      </c>
      <c r="T221" s="17" t="n">
        <f aca="false">F221*LOG10(S221+2)</f>
        <v>6.71211340411103</v>
      </c>
    </row>
    <row r="222" customFormat="false" ht="14.65" hidden="false" customHeight="true" outlineLevel="0" collapsed="false">
      <c r="A222" s="13" t="s">
        <v>281</v>
      </c>
      <c r="B222" s="14" t="n">
        <v>39985</v>
      </c>
      <c r="C222" s="15" t="s">
        <v>27</v>
      </c>
      <c r="D222" s="4" t="s">
        <v>64</v>
      </c>
      <c r="E222" s="3" t="n">
        <v>2</v>
      </c>
      <c r="F222" s="3" t="n">
        <v>5</v>
      </c>
      <c r="H222" s="3" t="n">
        <v>28</v>
      </c>
      <c r="I222" s="3" t="n">
        <f aca="false">_xlfn.IFS(G222="взв",11,G222="накл",24,G222="прокл",25,G222="пт",26,G222=90,10,G222=85,10,G222=80,9,G222=75,8,G222=70,8,G222=65,7,G222=60,7,G222=55,6,G222=50,6,G222=45,6,G222=40,5,G222=35,4,G222=30,4,G222=25,3,G222=20,2,G222=15,1,G222=10,1,G222=0,0)</f>
        <v>0</v>
      </c>
      <c r="J222" s="3" t="n">
        <f aca="false">IF(H222&lt;=1,0,IF(H222&lt;=10,11,IF(H222&lt;=14,12,IF(H222&lt;=17,13,IF(H222&lt;=20,14,IF(H222&lt;=22,15,IF(H222&lt;=25,16,IF(H222&lt;=27,17,IF(H222&lt;=29,18,IF(H222&lt;=32,19,IF(H222&lt;=34,20,IF(H222&lt;=36,21,IF(H222&lt;=40,22,24)))))))))))))</f>
        <v>18</v>
      </c>
      <c r="L222" s="3" t="n">
        <v>28</v>
      </c>
      <c r="M222" s="3" t="n">
        <f aca="false">_xlfn.IFS(K222="взв",11,K222="накл",24,K222="прокл",25,K222="пт",26,K222=90,10,K222=85,10,K222=80,9,K222=75,8,K222=70,8,K222=65,7,K222=60,7,K222=55,6,K222=50,6,K222=45,6,K222=40,5,K222=35,4,K222=30,4,K222=25,3,K222=20,2,K222=15,1,K222=10,1,K222=0,0)</f>
        <v>0</v>
      </c>
      <c r="N222" s="3" t="n">
        <f aca="false">IF(L222&lt;=1,0,IF(L222&lt;=10,11,IF(L222&lt;=14,12,IF(L222&lt;=17,13,IF(L222&lt;=20,14,IF(L222&lt;=22,15,IF(L222&lt;=25,16,IF(L222&lt;=27,17,IF(L222&lt;=29,18,IF(L222&lt;=32,19,IF(L222&lt;=34,20,IF(L222&lt;=36,21,IF(L222&lt;=40,22,24)))))))))))))</f>
        <v>18</v>
      </c>
      <c r="Q222" s="3" t="n">
        <f aca="false">_xlfn.IFS(O222="взв",11,O222="накл",24,O222="прокл",25,O222="пт",26,O222=90,10,O222=85,10,O222=80,9,O222=75,8,O222=70,8,O222=65,7,O222=60,7,O222=55,6,O222=50,6,O222=45,6,O222=40,5,O222=35,4,O222=30,4,O222=25,3,O222=20,2,O222=15,1,O222=10,1,O222=0,0)</f>
        <v>0</v>
      </c>
      <c r="R222" s="3" t="n">
        <f aca="false">IF(P222&lt;=1,0,IF(P222&lt;=10,11,IF(P222&lt;=14,12,IF(P222&lt;=17,13,IF(P222&lt;=20,14,IF(P222&lt;=22,15,IF(P222&lt;=25,16,IF(P222&lt;=27,17,IF(P222&lt;=29,18,IF(P222&lt;=32,19,IF(P222&lt;=34,20,IF(P222&lt;=36,21,IF(P222&lt;=40,22,24)))))))))))))</f>
        <v>0</v>
      </c>
      <c r="S222" s="3" t="n">
        <f aca="false">ROUND((Q222+R222+I222+J222+M222+N222)/2,0)</f>
        <v>18</v>
      </c>
      <c r="T222" s="17" t="n">
        <f aca="false">F222*LOG10(S222+2)</f>
        <v>6.50514997831991</v>
      </c>
    </row>
    <row r="223" customFormat="false" ht="14.65" hidden="false" customHeight="true" outlineLevel="0" collapsed="false">
      <c r="A223" s="13" t="s">
        <v>282</v>
      </c>
      <c r="B223" s="14" t="n">
        <v>39985</v>
      </c>
      <c r="C223" s="15" t="s">
        <v>27</v>
      </c>
      <c r="D223" s="4" t="s">
        <v>64</v>
      </c>
      <c r="E223" s="3" t="n">
        <v>6</v>
      </c>
      <c r="F223" s="3" t="n">
        <v>5</v>
      </c>
      <c r="H223" s="3" t="n">
        <v>31</v>
      </c>
      <c r="I223" s="3" t="n">
        <f aca="false">_xlfn.IFS(G223="взв",11,G223="накл",24,G223="прокл",25,G223="пт",26,G223=90,10,G223=85,10,G223=80,9,G223=75,8,G223=70,8,G223=65,7,G223=60,7,G223=55,6,G223=50,6,G223=45,6,G223=40,5,G223=35,4,G223=30,4,G223=25,3,G223=20,2,G223=15,1,G223=10,1,G223=0,0)</f>
        <v>0</v>
      </c>
      <c r="J223" s="3" t="n">
        <f aca="false">IF(H223&lt;=1,0,IF(H223&lt;=10,11,IF(H223&lt;=14,12,IF(H223&lt;=17,13,IF(H223&lt;=20,14,IF(H223&lt;=22,15,IF(H223&lt;=25,16,IF(H223&lt;=27,17,IF(H223&lt;=29,18,IF(H223&lt;=32,19,IF(H223&lt;=34,20,IF(H223&lt;=36,21,IF(H223&lt;=40,22,24)))))))))))))</f>
        <v>19</v>
      </c>
      <c r="L223" s="3" t="n">
        <v>30</v>
      </c>
      <c r="M223" s="3" t="n">
        <f aca="false">_xlfn.IFS(K223="взв",11,K223="накл",24,K223="прокл",25,K223="пт",26,K223=90,10,K223=85,10,K223=80,9,K223=75,8,K223=70,8,K223=65,7,K223=60,7,K223=55,6,K223=50,6,K223=45,6,K223=40,5,K223=35,4,K223=30,4,K223=25,3,K223=20,2,K223=15,1,K223=10,1,K223=0,0)</f>
        <v>0</v>
      </c>
      <c r="N223" s="3" t="n">
        <f aca="false">IF(L223&lt;=1,0,IF(L223&lt;=10,11,IF(L223&lt;=14,12,IF(L223&lt;=17,13,IF(L223&lt;=20,14,IF(L223&lt;=22,15,IF(L223&lt;=25,16,IF(L223&lt;=27,17,IF(L223&lt;=29,18,IF(L223&lt;=32,19,IF(L223&lt;=34,20,IF(L223&lt;=36,21,IF(L223&lt;=40,22,24)))))))))))))</f>
        <v>19</v>
      </c>
      <c r="P223" s="3" t="n">
        <v>35</v>
      </c>
      <c r="Q223" s="3" t="n">
        <f aca="false">_xlfn.IFS(O223="взв",11,O223="накл",24,O223="прокл",25,O223="пт",26,O223=90,10,O223=85,10,O223=80,9,O223=75,8,O223=70,8,O223=65,7,O223=60,7,O223=55,6,O223=50,6,O223=45,6,O223=40,5,O223=35,4,O223=30,4,O223=25,3,O223=20,2,O223=15,1,O223=10,1,O223=0,0)</f>
        <v>0</v>
      </c>
      <c r="R223" s="3" t="n">
        <f aca="false">IF(P223&lt;=1,0,IF(P223&lt;=10,11,IF(P223&lt;=14,12,IF(P223&lt;=17,13,IF(P223&lt;=20,14,IF(P223&lt;=22,15,IF(P223&lt;=25,16,IF(P223&lt;=27,17,IF(P223&lt;=29,18,IF(P223&lt;=32,19,IF(P223&lt;=34,20,IF(P223&lt;=36,21,IF(P223&lt;=40,22,24)))))))))))))</f>
        <v>21</v>
      </c>
      <c r="S223" s="3" t="n">
        <f aca="false">ROUND((Q223+R223+I223+J223+M223+N223)/3,0)</f>
        <v>20</v>
      </c>
      <c r="T223" s="17" t="n">
        <f aca="false">F223*LOG10(S223+2)</f>
        <v>6.71211340411103</v>
      </c>
    </row>
    <row r="224" customFormat="false" ht="14.65" hidden="false" customHeight="true" outlineLevel="0" collapsed="false">
      <c r="A224" s="13" t="s">
        <v>283</v>
      </c>
      <c r="B224" s="14" t="n">
        <v>39985</v>
      </c>
      <c r="C224" s="15" t="s">
        <v>27</v>
      </c>
      <c r="D224" s="4" t="s">
        <v>64</v>
      </c>
      <c r="E224" s="3" t="n">
        <v>5</v>
      </c>
      <c r="F224" s="3" t="n">
        <v>5</v>
      </c>
      <c r="G224" s="3" t="n">
        <v>45</v>
      </c>
      <c r="I224" s="3" t="n">
        <f aca="false">_xlfn.IFS(G224="взв",11,G224="накл",24,G224="прокл",25,G224="пт",26,G224=90,10,G224=85,10,G224=80,9,G224=75,8,G224=70,8,G224=65,7,G224=60,7,G224=55,6,G224=50,6,G224=45,6,G224=40,5,G224=35,4,G224=30,4,G224=25,3,G224=20,2,G224=15,1,G224=10,1,G224=0,0)</f>
        <v>6</v>
      </c>
      <c r="J224" s="3" t="n">
        <f aca="false">IF(H224&lt;=1,0,IF(H224&lt;=10,11,IF(H224&lt;=14,12,IF(H224&lt;=17,13,IF(H224&lt;=20,14,IF(H224&lt;=22,15,IF(H224&lt;=25,16,IF(H224&lt;=27,17,IF(H224&lt;=29,18,IF(H224&lt;=32,19,IF(H224&lt;=34,20,IF(H224&lt;=36,21,IF(H224&lt;=40,22,24)))))))))))))</f>
        <v>0</v>
      </c>
      <c r="K224" s="3" t="n">
        <v>60</v>
      </c>
      <c r="M224" s="3" t="n">
        <f aca="false">_xlfn.IFS(K224="взв",11,K224="накл",24,K224="прокл",25,K224="пт",26,K224=90,10,K224=85,10,K224=80,9,K224=75,8,K224=70,8,K224=65,7,K224=60,7,K224=55,6,K224=50,6,K224=45,6,K224=40,5,K224=35,4,K224=30,4,K224=25,3,K224=20,2,K224=15,1,K224=10,1,K224=0,0)</f>
        <v>7</v>
      </c>
      <c r="N224" s="3" t="n">
        <f aca="false">IF(L224&lt;=1,0,IF(L224&lt;=10,11,IF(L224&lt;=14,12,IF(L224&lt;=17,13,IF(L224&lt;=20,14,IF(L224&lt;=22,15,IF(L224&lt;=25,16,IF(L224&lt;=27,17,IF(L224&lt;=29,18,IF(L224&lt;=32,19,IF(L224&lt;=34,20,IF(L224&lt;=36,21,IF(L224&lt;=40,22,24)))))))))))))</f>
        <v>0</v>
      </c>
      <c r="O224" s="3" t="n">
        <v>60</v>
      </c>
      <c r="Q224" s="3" t="n">
        <f aca="false">_xlfn.IFS(O224="взв",11,O224="накл",24,O224="прокл",25,O224="пт",26,O224=90,10,O224=85,10,O224=80,9,O224=75,8,O224=70,8,O224=65,7,O224=60,7,O224=55,6,O224=50,6,O224=45,6,O224=40,5,O224=35,4,O224=30,4,O224=25,3,O224=20,2,O224=15,1,O224=10,1,O224=0,0)</f>
        <v>7</v>
      </c>
      <c r="R224" s="3" t="n">
        <f aca="false">IF(P224&lt;=1,0,IF(P224&lt;=10,11,IF(P224&lt;=14,12,IF(P224&lt;=17,13,IF(P224&lt;=20,14,IF(P224&lt;=22,15,IF(P224&lt;=25,16,IF(P224&lt;=27,17,IF(P224&lt;=29,18,IF(P224&lt;=32,19,IF(P224&lt;=34,20,IF(P224&lt;=36,21,IF(P224&lt;=40,22,24)))))))))))))</f>
        <v>0</v>
      </c>
      <c r="S224" s="3" t="n">
        <f aca="false">ROUND((Q224+R224+I224+J224+M224+N224)/3,0)</f>
        <v>7</v>
      </c>
      <c r="T224" s="17" t="n">
        <f aca="false">F224*LOG10(S224+2)</f>
        <v>4.77121254719662</v>
      </c>
    </row>
    <row r="225" customFormat="false" ht="14.65" hidden="false" customHeight="true" outlineLevel="0" collapsed="false">
      <c r="A225" s="13" t="s">
        <v>284</v>
      </c>
      <c r="B225" s="14" t="n">
        <v>39985</v>
      </c>
      <c r="C225" s="15" t="s">
        <v>27</v>
      </c>
      <c r="D225" s="4" t="s">
        <v>64</v>
      </c>
      <c r="E225" s="3" t="n">
        <v>5</v>
      </c>
      <c r="F225" s="3" t="n">
        <v>5</v>
      </c>
      <c r="H225" s="3" t="n">
        <v>27</v>
      </c>
      <c r="I225" s="3" t="n">
        <f aca="false">_xlfn.IFS(G225="взв",11,G225="накл",24,G225="прокл",25,G225="пт",26,G225=90,10,G225=85,10,G225=80,9,G225=75,8,G225=70,8,G225=65,7,G225=60,7,G225=55,6,G225=50,6,G225=45,6,G225=40,5,G225=35,4,G225=30,4,G225=25,3,G225=20,2,G225=15,1,G225=10,1,G225=0,0)</f>
        <v>0</v>
      </c>
      <c r="J225" s="3" t="n">
        <f aca="false">IF(H225&lt;=1,0,IF(H225&lt;=10,11,IF(H225&lt;=14,12,IF(H225&lt;=17,13,IF(H225&lt;=20,14,IF(H225&lt;=22,15,IF(H225&lt;=25,16,IF(H225&lt;=27,17,IF(H225&lt;=29,18,IF(H225&lt;=32,19,IF(H225&lt;=34,20,IF(H225&lt;=36,21,IF(H225&lt;=40,22,24)))))))))))))</f>
        <v>17</v>
      </c>
      <c r="L225" s="3" t="n">
        <v>33</v>
      </c>
      <c r="M225" s="3" t="n">
        <f aca="false">_xlfn.IFS(K225="взв",11,K225="накл",24,K225="прокл",25,K225="пт",26,K225=90,10,K225=85,10,K225=80,9,K225=75,8,K225=70,8,K225=65,7,K225=60,7,K225=55,6,K225=50,6,K225=45,6,K225=40,5,K225=35,4,K225=30,4,K225=25,3,K225=20,2,K225=15,1,K225=10,1,K225=0,0)</f>
        <v>0</v>
      </c>
      <c r="N225" s="3" t="n">
        <f aca="false">IF(L225&lt;=1,0,IF(L225&lt;=10,11,IF(L225&lt;=14,12,IF(L225&lt;=17,13,IF(L225&lt;=20,14,IF(L225&lt;=22,15,IF(L225&lt;=25,16,IF(L225&lt;=27,17,IF(L225&lt;=29,18,IF(L225&lt;=32,19,IF(L225&lt;=34,20,IF(L225&lt;=36,21,IF(L225&lt;=40,22,24)))))))))))))</f>
        <v>20</v>
      </c>
      <c r="P225" s="3" t="n">
        <v>31</v>
      </c>
      <c r="Q225" s="3" t="n">
        <f aca="false">_xlfn.IFS(O225="взв",11,O225="накл",24,O225="прокл",25,O225="пт",26,O225=90,10,O225=85,10,O225=80,9,O225=75,8,O225=70,8,O225=65,7,O225=60,7,O225=55,6,O225=50,6,O225=45,6,O225=40,5,O225=35,4,O225=30,4,O225=25,3,O225=20,2,O225=15,1,O225=10,1,O225=0,0)</f>
        <v>0</v>
      </c>
      <c r="R225" s="3" t="n">
        <f aca="false">IF(P225&lt;=1,0,IF(P225&lt;=10,11,IF(P225&lt;=14,12,IF(P225&lt;=17,13,IF(P225&lt;=20,14,IF(P225&lt;=22,15,IF(P225&lt;=25,16,IF(P225&lt;=27,17,IF(P225&lt;=29,18,IF(P225&lt;=32,19,IF(P225&lt;=34,20,IF(P225&lt;=36,21,IF(P225&lt;=40,22,24)))))))))))))</f>
        <v>19</v>
      </c>
      <c r="S225" s="3" t="n">
        <f aca="false">ROUND((Q225+R225+I225+J225+M225+N225)/3,0)</f>
        <v>19</v>
      </c>
      <c r="T225" s="17" t="n">
        <f aca="false">F225*LOG10(S225+2)</f>
        <v>6.6110964736696</v>
      </c>
    </row>
    <row r="226" customFormat="false" ht="14.65" hidden="false" customHeight="true" outlineLevel="0" collapsed="false">
      <c r="A226" s="13" t="s">
        <v>285</v>
      </c>
      <c r="B226" s="14" t="n">
        <v>39985</v>
      </c>
      <c r="C226" s="15" t="s">
        <v>27</v>
      </c>
      <c r="D226" s="4" t="s">
        <v>64</v>
      </c>
      <c r="E226" s="3" t="n">
        <v>3</v>
      </c>
      <c r="F226" s="3" t="n">
        <v>5</v>
      </c>
      <c r="H226" s="3" t="n">
        <v>34</v>
      </c>
      <c r="I226" s="3" t="n">
        <f aca="false">_xlfn.IFS(G226="взв",11,G226="накл",24,G226="прокл",25,G226="пт",26,G226=90,10,G226=85,10,G226=80,9,G226=75,8,G226=70,8,G226=65,7,G226=60,7,G226=55,6,G226=50,6,G226=45,6,G226=40,5,G226=35,4,G226=30,4,G226=25,3,G226=20,2,G226=15,1,G226=10,1,G226=0,0)</f>
        <v>0</v>
      </c>
      <c r="J226" s="3" t="n">
        <f aca="false">IF(H226&lt;=1,0,IF(H226&lt;=10,11,IF(H226&lt;=14,12,IF(H226&lt;=17,13,IF(H226&lt;=20,14,IF(H226&lt;=22,15,IF(H226&lt;=25,16,IF(H226&lt;=27,17,IF(H226&lt;=29,18,IF(H226&lt;=32,19,IF(H226&lt;=34,20,IF(H226&lt;=36,21,IF(H226&lt;=40,22,24)))))))))))))</f>
        <v>20</v>
      </c>
      <c r="L226" s="3" t="n">
        <v>34</v>
      </c>
      <c r="M226" s="3" t="n">
        <f aca="false">_xlfn.IFS(K226="взв",11,K226="накл",24,K226="прокл",25,K226="пт",26,K226=90,10,K226=85,10,K226=80,9,K226=75,8,K226=70,8,K226=65,7,K226=60,7,K226=55,6,K226=50,6,K226=45,6,K226=40,5,K226=35,4,K226=30,4,K226=25,3,K226=20,2,K226=15,1,K226=10,1,K226=0,0)</f>
        <v>0</v>
      </c>
      <c r="N226" s="3" t="n">
        <f aca="false">IF(L226&lt;=1,0,IF(L226&lt;=10,11,IF(L226&lt;=14,12,IF(L226&lt;=17,13,IF(L226&lt;=20,14,IF(L226&lt;=22,15,IF(L226&lt;=25,16,IF(L226&lt;=27,17,IF(L226&lt;=29,18,IF(L226&lt;=32,19,IF(L226&lt;=34,20,IF(L226&lt;=36,21,IF(L226&lt;=40,22,24)))))))))))))</f>
        <v>20</v>
      </c>
      <c r="P226" s="3" t="n">
        <v>40</v>
      </c>
      <c r="Q226" s="3" t="n">
        <f aca="false">_xlfn.IFS(O226="взв",11,O226="накл",24,O226="прокл",25,O226="пт",26,O226=90,10,O226=85,10,O226=80,9,O226=75,8,O226=70,8,O226=65,7,O226=60,7,O226=55,6,O226=50,6,O226=45,6,O226=40,5,O226=35,4,O226=30,4,O226=25,3,O226=20,2,O226=15,1,O226=10,1,O226=0,0)</f>
        <v>0</v>
      </c>
      <c r="R226" s="3" t="n">
        <f aca="false">IF(P226&lt;=1,0,IF(P226&lt;=10,11,IF(P226&lt;=14,12,IF(P226&lt;=17,13,IF(P226&lt;=20,14,IF(P226&lt;=22,15,IF(P226&lt;=25,16,IF(P226&lt;=27,17,IF(P226&lt;=29,18,IF(P226&lt;=32,19,IF(P226&lt;=34,20,IF(P226&lt;=36,21,IF(P226&lt;=40,22,24)))))))))))))</f>
        <v>22</v>
      </c>
      <c r="S226" s="3" t="n">
        <f aca="false">ROUND((Q226+R226+I226+J226+M226+N226)/3,0)</f>
        <v>21</v>
      </c>
      <c r="T226" s="17" t="n">
        <f aca="false">F226*LOG10(S226+2)</f>
        <v>6.80863918008796</v>
      </c>
    </row>
    <row r="227" customFormat="false" ht="14.65" hidden="false" customHeight="true" outlineLevel="0" collapsed="false">
      <c r="A227" s="13" t="s">
        <v>286</v>
      </c>
      <c r="B227" s="14" t="n">
        <v>39985</v>
      </c>
      <c r="C227" s="15" t="s">
        <v>27</v>
      </c>
      <c r="D227" s="4" t="s">
        <v>64</v>
      </c>
      <c r="E227" s="3" t="n">
        <v>1</v>
      </c>
      <c r="F227" s="3" t="n">
        <v>5</v>
      </c>
      <c r="G227" s="3" t="s">
        <v>81</v>
      </c>
      <c r="I227" s="3" t="n">
        <f aca="false">_xlfn.IFS(G227="взв",11,G227="накл",24,G227="прокл",25,G227="пт",26,G227=90,10,G227=85,10,G227=80,9,G227=75,8,G227=70,8,G227=65,7,G227=60,7,G227=55,6,G227=50,6,G227=45,6,G227=40,5,G227=35,4,G227=30,4,G227=25,3,G227=20,2,G227=15,1,G227=10,1,G227=0,0)</f>
        <v>25</v>
      </c>
      <c r="J227" s="3" t="n">
        <f aca="false">IF(H227&lt;=1,0,IF(H227&lt;=10,11,IF(H227&lt;=14,12,IF(H227&lt;=17,13,IF(H227&lt;=20,14,IF(H227&lt;=22,15,IF(H227&lt;=25,16,IF(H227&lt;=27,17,IF(H227&lt;=29,18,IF(H227&lt;=32,19,IF(H227&lt;=34,20,IF(H227&lt;=36,21,IF(H227&lt;=40,22,24)))))))))))))</f>
        <v>0</v>
      </c>
      <c r="M227" s="3" t="n">
        <f aca="false">_xlfn.IFS(K227="взв",11,K227="накл",24,K227="прокл",25,K227="пт",26,K227=90,10,K227=85,10,K227=80,9,K227=75,8,K227=70,8,K227=65,7,K227=60,7,K227=55,6,K227=50,6,K227=45,6,K227=40,5,K227=35,4,K227=30,4,K227=25,3,K227=20,2,K227=15,1,K227=10,1,K227=0,0)</f>
        <v>0</v>
      </c>
      <c r="N227" s="3" t="n">
        <f aca="false">IF(L227&lt;=1,0,IF(L227&lt;=10,11,IF(L227&lt;=14,12,IF(L227&lt;=17,13,IF(L227&lt;=20,14,IF(L227&lt;=22,15,IF(L227&lt;=25,16,IF(L227&lt;=27,17,IF(L227&lt;=29,18,IF(L227&lt;=32,19,IF(L227&lt;=34,20,IF(L227&lt;=36,21,IF(L227&lt;=40,22,24)))))))))))))</f>
        <v>0</v>
      </c>
      <c r="Q227" s="3" t="n">
        <f aca="false">_xlfn.IFS(O227="взв",11,O227="накл",24,O227="прокл",25,O227="пт",26,O227=90,10,O227=85,10,O227=80,9,O227=75,8,O227=70,8,O227=65,7,O227=60,7,O227=55,6,O227=50,6,O227=45,6,O227=40,5,O227=35,4,O227=30,4,O227=25,3,O227=20,2,O227=15,1,O227=10,1,O227=0,0)</f>
        <v>0</v>
      </c>
      <c r="R227" s="3" t="n">
        <f aca="false">IF(P227&lt;=1,0,IF(P227&lt;=10,11,IF(P227&lt;=14,12,IF(P227&lt;=17,13,IF(P227&lt;=20,14,IF(P227&lt;=22,15,IF(P227&lt;=25,16,IF(P227&lt;=27,17,IF(P227&lt;=29,18,IF(P227&lt;=32,19,IF(P227&lt;=34,20,IF(P227&lt;=36,21,IF(P227&lt;=40,22,24)))))))))))))</f>
        <v>0</v>
      </c>
      <c r="S227" s="3" t="n">
        <v>25</v>
      </c>
      <c r="T227" s="17" t="n">
        <f aca="false">F227*LOG10(S227+2)</f>
        <v>7.15681882079494</v>
      </c>
    </row>
    <row r="228" customFormat="false" ht="14.65" hidden="false" customHeight="true" outlineLevel="0" collapsed="false">
      <c r="A228" s="13" t="s">
        <v>287</v>
      </c>
      <c r="B228" s="14" t="n">
        <v>39985</v>
      </c>
      <c r="C228" s="15" t="s">
        <v>27</v>
      </c>
      <c r="D228" s="4" t="s">
        <v>64</v>
      </c>
      <c r="E228" s="3" t="n">
        <v>4</v>
      </c>
      <c r="F228" s="3" t="n">
        <v>5</v>
      </c>
      <c r="G228" s="3" t="s">
        <v>36</v>
      </c>
      <c r="I228" s="3" t="n">
        <f aca="false">_xlfn.IFS(G228="взв",11,G228="накл",24,G228="прокл",25,G228="пт",26,G228=90,10,G228=85,10,G228=80,9,G228=75,8,G228=70,8,G228=65,7,G228=60,7,G228=55,6,G228=50,6,G228=45,6,G228=40,5,G228=35,4,G228=30,4,G228=25,3,G228=20,2,G228=15,1,G228=10,1,G228=0,0)</f>
        <v>26</v>
      </c>
      <c r="J228" s="3" t="n">
        <f aca="false">IF(H228&lt;=1,0,IF(H228&lt;=10,11,IF(H228&lt;=14,12,IF(H228&lt;=17,13,IF(H228&lt;=20,14,IF(H228&lt;=22,15,IF(H228&lt;=25,16,IF(H228&lt;=27,17,IF(H228&lt;=29,18,IF(H228&lt;=32,19,IF(H228&lt;=34,20,IF(H228&lt;=36,21,IF(H228&lt;=40,22,24)))))))))))))</f>
        <v>0</v>
      </c>
      <c r="K228" s="3" t="s">
        <v>36</v>
      </c>
      <c r="M228" s="3" t="n">
        <f aca="false">_xlfn.IFS(K228="взв",11,K228="накл",24,K228="прокл",25,K228="пт",26,K228=90,10,K228=85,10,K228=80,9,K228=75,8,K228=70,8,K228=65,7,K228=60,7,K228=55,6,K228=50,6,K228=45,6,K228=40,5,K228=35,4,K228=30,4,K228=25,3,K228=20,2,K228=15,1,K228=10,1,K228=0,0)</f>
        <v>26</v>
      </c>
      <c r="N228" s="3" t="n">
        <f aca="false">IF(L228&lt;=1,0,IF(L228&lt;=10,11,IF(L228&lt;=14,12,IF(L228&lt;=17,13,IF(L228&lt;=20,14,IF(L228&lt;=22,15,IF(L228&lt;=25,16,IF(L228&lt;=27,17,IF(L228&lt;=29,18,IF(L228&lt;=32,19,IF(L228&lt;=34,20,IF(L228&lt;=36,21,IF(L228&lt;=40,22,24)))))))))))))</f>
        <v>0</v>
      </c>
      <c r="O228" s="3" t="s">
        <v>36</v>
      </c>
      <c r="Q228" s="3" t="n">
        <f aca="false">_xlfn.IFS(O228="взв",11,O228="накл",24,O228="прокл",25,O228="пт",26,O228=90,10,O228=85,10,O228=80,9,O228=75,8,O228=70,8,O228=65,7,O228=60,7,O228=55,6,O228=50,6,O228=45,6,O228=40,5,O228=35,4,O228=30,4,O228=25,3,O228=20,2,O228=15,1,O228=10,1,O228=0,0)</f>
        <v>26</v>
      </c>
      <c r="R228" s="3" t="n">
        <f aca="false">IF(P228&lt;=1,0,IF(P228&lt;=10,11,IF(P228&lt;=14,12,IF(P228&lt;=17,13,IF(P228&lt;=20,14,IF(P228&lt;=22,15,IF(P228&lt;=25,16,IF(P228&lt;=27,17,IF(P228&lt;=29,18,IF(P228&lt;=32,19,IF(P228&lt;=34,20,IF(P228&lt;=36,21,IF(P228&lt;=40,22,24)))))))))))))</f>
        <v>0</v>
      </c>
      <c r="S228" s="3" t="n">
        <f aca="false">ROUND((Q228+R228+I228+J228+M228+N228)/3,0)</f>
        <v>26</v>
      </c>
      <c r="T228" s="17" t="n">
        <f aca="false">F228*LOG10(S228+2)</f>
        <v>7.2357901567111</v>
      </c>
    </row>
    <row r="229" customFormat="false" ht="14.65" hidden="false" customHeight="true" outlineLevel="0" collapsed="false">
      <c r="A229" s="13" t="s">
        <v>288</v>
      </c>
      <c r="B229" s="14" t="n">
        <v>39985</v>
      </c>
      <c r="C229" s="15" t="s">
        <v>27</v>
      </c>
      <c r="D229" s="4" t="s">
        <v>70</v>
      </c>
      <c r="E229" s="3" t="n">
        <v>5</v>
      </c>
      <c r="F229" s="3" t="n">
        <v>5</v>
      </c>
      <c r="G229" s="3" t="s">
        <v>72</v>
      </c>
      <c r="I229" s="3" t="n">
        <f aca="false">_xlfn.IFS(G229="взв",11,G229="накл",24,G229="прокл",25,G229="пт",26,G229=90,10,G229=85,10,G229=80,9,G229=75,8,G229=70,8,G229=65,7,G229=60,7,G229=55,6,G229=50,6,G229=45,6,G229=40,5,G229=35,4,G229=30,4,G229=25,3,G229=20,2,G229=15,1,G229=10,1,G229=0,0)</f>
        <v>11</v>
      </c>
      <c r="J229" s="3" t="n">
        <f aca="false">IF(H229&lt;=1,0,IF(H229&lt;=10,11,IF(H229&lt;=14,12,IF(H229&lt;=17,13,IF(H229&lt;=20,14,IF(H229&lt;=22,15,IF(H229&lt;=25,16,IF(H229&lt;=27,17,IF(H229&lt;=29,18,IF(H229&lt;=32,19,IF(H229&lt;=34,20,IF(H229&lt;=36,21,IF(H229&lt;=40,22,24)))))))))))))</f>
        <v>0</v>
      </c>
      <c r="K229" s="3" t="s">
        <v>72</v>
      </c>
      <c r="M229" s="3" t="n">
        <f aca="false">_xlfn.IFS(K229="взв",11,K229="накл",24,K229="прокл",25,K229="пт",26,K229=90,10,K229=85,10,K229=80,9,K229=75,8,K229=70,8,K229=65,7,K229=60,7,K229=55,6,K229=50,6,K229=45,6,K229=40,5,K229=35,4,K229=30,4,K229=25,3,K229=20,2,K229=15,1,K229=10,1,K229=0,0)</f>
        <v>11</v>
      </c>
      <c r="N229" s="3" t="n">
        <f aca="false">IF(L229&lt;=1,0,IF(L229&lt;=10,11,IF(L229&lt;=14,12,IF(L229&lt;=17,13,IF(L229&lt;=20,14,IF(L229&lt;=22,15,IF(L229&lt;=25,16,IF(L229&lt;=27,17,IF(L229&lt;=29,18,IF(L229&lt;=32,19,IF(L229&lt;=34,20,IF(L229&lt;=36,21,IF(L229&lt;=40,22,24)))))))))))))</f>
        <v>0</v>
      </c>
      <c r="O229" s="3" t="s">
        <v>72</v>
      </c>
      <c r="Q229" s="3" t="n">
        <f aca="false">_xlfn.IFS(O229="взв",11,O229="накл",24,O229="прокл",25,O229="пт",26,O229=90,10,O229=85,10,O229=80,9,O229=75,8,O229=70,8,O229=65,7,O229=60,7,O229=55,6,O229=50,6,O229=45,6,O229=40,5,O229=35,4,O229=30,4,O229=25,3,O229=20,2,O229=15,1,O229=10,1,O229=0,0)</f>
        <v>11</v>
      </c>
      <c r="R229" s="3" t="n">
        <f aca="false">IF(P229&lt;=1,0,IF(P229&lt;=10,11,IF(P229&lt;=14,12,IF(P229&lt;=17,13,IF(P229&lt;=20,14,IF(P229&lt;=22,15,IF(P229&lt;=25,16,IF(P229&lt;=27,17,IF(P229&lt;=29,18,IF(P229&lt;=32,19,IF(P229&lt;=34,20,IF(P229&lt;=36,21,IF(P229&lt;=40,22,24)))))))))))))</f>
        <v>0</v>
      </c>
      <c r="S229" s="3" t="n">
        <f aca="false">ROUND((Q229+R229+I229+J229+M229+N229)/3,0)</f>
        <v>11</v>
      </c>
      <c r="T229" s="17" t="n">
        <f aca="false">F229*LOG10(S229+2)</f>
        <v>5.56971676153418</v>
      </c>
    </row>
    <row r="230" customFormat="false" ht="14.65" hidden="false" customHeight="true" outlineLevel="0" collapsed="false">
      <c r="A230" s="13" t="s">
        <v>289</v>
      </c>
      <c r="B230" s="14" t="n">
        <v>39985</v>
      </c>
      <c r="C230" s="15" t="s">
        <v>27</v>
      </c>
      <c r="D230" s="4" t="s">
        <v>31</v>
      </c>
      <c r="E230" s="3" t="n">
        <v>5</v>
      </c>
      <c r="F230" s="3" t="n">
        <v>5</v>
      </c>
      <c r="G230" s="3" t="s">
        <v>72</v>
      </c>
      <c r="I230" s="3" t="n">
        <f aca="false">_xlfn.IFS(G230="взв",11,G230="накл",24,G230="прокл",25,G230="пт",26,G230=90,10,G230=85,10,G230=80,9,G230=75,8,G230=70,8,G230=65,7,G230=60,7,G230=55,6,G230=50,6,G230=45,6,G230=40,5,G230=35,4,G230=30,4,G230=25,3,G230=20,2,G230=15,1,G230=10,1,G230=0,0)</f>
        <v>11</v>
      </c>
      <c r="J230" s="3" t="n">
        <f aca="false">IF(H230&lt;=1,0,IF(H230&lt;=10,11,IF(H230&lt;=14,12,IF(H230&lt;=17,13,IF(H230&lt;=20,14,IF(H230&lt;=22,15,IF(H230&lt;=25,16,IF(H230&lt;=27,17,IF(H230&lt;=29,18,IF(H230&lt;=32,19,IF(H230&lt;=34,20,IF(H230&lt;=36,21,IF(H230&lt;=40,22,24)))))))))))))</f>
        <v>0</v>
      </c>
      <c r="K230" s="3" t="n">
        <v>90</v>
      </c>
      <c r="M230" s="3" t="n">
        <f aca="false">_xlfn.IFS(K230="взв",11,K230="накл",24,K230="прокл",25,K230="пт",26,K230=90,10,K230=85,10,K230=80,9,K230=75,8,K230=70,8,K230=65,7,K230=60,7,K230=55,6,K230=50,6,K230=45,6,K230=40,5,K230=35,4,K230=30,4,K230=25,3,K230=20,2,K230=15,1,K230=10,1,K230=0,0)</f>
        <v>10</v>
      </c>
      <c r="N230" s="3" t="n">
        <f aca="false">IF(L230&lt;=1,0,IF(L230&lt;=10,11,IF(L230&lt;=14,12,IF(L230&lt;=17,13,IF(L230&lt;=20,14,IF(L230&lt;=22,15,IF(L230&lt;=25,16,IF(L230&lt;=27,17,IF(L230&lt;=29,18,IF(L230&lt;=32,19,IF(L230&lt;=34,20,IF(L230&lt;=36,21,IF(L230&lt;=40,22,24)))))))))))))</f>
        <v>0</v>
      </c>
      <c r="O230" s="3" t="n">
        <v>90</v>
      </c>
      <c r="Q230" s="3" t="n">
        <f aca="false">_xlfn.IFS(O230="взв",11,O230="накл",24,O230="прокл",25,O230="пт",26,O230=90,10,O230=85,10,O230=80,9,O230=75,8,O230=70,8,O230=65,7,O230=60,7,O230=55,6,O230=50,6,O230=45,6,O230=40,5,O230=35,4,O230=30,4,O230=25,3,O230=20,2,O230=15,1,O230=10,1,O230=0,0)</f>
        <v>10</v>
      </c>
      <c r="R230" s="3" t="n">
        <f aca="false">IF(P230&lt;=1,0,IF(P230&lt;=10,11,IF(P230&lt;=14,12,IF(P230&lt;=17,13,IF(P230&lt;=20,14,IF(P230&lt;=22,15,IF(P230&lt;=25,16,IF(P230&lt;=27,17,IF(P230&lt;=29,18,IF(P230&lt;=32,19,IF(P230&lt;=34,20,IF(P230&lt;=36,21,IF(P230&lt;=40,22,24)))))))))))))</f>
        <v>0</v>
      </c>
      <c r="S230" s="3" t="n">
        <f aca="false">ROUND((Q230+R230+I230+J230+M230+N230)/3,0)</f>
        <v>10</v>
      </c>
      <c r="T230" s="17" t="n">
        <f aca="false">F230*LOG10(S230+2)</f>
        <v>5.39590623023813</v>
      </c>
    </row>
    <row r="231" customFormat="false" ht="14.65" hidden="false" customHeight="true" outlineLevel="0" collapsed="false">
      <c r="A231" s="13" t="s">
        <v>290</v>
      </c>
      <c r="B231" s="2" t="n">
        <v>39996</v>
      </c>
      <c r="C231" s="15" t="s">
        <v>21</v>
      </c>
      <c r="D231" s="4" t="s">
        <v>34</v>
      </c>
      <c r="E231" s="3" t="n">
        <v>5</v>
      </c>
      <c r="F231" s="3" t="n">
        <v>5</v>
      </c>
      <c r="G231" s="3" t="n">
        <v>45</v>
      </c>
      <c r="I231" s="3" t="n">
        <f aca="false">_xlfn.IFS(G231="взв",11,G231="накл",24,G231="прокл",25,G231="пт",26,G231=90,10,G231=85,10,G231=80,9,G231=75,8,G231=70,8,G231=65,7,G231=60,7,G231=55,6,G231=50,6,G231=45,6,G231=40,5,G231=35,4,G231=30,4,G231=25,3,G231=20,2,G231=15,1,G231=10,1,G231=0,0)</f>
        <v>6</v>
      </c>
      <c r="J231" s="3" t="n">
        <f aca="false">IF(H231&lt;=1,0,IF(H231&lt;=10,11,IF(H231&lt;=14,12,IF(H231&lt;=17,13,IF(H231&lt;=20,14,IF(H231&lt;=22,15,IF(H231&lt;=25,16,IF(H231&lt;=27,17,IF(H231&lt;=29,18,IF(H231&lt;=32,19,IF(H231&lt;=34,20,IF(H231&lt;=36,21,IF(H231&lt;=40,22,24)))))))))))))</f>
        <v>0</v>
      </c>
      <c r="K231" s="3" t="n">
        <v>90</v>
      </c>
      <c r="M231" s="3" t="n">
        <f aca="false">_xlfn.IFS(K231="взв",11,K231="накл",24,K231="прокл",25,K231="пт",26,K231=90,10,K231=85,10,K231=80,9,K231=75,8,K231=70,8,K231=65,7,K231=60,7,K231=55,6,K231=50,6,K231=45,6,K231=40,5,K231=35,4,K231=30,4,K231=25,3,K231=20,2,K231=15,1,K231=10,1,K231=0,0)</f>
        <v>10</v>
      </c>
      <c r="N231" s="3" t="n">
        <f aca="false">IF(L231&lt;=1,0,IF(L231&lt;=10,11,IF(L231&lt;=14,12,IF(L231&lt;=17,13,IF(L231&lt;=20,14,IF(L231&lt;=22,15,IF(L231&lt;=25,16,IF(L231&lt;=27,17,IF(L231&lt;=29,18,IF(L231&lt;=32,19,IF(L231&lt;=34,20,IF(L231&lt;=36,21,IF(L231&lt;=40,22,24)))))))))))))</f>
        <v>0</v>
      </c>
      <c r="O231" s="3" t="n">
        <v>80</v>
      </c>
      <c r="Q231" s="3" t="n">
        <f aca="false">_xlfn.IFS(O231="взв",11,O231="накл",24,O231="прокл",25,O231="пт",26,O231=90,10,O231=85,10,O231=80,9,O231=75,8,O231=70,8,O231=65,7,O231=60,7,O231=55,6,O231=50,6,O231=45,6,O231=40,5,O231=35,4,O231=30,4,O231=25,3,O231=20,2,O231=15,1,O231=10,1,O231=0,0)</f>
        <v>9</v>
      </c>
      <c r="R231" s="3" t="n">
        <f aca="false">IF(P231&lt;=1,0,IF(P231&lt;=10,11,IF(P231&lt;=14,12,IF(P231&lt;=17,13,IF(P231&lt;=20,14,IF(P231&lt;=22,15,IF(P231&lt;=25,16,IF(P231&lt;=27,17,IF(P231&lt;=29,18,IF(P231&lt;=32,19,IF(P231&lt;=34,20,IF(P231&lt;=36,21,IF(P231&lt;=40,22,24)))))))))))))</f>
        <v>0</v>
      </c>
      <c r="S231" s="3" t="n">
        <f aca="false">ROUND((Q231+R231+I231+J231+M231+N231)/3,0)</f>
        <v>8</v>
      </c>
      <c r="T231" s="17" t="n">
        <f aca="false">F231*LOG10(S231+2)</f>
        <v>5</v>
      </c>
    </row>
    <row r="232" customFormat="false" ht="14.65" hidden="false" customHeight="true" outlineLevel="0" collapsed="false">
      <c r="A232" s="13" t="s">
        <v>291</v>
      </c>
      <c r="B232" s="2" t="n">
        <v>40000</v>
      </c>
      <c r="C232" s="15" t="s">
        <v>78</v>
      </c>
      <c r="D232" s="4" t="s">
        <v>158</v>
      </c>
      <c r="E232" s="3" t="n">
        <v>5</v>
      </c>
      <c r="F232" s="3" t="n">
        <v>5</v>
      </c>
      <c r="G232" s="3" t="n">
        <v>80</v>
      </c>
      <c r="I232" s="3" t="n">
        <f aca="false">_xlfn.IFS(G232="взв",11,G232="накл",24,G232="прокл",25,G232="пт",26,G232=90,10,G232=85,10,G232=80,9,G232=75,8,G232=70,8,G232=65,7,G232=60,7,G232=55,6,G232=50,6,G232=45,6,G232=40,5,G232=35,4,G232=30,4,G232=25,3,G232=20,2,G232=15,1,G232=10,1,G232=0,0)</f>
        <v>9</v>
      </c>
      <c r="J232" s="3" t="n">
        <f aca="false">IF(H232&lt;=1,0,IF(H232&lt;=10,11,IF(H232&lt;=14,12,IF(H232&lt;=17,13,IF(H232&lt;=20,14,IF(H232&lt;=22,15,IF(H232&lt;=25,16,IF(H232&lt;=27,17,IF(H232&lt;=29,18,IF(H232&lt;=32,19,IF(H232&lt;=34,20,IF(H232&lt;=36,21,IF(H232&lt;=40,22,24)))))))))))))</f>
        <v>0</v>
      </c>
      <c r="K232" s="3" t="n">
        <v>80</v>
      </c>
      <c r="M232" s="3" t="n">
        <f aca="false">_xlfn.IFS(K232="взв",11,K232="накл",24,K232="прокл",25,K232="пт",26,K232=90,10,K232=85,10,K232=80,9,K232=75,8,K232=70,8,K232=65,7,K232=60,7,K232=55,6,K232=50,6,K232=45,6,K232=40,5,K232=35,4,K232=30,4,K232=25,3,K232=20,2,K232=15,1,K232=10,1,K232=0,0)</f>
        <v>9</v>
      </c>
      <c r="N232" s="3" t="n">
        <f aca="false">IF(L232&lt;=1,0,IF(L232&lt;=10,11,IF(L232&lt;=14,12,IF(L232&lt;=17,13,IF(L232&lt;=20,14,IF(L232&lt;=22,15,IF(L232&lt;=25,16,IF(L232&lt;=27,17,IF(L232&lt;=29,18,IF(L232&lt;=32,19,IF(L232&lt;=34,20,IF(L232&lt;=36,21,IF(L232&lt;=40,22,24)))))))))))))</f>
        <v>0</v>
      </c>
      <c r="O232" s="3" t="n">
        <v>90</v>
      </c>
      <c r="Q232" s="3" t="n">
        <f aca="false">_xlfn.IFS(O232="взв",11,O232="накл",24,O232="прокл",25,O232="пт",26,O232=90,10,O232=85,10,O232=80,9,O232=75,8,O232=70,8,O232=65,7,O232=60,7,O232=55,6,O232=50,6,O232=45,6,O232=40,5,O232=35,4,O232=30,4,O232=25,3,O232=20,2,O232=15,1,O232=10,1,O232=0,0)</f>
        <v>10</v>
      </c>
      <c r="R232" s="3" t="n">
        <f aca="false">IF(P232&lt;=1,0,IF(P232&lt;=10,11,IF(P232&lt;=14,12,IF(P232&lt;=17,13,IF(P232&lt;=20,14,IF(P232&lt;=22,15,IF(P232&lt;=25,16,IF(P232&lt;=27,17,IF(P232&lt;=29,18,IF(P232&lt;=32,19,IF(P232&lt;=34,20,IF(P232&lt;=36,21,IF(P232&lt;=40,22,24)))))))))))))</f>
        <v>0</v>
      </c>
      <c r="S232" s="3" t="n">
        <f aca="false">ROUND((Q232+R232+I232+J232+M232+N232)/3,0)</f>
        <v>9</v>
      </c>
      <c r="T232" s="17" t="n">
        <f aca="false">F232*LOG10(S232+2)</f>
        <v>5.20696342579113</v>
      </c>
    </row>
    <row r="233" customFormat="false" ht="14.65" hidden="false" customHeight="true" outlineLevel="0" collapsed="false">
      <c r="A233" s="13" t="s">
        <v>292</v>
      </c>
      <c r="B233" s="14" t="n">
        <v>39976</v>
      </c>
      <c r="C233" s="15" t="s">
        <v>21</v>
      </c>
      <c r="D233" s="16" t="s">
        <v>92</v>
      </c>
      <c r="E233" s="15" t="n">
        <v>5</v>
      </c>
      <c r="F233" s="15" t="n">
        <v>6</v>
      </c>
      <c r="G233" s="15"/>
      <c r="H233" s="15" t="n">
        <v>24</v>
      </c>
      <c r="I233" s="3" t="n">
        <f aca="false">_xlfn.IFS(G233="взв",11,G233="накл",24,G233="прокл",25,G233="пт",26,G233=90,10,G233=85,10,G233=80,9,G233=75,8,G233=70,8,G233=65,7,G233=60,7,G233=55,6,G233=50,6,G233=45,6,G233=40,5,G233=35,4,G233=30,4,G233=25,3,G233=20,2,G233=15,1,G233=10,1,G233=0,0)</f>
        <v>0</v>
      </c>
      <c r="J233" s="3" t="n">
        <f aca="false">IF(H233&lt;=1,0,IF(H233&lt;=10,11,IF(H233&lt;=14,12,IF(H233&lt;=17,13,IF(H233&lt;=20,14,IF(H233&lt;=22,15,IF(H233&lt;=25,16,IF(H233&lt;=27,17,IF(H233&lt;=29,18,IF(H233&lt;=32,19,IF(H233&lt;=34,20,IF(H233&lt;=36,21,IF(H233&lt;=40,22,24)))))))))))))</f>
        <v>16</v>
      </c>
      <c r="K233" s="15"/>
      <c r="L233" s="15" t="n">
        <v>26</v>
      </c>
      <c r="M233" s="3" t="n">
        <f aca="false">_xlfn.IFS(K233="взв",11,K233="накл",24,K233="прокл",25,K233="пт",26,K233=90,10,K233=85,10,K233=80,9,K233=75,8,K233=70,8,K233=65,7,K233=60,7,K233=55,6,K233=50,6,K233=45,6,K233=40,5,K233=35,4,K233=30,4,K233=25,3,K233=20,2,K233=15,1,K233=10,1,K233=0,0)</f>
        <v>0</v>
      </c>
      <c r="N233" s="3" t="n">
        <f aca="false">IF(L233&lt;=1,0,IF(L233&lt;=10,11,IF(L233&lt;=14,12,IF(L233&lt;=17,13,IF(L233&lt;=20,14,IF(L233&lt;=22,15,IF(L233&lt;=25,16,IF(L233&lt;=27,17,IF(L233&lt;=29,18,IF(L233&lt;=32,19,IF(L233&lt;=34,20,IF(L233&lt;=36,21,IF(L233&lt;=40,22,24)))))))))))))</f>
        <v>17</v>
      </c>
      <c r="O233" s="15"/>
      <c r="P233" s="15" t="n">
        <v>27</v>
      </c>
      <c r="Q233" s="3" t="n">
        <f aca="false">_xlfn.IFS(O233="взв",11,O233="накл",24,O233="прокл",25,O233="пт",26,O233=90,10,O233=85,10,O233=80,9,O233=75,8,O233=70,8,O233=65,7,O233=60,7,O233=55,6,O233=50,6,O233=45,6,O233=40,5,O233=35,4,O233=30,4,O233=25,3,O233=20,2,O233=15,1,O233=10,1,O233=0,0)</f>
        <v>0</v>
      </c>
      <c r="R233" s="3" t="n">
        <f aca="false">IF(P233&lt;=1,0,IF(P233&lt;=10,11,IF(P233&lt;=14,12,IF(P233&lt;=17,13,IF(P233&lt;=20,14,IF(P233&lt;=22,15,IF(P233&lt;=25,16,IF(P233&lt;=27,17,IF(P233&lt;=29,18,IF(P233&lt;=32,19,IF(P233&lt;=34,20,IF(P233&lt;=36,21,IF(P233&lt;=40,22,24)))))))))))))</f>
        <v>17</v>
      </c>
      <c r="S233" s="3" t="n">
        <f aca="false">ROUND((Q233+R233+I233+J233+M233+N233)/3,0)</f>
        <v>17</v>
      </c>
      <c r="T233" s="17" t="n">
        <f aca="false">F233*LOG10(S233+2)</f>
        <v>7.67252160571697</v>
      </c>
    </row>
    <row r="234" customFormat="false" ht="14.65" hidden="false" customHeight="true" outlineLevel="0" collapsed="false">
      <c r="A234" s="13" t="s">
        <v>293</v>
      </c>
      <c r="B234" s="14" t="n">
        <v>39976</v>
      </c>
      <c r="C234" s="15" t="s">
        <v>21</v>
      </c>
      <c r="D234" s="16" t="s">
        <v>170</v>
      </c>
      <c r="E234" s="3" t="n">
        <v>6</v>
      </c>
      <c r="F234" s="3" t="n">
        <v>6</v>
      </c>
      <c r="G234" s="3" t="n">
        <v>0</v>
      </c>
      <c r="I234" s="3" t="n">
        <f aca="false">_xlfn.IFS(G234="взв",11,G234="накл",24,G234="прокл",25,G234="пт",26,G234=90,10,G234=85,10,G234=80,9,G234=75,8,G234=70,8,G234=65,7,G234=60,7,G234=55,6,G234=50,6,G234=45,6,G234=40,5,G234=35,4,G234=30,4,G234=25,3,G234=20,2,G234=15,1,G234=10,1,G234=0,0)</f>
        <v>0</v>
      </c>
      <c r="J234" s="3" t="n">
        <f aca="false">IF(H234&lt;=1,0,IF(H234&lt;=10,11,IF(H234&lt;=14,12,IF(H234&lt;=17,13,IF(H234&lt;=20,14,IF(H234&lt;=22,15,IF(H234&lt;=25,16,IF(H234&lt;=27,17,IF(H234&lt;=29,18,IF(H234&lt;=32,19,IF(H234&lt;=34,20,IF(H234&lt;=36,21,IF(H234&lt;=40,22,24)))))))))))))</f>
        <v>0</v>
      </c>
      <c r="K234" s="3" t="n">
        <v>0</v>
      </c>
      <c r="M234" s="3" t="n">
        <f aca="false">_xlfn.IFS(K234="взв",11,K234="накл",24,K234="прокл",25,K234="пт",26,K234=90,10,K234=85,10,K234=80,9,K234=75,8,K234=70,8,K234=65,7,K234=60,7,K234=55,6,K234=50,6,K234=45,6,K234=40,5,K234=35,4,K234=30,4,K234=25,3,K234=20,2,K234=15,1,K234=10,1,K234=0,0)</f>
        <v>0</v>
      </c>
      <c r="N234" s="3" t="n">
        <f aca="false">IF(L234&lt;=1,0,IF(L234&lt;=10,11,IF(L234&lt;=14,12,IF(L234&lt;=17,13,IF(L234&lt;=20,14,IF(L234&lt;=22,15,IF(L234&lt;=25,16,IF(L234&lt;=27,17,IF(L234&lt;=29,18,IF(L234&lt;=32,19,IF(L234&lt;=34,20,IF(L234&lt;=36,21,IF(L234&lt;=40,22,24)))))))))))))</f>
        <v>0</v>
      </c>
      <c r="O234" s="3" t="n">
        <v>0</v>
      </c>
      <c r="Q234" s="3" t="n">
        <f aca="false">_xlfn.IFS(O234="взв",11,O234="накл",24,O234="прокл",25,O234="пт",26,O234=90,10,O234=85,10,O234=80,9,O234=75,8,O234=70,8,O234=65,7,O234=60,7,O234=55,6,O234=50,6,O234=45,6,O234=40,5,O234=35,4,O234=30,4,O234=25,3,O234=20,2,O234=15,1,O234=10,1,O234=0,0)</f>
        <v>0</v>
      </c>
      <c r="R234" s="3" t="n">
        <f aca="false">IF(P234&lt;=1,0,IF(P234&lt;=10,11,IF(P234&lt;=14,12,IF(P234&lt;=17,13,IF(P234&lt;=20,14,IF(P234&lt;=22,15,IF(P234&lt;=25,16,IF(P234&lt;=27,17,IF(P234&lt;=29,18,IF(P234&lt;=32,19,IF(P234&lt;=34,20,IF(P234&lt;=36,21,IF(P234&lt;=40,22,24)))))))))))))</f>
        <v>0</v>
      </c>
      <c r="S234" s="3" t="n">
        <f aca="false">ROUND((Q234+R234+I234+J234+M234+N234)/3,0)</f>
        <v>0</v>
      </c>
      <c r="T234" s="17" t="n">
        <f aca="false">F234*LOG10(S234+2)</f>
        <v>1.80617997398389</v>
      </c>
    </row>
    <row r="235" customFormat="false" ht="14.65" hidden="false" customHeight="true" outlineLevel="0" collapsed="false">
      <c r="A235" s="13" t="s">
        <v>294</v>
      </c>
      <c r="B235" s="14" t="n">
        <v>39977</v>
      </c>
      <c r="C235" s="15" t="s">
        <v>21</v>
      </c>
      <c r="D235" s="16" t="s">
        <v>42</v>
      </c>
      <c r="E235" s="3" t="n">
        <v>2</v>
      </c>
      <c r="F235" s="3" t="n">
        <v>6</v>
      </c>
      <c r="H235" s="3" t="n">
        <v>39</v>
      </c>
      <c r="I235" s="3" t="n">
        <f aca="false">_xlfn.IFS(G235="взв",11,G235="накл",24,G235="прокл",25,G235="пт",26,G235=90,10,G235=85,10,G235=80,9,G235=75,8,G235=70,8,G235=65,7,G235=60,7,G235=55,6,G235=50,6,G235=45,6,G235=40,5,G235=35,4,G235=30,4,G235=25,3,G235=20,2,G235=15,1,G235=10,1,G235=0,0)</f>
        <v>0</v>
      </c>
      <c r="J235" s="3" t="n">
        <f aca="false">IF(H235&lt;=1,0,IF(H235&lt;=10,11,IF(H235&lt;=14,12,IF(H235&lt;=17,13,IF(H235&lt;=20,14,IF(H235&lt;=22,15,IF(H235&lt;=25,16,IF(H235&lt;=27,17,IF(H235&lt;=29,18,IF(H235&lt;=32,19,IF(H235&lt;=34,20,IF(H235&lt;=36,21,IF(H235&lt;=40,22,24)))))))))))))</f>
        <v>22</v>
      </c>
      <c r="L235" s="3" t="n">
        <v>40</v>
      </c>
      <c r="M235" s="3" t="n">
        <f aca="false">_xlfn.IFS(K235="взв",11,K235="накл",24,K235="прокл",25,K235="пт",26,K235=90,10,K235=85,10,K235=80,9,K235=75,8,K235=70,8,K235=65,7,K235=60,7,K235=55,6,K235=50,6,K235=45,6,K235=40,5,K235=35,4,K235=30,4,K235=25,3,K235=20,2,K235=15,1,K235=10,1,K235=0,0)</f>
        <v>0</v>
      </c>
      <c r="N235" s="3" t="n">
        <f aca="false">IF(L235&lt;=1,0,IF(L235&lt;=10,11,IF(L235&lt;=14,12,IF(L235&lt;=17,13,IF(L235&lt;=20,14,IF(L235&lt;=22,15,IF(L235&lt;=25,16,IF(L235&lt;=27,17,IF(L235&lt;=29,18,IF(L235&lt;=32,19,IF(L235&lt;=34,20,IF(L235&lt;=36,21,IF(L235&lt;=40,22,24)))))))))))))</f>
        <v>22</v>
      </c>
      <c r="Q235" s="3" t="n">
        <f aca="false">_xlfn.IFS(O235="взв",11,O235="накл",24,O235="прокл",25,O235="пт",26,O235=90,10,O235=85,10,O235=80,9,O235=75,8,O235=70,8,O235=65,7,O235=60,7,O235=55,6,O235=50,6,O235=45,6,O235=40,5,O235=35,4,O235=30,4,O235=25,3,O235=20,2,O235=15,1,O235=10,1,O235=0,0)</f>
        <v>0</v>
      </c>
      <c r="R235" s="3" t="n">
        <f aca="false">IF(P235&lt;=1,0,IF(P235&lt;=10,11,IF(P235&lt;=14,12,IF(P235&lt;=17,13,IF(P235&lt;=20,14,IF(P235&lt;=22,15,IF(P235&lt;=25,16,IF(P235&lt;=27,17,IF(P235&lt;=29,18,IF(P235&lt;=32,19,IF(P235&lt;=34,20,IF(P235&lt;=36,21,IF(P235&lt;=40,22,24)))))))))))))</f>
        <v>0</v>
      </c>
      <c r="S235" s="3" t="n">
        <f aca="false">ROUND((Q235+R235+I235+J235+M235+N235)/2,0)</f>
        <v>22</v>
      </c>
      <c r="T235" s="17" t="n">
        <f aca="false">F235*LOG10(S235+2)</f>
        <v>8.28126745026964</v>
      </c>
    </row>
    <row r="236" customFormat="false" ht="14.65" hidden="false" customHeight="true" outlineLevel="0" collapsed="false">
      <c r="A236" s="13" t="s">
        <v>295</v>
      </c>
      <c r="B236" s="14" t="n">
        <v>39977</v>
      </c>
      <c r="C236" s="15" t="s">
        <v>21</v>
      </c>
      <c r="D236" s="16" t="s">
        <v>42</v>
      </c>
      <c r="E236" s="3" t="n">
        <v>6</v>
      </c>
      <c r="F236" s="3" t="n">
        <v>6</v>
      </c>
      <c r="H236" s="3" t="n">
        <v>35</v>
      </c>
      <c r="I236" s="3" t="n">
        <f aca="false">_xlfn.IFS(G236="взв",11,G236="накл",24,G236="прокл",25,G236="пт",26,G236=90,10,G236=85,10,G236=80,9,G236=75,8,G236=70,8,G236=65,7,G236=60,7,G236=55,6,G236=50,6,G236=45,6,G236=40,5,G236=35,4,G236=30,4,G236=25,3,G236=20,2,G236=15,1,G236=10,1,G236=0,0)</f>
        <v>0</v>
      </c>
      <c r="J236" s="3" t="n">
        <f aca="false">IF(H236&lt;=1,0,IF(H236&lt;=10,11,IF(H236&lt;=14,12,IF(H236&lt;=17,13,IF(H236&lt;=20,14,IF(H236&lt;=22,15,IF(H236&lt;=25,16,IF(H236&lt;=27,17,IF(H236&lt;=29,18,IF(H236&lt;=32,19,IF(H236&lt;=34,20,IF(H236&lt;=36,21,IF(H236&lt;=40,22,24)))))))))))))</f>
        <v>21</v>
      </c>
      <c r="L236" s="3" t="n">
        <v>34</v>
      </c>
      <c r="M236" s="3" t="n">
        <f aca="false">_xlfn.IFS(K236="взв",11,K236="накл",24,K236="прокл",25,K236="пт",26,K236=90,10,K236=85,10,K236=80,9,K236=75,8,K236=70,8,K236=65,7,K236=60,7,K236=55,6,K236=50,6,K236=45,6,K236=40,5,K236=35,4,K236=30,4,K236=25,3,K236=20,2,K236=15,1,K236=10,1,K236=0,0)</f>
        <v>0</v>
      </c>
      <c r="N236" s="3" t="n">
        <f aca="false">IF(L236&lt;=1,0,IF(L236&lt;=10,11,IF(L236&lt;=14,12,IF(L236&lt;=17,13,IF(L236&lt;=20,14,IF(L236&lt;=22,15,IF(L236&lt;=25,16,IF(L236&lt;=27,17,IF(L236&lt;=29,18,IF(L236&lt;=32,19,IF(L236&lt;=34,20,IF(L236&lt;=36,21,IF(L236&lt;=40,22,24)))))))))))))</f>
        <v>20</v>
      </c>
      <c r="P236" s="3" t="n">
        <v>32</v>
      </c>
      <c r="Q236" s="3" t="n">
        <f aca="false">_xlfn.IFS(O236="взв",11,O236="накл",24,O236="прокл",25,O236="пт",26,O236=90,10,O236=85,10,O236=80,9,O236=75,8,O236=70,8,O236=65,7,O236=60,7,O236=55,6,O236=50,6,O236=45,6,O236=40,5,O236=35,4,O236=30,4,O236=25,3,O236=20,2,O236=15,1,O236=10,1,O236=0,0)</f>
        <v>0</v>
      </c>
      <c r="R236" s="3" t="n">
        <f aca="false">IF(P236&lt;=1,0,IF(P236&lt;=10,11,IF(P236&lt;=14,12,IF(P236&lt;=17,13,IF(P236&lt;=20,14,IF(P236&lt;=22,15,IF(P236&lt;=25,16,IF(P236&lt;=27,17,IF(P236&lt;=29,18,IF(P236&lt;=32,19,IF(P236&lt;=34,20,IF(P236&lt;=36,21,IF(P236&lt;=40,22,24)))))))))))))</f>
        <v>19</v>
      </c>
      <c r="S236" s="3" t="n">
        <f aca="false">ROUND((Q236+R236+I236+J236+M236+N236)/3,0)</f>
        <v>20</v>
      </c>
      <c r="T236" s="17" t="n">
        <f aca="false">F236*LOG10(S236+2)</f>
        <v>8.05453608493324</v>
      </c>
    </row>
    <row r="237" customFormat="false" ht="14.65" hidden="false" customHeight="true" outlineLevel="0" collapsed="false">
      <c r="A237" s="13" t="s">
        <v>296</v>
      </c>
      <c r="B237" s="14" t="n">
        <v>39977</v>
      </c>
      <c r="C237" s="15" t="s">
        <v>21</v>
      </c>
      <c r="D237" s="16" t="s">
        <v>256</v>
      </c>
      <c r="E237" s="3" t="n">
        <v>5</v>
      </c>
      <c r="F237" s="3" t="n">
        <v>6</v>
      </c>
      <c r="G237" s="3" t="n">
        <v>15</v>
      </c>
      <c r="I237" s="3" t="n">
        <f aca="false">_xlfn.IFS(G237="взв",11,G237="накл",24,G237="прокл",25,G237="пт",26,G237=90,10,G237=85,10,G237=80,9,G237=75,8,G237=70,8,G237=65,7,G237=60,7,G237=55,6,G237=50,6,G237=45,6,G237=40,5,G237=35,4,G237=30,4,G237=25,3,G237=20,2,G237=15,1,G237=10,1,G237=0,0)</f>
        <v>1</v>
      </c>
      <c r="J237" s="3" t="n">
        <f aca="false">IF(H237&lt;=1,0,IF(H237&lt;=10,11,IF(H237&lt;=14,12,IF(H237&lt;=17,13,IF(H237&lt;=20,14,IF(H237&lt;=22,15,IF(H237&lt;=25,16,IF(H237&lt;=27,17,IF(H237&lt;=29,18,IF(H237&lt;=32,19,IF(H237&lt;=34,20,IF(H237&lt;=36,21,IF(H237&lt;=40,22,24)))))))))))))</f>
        <v>0</v>
      </c>
      <c r="K237" s="3" t="n">
        <v>15</v>
      </c>
      <c r="M237" s="3" t="n">
        <f aca="false">_xlfn.IFS(K237="взв",11,K237="накл",24,K237="прокл",25,K237="пт",26,K237=90,10,K237=85,10,K237=80,9,K237=75,8,K237=70,8,K237=65,7,K237=60,7,K237=55,6,K237=50,6,K237=45,6,K237=40,5,K237=35,4,K237=30,4,K237=25,3,K237=20,2,K237=15,1,K237=10,1,K237=0,0)</f>
        <v>1</v>
      </c>
      <c r="N237" s="3" t="n">
        <f aca="false">IF(L237&lt;=1,0,IF(L237&lt;=10,11,IF(L237&lt;=14,12,IF(L237&lt;=17,13,IF(L237&lt;=20,14,IF(L237&lt;=22,15,IF(L237&lt;=25,16,IF(L237&lt;=27,17,IF(L237&lt;=29,18,IF(L237&lt;=32,19,IF(L237&lt;=34,20,IF(L237&lt;=36,21,IF(L237&lt;=40,22,24)))))))))))))</f>
        <v>0</v>
      </c>
      <c r="O237" s="3" t="n">
        <v>15</v>
      </c>
      <c r="Q237" s="3" t="n">
        <f aca="false">_xlfn.IFS(O237="взв",11,O237="накл",24,O237="прокл",25,O237="пт",26,O237=90,10,O237=85,10,O237=80,9,O237=75,8,O237=70,8,O237=65,7,O237=60,7,O237=55,6,O237=50,6,O237=45,6,O237=40,5,O237=35,4,O237=30,4,O237=25,3,O237=20,2,O237=15,1,O237=10,1,O237=0,0)</f>
        <v>1</v>
      </c>
      <c r="R237" s="3" t="n">
        <f aca="false">IF(P237&lt;=1,0,IF(P237&lt;=10,11,IF(P237&lt;=14,12,IF(P237&lt;=17,13,IF(P237&lt;=20,14,IF(P237&lt;=22,15,IF(P237&lt;=25,16,IF(P237&lt;=27,17,IF(P237&lt;=29,18,IF(P237&lt;=32,19,IF(P237&lt;=34,20,IF(P237&lt;=36,21,IF(P237&lt;=40,22,24)))))))))))))</f>
        <v>0</v>
      </c>
      <c r="S237" s="3" t="n">
        <f aca="false">ROUND((Q237+R237+I237+J237+M237+N237)/3,0)</f>
        <v>1</v>
      </c>
      <c r="T237" s="17" t="n">
        <f aca="false">F237*LOG10(S237+2)</f>
        <v>2.86272752831797</v>
      </c>
    </row>
    <row r="238" customFormat="false" ht="14.65" hidden="false" customHeight="true" outlineLevel="0" collapsed="false">
      <c r="A238" s="13" t="s">
        <v>297</v>
      </c>
      <c r="B238" s="14" t="n">
        <v>39977</v>
      </c>
      <c r="C238" s="15" t="s">
        <v>21</v>
      </c>
      <c r="D238" s="16" t="s">
        <v>256</v>
      </c>
      <c r="E238" s="3" t="n">
        <v>5</v>
      </c>
      <c r="F238" s="3" t="n">
        <v>6</v>
      </c>
      <c r="H238" s="3" t="n">
        <v>23</v>
      </c>
      <c r="I238" s="3" t="n">
        <f aca="false">_xlfn.IFS(G238="взв",11,G238="накл",24,G238="прокл",25,G238="пт",26,G238=90,10,G238=85,10,G238=80,9,G238=75,8,G238=70,8,G238=65,7,G238=60,7,G238=55,6,G238=50,6,G238=45,6,G238=40,5,G238=35,4,G238=30,4,G238=25,3,G238=20,2,G238=15,1,G238=10,1,G238=0,0)</f>
        <v>0</v>
      </c>
      <c r="J238" s="3" t="n">
        <f aca="false">IF(H238&lt;=1,0,IF(H238&lt;=10,11,IF(H238&lt;=14,12,IF(H238&lt;=17,13,IF(H238&lt;=20,14,IF(H238&lt;=22,15,IF(H238&lt;=25,16,IF(H238&lt;=27,17,IF(H238&lt;=29,18,IF(H238&lt;=32,19,IF(H238&lt;=34,20,IF(H238&lt;=36,21,IF(H238&lt;=40,22,24)))))))))))))</f>
        <v>16</v>
      </c>
      <c r="L238" s="3" t="n">
        <v>24</v>
      </c>
      <c r="M238" s="3" t="n">
        <f aca="false">_xlfn.IFS(K238="взв",11,K238="накл",24,K238="прокл",25,K238="пт",26,K238=90,10,K238=85,10,K238=80,9,K238=75,8,K238=70,8,K238=65,7,K238=60,7,K238=55,6,K238=50,6,K238=45,6,K238=40,5,K238=35,4,K238=30,4,K238=25,3,K238=20,2,K238=15,1,K238=10,1,K238=0,0)</f>
        <v>0</v>
      </c>
      <c r="N238" s="3" t="n">
        <f aca="false">IF(L238&lt;=1,0,IF(L238&lt;=10,11,IF(L238&lt;=14,12,IF(L238&lt;=17,13,IF(L238&lt;=20,14,IF(L238&lt;=22,15,IF(L238&lt;=25,16,IF(L238&lt;=27,17,IF(L238&lt;=29,18,IF(L238&lt;=32,19,IF(L238&lt;=34,20,IF(L238&lt;=36,21,IF(L238&lt;=40,22,24)))))))))))))</f>
        <v>16</v>
      </c>
      <c r="P238" s="3" t="n">
        <v>22</v>
      </c>
      <c r="Q238" s="3" t="n">
        <f aca="false">_xlfn.IFS(O238="взв",11,O238="накл",24,O238="прокл",25,O238="пт",26,O238=90,10,O238=85,10,O238=80,9,O238=75,8,O238=70,8,O238=65,7,O238=60,7,O238=55,6,O238=50,6,O238=45,6,O238=40,5,O238=35,4,O238=30,4,O238=25,3,O238=20,2,O238=15,1,O238=10,1,O238=0,0)</f>
        <v>0</v>
      </c>
      <c r="R238" s="3" t="n">
        <f aca="false">IF(P238&lt;=1,0,IF(P238&lt;=10,11,IF(P238&lt;=14,12,IF(P238&lt;=17,13,IF(P238&lt;=20,14,IF(P238&lt;=22,15,IF(P238&lt;=25,16,IF(P238&lt;=27,17,IF(P238&lt;=29,18,IF(P238&lt;=32,19,IF(P238&lt;=34,20,IF(P238&lt;=36,21,IF(P238&lt;=40,22,24)))))))))))))</f>
        <v>15</v>
      </c>
      <c r="S238" s="3" t="n">
        <f aca="false">ROUND((Q238+R238+I238+J238+M238+N238)/3,0)</f>
        <v>16</v>
      </c>
      <c r="T238" s="17" t="n">
        <f aca="false">F238*LOG10(S238+2)</f>
        <v>7.53163503061984</v>
      </c>
    </row>
    <row r="239" customFormat="false" ht="14.65" hidden="false" customHeight="true" outlineLevel="0" collapsed="false">
      <c r="A239" s="13" t="s">
        <v>298</v>
      </c>
      <c r="B239" s="14" t="n">
        <v>39977</v>
      </c>
      <c r="C239" s="15" t="s">
        <v>21</v>
      </c>
      <c r="D239" s="16" t="s">
        <v>106</v>
      </c>
      <c r="E239" s="3" t="n">
        <v>4</v>
      </c>
      <c r="F239" s="3" t="n">
        <v>6</v>
      </c>
      <c r="H239" s="3" t="n">
        <v>34</v>
      </c>
      <c r="I239" s="3" t="n">
        <f aca="false">_xlfn.IFS(G239="взв",11,G239="накл",24,G239="прокл",25,G239="пт",26,G239=90,10,G239=85,10,G239=80,9,G239=75,8,G239=70,8,G239=65,7,G239=60,7,G239=55,6,G239=50,6,G239=45,6,G239=40,5,G239=35,4,G239=30,4,G239=25,3,G239=20,2,G239=15,1,G239=10,1,G239=0,0)</f>
        <v>0</v>
      </c>
      <c r="J239" s="3" t="n">
        <f aca="false">IF(H239&lt;=1,0,IF(H239&lt;=10,11,IF(H239&lt;=14,12,IF(H239&lt;=17,13,IF(H239&lt;=20,14,IF(H239&lt;=22,15,IF(H239&lt;=25,16,IF(H239&lt;=27,17,IF(H239&lt;=29,18,IF(H239&lt;=32,19,IF(H239&lt;=34,20,IF(H239&lt;=36,21,IF(H239&lt;=40,22,24)))))))))))))</f>
        <v>20</v>
      </c>
      <c r="L239" s="3" t="n">
        <v>34</v>
      </c>
      <c r="M239" s="3" t="n">
        <f aca="false">_xlfn.IFS(K239="взв",11,K239="накл",24,K239="прокл",25,K239="пт",26,K239=90,10,K239=85,10,K239=80,9,K239=75,8,K239=70,8,K239=65,7,K239=60,7,K239=55,6,K239=50,6,K239=45,6,K239=40,5,K239=35,4,K239=30,4,K239=25,3,K239=20,2,K239=15,1,K239=10,1,K239=0,0)</f>
        <v>0</v>
      </c>
      <c r="N239" s="3" t="n">
        <f aca="false">IF(L239&lt;=1,0,IF(L239&lt;=10,11,IF(L239&lt;=14,12,IF(L239&lt;=17,13,IF(L239&lt;=20,14,IF(L239&lt;=22,15,IF(L239&lt;=25,16,IF(L239&lt;=27,17,IF(L239&lt;=29,18,IF(L239&lt;=32,19,IF(L239&lt;=34,20,IF(L239&lt;=36,21,IF(L239&lt;=40,22,24)))))))))))))</f>
        <v>20</v>
      </c>
      <c r="P239" s="3" t="n">
        <v>34</v>
      </c>
      <c r="Q239" s="3" t="n">
        <f aca="false">_xlfn.IFS(O239="взв",11,O239="накл",24,O239="прокл",25,O239="пт",26,O239=90,10,O239=85,10,O239=80,9,O239=75,8,O239=70,8,O239=65,7,O239=60,7,O239=55,6,O239=50,6,O239=45,6,O239=40,5,O239=35,4,O239=30,4,O239=25,3,O239=20,2,O239=15,1,O239=10,1,O239=0,0)</f>
        <v>0</v>
      </c>
      <c r="R239" s="3" t="n">
        <f aca="false">IF(P239&lt;=1,0,IF(P239&lt;=10,11,IF(P239&lt;=14,12,IF(P239&lt;=17,13,IF(P239&lt;=20,14,IF(P239&lt;=22,15,IF(P239&lt;=25,16,IF(P239&lt;=27,17,IF(P239&lt;=29,18,IF(P239&lt;=32,19,IF(P239&lt;=34,20,IF(P239&lt;=36,21,IF(P239&lt;=40,22,24)))))))))))))</f>
        <v>20</v>
      </c>
      <c r="S239" s="3" t="n">
        <f aca="false">ROUND((Q239+R239+I239+J239+M239+N239)/3,0)</f>
        <v>20</v>
      </c>
      <c r="T239" s="17" t="n">
        <f aca="false">F239*LOG10(S239+2)</f>
        <v>8.05453608493324</v>
      </c>
    </row>
    <row r="240" customFormat="false" ht="14.65" hidden="false" customHeight="true" outlineLevel="0" collapsed="false">
      <c r="A240" s="13" t="s">
        <v>299</v>
      </c>
      <c r="B240" s="14" t="n">
        <v>39977</v>
      </c>
      <c r="C240" s="15" t="s">
        <v>21</v>
      </c>
      <c r="D240" s="16" t="s">
        <v>108</v>
      </c>
      <c r="E240" s="3" t="n">
        <v>5</v>
      </c>
      <c r="F240" s="3" t="n">
        <v>6</v>
      </c>
      <c r="G240" s="3" t="s">
        <v>43</v>
      </c>
      <c r="I240" s="3" t="n">
        <f aca="false">_xlfn.IFS(G240="взв",11,G240="накл",24,G240="прокл",25,G240="пт",26,G240=90,10,G240=85,10,G240=80,9,G240=75,8,G240=70,8,G240=65,7,G240=60,7,G240=55,6,G240=50,6,G240=45,6,G240=40,5,G240=35,4,G240=30,4,G240=25,3,G240=20,2,G240=15,1,G240=10,1,G240=0,0)</f>
        <v>24</v>
      </c>
      <c r="J240" s="3" t="n">
        <f aca="false">IF(H240&lt;=1,0,IF(H240&lt;=10,11,IF(H240&lt;=14,12,IF(H240&lt;=17,13,IF(H240&lt;=20,14,IF(H240&lt;=22,15,IF(H240&lt;=25,16,IF(H240&lt;=27,17,IF(H240&lt;=29,18,IF(H240&lt;=32,19,IF(H240&lt;=34,20,IF(H240&lt;=36,21,IF(H240&lt;=40,22,24)))))))))))))</f>
        <v>0</v>
      </c>
      <c r="L240" s="3" t="n">
        <v>23</v>
      </c>
      <c r="M240" s="3" t="n">
        <f aca="false">_xlfn.IFS(K240="взв",11,K240="накл",24,K240="прокл",25,K240="пт",26,K240=90,10,K240=85,10,K240=80,9,K240=75,8,K240=70,8,K240=65,7,K240=60,7,K240=55,6,K240=50,6,K240=45,6,K240=40,5,K240=35,4,K240=30,4,K240=25,3,K240=20,2,K240=15,1,K240=10,1,K240=0,0)</f>
        <v>0</v>
      </c>
      <c r="N240" s="3" t="n">
        <f aca="false">IF(L240&lt;=1,0,IF(L240&lt;=10,11,IF(L240&lt;=14,12,IF(L240&lt;=17,13,IF(L240&lt;=20,14,IF(L240&lt;=22,15,IF(L240&lt;=25,16,IF(L240&lt;=27,17,IF(L240&lt;=29,18,IF(L240&lt;=32,19,IF(L240&lt;=34,20,IF(L240&lt;=36,21,IF(L240&lt;=40,22,24)))))))))))))</f>
        <v>16</v>
      </c>
      <c r="O240" s="3" t="n">
        <v>75</v>
      </c>
      <c r="Q240" s="3" t="n">
        <f aca="false">_xlfn.IFS(O240="взв",11,O240="накл",24,O240="прокл",25,O240="пт",26,O240=90,10,O240=85,10,O240=80,9,O240=75,8,O240=70,8,O240=65,7,O240=60,7,O240=55,6,O240=50,6,O240=45,6,O240=40,5,O240=35,4,O240=30,4,O240=25,3,O240=20,2,O240=15,1,O240=10,1,O240=0,0)</f>
        <v>8</v>
      </c>
      <c r="R240" s="3" t="n">
        <f aca="false">IF(P240&lt;=1,0,IF(P240&lt;=10,11,IF(P240&lt;=14,12,IF(P240&lt;=17,13,IF(P240&lt;=20,14,IF(P240&lt;=22,15,IF(P240&lt;=25,16,IF(P240&lt;=27,17,IF(P240&lt;=29,18,IF(P240&lt;=32,19,IF(P240&lt;=34,20,IF(P240&lt;=36,21,IF(P240&lt;=40,22,24)))))))))))))</f>
        <v>0</v>
      </c>
      <c r="S240" s="3" t="n">
        <f aca="false">ROUND((Q240+R240+I240+J240+M240+N240)/3,0)</f>
        <v>16</v>
      </c>
      <c r="T240" s="17" t="n">
        <f aca="false">F240*LOG10(S240+2)</f>
        <v>7.53163503061984</v>
      </c>
    </row>
    <row r="241" customFormat="false" ht="14.65" hidden="false" customHeight="true" outlineLevel="0" collapsed="false">
      <c r="A241" s="13" t="s">
        <v>300</v>
      </c>
      <c r="B241" s="14" t="n">
        <v>39981</v>
      </c>
      <c r="C241" s="15" t="s">
        <v>27</v>
      </c>
      <c r="D241" s="4" t="s">
        <v>51</v>
      </c>
      <c r="E241" s="3" t="n">
        <v>4</v>
      </c>
      <c r="F241" s="3" t="n">
        <v>6</v>
      </c>
      <c r="G241" s="3" t="n">
        <v>90</v>
      </c>
      <c r="I241" s="3" t="n">
        <f aca="false">_xlfn.IFS(G241="взв",11,G241="накл",24,G241="прокл",25,G241="пт",26,G241=90,10,G241=85,10,G241=80,9,G241=75,8,G241=70,8,G241=65,7,G241=60,7,G241=55,6,G241=50,6,G241=45,6,G241=40,5,G241=35,4,G241=30,4,G241=25,3,G241=20,2,G241=15,1,G241=10,1,G241=0,0)</f>
        <v>10</v>
      </c>
      <c r="J241" s="3" t="n">
        <f aca="false">IF(H241&lt;=1,0,IF(H241&lt;=10,11,IF(H241&lt;=14,12,IF(H241&lt;=17,13,IF(H241&lt;=20,14,IF(H241&lt;=22,15,IF(H241&lt;=25,16,IF(H241&lt;=27,17,IF(H241&lt;=29,18,IF(H241&lt;=32,19,IF(H241&lt;=34,20,IF(H241&lt;=36,21,IF(H241&lt;=40,22,24)))))))))))))</f>
        <v>0</v>
      </c>
      <c r="K241" s="3" t="n">
        <v>90</v>
      </c>
      <c r="M241" s="3" t="n">
        <f aca="false">_xlfn.IFS(K241="взв",11,K241="накл",24,K241="прокл",25,K241="пт",26,K241=90,10,K241=85,10,K241=80,9,K241=75,8,K241=70,8,K241=65,7,K241=60,7,K241=55,6,K241=50,6,K241=45,6,K241=40,5,K241=35,4,K241=30,4,K241=25,3,K241=20,2,K241=15,1,K241=10,1,K241=0,0)</f>
        <v>10</v>
      </c>
      <c r="N241" s="3" t="n">
        <f aca="false">IF(L241&lt;=1,0,IF(L241&lt;=10,11,IF(L241&lt;=14,12,IF(L241&lt;=17,13,IF(L241&lt;=20,14,IF(L241&lt;=22,15,IF(L241&lt;=25,16,IF(L241&lt;=27,17,IF(L241&lt;=29,18,IF(L241&lt;=32,19,IF(L241&lt;=34,20,IF(L241&lt;=36,21,IF(L241&lt;=40,22,24)))))))))))))</f>
        <v>0</v>
      </c>
      <c r="O241" s="3" t="n">
        <v>90</v>
      </c>
      <c r="Q241" s="3" t="n">
        <f aca="false">_xlfn.IFS(O241="взв",11,O241="накл",24,O241="прокл",25,O241="пт",26,O241=90,10,O241=85,10,O241=80,9,O241=75,8,O241=70,8,O241=65,7,O241=60,7,O241=55,6,O241=50,6,O241=45,6,O241=40,5,O241=35,4,O241=30,4,O241=25,3,O241=20,2,O241=15,1,O241=10,1,O241=0,0)</f>
        <v>10</v>
      </c>
      <c r="R241" s="3" t="n">
        <f aca="false">IF(P241&lt;=1,0,IF(P241&lt;=10,11,IF(P241&lt;=14,12,IF(P241&lt;=17,13,IF(P241&lt;=20,14,IF(P241&lt;=22,15,IF(P241&lt;=25,16,IF(P241&lt;=27,17,IF(P241&lt;=29,18,IF(P241&lt;=32,19,IF(P241&lt;=34,20,IF(P241&lt;=36,21,IF(P241&lt;=40,22,24)))))))))))))</f>
        <v>0</v>
      </c>
      <c r="S241" s="3" t="n">
        <f aca="false">ROUND((Q241+R241+I241+J241+M241+N241)/3,0)</f>
        <v>10</v>
      </c>
      <c r="T241" s="17" t="n">
        <f aca="false">F241*LOG10(S241+2)</f>
        <v>6.47508747628575</v>
      </c>
    </row>
    <row r="242" customFormat="false" ht="14.65" hidden="false" customHeight="true" outlineLevel="0" collapsed="false">
      <c r="A242" s="13" t="s">
        <v>301</v>
      </c>
      <c r="B242" s="14" t="n">
        <v>39981</v>
      </c>
      <c r="C242" s="15" t="s">
        <v>27</v>
      </c>
      <c r="D242" s="4" t="s">
        <v>28</v>
      </c>
      <c r="E242" s="3" t="n">
        <v>2</v>
      </c>
      <c r="F242" s="3" t="n">
        <v>6</v>
      </c>
      <c r="H242" s="3" t="n">
        <v>35</v>
      </c>
      <c r="I242" s="3" t="n">
        <f aca="false">_xlfn.IFS(G242="взв",11,G242="накл",24,G242="прокл",25,G242="пт",26,G242=90,10,G242=85,10,G242=80,9,G242=75,8,G242=70,8,G242=65,7,G242=60,7,G242=55,6,G242=50,6,G242=45,6,G242=40,5,G242=35,4,G242=30,4,G242=25,3,G242=20,2,G242=15,1,G242=10,1,G242=0,0)</f>
        <v>0</v>
      </c>
      <c r="J242" s="3" t="n">
        <f aca="false">IF(H242&lt;=1,0,IF(H242&lt;=10,11,IF(H242&lt;=14,12,IF(H242&lt;=17,13,IF(H242&lt;=20,14,IF(H242&lt;=22,15,IF(H242&lt;=25,16,IF(H242&lt;=27,17,IF(H242&lt;=29,18,IF(H242&lt;=32,19,IF(H242&lt;=34,20,IF(H242&lt;=36,21,IF(H242&lt;=40,22,24)))))))))))))</f>
        <v>21</v>
      </c>
      <c r="L242" s="3" t="n">
        <v>35</v>
      </c>
      <c r="M242" s="3" t="n">
        <f aca="false">_xlfn.IFS(K242="взв",11,K242="накл",24,K242="прокл",25,K242="пт",26,K242=90,10,K242=85,10,K242=80,9,K242=75,8,K242=70,8,K242=65,7,K242=60,7,K242=55,6,K242=50,6,K242=45,6,K242=40,5,K242=35,4,K242=30,4,K242=25,3,K242=20,2,K242=15,1,K242=10,1,K242=0,0)</f>
        <v>0</v>
      </c>
      <c r="N242" s="3" t="n">
        <f aca="false">IF(L242&lt;=1,0,IF(L242&lt;=10,11,IF(L242&lt;=14,12,IF(L242&lt;=17,13,IF(L242&lt;=20,14,IF(L242&lt;=22,15,IF(L242&lt;=25,16,IF(L242&lt;=27,17,IF(L242&lt;=29,18,IF(L242&lt;=32,19,IF(L242&lt;=34,20,IF(L242&lt;=36,21,IF(L242&lt;=40,22,24)))))))))))))</f>
        <v>21</v>
      </c>
      <c r="Q242" s="3" t="n">
        <f aca="false">_xlfn.IFS(O242="взв",11,O242="накл",24,O242="прокл",25,O242="пт",26,O242=90,10,O242=85,10,O242=80,9,O242=75,8,O242=70,8,O242=65,7,O242=60,7,O242=55,6,O242=50,6,O242=45,6,O242=40,5,O242=35,4,O242=30,4,O242=25,3,O242=20,2,O242=15,1,O242=10,1,O242=0,0)</f>
        <v>0</v>
      </c>
      <c r="R242" s="3" t="n">
        <f aca="false">IF(P242&lt;=1,0,IF(P242&lt;=10,11,IF(P242&lt;=14,12,IF(P242&lt;=17,13,IF(P242&lt;=20,14,IF(P242&lt;=22,15,IF(P242&lt;=25,16,IF(P242&lt;=27,17,IF(P242&lt;=29,18,IF(P242&lt;=32,19,IF(P242&lt;=34,20,IF(P242&lt;=36,21,IF(P242&lt;=40,22,24)))))))))))))</f>
        <v>0</v>
      </c>
      <c r="S242" s="3" t="n">
        <f aca="false">ROUND((Q242+R242+I242+J242+M242+N242)/2,0)</f>
        <v>21</v>
      </c>
      <c r="T242" s="17" t="n">
        <f aca="false">F242*LOG10(S242+2)</f>
        <v>8.17036701610556</v>
      </c>
    </row>
    <row r="243" customFormat="false" ht="14.65" hidden="false" customHeight="true" outlineLevel="0" collapsed="false">
      <c r="A243" s="13" t="s">
        <v>302</v>
      </c>
      <c r="B243" s="14" t="n">
        <v>39981</v>
      </c>
      <c r="C243" s="15" t="s">
        <v>27</v>
      </c>
      <c r="D243" s="4" t="s">
        <v>28</v>
      </c>
      <c r="E243" s="3" t="n">
        <v>2</v>
      </c>
      <c r="F243" s="3" t="n">
        <v>6</v>
      </c>
      <c r="H243" s="3" t="n">
        <v>39</v>
      </c>
      <c r="I243" s="3" t="n">
        <f aca="false">_xlfn.IFS(G243="взв",11,G243="накл",24,G243="прокл",25,G243="пт",26,G243=90,10,G243=85,10,G243=80,9,G243=75,8,G243=70,8,G243=65,7,G243=60,7,G243=55,6,G243=50,6,G243=45,6,G243=40,5,G243=35,4,G243=30,4,G243=25,3,G243=20,2,G243=15,1,G243=10,1,G243=0,0)</f>
        <v>0</v>
      </c>
      <c r="J243" s="3" t="n">
        <f aca="false">IF(H243&lt;=1,0,IF(H243&lt;=10,11,IF(H243&lt;=14,12,IF(H243&lt;=17,13,IF(H243&lt;=20,14,IF(H243&lt;=22,15,IF(H243&lt;=25,16,IF(H243&lt;=27,17,IF(H243&lt;=29,18,IF(H243&lt;=32,19,IF(H243&lt;=34,20,IF(H243&lt;=36,21,IF(H243&lt;=40,22,24)))))))))))))</f>
        <v>22</v>
      </c>
      <c r="L243" s="3" t="n">
        <v>39</v>
      </c>
      <c r="M243" s="3" t="n">
        <f aca="false">_xlfn.IFS(K243="взв",11,K243="накл",24,K243="прокл",25,K243="пт",26,K243=90,10,K243=85,10,K243=80,9,K243=75,8,K243=70,8,K243=65,7,K243=60,7,K243=55,6,K243=50,6,K243=45,6,K243=40,5,K243=35,4,K243=30,4,K243=25,3,K243=20,2,K243=15,1,K243=10,1,K243=0,0)</f>
        <v>0</v>
      </c>
      <c r="N243" s="3" t="n">
        <f aca="false">IF(L243&lt;=1,0,IF(L243&lt;=10,11,IF(L243&lt;=14,12,IF(L243&lt;=17,13,IF(L243&lt;=20,14,IF(L243&lt;=22,15,IF(L243&lt;=25,16,IF(L243&lt;=27,17,IF(L243&lt;=29,18,IF(L243&lt;=32,19,IF(L243&lt;=34,20,IF(L243&lt;=36,21,IF(L243&lt;=40,22,24)))))))))))))</f>
        <v>22</v>
      </c>
      <c r="Q243" s="3" t="n">
        <f aca="false">_xlfn.IFS(O243="взв",11,O243="накл",24,O243="прокл",25,O243="пт",26,O243=90,10,O243=85,10,O243=80,9,O243=75,8,O243=70,8,O243=65,7,O243=60,7,O243=55,6,O243=50,6,O243=45,6,O243=40,5,O243=35,4,O243=30,4,O243=25,3,O243=20,2,O243=15,1,O243=10,1,O243=0,0)</f>
        <v>0</v>
      </c>
      <c r="R243" s="3" t="n">
        <f aca="false">IF(P243&lt;=1,0,IF(P243&lt;=10,11,IF(P243&lt;=14,12,IF(P243&lt;=17,13,IF(P243&lt;=20,14,IF(P243&lt;=22,15,IF(P243&lt;=25,16,IF(P243&lt;=27,17,IF(P243&lt;=29,18,IF(P243&lt;=32,19,IF(P243&lt;=34,20,IF(P243&lt;=36,21,IF(P243&lt;=40,22,24)))))))))))))</f>
        <v>0</v>
      </c>
      <c r="S243" s="3" t="n">
        <f aca="false">ROUND((Q243+R243+I243+J243+M243+N243)/2,0)</f>
        <v>22</v>
      </c>
      <c r="T243" s="17" t="n">
        <f aca="false">F243*LOG10(S243+2)</f>
        <v>8.28126745026964</v>
      </c>
    </row>
    <row r="244" customFormat="false" ht="14.65" hidden="false" customHeight="true" outlineLevel="0" collapsed="false">
      <c r="A244" s="13" t="s">
        <v>303</v>
      </c>
      <c r="B244" s="14" t="n">
        <v>39981</v>
      </c>
      <c r="C244" s="15" t="s">
        <v>27</v>
      </c>
      <c r="D244" s="4" t="s">
        <v>28</v>
      </c>
      <c r="E244" s="3" t="n">
        <v>4</v>
      </c>
      <c r="F244" s="3" t="n">
        <v>6</v>
      </c>
      <c r="G244" s="3" t="n">
        <v>90</v>
      </c>
      <c r="I244" s="3" t="n">
        <f aca="false">_xlfn.IFS(G244="взв",11,G244="накл",24,G244="прокл",25,G244="пт",26,G244=90,10,G244=85,10,G244=80,9,G244=75,8,G244=70,8,G244=65,7,G244=60,7,G244=55,6,G244=50,6,G244=45,6,G244=40,5,G244=35,4,G244=30,4,G244=25,3,G244=20,2,G244=15,1,G244=10,1,G244=0,0)</f>
        <v>10</v>
      </c>
      <c r="J244" s="3" t="n">
        <f aca="false">IF(H244&lt;=1,0,IF(H244&lt;=10,11,IF(H244&lt;=14,12,IF(H244&lt;=17,13,IF(H244&lt;=20,14,IF(H244&lt;=22,15,IF(H244&lt;=25,16,IF(H244&lt;=27,17,IF(H244&lt;=29,18,IF(H244&lt;=32,19,IF(H244&lt;=34,20,IF(H244&lt;=36,21,IF(H244&lt;=40,22,24)))))))))))))</f>
        <v>0</v>
      </c>
      <c r="K244" s="3" t="n">
        <v>90</v>
      </c>
      <c r="M244" s="3" t="n">
        <f aca="false">_xlfn.IFS(K244="взв",11,K244="накл",24,K244="прокл",25,K244="пт",26,K244=90,10,K244=85,10,K244=80,9,K244=75,8,K244=70,8,K244=65,7,K244=60,7,K244=55,6,K244=50,6,K244=45,6,K244=40,5,K244=35,4,K244=30,4,K244=25,3,K244=20,2,K244=15,1,K244=10,1,K244=0,0)</f>
        <v>10</v>
      </c>
      <c r="N244" s="3" t="n">
        <f aca="false">IF(L244&lt;=1,0,IF(L244&lt;=10,11,IF(L244&lt;=14,12,IF(L244&lt;=17,13,IF(L244&lt;=20,14,IF(L244&lt;=22,15,IF(L244&lt;=25,16,IF(L244&lt;=27,17,IF(L244&lt;=29,18,IF(L244&lt;=32,19,IF(L244&lt;=34,20,IF(L244&lt;=36,21,IF(L244&lt;=40,22,24)))))))))))))</f>
        <v>0</v>
      </c>
      <c r="O244" s="3" t="n">
        <v>90</v>
      </c>
      <c r="Q244" s="3" t="n">
        <f aca="false">_xlfn.IFS(O244="взв",11,O244="накл",24,O244="прокл",25,O244="пт",26,O244=90,10,O244=85,10,O244=80,9,O244=75,8,O244=70,8,O244=65,7,O244=60,7,O244=55,6,O244=50,6,O244=45,6,O244=40,5,O244=35,4,O244=30,4,O244=25,3,O244=20,2,O244=15,1,O244=10,1,O244=0,0)</f>
        <v>10</v>
      </c>
      <c r="R244" s="3" t="n">
        <f aca="false">IF(P244&lt;=1,0,IF(P244&lt;=10,11,IF(P244&lt;=14,12,IF(P244&lt;=17,13,IF(P244&lt;=20,14,IF(P244&lt;=22,15,IF(P244&lt;=25,16,IF(P244&lt;=27,17,IF(P244&lt;=29,18,IF(P244&lt;=32,19,IF(P244&lt;=34,20,IF(P244&lt;=36,21,IF(P244&lt;=40,22,24)))))))))))))</f>
        <v>0</v>
      </c>
      <c r="S244" s="3" t="n">
        <f aca="false">ROUND((Q244+R244+I244+J244+M244+N244)/3,0)</f>
        <v>10</v>
      </c>
      <c r="T244" s="17" t="n">
        <f aca="false">F244*LOG10(S244+2)</f>
        <v>6.47508747628575</v>
      </c>
    </row>
    <row r="245" customFormat="false" ht="14.65" hidden="false" customHeight="true" outlineLevel="0" collapsed="false">
      <c r="A245" s="13" t="s">
        <v>304</v>
      </c>
      <c r="B245" s="14" t="n">
        <v>39981</v>
      </c>
      <c r="C245" s="15" t="s">
        <v>27</v>
      </c>
      <c r="D245" s="4" t="s">
        <v>47</v>
      </c>
      <c r="E245" s="3" t="n">
        <v>3</v>
      </c>
      <c r="F245" s="3" t="n">
        <v>6</v>
      </c>
      <c r="G245" s="3" t="n">
        <v>15</v>
      </c>
      <c r="I245" s="3" t="n">
        <f aca="false">_xlfn.IFS(G245="взв",11,G245="накл",24,G245="прокл",25,G245="пт",26,G245=90,10,G245=85,10,G245=80,9,G245=75,8,G245=70,8,G245=65,7,G245=60,7,G245=55,6,G245=50,6,G245=45,6,G245=40,5,G245=35,4,G245=30,4,G245=25,3,G245=20,2,G245=15,1,G245=10,1,G245=0,0)</f>
        <v>1</v>
      </c>
      <c r="J245" s="3" t="n">
        <f aca="false">IF(H245&lt;=1,0,IF(H245&lt;=10,11,IF(H245&lt;=14,12,IF(H245&lt;=17,13,IF(H245&lt;=20,14,IF(H245&lt;=22,15,IF(H245&lt;=25,16,IF(H245&lt;=27,17,IF(H245&lt;=29,18,IF(H245&lt;=32,19,IF(H245&lt;=34,20,IF(H245&lt;=36,21,IF(H245&lt;=40,22,24)))))))))))))</f>
        <v>0</v>
      </c>
      <c r="K245" s="3" t="n">
        <v>15</v>
      </c>
      <c r="M245" s="3" t="n">
        <f aca="false">_xlfn.IFS(K245="взв",11,K245="накл",24,K245="прокл",25,K245="пт",26,K245=90,10,K245=85,10,K245=80,9,K245=75,8,K245=70,8,K245=65,7,K245=60,7,K245=55,6,K245=50,6,K245=45,6,K245=40,5,K245=35,4,K245=30,4,K245=25,3,K245=20,2,K245=15,1,K245=10,1,K245=0,0)</f>
        <v>1</v>
      </c>
      <c r="N245" s="3" t="n">
        <f aca="false">IF(L245&lt;=1,0,IF(L245&lt;=10,11,IF(L245&lt;=14,12,IF(L245&lt;=17,13,IF(L245&lt;=20,14,IF(L245&lt;=22,15,IF(L245&lt;=25,16,IF(L245&lt;=27,17,IF(L245&lt;=29,18,IF(L245&lt;=32,19,IF(L245&lt;=34,20,IF(L245&lt;=36,21,IF(L245&lt;=40,22,24)))))))))))))</f>
        <v>0</v>
      </c>
      <c r="O245" s="3" t="n">
        <v>30</v>
      </c>
      <c r="Q245" s="3" t="n">
        <f aca="false">_xlfn.IFS(O245="взв",11,O245="накл",24,O245="прокл",25,O245="пт",26,O245=90,10,O245=85,10,O245=80,9,O245=75,8,O245=70,8,O245=65,7,O245=60,7,O245=55,6,O245=50,6,O245=45,6,O245=40,5,O245=35,4,O245=30,4,O245=25,3,O245=20,2,O245=15,1,O245=10,1,O245=0,0)</f>
        <v>4</v>
      </c>
      <c r="R245" s="3" t="n">
        <f aca="false">IF(P245&lt;=1,0,IF(P245&lt;=10,11,IF(P245&lt;=14,12,IF(P245&lt;=17,13,IF(P245&lt;=20,14,IF(P245&lt;=22,15,IF(P245&lt;=25,16,IF(P245&lt;=27,17,IF(P245&lt;=29,18,IF(P245&lt;=32,19,IF(P245&lt;=34,20,IF(P245&lt;=36,21,IF(P245&lt;=40,22,24)))))))))))))</f>
        <v>0</v>
      </c>
      <c r="S245" s="3" t="n">
        <f aca="false">ROUND((Q245+R245+I245+J245+M245+N245)/3,0)</f>
        <v>2</v>
      </c>
      <c r="T245" s="17" t="n">
        <f aca="false">F245*LOG10(S245+2)</f>
        <v>3.61235994796777</v>
      </c>
    </row>
    <row r="246" customFormat="false" ht="14.65" hidden="false" customHeight="true" outlineLevel="0" collapsed="false">
      <c r="A246" s="13" t="s">
        <v>305</v>
      </c>
      <c r="B246" s="14" t="n">
        <v>39981</v>
      </c>
      <c r="C246" s="15" t="s">
        <v>27</v>
      </c>
      <c r="D246" s="4" t="s">
        <v>47</v>
      </c>
      <c r="E246" s="3" t="n">
        <v>3</v>
      </c>
      <c r="F246" s="3" t="n">
        <v>6</v>
      </c>
      <c r="G246" s="3" t="n">
        <v>15</v>
      </c>
      <c r="I246" s="3" t="n">
        <f aca="false">_xlfn.IFS(G246="взв",11,G246="накл",24,G246="прокл",25,G246="пт",26,G246=90,10,G246=85,10,G246=80,9,G246=75,8,G246=70,8,G246=65,7,G246=60,7,G246=55,6,G246=50,6,G246=45,6,G246=40,5,G246=35,4,G246=30,4,G246=25,3,G246=20,2,G246=15,1,G246=10,1,G246=0,0)</f>
        <v>1</v>
      </c>
      <c r="J246" s="3" t="n">
        <f aca="false">IF(H246&lt;=1,0,IF(H246&lt;=10,11,IF(H246&lt;=14,12,IF(H246&lt;=17,13,IF(H246&lt;=20,14,IF(H246&lt;=22,15,IF(H246&lt;=25,16,IF(H246&lt;=27,17,IF(H246&lt;=29,18,IF(H246&lt;=32,19,IF(H246&lt;=34,20,IF(H246&lt;=36,21,IF(H246&lt;=40,22,24)))))))))))))</f>
        <v>0</v>
      </c>
      <c r="K246" s="3" t="n">
        <v>15</v>
      </c>
      <c r="M246" s="3" t="n">
        <f aca="false">_xlfn.IFS(K246="взв",11,K246="накл",24,K246="прокл",25,K246="пт",26,K246=90,10,K246=85,10,K246=80,9,K246=75,8,K246=70,8,K246=65,7,K246=60,7,K246=55,6,K246=50,6,K246=45,6,K246=40,5,K246=35,4,K246=30,4,K246=25,3,K246=20,2,K246=15,1,K246=10,1,K246=0,0)</f>
        <v>1</v>
      </c>
      <c r="N246" s="3" t="n">
        <f aca="false">IF(L246&lt;=1,0,IF(L246&lt;=10,11,IF(L246&lt;=14,12,IF(L246&lt;=17,13,IF(L246&lt;=20,14,IF(L246&lt;=22,15,IF(L246&lt;=25,16,IF(L246&lt;=27,17,IF(L246&lt;=29,18,IF(L246&lt;=32,19,IF(L246&lt;=34,20,IF(L246&lt;=36,21,IF(L246&lt;=40,22,24)))))))))))))</f>
        <v>0</v>
      </c>
      <c r="O246" s="3" t="n">
        <v>15</v>
      </c>
      <c r="Q246" s="3" t="n">
        <f aca="false">_xlfn.IFS(O246="взв",11,O246="накл",24,O246="прокл",25,O246="пт",26,O246=90,10,O246=85,10,O246=80,9,O246=75,8,O246=70,8,O246=65,7,O246=60,7,O246=55,6,O246=50,6,O246=45,6,O246=40,5,O246=35,4,O246=30,4,O246=25,3,O246=20,2,O246=15,1,O246=10,1,O246=0,0)</f>
        <v>1</v>
      </c>
      <c r="R246" s="3" t="n">
        <f aca="false">IF(P246&lt;=1,0,IF(P246&lt;=10,11,IF(P246&lt;=14,12,IF(P246&lt;=17,13,IF(P246&lt;=20,14,IF(P246&lt;=22,15,IF(P246&lt;=25,16,IF(P246&lt;=27,17,IF(P246&lt;=29,18,IF(P246&lt;=32,19,IF(P246&lt;=34,20,IF(P246&lt;=36,21,IF(P246&lt;=40,22,24)))))))))))))</f>
        <v>0</v>
      </c>
      <c r="S246" s="3" t="n">
        <f aca="false">ROUND((Q246+R246+I246+J246+M246+N246)/3,0)</f>
        <v>1</v>
      </c>
      <c r="T246" s="17" t="n">
        <f aca="false">F246*LOG10(S246+2)</f>
        <v>2.86272752831797</v>
      </c>
    </row>
    <row r="247" customFormat="false" ht="14.65" hidden="false" customHeight="true" outlineLevel="0" collapsed="false">
      <c r="A247" s="13" t="s">
        <v>306</v>
      </c>
      <c r="B247" s="14" t="n">
        <v>39981</v>
      </c>
      <c r="C247" s="15" t="s">
        <v>27</v>
      </c>
      <c r="D247" s="4" t="s">
        <v>28</v>
      </c>
      <c r="E247" s="3" t="n">
        <v>3</v>
      </c>
      <c r="F247" s="3" t="n">
        <v>6</v>
      </c>
      <c r="G247" s="3" t="n">
        <v>30</v>
      </c>
      <c r="I247" s="3" t="n">
        <f aca="false">_xlfn.IFS(G247="взв",11,G247="накл",24,G247="прокл",25,G247="пт",26,G247=90,10,G247=85,10,G247=80,9,G247=75,8,G247=70,8,G247=65,7,G247=60,7,G247=55,6,G247=50,6,G247=45,6,G247=40,5,G247=35,4,G247=30,4,G247=25,3,G247=20,2,G247=15,1,G247=10,1,G247=0,0)</f>
        <v>4</v>
      </c>
      <c r="J247" s="3" t="n">
        <f aca="false">IF(H247&lt;=1,0,IF(H247&lt;=10,11,IF(H247&lt;=14,12,IF(H247&lt;=17,13,IF(H247&lt;=20,14,IF(H247&lt;=22,15,IF(H247&lt;=25,16,IF(H247&lt;=27,17,IF(H247&lt;=29,18,IF(H247&lt;=32,19,IF(H247&lt;=34,20,IF(H247&lt;=36,21,IF(H247&lt;=40,22,24)))))))))))))</f>
        <v>0</v>
      </c>
      <c r="K247" s="3" t="n">
        <v>45</v>
      </c>
      <c r="M247" s="3" t="n">
        <f aca="false">_xlfn.IFS(K247="взв",11,K247="накл",24,K247="прокл",25,K247="пт",26,K247=90,10,K247=85,10,K247=80,9,K247=75,8,K247=70,8,K247=65,7,K247=60,7,K247=55,6,K247=50,6,K247=45,6,K247=40,5,K247=35,4,K247=30,4,K247=25,3,K247=20,2,K247=15,1,K247=10,1,K247=0,0)</f>
        <v>6</v>
      </c>
      <c r="N247" s="3" t="n">
        <f aca="false">IF(L247&lt;=1,0,IF(L247&lt;=10,11,IF(L247&lt;=14,12,IF(L247&lt;=17,13,IF(L247&lt;=20,14,IF(L247&lt;=22,15,IF(L247&lt;=25,16,IF(L247&lt;=27,17,IF(L247&lt;=29,18,IF(L247&lt;=32,19,IF(L247&lt;=34,20,IF(L247&lt;=36,21,IF(L247&lt;=40,22,24)))))))))))))</f>
        <v>0</v>
      </c>
      <c r="O247" s="3" t="n">
        <v>45</v>
      </c>
      <c r="Q247" s="3" t="n">
        <f aca="false">_xlfn.IFS(O247="взв",11,O247="накл",24,O247="прокл",25,O247="пт",26,O247=90,10,O247=85,10,O247=80,9,O247=75,8,O247=70,8,O247=65,7,O247=60,7,O247=55,6,O247=50,6,O247=45,6,O247=40,5,O247=35,4,O247=30,4,O247=25,3,O247=20,2,O247=15,1,O247=10,1,O247=0,0)</f>
        <v>6</v>
      </c>
      <c r="R247" s="3" t="n">
        <f aca="false">IF(P247&lt;=1,0,IF(P247&lt;=10,11,IF(P247&lt;=14,12,IF(P247&lt;=17,13,IF(P247&lt;=20,14,IF(P247&lt;=22,15,IF(P247&lt;=25,16,IF(P247&lt;=27,17,IF(P247&lt;=29,18,IF(P247&lt;=32,19,IF(P247&lt;=34,20,IF(P247&lt;=36,21,IF(P247&lt;=40,22,24)))))))))))))</f>
        <v>0</v>
      </c>
      <c r="S247" s="3" t="n">
        <f aca="false">ROUND((Q247+R247+I247+J247+M247+N247)/3,0)</f>
        <v>5</v>
      </c>
      <c r="T247" s="17" t="n">
        <f aca="false">F247*LOG10(S247+2)</f>
        <v>5.07058824008554</v>
      </c>
    </row>
    <row r="248" customFormat="false" ht="14.65" hidden="false" customHeight="true" outlineLevel="0" collapsed="false">
      <c r="A248" s="13" t="s">
        <v>307</v>
      </c>
      <c r="B248" s="14" t="n">
        <v>39981</v>
      </c>
      <c r="C248" s="15" t="s">
        <v>27</v>
      </c>
      <c r="D248" s="4" t="s">
        <v>28</v>
      </c>
      <c r="E248" s="3" t="n">
        <v>4</v>
      </c>
      <c r="F248" s="3" t="n">
        <v>6</v>
      </c>
      <c r="G248" s="3" t="n">
        <v>90</v>
      </c>
      <c r="I248" s="3" t="n">
        <f aca="false">_xlfn.IFS(G248="взв",11,G248="накл",24,G248="прокл",25,G248="пт",26,G248=90,10,G248=85,10,G248=80,9,G248=75,8,G248=70,8,G248=65,7,G248=60,7,G248=55,6,G248=50,6,G248=45,6,G248=40,5,G248=35,4,G248=30,4,G248=25,3,G248=20,2,G248=15,1,G248=10,1,G248=0,0)</f>
        <v>10</v>
      </c>
      <c r="J248" s="3" t="n">
        <f aca="false">IF(H248&lt;=1,0,IF(H248&lt;=10,11,IF(H248&lt;=14,12,IF(H248&lt;=17,13,IF(H248&lt;=20,14,IF(H248&lt;=22,15,IF(H248&lt;=25,16,IF(H248&lt;=27,17,IF(H248&lt;=29,18,IF(H248&lt;=32,19,IF(H248&lt;=34,20,IF(H248&lt;=36,21,IF(H248&lt;=40,22,24)))))))))))))</f>
        <v>0</v>
      </c>
      <c r="K248" s="3" t="n">
        <v>75</v>
      </c>
      <c r="M248" s="3" t="n">
        <f aca="false">_xlfn.IFS(K248="взв",11,K248="накл",24,K248="прокл",25,K248="пт",26,K248=90,10,K248=85,10,K248=80,9,K248=75,8,K248=70,8,K248=65,7,K248=60,7,K248=55,6,K248=50,6,K248=45,6,K248=40,5,K248=35,4,K248=30,4,K248=25,3,K248=20,2,K248=15,1,K248=10,1,K248=0,0)</f>
        <v>8</v>
      </c>
      <c r="N248" s="3" t="n">
        <f aca="false">IF(L248&lt;=1,0,IF(L248&lt;=10,11,IF(L248&lt;=14,12,IF(L248&lt;=17,13,IF(L248&lt;=20,14,IF(L248&lt;=22,15,IF(L248&lt;=25,16,IF(L248&lt;=27,17,IF(L248&lt;=29,18,IF(L248&lt;=32,19,IF(L248&lt;=34,20,IF(L248&lt;=36,21,IF(L248&lt;=40,22,24)))))))))))))</f>
        <v>0</v>
      </c>
      <c r="O248" s="3" t="n">
        <v>60</v>
      </c>
      <c r="Q248" s="3" t="n">
        <f aca="false">_xlfn.IFS(O248="взв",11,O248="накл",24,O248="прокл",25,O248="пт",26,O248=90,10,O248=85,10,O248=80,9,O248=75,8,O248=70,8,O248=65,7,O248=60,7,O248=55,6,O248=50,6,O248=45,6,O248=40,5,O248=35,4,O248=30,4,O248=25,3,O248=20,2,O248=15,1,O248=10,1,O248=0,0)</f>
        <v>7</v>
      </c>
      <c r="R248" s="3" t="n">
        <f aca="false">IF(P248&lt;=1,0,IF(P248&lt;=10,11,IF(P248&lt;=14,12,IF(P248&lt;=17,13,IF(P248&lt;=20,14,IF(P248&lt;=22,15,IF(P248&lt;=25,16,IF(P248&lt;=27,17,IF(P248&lt;=29,18,IF(P248&lt;=32,19,IF(P248&lt;=34,20,IF(P248&lt;=36,21,IF(P248&lt;=40,22,24)))))))))))))</f>
        <v>0</v>
      </c>
      <c r="S248" s="3" t="n">
        <f aca="false">ROUND((Q248+R248+I248+J248+M248+N248)/3,0)</f>
        <v>8</v>
      </c>
      <c r="T248" s="17" t="n">
        <f aca="false">F248*LOG10(S248+2)</f>
        <v>6</v>
      </c>
    </row>
    <row r="249" customFormat="false" ht="14.65" hidden="false" customHeight="true" outlineLevel="0" collapsed="false">
      <c r="A249" s="13" t="s">
        <v>308</v>
      </c>
      <c r="B249" s="14" t="n">
        <v>39985</v>
      </c>
      <c r="C249" s="15" t="s">
        <v>27</v>
      </c>
      <c r="D249" s="4" t="s">
        <v>64</v>
      </c>
      <c r="E249" s="3" t="n">
        <v>3</v>
      </c>
      <c r="F249" s="3" t="n">
        <v>6</v>
      </c>
      <c r="G249" s="3" t="s">
        <v>72</v>
      </c>
      <c r="I249" s="3" t="n">
        <f aca="false">_xlfn.IFS(G249="взв",11,G249="накл",24,G249="прокл",25,G249="пт",26,G249=90,10,G249=85,10,G249=80,9,G249=75,8,G249=70,8,G249=65,7,G249=60,7,G249=55,6,G249=50,6,G249=45,6,G249=40,5,G249=35,4,G249=30,4,G249=25,3,G249=20,2,G249=15,1,G249=10,1,G249=0,0)</f>
        <v>11</v>
      </c>
      <c r="J249" s="3" t="n">
        <f aca="false">IF(H249&lt;=1,0,IF(H249&lt;=10,11,IF(H249&lt;=14,12,IF(H249&lt;=17,13,IF(H249&lt;=20,14,IF(H249&lt;=22,15,IF(H249&lt;=25,16,IF(H249&lt;=27,17,IF(H249&lt;=29,18,IF(H249&lt;=32,19,IF(H249&lt;=34,20,IF(H249&lt;=36,21,IF(H249&lt;=40,22,24)))))))))))))</f>
        <v>0</v>
      </c>
      <c r="K249" s="3" t="s">
        <v>72</v>
      </c>
      <c r="M249" s="3" t="n">
        <f aca="false">_xlfn.IFS(K249="взв",11,K249="накл",24,K249="прокл",25,K249="пт",26,K249=90,10,K249=85,10,K249=80,9,K249=75,8,K249=70,8,K249=65,7,K249=60,7,K249=55,6,K249=50,6,K249=45,6,K249=40,5,K249=35,4,K249=30,4,K249=25,3,K249=20,2,K249=15,1,K249=10,1,K249=0,0)</f>
        <v>11</v>
      </c>
      <c r="N249" s="3" t="n">
        <f aca="false">IF(L249&lt;=1,0,IF(L249&lt;=10,11,IF(L249&lt;=14,12,IF(L249&lt;=17,13,IF(L249&lt;=20,14,IF(L249&lt;=22,15,IF(L249&lt;=25,16,IF(L249&lt;=27,17,IF(L249&lt;=29,18,IF(L249&lt;=32,19,IF(L249&lt;=34,20,IF(L249&lt;=36,21,IF(L249&lt;=40,22,24)))))))))))))</f>
        <v>0</v>
      </c>
      <c r="P249" s="3" t="n">
        <v>22</v>
      </c>
      <c r="Q249" s="3" t="n">
        <f aca="false">_xlfn.IFS(O249="взв",11,O249="накл",24,O249="прокл",25,O249="пт",26,O249=90,10,O249=85,10,O249=80,9,O249=75,8,O249=70,8,O249=65,7,O249=60,7,O249=55,6,O249=50,6,O249=45,6,O249=40,5,O249=35,4,O249=30,4,O249=25,3,O249=20,2,O249=15,1,O249=10,1,O249=0,0)</f>
        <v>0</v>
      </c>
      <c r="R249" s="3" t="n">
        <f aca="false">IF(P249&lt;=1,0,IF(P249&lt;=10,11,IF(P249&lt;=14,12,IF(P249&lt;=17,13,IF(P249&lt;=20,14,IF(P249&lt;=22,15,IF(P249&lt;=25,16,IF(P249&lt;=27,17,IF(P249&lt;=29,18,IF(P249&lt;=32,19,IF(P249&lt;=34,20,IF(P249&lt;=36,21,IF(P249&lt;=40,22,24)))))))))))))</f>
        <v>15</v>
      </c>
      <c r="S249" s="3" t="n">
        <f aca="false">ROUND((Q249+R249+I249+J249+M249+N249)/3,0)</f>
        <v>12</v>
      </c>
      <c r="T249" s="17" t="n">
        <f aca="false">F249*LOG10(S249+2)</f>
        <v>6.87676821406943</v>
      </c>
    </row>
    <row r="250" customFormat="false" ht="14.65" hidden="false" customHeight="true" outlineLevel="0" collapsed="false">
      <c r="A250" s="13" t="s">
        <v>309</v>
      </c>
      <c r="B250" s="14" t="n">
        <v>39985</v>
      </c>
      <c r="C250" s="15" t="s">
        <v>27</v>
      </c>
      <c r="D250" s="4" t="s">
        <v>64</v>
      </c>
      <c r="E250" s="3" t="n">
        <v>3</v>
      </c>
      <c r="F250" s="3" t="n">
        <v>6</v>
      </c>
      <c r="G250" s="3" t="n">
        <v>90</v>
      </c>
      <c r="I250" s="3" t="n">
        <f aca="false">_xlfn.IFS(G250="взв",11,G250="накл",24,G250="прокл",25,G250="пт",26,G250=90,10,G250=85,10,G250=80,9,G250=75,8,G250=70,8,G250=65,7,G250=60,7,G250=55,6,G250=50,6,G250=45,6,G250=40,5,G250=35,4,G250=30,4,G250=25,3,G250=20,2,G250=15,1,G250=10,1,G250=0,0)</f>
        <v>10</v>
      </c>
      <c r="J250" s="3" t="n">
        <f aca="false">IF(H250&lt;=1,0,IF(H250&lt;=10,11,IF(H250&lt;=14,12,IF(H250&lt;=17,13,IF(H250&lt;=20,14,IF(H250&lt;=22,15,IF(H250&lt;=25,16,IF(H250&lt;=27,17,IF(H250&lt;=29,18,IF(H250&lt;=32,19,IF(H250&lt;=34,20,IF(H250&lt;=36,21,IF(H250&lt;=40,22,24)))))))))))))</f>
        <v>0</v>
      </c>
      <c r="K250" s="3" t="n">
        <v>90</v>
      </c>
      <c r="M250" s="3" t="n">
        <f aca="false">_xlfn.IFS(K250="взв",11,K250="накл",24,K250="прокл",25,K250="пт",26,K250=90,10,K250=85,10,K250=80,9,K250=75,8,K250=70,8,K250=65,7,K250=60,7,K250=55,6,K250=50,6,K250=45,6,K250=40,5,K250=35,4,K250=30,4,K250=25,3,K250=20,2,K250=15,1,K250=10,1,K250=0,0)</f>
        <v>10</v>
      </c>
      <c r="N250" s="3" t="n">
        <f aca="false">IF(L250&lt;=1,0,IF(L250&lt;=10,11,IF(L250&lt;=14,12,IF(L250&lt;=17,13,IF(L250&lt;=20,14,IF(L250&lt;=22,15,IF(L250&lt;=25,16,IF(L250&lt;=27,17,IF(L250&lt;=29,18,IF(L250&lt;=32,19,IF(L250&lt;=34,20,IF(L250&lt;=36,21,IF(L250&lt;=40,22,24)))))))))))))</f>
        <v>0</v>
      </c>
      <c r="O250" s="3" t="n">
        <v>75</v>
      </c>
      <c r="Q250" s="3" t="n">
        <f aca="false">_xlfn.IFS(O250="взв",11,O250="накл",24,O250="прокл",25,O250="пт",26,O250=90,10,O250=85,10,O250=80,9,O250=75,8,O250=70,8,O250=65,7,O250=60,7,O250=55,6,O250=50,6,O250=45,6,O250=40,5,O250=35,4,O250=30,4,O250=25,3,O250=20,2,O250=15,1,O250=10,1,O250=0,0)</f>
        <v>8</v>
      </c>
      <c r="R250" s="3" t="n">
        <f aca="false">IF(P250&lt;=1,0,IF(P250&lt;=10,11,IF(P250&lt;=14,12,IF(P250&lt;=17,13,IF(P250&lt;=20,14,IF(P250&lt;=22,15,IF(P250&lt;=25,16,IF(P250&lt;=27,17,IF(P250&lt;=29,18,IF(P250&lt;=32,19,IF(P250&lt;=34,20,IF(P250&lt;=36,21,IF(P250&lt;=40,22,24)))))))))))))</f>
        <v>0</v>
      </c>
      <c r="S250" s="3" t="n">
        <f aca="false">ROUND((Q250+R250+I250+J250+M250+N250)/3,0)</f>
        <v>9</v>
      </c>
      <c r="T250" s="17" t="n">
        <f aca="false">F250*LOG10(S250+2)</f>
        <v>6.24835611094935</v>
      </c>
    </row>
    <row r="251" customFormat="false" ht="14.65" hidden="false" customHeight="true" outlineLevel="0" collapsed="false">
      <c r="A251" s="13" t="s">
        <v>310</v>
      </c>
      <c r="B251" s="14" t="n">
        <v>39990</v>
      </c>
      <c r="C251" s="15" t="s">
        <v>78</v>
      </c>
      <c r="D251" s="4" t="s">
        <v>205</v>
      </c>
      <c r="E251" s="3" t="n">
        <v>5</v>
      </c>
      <c r="F251" s="3" t="n">
        <v>6</v>
      </c>
      <c r="G251" s="3" t="s">
        <v>43</v>
      </c>
      <c r="I251" s="3" t="n">
        <f aca="false">_xlfn.IFS(G251="взв",11,G251="накл",24,G251="прокл",25,G251="пт",26,G251=90,10,G251=85,10,G251=80,9,G251=75,8,G251=70,8,G251=65,7,G251=60,7,G251=55,6,G251=50,6,G251=45,6,G251=40,5,G251=35,4,G251=30,4,G251=25,3,G251=20,2,G251=15,1,G251=10,1,G251=0,0)</f>
        <v>24</v>
      </c>
      <c r="J251" s="3" t="n">
        <f aca="false">IF(H251&lt;=1,0,IF(H251&lt;=10,11,IF(H251&lt;=14,12,IF(H251&lt;=17,13,IF(H251&lt;=20,14,IF(H251&lt;=22,15,IF(H251&lt;=25,16,IF(H251&lt;=27,17,IF(H251&lt;=29,18,IF(H251&lt;=32,19,IF(H251&lt;=34,20,IF(H251&lt;=36,21,IF(H251&lt;=40,22,24)))))))))))))</f>
        <v>0</v>
      </c>
      <c r="K251" s="3" t="s">
        <v>36</v>
      </c>
      <c r="M251" s="3" t="n">
        <f aca="false">_xlfn.IFS(K251="взв",11,K251="накл",24,K251="прокл",25,K251="пт",26,K251=90,10,K251=85,10,K251=80,9,K251=75,8,K251=70,8,K251=65,7,K251=60,7,K251=55,6,K251=50,6,K251=45,6,K251=40,5,K251=35,4,K251=30,4,K251=25,3,K251=20,2,K251=15,1,K251=10,1,K251=0,0)</f>
        <v>26</v>
      </c>
      <c r="N251" s="3" t="n">
        <f aca="false">IF(L251&lt;=1,0,IF(L251&lt;=10,11,IF(L251&lt;=14,12,IF(L251&lt;=17,13,IF(L251&lt;=20,14,IF(L251&lt;=22,15,IF(L251&lt;=25,16,IF(L251&lt;=27,17,IF(L251&lt;=29,18,IF(L251&lt;=32,19,IF(L251&lt;=34,20,IF(L251&lt;=36,21,IF(L251&lt;=40,22,24)))))))))))))</f>
        <v>0</v>
      </c>
      <c r="O251" s="3" t="s">
        <v>36</v>
      </c>
      <c r="Q251" s="3" t="n">
        <f aca="false">_xlfn.IFS(O251="взв",11,O251="накл",24,O251="прокл",25,O251="пт",26,O251=90,10,O251=85,10,O251=80,9,O251=75,8,O251=70,8,O251=65,7,O251=60,7,O251=55,6,O251=50,6,O251=45,6,O251=40,5,O251=35,4,O251=30,4,O251=25,3,O251=20,2,O251=15,1,O251=10,1,O251=0,0)</f>
        <v>26</v>
      </c>
      <c r="R251" s="3" t="n">
        <f aca="false">IF(P251&lt;=1,0,IF(P251&lt;=10,11,IF(P251&lt;=14,12,IF(P251&lt;=17,13,IF(P251&lt;=20,14,IF(P251&lt;=22,15,IF(P251&lt;=25,16,IF(P251&lt;=27,17,IF(P251&lt;=29,18,IF(P251&lt;=32,19,IF(P251&lt;=34,20,IF(P251&lt;=36,21,IF(P251&lt;=40,22,24)))))))))))))</f>
        <v>0</v>
      </c>
      <c r="S251" s="3" t="n">
        <f aca="false">ROUND((Q251+R251+I251+J251+M251+N251)/3,0)</f>
        <v>25</v>
      </c>
      <c r="T251" s="17" t="n">
        <f aca="false">F251*LOG10(S251+2)</f>
        <v>8.58818258495392</v>
      </c>
    </row>
    <row r="252" customFormat="false" ht="14.65" hidden="false" customHeight="true" outlineLevel="0" collapsed="false">
      <c r="A252" s="13" t="s">
        <v>311</v>
      </c>
      <c r="B252" s="14" t="n">
        <v>39993</v>
      </c>
      <c r="C252" s="15" t="s">
        <v>78</v>
      </c>
      <c r="D252" s="4" t="s">
        <v>312</v>
      </c>
      <c r="E252" s="3" t="n">
        <v>6</v>
      </c>
      <c r="F252" s="3" t="n">
        <v>6</v>
      </c>
      <c r="H252" s="3" t="n">
        <v>26</v>
      </c>
      <c r="I252" s="3" t="n">
        <f aca="false">_xlfn.IFS(G252="взв",11,G252="накл",24,G252="прокл",25,G252="пт",26,G252=90,10,G252=85,10,G252=80,9,G252=75,8,G252=70,8,G252=65,7,G252=60,7,G252=55,6,G252=50,6,G252=45,6,G252=40,5,G252=35,4,G252=30,4,G252=25,3,G252=20,2,G252=15,1,G252=10,1,G252=0,0)</f>
        <v>0</v>
      </c>
      <c r="J252" s="3" t="n">
        <f aca="false">IF(H252&lt;=1,0,IF(H252&lt;=10,11,IF(H252&lt;=14,12,IF(H252&lt;=17,13,IF(H252&lt;=20,14,IF(H252&lt;=22,15,IF(H252&lt;=25,16,IF(H252&lt;=27,17,IF(H252&lt;=29,18,IF(H252&lt;=32,19,IF(H252&lt;=34,20,IF(H252&lt;=36,21,IF(H252&lt;=40,22,24)))))))))))))</f>
        <v>17</v>
      </c>
      <c r="L252" s="3" t="n">
        <v>33</v>
      </c>
      <c r="M252" s="3" t="n">
        <f aca="false">_xlfn.IFS(K252="взв",11,K252="накл",24,K252="прокл",25,K252="пт",26,K252=90,10,K252=85,10,K252=80,9,K252=75,8,K252=70,8,K252=65,7,K252=60,7,K252=55,6,K252=50,6,K252=45,6,K252=40,5,K252=35,4,K252=30,4,K252=25,3,K252=20,2,K252=15,1,K252=10,1,K252=0,0)</f>
        <v>0</v>
      </c>
      <c r="N252" s="3" t="n">
        <f aca="false">IF(L252&lt;=1,0,IF(L252&lt;=10,11,IF(L252&lt;=14,12,IF(L252&lt;=17,13,IF(L252&lt;=20,14,IF(L252&lt;=22,15,IF(L252&lt;=25,16,IF(L252&lt;=27,17,IF(L252&lt;=29,18,IF(L252&lt;=32,19,IF(L252&lt;=34,20,IF(L252&lt;=36,21,IF(L252&lt;=40,22,24)))))))))))))</f>
        <v>20</v>
      </c>
      <c r="P252" s="3" t="n">
        <v>35</v>
      </c>
      <c r="Q252" s="3" t="n">
        <f aca="false">_xlfn.IFS(O252="взв",11,O252="накл",24,O252="прокл",25,O252="пт",26,O252=90,10,O252=85,10,O252=80,9,O252=75,8,O252=70,8,O252=65,7,O252=60,7,O252=55,6,O252=50,6,O252=45,6,O252=40,5,O252=35,4,O252=30,4,O252=25,3,O252=20,2,O252=15,1,O252=10,1,O252=0,0)</f>
        <v>0</v>
      </c>
      <c r="R252" s="3" t="n">
        <f aca="false">IF(P252&lt;=1,0,IF(P252&lt;=10,11,IF(P252&lt;=14,12,IF(P252&lt;=17,13,IF(P252&lt;=20,14,IF(P252&lt;=22,15,IF(P252&lt;=25,16,IF(P252&lt;=27,17,IF(P252&lt;=29,18,IF(P252&lt;=32,19,IF(P252&lt;=34,20,IF(P252&lt;=36,21,IF(P252&lt;=40,22,24)))))))))))))</f>
        <v>21</v>
      </c>
      <c r="S252" s="3" t="n">
        <f aca="false">ROUND((Q252+R252+I252+J252+M252+N252)/3,0)</f>
        <v>19</v>
      </c>
      <c r="T252" s="17" t="n">
        <f aca="false">F252*LOG10(S252+2)</f>
        <v>7.93331576840352</v>
      </c>
    </row>
    <row r="253" customFormat="false" ht="14.65" hidden="false" customHeight="true" outlineLevel="0" collapsed="false">
      <c r="A253" s="13" t="s">
        <v>313</v>
      </c>
      <c r="B253" s="14" t="n">
        <v>39976</v>
      </c>
      <c r="C253" s="15" t="s">
        <v>21</v>
      </c>
      <c r="D253" s="16" t="s">
        <v>96</v>
      </c>
      <c r="E253" s="3" t="n">
        <v>3</v>
      </c>
      <c r="F253" s="3" t="n">
        <v>7</v>
      </c>
      <c r="G253" s="3" t="n">
        <v>60</v>
      </c>
      <c r="I253" s="3" t="n">
        <f aca="false">_xlfn.IFS(G253="взв",11,G253="накл",24,G253="прокл",25,G253="пт",26,G253=90,10,G253=85,10,G253=80,9,G253=75,8,G253=70,8,G253=65,7,G253=60,7,G253=55,6,G253=50,6,G253=45,6,G253=40,5,G253=35,4,G253=30,4,G253=25,3,G253=20,2,G253=15,1,G253=10,1,G253=0,0)</f>
        <v>7</v>
      </c>
      <c r="J253" s="3" t="n">
        <f aca="false">IF(H253&lt;=1,0,IF(H253&lt;=10,11,IF(H253&lt;=14,12,IF(H253&lt;=17,13,IF(H253&lt;=20,14,IF(H253&lt;=22,15,IF(H253&lt;=25,16,IF(H253&lt;=27,17,IF(H253&lt;=29,18,IF(H253&lt;=32,19,IF(H253&lt;=34,20,IF(H253&lt;=36,21,IF(H253&lt;=40,22,24)))))))))))))</f>
        <v>0</v>
      </c>
      <c r="K253" s="3" t="n">
        <v>15</v>
      </c>
      <c r="M253" s="3" t="n">
        <f aca="false">_xlfn.IFS(K253="взв",11,K253="накл",24,K253="прокл",25,K253="пт",26,K253=90,10,K253=85,10,K253=80,9,K253=75,8,K253=70,8,K253=65,7,K253=60,7,K253=55,6,K253=50,6,K253=45,6,K253=40,5,K253=35,4,K253=30,4,K253=25,3,K253=20,2,K253=15,1,K253=10,1,K253=0,0)</f>
        <v>1</v>
      </c>
      <c r="N253" s="3" t="n">
        <f aca="false">IF(L253&lt;=1,0,IF(L253&lt;=10,11,IF(L253&lt;=14,12,IF(L253&lt;=17,13,IF(L253&lt;=20,14,IF(L253&lt;=22,15,IF(L253&lt;=25,16,IF(L253&lt;=27,17,IF(L253&lt;=29,18,IF(L253&lt;=32,19,IF(L253&lt;=34,20,IF(L253&lt;=36,21,IF(L253&lt;=40,22,24)))))))))))))</f>
        <v>0</v>
      </c>
      <c r="O253" s="3" t="n">
        <v>15</v>
      </c>
      <c r="Q253" s="3" t="n">
        <f aca="false">_xlfn.IFS(O253="взв",11,O253="накл",24,O253="прокл",25,O253="пт",26,O253=90,10,O253=85,10,O253=80,9,O253=75,8,O253=70,8,O253=65,7,O253=60,7,O253=55,6,O253=50,6,O253=45,6,O253=40,5,O253=35,4,O253=30,4,O253=25,3,O253=20,2,O253=15,1,O253=10,1,O253=0,0)</f>
        <v>1</v>
      </c>
      <c r="R253" s="3" t="n">
        <f aca="false">IF(P253&lt;=1,0,IF(P253&lt;=10,11,IF(P253&lt;=14,12,IF(P253&lt;=17,13,IF(P253&lt;=20,14,IF(P253&lt;=22,15,IF(P253&lt;=25,16,IF(P253&lt;=27,17,IF(P253&lt;=29,18,IF(P253&lt;=32,19,IF(P253&lt;=34,20,IF(P253&lt;=36,21,IF(P253&lt;=40,22,24)))))))))))))</f>
        <v>0</v>
      </c>
      <c r="S253" s="3" t="n">
        <f aca="false">ROUND((Q253+R253+I253+J253+M253+N253)/3,0)</f>
        <v>3</v>
      </c>
      <c r="T253" s="17" t="n">
        <f aca="false">F253*LOG10(S253+2)</f>
        <v>4.89279003035213</v>
      </c>
    </row>
    <row r="254" customFormat="false" ht="14.65" hidden="false" customHeight="true" outlineLevel="0" collapsed="false">
      <c r="A254" s="13" t="s">
        <v>314</v>
      </c>
      <c r="B254" s="14" t="n">
        <v>39976</v>
      </c>
      <c r="C254" s="15" t="s">
        <v>21</v>
      </c>
      <c r="D254" s="16" t="s">
        <v>22</v>
      </c>
      <c r="E254" s="3" t="n">
        <v>2</v>
      </c>
      <c r="F254" s="3" t="n">
        <v>7</v>
      </c>
      <c r="H254" s="3" t="n">
        <v>45</v>
      </c>
      <c r="I254" s="3" t="n">
        <f aca="false">_xlfn.IFS(G254="взв",11,G254="накл",24,G254="прокл",25,G254="пт",26,G254=90,10,G254=85,10,G254=80,9,G254=75,8,G254=70,8,G254=65,7,G254=60,7,G254=55,6,G254=50,6,G254=45,6,G254=40,5,G254=35,4,G254=30,4,G254=25,3,G254=20,2,G254=15,1,G254=10,1,G254=0,0)</f>
        <v>0</v>
      </c>
      <c r="J254" s="3" t="n">
        <f aca="false">IF(H254&lt;=1,0,IF(H254&lt;=10,11,IF(H254&lt;=14,12,IF(H254&lt;=17,13,IF(H254&lt;=20,14,IF(H254&lt;=22,15,IF(H254&lt;=25,16,IF(H254&lt;=27,17,IF(H254&lt;=29,18,IF(H254&lt;=32,19,IF(H254&lt;=34,20,IF(H254&lt;=36,21,IF(H254&lt;=40,22,24)))))))))))))</f>
        <v>24</v>
      </c>
      <c r="L254" s="3" t="n">
        <v>30</v>
      </c>
      <c r="M254" s="3" t="n">
        <f aca="false">_xlfn.IFS(K254="взв",11,K254="накл",24,K254="прокл",25,K254="пт",26,K254=90,10,K254=85,10,K254=80,9,K254=75,8,K254=70,8,K254=65,7,K254=60,7,K254=55,6,K254=50,6,K254=45,6,K254=40,5,K254=35,4,K254=30,4,K254=25,3,K254=20,2,K254=15,1,K254=10,1,K254=0,0)</f>
        <v>0</v>
      </c>
      <c r="N254" s="3" t="n">
        <f aca="false">IF(L254&lt;=1,0,IF(L254&lt;=10,11,IF(L254&lt;=14,12,IF(L254&lt;=17,13,IF(L254&lt;=20,14,IF(L254&lt;=22,15,IF(L254&lt;=25,16,IF(L254&lt;=27,17,IF(L254&lt;=29,18,IF(L254&lt;=32,19,IF(L254&lt;=34,20,IF(L254&lt;=36,21,IF(L254&lt;=40,22,24)))))))))))))</f>
        <v>19</v>
      </c>
      <c r="Q254" s="3" t="n">
        <f aca="false">_xlfn.IFS(O254="взв",11,O254="накл",24,O254="прокл",25,O254="пт",26,O254=90,10,O254=85,10,O254=80,9,O254=75,8,O254=70,8,O254=65,7,O254=60,7,O254=55,6,O254=50,6,O254=45,6,O254=40,5,O254=35,4,O254=30,4,O254=25,3,O254=20,2,O254=15,1,O254=10,1,O254=0,0)</f>
        <v>0</v>
      </c>
      <c r="R254" s="3" t="n">
        <f aca="false">IF(P254&lt;=1,0,IF(P254&lt;=10,11,IF(P254&lt;=14,12,IF(P254&lt;=17,13,IF(P254&lt;=20,14,IF(P254&lt;=22,15,IF(P254&lt;=25,16,IF(P254&lt;=27,17,IF(P254&lt;=29,18,IF(P254&lt;=32,19,IF(P254&lt;=34,20,IF(P254&lt;=36,21,IF(P254&lt;=40,22,24)))))))))))))</f>
        <v>0</v>
      </c>
      <c r="S254" s="3" t="n">
        <f aca="false">ROUND((Q254+R254+I254+J254+M254+N254)/2,0)</f>
        <v>22</v>
      </c>
      <c r="T254" s="17" t="n">
        <f aca="false">F254*LOG10(S254+2)</f>
        <v>9.66147869198124</v>
      </c>
    </row>
    <row r="255" customFormat="false" ht="14.65" hidden="false" customHeight="true" outlineLevel="0" collapsed="false">
      <c r="A255" s="13" t="s">
        <v>315</v>
      </c>
      <c r="B255" s="14" t="n">
        <v>39981</v>
      </c>
      <c r="C255" s="15" t="s">
        <v>27</v>
      </c>
      <c r="D255" s="4" t="s">
        <v>51</v>
      </c>
      <c r="E255" s="3" t="n">
        <v>6</v>
      </c>
      <c r="F255" s="3" t="n">
        <v>7</v>
      </c>
      <c r="H255" s="3" t="n">
        <v>32</v>
      </c>
      <c r="I255" s="3" t="n">
        <f aca="false">_xlfn.IFS(G255="взв",11,G255="накл",24,G255="прокл",25,G255="пт",26,G255=90,10,G255=85,10,G255=80,9,G255=75,8,G255=70,8,G255=65,7,G255=60,7,G255=55,6,G255=50,6,G255=45,6,G255=40,5,G255=35,4,G255=30,4,G255=25,3,G255=20,2,G255=15,1,G255=10,1,G255=0,0)</f>
        <v>0</v>
      </c>
      <c r="J255" s="3" t="n">
        <f aca="false">IF(H255&lt;=1,0,IF(H255&lt;=10,11,IF(H255&lt;=14,12,IF(H255&lt;=17,13,IF(H255&lt;=20,14,IF(H255&lt;=22,15,IF(H255&lt;=25,16,IF(H255&lt;=27,17,IF(H255&lt;=29,18,IF(H255&lt;=32,19,IF(H255&lt;=34,20,IF(H255&lt;=36,21,IF(H255&lt;=40,22,24)))))))))))))</f>
        <v>19</v>
      </c>
      <c r="L255" s="3" t="n">
        <v>31</v>
      </c>
      <c r="M255" s="3" t="n">
        <f aca="false">_xlfn.IFS(K255="взв",11,K255="накл",24,K255="прокл",25,K255="пт",26,K255=90,10,K255=85,10,K255=80,9,K255=75,8,K255=70,8,K255=65,7,K255=60,7,K255=55,6,K255=50,6,K255=45,6,K255=40,5,K255=35,4,K255=30,4,K255=25,3,K255=20,2,K255=15,1,K255=10,1,K255=0,0)</f>
        <v>0</v>
      </c>
      <c r="N255" s="3" t="n">
        <f aca="false">IF(L255&lt;=1,0,IF(L255&lt;=10,11,IF(L255&lt;=14,12,IF(L255&lt;=17,13,IF(L255&lt;=20,14,IF(L255&lt;=22,15,IF(L255&lt;=25,16,IF(L255&lt;=27,17,IF(L255&lt;=29,18,IF(L255&lt;=32,19,IF(L255&lt;=34,20,IF(L255&lt;=36,21,IF(L255&lt;=40,22,24)))))))))))))</f>
        <v>19</v>
      </c>
      <c r="P255" s="3" t="n">
        <v>32</v>
      </c>
      <c r="Q255" s="3" t="n">
        <f aca="false">_xlfn.IFS(O255="взв",11,O255="накл",24,O255="прокл",25,O255="пт",26,O255=90,10,O255=85,10,O255=80,9,O255=75,8,O255=70,8,O255=65,7,O255=60,7,O255=55,6,O255=50,6,O255=45,6,O255=40,5,O255=35,4,O255=30,4,O255=25,3,O255=20,2,O255=15,1,O255=10,1,O255=0,0)</f>
        <v>0</v>
      </c>
      <c r="R255" s="3" t="n">
        <f aca="false">IF(P255&lt;=1,0,IF(P255&lt;=10,11,IF(P255&lt;=14,12,IF(P255&lt;=17,13,IF(P255&lt;=20,14,IF(P255&lt;=22,15,IF(P255&lt;=25,16,IF(P255&lt;=27,17,IF(P255&lt;=29,18,IF(P255&lt;=32,19,IF(P255&lt;=34,20,IF(P255&lt;=36,21,IF(P255&lt;=40,22,24)))))))))))))</f>
        <v>19</v>
      </c>
      <c r="S255" s="3" t="n">
        <f aca="false">ROUND((Q255+R255+I255+J255+M255+N255)/3,0)</f>
        <v>19</v>
      </c>
      <c r="T255" s="17" t="n">
        <f aca="false">F255*LOG10(S255+2)</f>
        <v>9.25553506313744</v>
      </c>
    </row>
    <row r="256" customFormat="false" ht="14.65" hidden="false" customHeight="true" outlineLevel="0" collapsed="false">
      <c r="A256" s="13" t="s">
        <v>316</v>
      </c>
      <c r="B256" s="14" t="n">
        <v>39981</v>
      </c>
      <c r="C256" s="15" t="s">
        <v>27</v>
      </c>
      <c r="D256" s="4" t="s">
        <v>51</v>
      </c>
      <c r="E256" s="3" t="n">
        <v>5</v>
      </c>
      <c r="F256" s="3" t="n">
        <v>7</v>
      </c>
      <c r="H256" s="3" t="n">
        <v>30</v>
      </c>
      <c r="I256" s="3" t="n">
        <f aca="false">_xlfn.IFS(G256="взв",11,G256="накл",24,G256="прокл",25,G256="пт",26,G256=90,10,G256=85,10,G256=80,9,G256=75,8,G256=70,8,G256=65,7,G256=60,7,G256=55,6,G256=50,6,G256=45,6,G256=40,5,G256=35,4,G256=30,4,G256=25,3,G256=20,2,G256=15,1,G256=10,1,G256=0,0)</f>
        <v>0</v>
      </c>
      <c r="J256" s="3" t="n">
        <f aca="false">IF(H256&lt;=1,0,IF(H256&lt;=10,11,IF(H256&lt;=14,12,IF(H256&lt;=17,13,IF(H256&lt;=20,14,IF(H256&lt;=22,15,IF(H256&lt;=25,16,IF(H256&lt;=27,17,IF(H256&lt;=29,18,IF(H256&lt;=32,19,IF(H256&lt;=34,20,IF(H256&lt;=36,21,IF(H256&lt;=40,22,24)))))))))))))</f>
        <v>19</v>
      </c>
      <c r="L256" s="3" t="n">
        <v>35</v>
      </c>
      <c r="M256" s="3" t="n">
        <f aca="false">_xlfn.IFS(K256="взв",11,K256="накл",24,K256="прокл",25,K256="пт",26,K256=90,10,K256=85,10,K256=80,9,K256=75,8,K256=70,8,K256=65,7,K256=60,7,K256=55,6,K256=50,6,K256=45,6,K256=40,5,K256=35,4,K256=30,4,K256=25,3,K256=20,2,K256=15,1,K256=10,1,K256=0,0)</f>
        <v>0</v>
      </c>
      <c r="N256" s="3" t="n">
        <f aca="false">IF(L256&lt;=1,0,IF(L256&lt;=10,11,IF(L256&lt;=14,12,IF(L256&lt;=17,13,IF(L256&lt;=20,14,IF(L256&lt;=22,15,IF(L256&lt;=25,16,IF(L256&lt;=27,17,IF(L256&lt;=29,18,IF(L256&lt;=32,19,IF(L256&lt;=34,20,IF(L256&lt;=36,21,IF(L256&lt;=40,22,24)))))))))))))</f>
        <v>21</v>
      </c>
      <c r="P256" s="3" t="n">
        <v>33</v>
      </c>
      <c r="Q256" s="3" t="n">
        <f aca="false">_xlfn.IFS(O256="взв",11,O256="накл",24,O256="прокл",25,O256="пт",26,O256=90,10,O256=85,10,O256=80,9,O256=75,8,O256=70,8,O256=65,7,O256=60,7,O256=55,6,O256=50,6,O256=45,6,O256=40,5,O256=35,4,O256=30,4,O256=25,3,O256=20,2,O256=15,1,O256=10,1,O256=0,0)</f>
        <v>0</v>
      </c>
      <c r="R256" s="3" t="n">
        <f aca="false">IF(P256&lt;=1,0,IF(P256&lt;=10,11,IF(P256&lt;=14,12,IF(P256&lt;=17,13,IF(P256&lt;=20,14,IF(P256&lt;=22,15,IF(P256&lt;=25,16,IF(P256&lt;=27,17,IF(P256&lt;=29,18,IF(P256&lt;=32,19,IF(P256&lt;=34,20,IF(P256&lt;=36,21,IF(P256&lt;=40,22,24)))))))))))))</f>
        <v>20</v>
      </c>
      <c r="S256" s="3" t="n">
        <f aca="false">ROUND((Q256+R256+I256+J256+M256+N256)/3,0)</f>
        <v>20</v>
      </c>
      <c r="T256" s="17" t="n">
        <f aca="false">F256*LOG10(S256+2)</f>
        <v>9.39695876575544</v>
      </c>
    </row>
    <row r="257" customFormat="false" ht="14.65" hidden="false" customHeight="true" outlineLevel="0" collapsed="false">
      <c r="A257" s="13" t="s">
        <v>317</v>
      </c>
      <c r="B257" s="14" t="n">
        <v>39981</v>
      </c>
      <c r="C257" s="15" t="s">
        <v>27</v>
      </c>
      <c r="D257" s="4" t="s">
        <v>318</v>
      </c>
      <c r="E257" s="3" t="n">
        <v>8</v>
      </c>
      <c r="F257" s="3" t="n">
        <v>7</v>
      </c>
      <c r="G257" s="3" t="n">
        <v>90</v>
      </c>
      <c r="I257" s="3" t="n">
        <f aca="false">_xlfn.IFS(G257="взв",11,G257="накл",24,G257="прокл",25,G257="пт",26,G257=90,10,G257=85,10,G257=80,9,G257=75,8,G257=70,8,G257=65,7,G257=60,7,G257=55,6,G257=50,6,G257=45,6,G257=40,5,G257=35,4,G257=30,4,G257=25,3,G257=20,2,G257=15,1,G257=10,1,G257=0,0)</f>
        <v>10</v>
      </c>
      <c r="J257" s="3" t="n">
        <f aca="false">IF(H257&lt;=1,0,IF(H257&lt;=10,11,IF(H257&lt;=14,12,IF(H257&lt;=17,13,IF(H257&lt;=20,14,IF(H257&lt;=22,15,IF(H257&lt;=25,16,IF(H257&lt;=27,17,IF(H257&lt;=29,18,IF(H257&lt;=32,19,IF(H257&lt;=34,20,IF(H257&lt;=36,21,IF(H257&lt;=40,22,24)))))))))))))</f>
        <v>0</v>
      </c>
      <c r="L257" s="3" t="n">
        <v>30</v>
      </c>
      <c r="M257" s="3" t="n">
        <f aca="false">_xlfn.IFS(K257="взв",11,K257="накл",24,K257="прокл",25,K257="пт",26,K257=90,10,K257=85,10,K257=80,9,K257=75,8,K257=70,8,K257=65,7,K257=60,7,K257=55,6,K257=50,6,K257=45,6,K257=40,5,K257=35,4,K257=30,4,K257=25,3,K257=20,2,K257=15,1,K257=10,1,K257=0,0)</f>
        <v>0</v>
      </c>
      <c r="N257" s="3" t="n">
        <f aca="false">IF(L257&lt;=1,0,IF(L257&lt;=10,11,IF(L257&lt;=14,12,IF(L257&lt;=17,13,IF(L257&lt;=20,14,IF(L257&lt;=22,15,IF(L257&lt;=25,16,IF(L257&lt;=27,17,IF(L257&lt;=29,18,IF(L257&lt;=32,19,IF(L257&lt;=34,20,IF(L257&lt;=36,21,IF(L257&lt;=40,22,24)))))))))))))</f>
        <v>19</v>
      </c>
      <c r="P257" s="3" t="n">
        <v>36</v>
      </c>
      <c r="Q257" s="3" t="n">
        <f aca="false">_xlfn.IFS(O257="взв",11,O257="накл",24,O257="прокл",25,O257="пт",26,O257=90,10,O257=85,10,O257=80,9,O257=75,8,O257=70,8,O257=65,7,O257=60,7,O257=55,6,O257=50,6,O257=45,6,O257=40,5,O257=35,4,O257=30,4,O257=25,3,O257=20,2,O257=15,1,O257=10,1,O257=0,0)</f>
        <v>0</v>
      </c>
      <c r="R257" s="3" t="n">
        <f aca="false">IF(P257&lt;=1,0,IF(P257&lt;=10,11,IF(P257&lt;=14,12,IF(P257&lt;=17,13,IF(P257&lt;=20,14,IF(P257&lt;=22,15,IF(P257&lt;=25,16,IF(P257&lt;=27,17,IF(P257&lt;=29,18,IF(P257&lt;=32,19,IF(P257&lt;=34,20,IF(P257&lt;=36,21,IF(P257&lt;=40,22,24)))))))))))))</f>
        <v>21</v>
      </c>
      <c r="S257" s="3" t="n">
        <f aca="false">ROUND((Q257+R257+I257+J257+M257+N257)/3,0)</f>
        <v>17</v>
      </c>
      <c r="T257" s="17" t="n">
        <f aca="false">F257*LOG10(S257+2)</f>
        <v>8.9512752066698</v>
      </c>
    </row>
    <row r="258" customFormat="false" ht="14.65" hidden="false" customHeight="true" outlineLevel="0" collapsed="false">
      <c r="A258" s="13" t="s">
        <v>319</v>
      </c>
      <c r="B258" s="14" t="n">
        <v>39981</v>
      </c>
      <c r="C258" s="15" t="s">
        <v>27</v>
      </c>
      <c r="D258" s="4" t="s">
        <v>28</v>
      </c>
      <c r="E258" s="3" t="n">
        <v>5</v>
      </c>
      <c r="F258" s="3" t="n">
        <v>7</v>
      </c>
      <c r="G258" s="3" t="n">
        <v>75</v>
      </c>
      <c r="I258" s="3" t="n">
        <f aca="false">_xlfn.IFS(G258="взв",11,G258="накл",24,G258="прокл",25,G258="пт",26,G258=90,10,G258=85,10,G258=80,9,G258=75,8,G258=70,8,G258=65,7,G258=60,7,G258=55,6,G258=50,6,G258=45,6,G258=40,5,G258=35,4,G258=30,4,G258=25,3,G258=20,2,G258=15,1,G258=10,1,G258=0,0)</f>
        <v>8</v>
      </c>
      <c r="J258" s="3" t="n">
        <f aca="false">IF(H258&lt;=1,0,IF(H258&lt;=10,11,IF(H258&lt;=14,12,IF(H258&lt;=17,13,IF(H258&lt;=20,14,IF(H258&lt;=22,15,IF(H258&lt;=25,16,IF(H258&lt;=27,17,IF(H258&lt;=29,18,IF(H258&lt;=32,19,IF(H258&lt;=34,20,IF(H258&lt;=36,21,IF(H258&lt;=40,22,24)))))))))))))</f>
        <v>0</v>
      </c>
      <c r="K258" s="3" t="n">
        <v>85</v>
      </c>
      <c r="M258" s="3" t="n">
        <f aca="false">_xlfn.IFS(K258="взв",11,K258="накл",24,K258="прокл",25,K258="пт",26,K258=90,10,K258=85,10,K258=80,9,K258=75,8,K258=70,8,K258=65,7,K258=60,7,K258=55,6,K258=50,6,K258=45,6,K258=40,5,K258=35,4,K258=30,4,K258=25,3,K258=20,2,K258=15,1,K258=10,1,K258=0,0)</f>
        <v>10</v>
      </c>
      <c r="N258" s="3" t="n">
        <f aca="false">IF(L258&lt;=1,0,IF(L258&lt;=10,11,IF(L258&lt;=14,12,IF(L258&lt;=17,13,IF(L258&lt;=20,14,IF(L258&lt;=22,15,IF(L258&lt;=25,16,IF(L258&lt;=27,17,IF(L258&lt;=29,18,IF(L258&lt;=32,19,IF(L258&lt;=34,20,IF(L258&lt;=36,21,IF(L258&lt;=40,22,24)))))))))))))</f>
        <v>0</v>
      </c>
      <c r="O258" s="3" t="n">
        <v>75</v>
      </c>
      <c r="Q258" s="3" t="n">
        <f aca="false">_xlfn.IFS(O258="взв",11,O258="накл",24,O258="прокл",25,O258="пт",26,O258=90,10,O258=85,10,O258=80,9,O258=75,8,O258=70,8,O258=65,7,O258=60,7,O258=55,6,O258=50,6,O258=45,6,O258=40,5,O258=35,4,O258=30,4,O258=25,3,O258=20,2,O258=15,1,O258=10,1,O258=0,0)</f>
        <v>8</v>
      </c>
      <c r="R258" s="3" t="n">
        <f aca="false">IF(P258&lt;=1,0,IF(P258&lt;=10,11,IF(P258&lt;=14,12,IF(P258&lt;=17,13,IF(P258&lt;=20,14,IF(P258&lt;=22,15,IF(P258&lt;=25,16,IF(P258&lt;=27,17,IF(P258&lt;=29,18,IF(P258&lt;=32,19,IF(P258&lt;=34,20,IF(P258&lt;=36,21,IF(P258&lt;=40,22,24)))))))))))))</f>
        <v>0</v>
      </c>
      <c r="S258" s="3" t="n">
        <f aca="false">ROUND((Q258+R258+I258+J258+M258+N258)/3,0)</f>
        <v>9</v>
      </c>
      <c r="T258" s="17" t="n">
        <f aca="false">F258*LOG10(S258+2)</f>
        <v>7.28974879610758</v>
      </c>
    </row>
    <row r="259" customFormat="false" ht="14.65" hidden="false" customHeight="true" outlineLevel="0" collapsed="false">
      <c r="A259" s="13" t="s">
        <v>320</v>
      </c>
      <c r="B259" s="14" t="n">
        <v>39981</v>
      </c>
      <c r="C259" s="15" t="s">
        <v>27</v>
      </c>
      <c r="D259" s="4" t="s">
        <v>28</v>
      </c>
      <c r="E259" s="3" t="n">
        <v>4</v>
      </c>
      <c r="F259" s="3" t="n">
        <v>7</v>
      </c>
      <c r="G259" s="3" t="s">
        <v>72</v>
      </c>
      <c r="I259" s="3" t="n">
        <f aca="false">_xlfn.IFS(G259="взв",11,G259="накл",24,G259="прокл",25,G259="пт",26,G259=90,10,G259=85,10,G259=80,9,G259=75,8,G259=70,8,G259=65,7,G259=60,7,G259=55,6,G259=50,6,G259=45,6,G259=40,5,G259=35,4,G259=30,4,G259=25,3,G259=20,2,G259=15,1,G259=10,1,G259=0,0)</f>
        <v>11</v>
      </c>
      <c r="J259" s="3" t="n">
        <f aca="false">IF(H259&lt;=1,0,IF(H259&lt;=10,11,IF(H259&lt;=14,12,IF(H259&lt;=17,13,IF(H259&lt;=20,14,IF(H259&lt;=22,15,IF(H259&lt;=25,16,IF(H259&lt;=27,17,IF(H259&lt;=29,18,IF(H259&lt;=32,19,IF(H259&lt;=34,20,IF(H259&lt;=36,21,IF(H259&lt;=40,22,24)))))))))))))</f>
        <v>0</v>
      </c>
      <c r="K259" s="3" t="n">
        <v>90</v>
      </c>
      <c r="M259" s="3" t="n">
        <f aca="false">_xlfn.IFS(K259="взв",11,K259="накл",24,K259="прокл",25,K259="пт",26,K259=90,10,K259=85,10,K259=80,9,K259=75,8,K259=70,8,K259=65,7,K259=60,7,K259=55,6,K259=50,6,K259=45,6,K259=40,5,K259=35,4,K259=30,4,K259=25,3,K259=20,2,K259=15,1,K259=10,1,K259=0,0)</f>
        <v>10</v>
      </c>
      <c r="N259" s="3" t="n">
        <f aca="false">IF(L259&lt;=1,0,IF(L259&lt;=10,11,IF(L259&lt;=14,12,IF(L259&lt;=17,13,IF(L259&lt;=20,14,IF(L259&lt;=22,15,IF(L259&lt;=25,16,IF(L259&lt;=27,17,IF(L259&lt;=29,18,IF(L259&lt;=32,19,IF(L259&lt;=34,20,IF(L259&lt;=36,21,IF(L259&lt;=40,22,24)))))))))))))</f>
        <v>0</v>
      </c>
      <c r="O259" s="3" t="n">
        <v>90</v>
      </c>
      <c r="Q259" s="3" t="n">
        <f aca="false">_xlfn.IFS(O259="взв",11,O259="накл",24,O259="прокл",25,O259="пт",26,O259=90,10,O259=85,10,O259=80,9,O259=75,8,O259=70,8,O259=65,7,O259=60,7,O259=55,6,O259=50,6,O259=45,6,O259=40,5,O259=35,4,O259=30,4,O259=25,3,O259=20,2,O259=15,1,O259=10,1,O259=0,0)</f>
        <v>10</v>
      </c>
      <c r="R259" s="3" t="n">
        <f aca="false">IF(P259&lt;=1,0,IF(P259&lt;=10,11,IF(P259&lt;=14,12,IF(P259&lt;=17,13,IF(P259&lt;=20,14,IF(P259&lt;=22,15,IF(P259&lt;=25,16,IF(P259&lt;=27,17,IF(P259&lt;=29,18,IF(P259&lt;=32,19,IF(P259&lt;=34,20,IF(P259&lt;=36,21,IF(P259&lt;=40,22,24)))))))))))))</f>
        <v>0</v>
      </c>
      <c r="S259" s="3" t="n">
        <f aca="false">ROUND((Q259+R259+I259+J259+M259+N259)/3,0)</f>
        <v>10</v>
      </c>
      <c r="T259" s="17" t="n">
        <f aca="false">F259*LOG10(S259+2)</f>
        <v>7.55426872233337</v>
      </c>
    </row>
    <row r="260" customFormat="false" ht="14.65" hidden="false" customHeight="true" outlineLevel="0" collapsed="false">
      <c r="A260" s="13" t="s">
        <v>321</v>
      </c>
      <c r="B260" s="14" t="n">
        <v>39981</v>
      </c>
      <c r="C260" s="15" t="s">
        <v>27</v>
      </c>
      <c r="D260" s="4" t="s">
        <v>28</v>
      </c>
      <c r="E260" s="3" t="n">
        <v>4</v>
      </c>
      <c r="F260" s="3" t="n">
        <v>7</v>
      </c>
      <c r="H260" s="3" t="n">
        <v>30</v>
      </c>
      <c r="I260" s="3" t="n">
        <f aca="false">_xlfn.IFS(G260="взв",11,G260="накл",24,G260="прокл",25,G260="пт",26,G260=90,10,G260=85,10,G260=80,9,G260=75,8,G260=70,8,G260=65,7,G260=60,7,G260=55,6,G260=50,6,G260=45,6,G260=40,5,G260=35,4,G260=30,4,G260=25,3,G260=20,2,G260=15,1,G260=10,1,G260=0,0)</f>
        <v>0</v>
      </c>
      <c r="J260" s="3" t="n">
        <f aca="false">IF(H260&lt;=1,0,IF(H260&lt;=10,11,IF(H260&lt;=14,12,IF(H260&lt;=17,13,IF(H260&lt;=20,14,IF(H260&lt;=22,15,IF(H260&lt;=25,16,IF(H260&lt;=27,17,IF(H260&lt;=29,18,IF(H260&lt;=32,19,IF(H260&lt;=34,20,IF(H260&lt;=36,21,IF(H260&lt;=40,22,24)))))))))))))</f>
        <v>19</v>
      </c>
      <c r="L260" s="3" t="n">
        <v>26</v>
      </c>
      <c r="M260" s="3" t="n">
        <f aca="false">_xlfn.IFS(K260="взв",11,K260="накл",24,K260="прокл",25,K260="пт",26,K260=90,10,K260=85,10,K260=80,9,K260=75,8,K260=70,8,K260=65,7,K260=60,7,K260=55,6,K260=50,6,K260=45,6,K260=40,5,K260=35,4,K260=30,4,K260=25,3,K260=20,2,K260=15,1,K260=10,1,K260=0,0)</f>
        <v>0</v>
      </c>
      <c r="N260" s="3" t="n">
        <f aca="false">IF(L260&lt;=1,0,IF(L260&lt;=10,11,IF(L260&lt;=14,12,IF(L260&lt;=17,13,IF(L260&lt;=20,14,IF(L260&lt;=22,15,IF(L260&lt;=25,16,IF(L260&lt;=27,17,IF(L260&lt;=29,18,IF(L260&lt;=32,19,IF(L260&lt;=34,20,IF(L260&lt;=36,21,IF(L260&lt;=40,22,24)))))))))))))</f>
        <v>17</v>
      </c>
      <c r="P260" s="3" t="n">
        <v>19</v>
      </c>
      <c r="Q260" s="3" t="n">
        <f aca="false">_xlfn.IFS(O260="взв",11,O260="накл",24,O260="прокл",25,O260="пт",26,O260=90,10,O260=85,10,O260=80,9,O260=75,8,O260=70,8,O260=65,7,O260=60,7,O260=55,6,O260=50,6,O260=45,6,O260=40,5,O260=35,4,O260=30,4,O260=25,3,O260=20,2,O260=15,1,O260=10,1,O260=0,0)</f>
        <v>0</v>
      </c>
      <c r="R260" s="3" t="n">
        <f aca="false">IF(P260&lt;=1,0,IF(P260&lt;=10,11,IF(P260&lt;=14,12,IF(P260&lt;=17,13,IF(P260&lt;=20,14,IF(P260&lt;=22,15,IF(P260&lt;=25,16,IF(P260&lt;=27,17,IF(P260&lt;=29,18,IF(P260&lt;=32,19,IF(P260&lt;=34,20,IF(P260&lt;=36,21,IF(P260&lt;=40,22,24)))))))))))))</f>
        <v>14</v>
      </c>
      <c r="S260" s="3" t="n">
        <f aca="false">ROUND((Q260+R260+I260+J260+M260+N260)/3,0)</f>
        <v>17</v>
      </c>
      <c r="T260" s="17" t="n">
        <f aca="false">F260*LOG10(S260+2)</f>
        <v>8.9512752066698</v>
      </c>
    </row>
    <row r="261" customFormat="false" ht="14.65" hidden="false" customHeight="true" outlineLevel="0" collapsed="false">
      <c r="A261" s="13" t="s">
        <v>322</v>
      </c>
      <c r="B261" s="14" t="n">
        <v>39985</v>
      </c>
      <c r="C261" s="15" t="s">
        <v>27</v>
      </c>
      <c r="D261" s="4" t="s">
        <v>64</v>
      </c>
      <c r="E261" s="3" t="n">
        <v>5</v>
      </c>
      <c r="F261" s="3" t="n">
        <v>7</v>
      </c>
      <c r="H261" s="3" t="n">
        <v>34</v>
      </c>
      <c r="I261" s="3" t="n">
        <f aca="false">_xlfn.IFS(G261="взв",11,G261="накл",24,G261="прокл",25,G261="пт",26,G261=90,10,G261=85,10,G261=80,9,G261=75,8,G261=70,8,G261=65,7,G261=60,7,G261=55,6,G261=50,6,G261=45,6,G261=40,5,G261=35,4,G261=30,4,G261=25,3,G261=20,2,G261=15,1,G261=10,1,G261=0,0)</f>
        <v>0</v>
      </c>
      <c r="J261" s="3" t="n">
        <f aca="false">IF(H261&lt;=1,0,IF(H261&lt;=10,11,IF(H261&lt;=14,12,IF(H261&lt;=17,13,IF(H261&lt;=20,14,IF(H261&lt;=22,15,IF(H261&lt;=25,16,IF(H261&lt;=27,17,IF(H261&lt;=29,18,IF(H261&lt;=32,19,IF(H261&lt;=34,20,IF(H261&lt;=36,21,IF(H261&lt;=40,22,24)))))))))))))</f>
        <v>20</v>
      </c>
      <c r="L261" s="3" t="n">
        <v>26</v>
      </c>
      <c r="M261" s="3" t="n">
        <f aca="false">_xlfn.IFS(K261="взв",11,K261="накл",24,K261="прокл",25,K261="пт",26,K261=90,10,K261=85,10,K261=80,9,K261=75,8,K261=70,8,K261=65,7,K261=60,7,K261=55,6,K261=50,6,K261=45,6,K261=40,5,K261=35,4,K261=30,4,K261=25,3,K261=20,2,K261=15,1,K261=10,1,K261=0,0)</f>
        <v>0</v>
      </c>
      <c r="N261" s="3" t="n">
        <f aca="false">IF(L261&lt;=1,0,IF(L261&lt;=10,11,IF(L261&lt;=14,12,IF(L261&lt;=17,13,IF(L261&lt;=20,14,IF(L261&lt;=22,15,IF(L261&lt;=25,16,IF(L261&lt;=27,17,IF(L261&lt;=29,18,IF(L261&lt;=32,19,IF(L261&lt;=34,20,IF(L261&lt;=36,21,IF(L261&lt;=40,22,24)))))))))))))</f>
        <v>17</v>
      </c>
      <c r="P261" s="3" t="n">
        <v>33</v>
      </c>
      <c r="Q261" s="3" t="n">
        <f aca="false">_xlfn.IFS(O261="взв",11,O261="накл",24,O261="прокл",25,O261="пт",26,O261=90,10,O261=85,10,O261=80,9,O261=75,8,O261=70,8,O261=65,7,O261=60,7,O261=55,6,O261=50,6,O261=45,6,O261=40,5,O261=35,4,O261=30,4,O261=25,3,O261=20,2,O261=15,1,O261=10,1,O261=0,0)</f>
        <v>0</v>
      </c>
      <c r="R261" s="3" t="n">
        <f aca="false">IF(P261&lt;=1,0,IF(P261&lt;=10,11,IF(P261&lt;=14,12,IF(P261&lt;=17,13,IF(P261&lt;=20,14,IF(P261&lt;=22,15,IF(P261&lt;=25,16,IF(P261&lt;=27,17,IF(P261&lt;=29,18,IF(P261&lt;=32,19,IF(P261&lt;=34,20,IF(P261&lt;=36,21,IF(P261&lt;=40,22,24)))))))))))))</f>
        <v>20</v>
      </c>
      <c r="S261" s="3" t="n">
        <f aca="false">ROUND((Q261+R261+I261+J261+M261+N261)/3,0)</f>
        <v>19</v>
      </c>
      <c r="T261" s="17" t="n">
        <f aca="false">F261*LOG10(S261+2)</f>
        <v>9.25553506313744</v>
      </c>
    </row>
    <row r="262" customFormat="false" ht="14.65" hidden="false" customHeight="true" outlineLevel="0" collapsed="false">
      <c r="A262" s="13" t="s">
        <v>323</v>
      </c>
      <c r="B262" s="14" t="n">
        <v>39985</v>
      </c>
      <c r="C262" s="15" t="s">
        <v>27</v>
      </c>
      <c r="D262" s="4" t="s">
        <v>64</v>
      </c>
      <c r="E262" s="3" t="n">
        <v>4</v>
      </c>
      <c r="F262" s="3" t="n">
        <v>7</v>
      </c>
      <c r="H262" s="3" t="n">
        <v>25</v>
      </c>
      <c r="I262" s="3" t="n">
        <f aca="false">_xlfn.IFS(G262="взв",11,G262="накл",24,G262="прокл",25,G262="пт",26,G262=90,10,G262=85,10,G262=80,9,G262=75,8,G262=70,8,G262=65,7,G262=60,7,G262=55,6,G262=50,6,G262=45,6,G262=40,5,G262=35,4,G262=30,4,G262=25,3,G262=20,2,G262=15,1,G262=10,1,G262=0,0)</f>
        <v>0</v>
      </c>
      <c r="J262" s="3" t="n">
        <f aca="false">IF(H262&lt;=1,0,IF(H262&lt;=10,11,IF(H262&lt;=14,12,IF(H262&lt;=17,13,IF(H262&lt;=20,14,IF(H262&lt;=22,15,IF(H262&lt;=25,16,IF(H262&lt;=27,17,IF(H262&lt;=29,18,IF(H262&lt;=32,19,IF(H262&lt;=34,20,IF(H262&lt;=36,21,IF(H262&lt;=40,22,24)))))))))))))</f>
        <v>16</v>
      </c>
      <c r="L262" s="3" t="n">
        <v>25</v>
      </c>
      <c r="M262" s="3" t="n">
        <f aca="false">_xlfn.IFS(K262="взв",11,K262="накл",24,K262="прокл",25,K262="пт",26,K262=90,10,K262=85,10,K262=80,9,K262=75,8,K262=70,8,K262=65,7,K262=60,7,K262=55,6,K262=50,6,K262=45,6,K262=40,5,K262=35,4,K262=30,4,K262=25,3,K262=20,2,K262=15,1,K262=10,1,K262=0,0)</f>
        <v>0</v>
      </c>
      <c r="N262" s="3" t="n">
        <f aca="false">IF(L262&lt;=1,0,IF(L262&lt;=10,11,IF(L262&lt;=14,12,IF(L262&lt;=17,13,IF(L262&lt;=20,14,IF(L262&lt;=22,15,IF(L262&lt;=25,16,IF(L262&lt;=27,17,IF(L262&lt;=29,18,IF(L262&lt;=32,19,IF(L262&lt;=34,20,IF(L262&lt;=36,21,IF(L262&lt;=40,22,24)))))))))))))</f>
        <v>16</v>
      </c>
      <c r="P262" s="3" t="n">
        <v>27</v>
      </c>
      <c r="Q262" s="3" t="n">
        <f aca="false">_xlfn.IFS(O262="взв",11,O262="накл",24,O262="прокл",25,O262="пт",26,O262=90,10,O262=85,10,O262=80,9,O262=75,8,O262=70,8,O262=65,7,O262=60,7,O262=55,6,O262=50,6,O262=45,6,O262=40,5,O262=35,4,O262=30,4,O262=25,3,O262=20,2,O262=15,1,O262=10,1,O262=0,0)</f>
        <v>0</v>
      </c>
      <c r="R262" s="3" t="n">
        <f aca="false">IF(P262&lt;=1,0,IF(P262&lt;=10,11,IF(P262&lt;=14,12,IF(P262&lt;=17,13,IF(P262&lt;=20,14,IF(P262&lt;=22,15,IF(P262&lt;=25,16,IF(P262&lt;=27,17,IF(P262&lt;=29,18,IF(P262&lt;=32,19,IF(P262&lt;=34,20,IF(P262&lt;=36,21,IF(P262&lt;=40,22,24)))))))))))))</f>
        <v>17</v>
      </c>
      <c r="S262" s="3" t="n">
        <f aca="false">ROUND((Q262+R262+I262+J262+M262+N262)/3,0)</f>
        <v>16</v>
      </c>
      <c r="T262" s="17" t="n">
        <f aca="false">F262*LOG10(S262+2)</f>
        <v>8.78690753572314</v>
      </c>
    </row>
    <row r="263" customFormat="false" ht="14.65" hidden="false" customHeight="true" outlineLevel="0" collapsed="false">
      <c r="A263" s="13" t="s">
        <v>324</v>
      </c>
      <c r="B263" s="14" t="n">
        <v>39985</v>
      </c>
      <c r="C263" s="15" t="s">
        <v>27</v>
      </c>
      <c r="D263" s="4" t="s">
        <v>64</v>
      </c>
      <c r="E263" s="3" t="n">
        <v>4</v>
      </c>
      <c r="F263" s="3" t="n">
        <v>7</v>
      </c>
      <c r="G263" s="3" t="n">
        <v>75</v>
      </c>
      <c r="I263" s="3" t="n">
        <f aca="false">_xlfn.IFS(G263="взв",11,G263="накл",24,G263="прокл",25,G263="пт",26,G263=90,10,G263=85,10,G263=80,9,G263=75,8,G263=70,8,G263=65,7,G263=60,7,G263=55,6,G263=50,6,G263=45,6,G263=40,5,G263=35,4,G263=30,4,G263=25,3,G263=20,2,G263=15,1,G263=10,1,G263=0,0)</f>
        <v>8</v>
      </c>
      <c r="J263" s="3" t="n">
        <f aca="false">IF(H263&lt;=1,0,IF(H263&lt;=10,11,IF(H263&lt;=14,12,IF(H263&lt;=17,13,IF(H263&lt;=20,14,IF(H263&lt;=22,15,IF(H263&lt;=25,16,IF(H263&lt;=27,17,IF(H263&lt;=29,18,IF(H263&lt;=32,19,IF(H263&lt;=34,20,IF(H263&lt;=36,21,IF(H263&lt;=40,22,24)))))))))))))</f>
        <v>0</v>
      </c>
      <c r="K263" s="3" t="n">
        <v>75</v>
      </c>
      <c r="M263" s="3" t="n">
        <f aca="false">_xlfn.IFS(K263="взв",11,K263="накл",24,K263="прокл",25,K263="пт",26,K263=90,10,K263=85,10,K263=80,9,K263=75,8,K263=70,8,K263=65,7,K263=60,7,K263=55,6,K263=50,6,K263=45,6,K263=40,5,K263=35,4,K263=30,4,K263=25,3,K263=20,2,K263=15,1,K263=10,1,K263=0,0)</f>
        <v>8</v>
      </c>
      <c r="N263" s="3" t="n">
        <f aca="false">IF(L263&lt;=1,0,IF(L263&lt;=10,11,IF(L263&lt;=14,12,IF(L263&lt;=17,13,IF(L263&lt;=20,14,IF(L263&lt;=22,15,IF(L263&lt;=25,16,IF(L263&lt;=27,17,IF(L263&lt;=29,18,IF(L263&lt;=32,19,IF(L263&lt;=34,20,IF(L263&lt;=36,21,IF(L263&lt;=40,22,24)))))))))))))</f>
        <v>0</v>
      </c>
      <c r="O263" s="3" t="n">
        <v>75</v>
      </c>
      <c r="Q263" s="3" t="n">
        <f aca="false">_xlfn.IFS(O263="взв",11,O263="накл",24,O263="прокл",25,O263="пт",26,O263=90,10,O263=85,10,O263=80,9,O263=75,8,O263=70,8,O263=65,7,O263=60,7,O263=55,6,O263=50,6,O263=45,6,O263=40,5,O263=35,4,O263=30,4,O263=25,3,O263=20,2,O263=15,1,O263=10,1,O263=0,0)</f>
        <v>8</v>
      </c>
      <c r="R263" s="3" t="n">
        <f aca="false">IF(P263&lt;=1,0,IF(P263&lt;=10,11,IF(P263&lt;=14,12,IF(P263&lt;=17,13,IF(P263&lt;=20,14,IF(P263&lt;=22,15,IF(P263&lt;=25,16,IF(P263&lt;=27,17,IF(P263&lt;=29,18,IF(P263&lt;=32,19,IF(P263&lt;=34,20,IF(P263&lt;=36,21,IF(P263&lt;=40,22,24)))))))))))))</f>
        <v>0</v>
      </c>
      <c r="S263" s="3" t="n">
        <f aca="false">ROUND((Q263+R263+I263+J263+M263+N263)/3,0)</f>
        <v>8</v>
      </c>
      <c r="T263" s="17" t="n">
        <f aca="false">F263*LOG10(S263+2)</f>
        <v>7</v>
      </c>
    </row>
    <row r="264" customFormat="false" ht="14.65" hidden="false" customHeight="true" outlineLevel="0" collapsed="false">
      <c r="A264" s="13" t="s">
        <v>325</v>
      </c>
      <c r="B264" s="14" t="n">
        <v>39985</v>
      </c>
      <c r="C264" s="15" t="s">
        <v>27</v>
      </c>
      <c r="D264" s="4" t="s">
        <v>64</v>
      </c>
      <c r="E264" s="3" t="n">
        <v>5</v>
      </c>
      <c r="F264" s="3" t="n">
        <v>7</v>
      </c>
      <c r="G264" s="3" t="n">
        <v>90</v>
      </c>
      <c r="I264" s="3" t="n">
        <f aca="false">_xlfn.IFS(G264="взв",11,G264="накл",24,G264="прокл",25,G264="пт",26,G264=90,10,G264=85,10,G264=80,9,G264=75,8,G264=70,8,G264=65,7,G264=60,7,G264=55,6,G264=50,6,G264=45,6,G264=40,5,G264=35,4,G264=30,4,G264=25,3,G264=20,2,G264=15,1,G264=10,1,G264=0,0)</f>
        <v>10</v>
      </c>
      <c r="J264" s="3" t="n">
        <f aca="false">IF(H264&lt;=1,0,IF(H264&lt;=10,11,IF(H264&lt;=14,12,IF(H264&lt;=17,13,IF(H264&lt;=20,14,IF(H264&lt;=22,15,IF(H264&lt;=25,16,IF(H264&lt;=27,17,IF(H264&lt;=29,18,IF(H264&lt;=32,19,IF(H264&lt;=34,20,IF(H264&lt;=36,21,IF(H264&lt;=40,22,24)))))))))))))</f>
        <v>0</v>
      </c>
      <c r="K264" s="3" t="n">
        <v>90</v>
      </c>
      <c r="M264" s="3" t="n">
        <f aca="false">_xlfn.IFS(K264="взв",11,K264="накл",24,K264="прокл",25,K264="пт",26,K264=90,10,K264=85,10,K264=80,9,K264=75,8,K264=70,8,K264=65,7,K264=60,7,K264=55,6,K264=50,6,K264=45,6,K264=40,5,K264=35,4,K264=30,4,K264=25,3,K264=20,2,K264=15,1,K264=10,1,K264=0,0)</f>
        <v>10</v>
      </c>
      <c r="N264" s="3" t="n">
        <f aca="false">IF(L264&lt;=1,0,IF(L264&lt;=10,11,IF(L264&lt;=14,12,IF(L264&lt;=17,13,IF(L264&lt;=20,14,IF(L264&lt;=22,15,IF(L264&lt;=25,16,IF(L264&lt;=27,17,IF(L264&lt;=29,18,IF(L264&lt;=32,19,IF(L264&lt;=34,20,IF(L264&lt;=36,21,IF(L264&lt;=40,22,24)))))))))))))</f>
        <v>0</v>
      </c>
      <c r="O264" s="3" t="n">
        <v>90</v>
      </c>
      <c r="Q264" s="3" t="n">
        <f aca="false">_xlfn.IFS(O264="взв",11,O264="накл",24,O264="прокл",25,O264="пт",26,O264=90,10,O264=85,10,O264=80,9,O264=75,8,O264=70,8,O264=65,7,O264=60,7,O264=55,6,O264=50,6,O264=45,6,O264=40,5,O264=35,4,O264=30,4,O264=25,3,O264=20,2,O264=15,1,O264=10,1,O264=0,0)</f>
        <v>10</v>
      </c>
      <c r="R264" s="3" t="n">
        <f aca="false">IF(P264&lt;=1,0,IF(P264&lt;=10,11,IF(P264&lt;=14,12,IF(P264&lt;=17,13,IF(P264&lt;=20,14,IF(P264&lt;=22,15,IF(P264&lt;=25,16,IF(P264&lt;=27,17,IF(P264&lt;=29,18,IF(P264&lt;=32,19,IF(P264&lt;=34,20,IF(P264&lt;=36,21,IF(P264&lt;=40,22,24)))))))))))))</f>
        <v>0</v>
      </c>
      <c r="S264" s="3" t="n">
        <f aca="false">ROUND((Q264+R264+I264+J264+M264+N264)/3,0)</f>
        <v>10</v>
      </c>
      <c r="T264" s="17" t="n">
        <f aca="false">F264*LOG10(S264+2)</f>
        <v>7.55426872233337</v>
      </c>
    </row>
    <row r="265" customFormat="false" ht="14.65" hidden="false" customHeight="true" outlineLevel="0" collapsed="false">
      <c r="A265" s="13" t="s">
        <v>326</v>
      </c>
      <c r="B265" s="14" t="n">
        <v>39985</v>
      </c>
      <c r="C265" s="15" t="s">
        <v>27</v>
      </c>
      <c r="D265" s="4" t="s">
        <v>64</v>
      </c>
      <c r="E265" s="3" t="n">
        <v>4</v>
      </c>
      <c r="F265" s="3" t="n">
        <v>7</v>
      </c>
      <c r="G265" s="3" t="n">
        <v>15</v>
      </c>
      <c r="I265" s="3" t="n">
        <f aca="false">_xlfn.IFS(G265="взв",11,G265="накл",24,G265="прокл",25,G265="пт",26,G265=90,10,G265=85,10,G265=80,9,G265=75,8,G265=70,8,G265=65,7,G265=60,7,G265=55,6,G265=50,6,G265=45,6,G265=40,5,G265=35,4,G265=30,4,G265=25,3,G265=20,2,G265=15,1,G265=10,1,G265=0,0)</f>
        <v>1</v>
      </c>
      <c r="J265" s="3" t="n">
        <f aca="false">IF(H265&lt;=1,0,IF(H265&lt;=10,11,IF(H265&lt;=14,12,IF(H265&lt;=17,13,IF(H265&lt;=20,14,IF(H265&lt;=22,15,IF(H265&lt;=25,16,IF(H265&lt;=27,17,IF(H265&lt;=29,18,IF(H265&lt;=32,19,IF(H265&lt;=34,20,IF(H265&lt;=36,21,IF(H265&lt;=40,22,24)))))))))))))</f>
        <v>0</v>
      </c>
      <c r="K265" s="3" t="n">
        <v>15</v>
      </c>
      <c r="M265" s="3" t="n">
        <f aca="false">_xlfn.IFS(K265="взв",11,K265="накл",24,K265="прокл",25,K265="пт",26,K265=90,10,K265=85,10,K265=80,9,K265=75,8,K265=70,8,K265=65,7,K265=60,7,K265=55,6,K265=50,6,K265=45,6,K265=40,5,K265=35,4,K265=30,4,K265=25,3,K265=20,2,K265=15,1,K265=10,1,K265=0,0)</f>
        <v>1</v>
      </c>
      <c r="N265" s="3" t="n">
        <f aca="false">IF(L265&lt;=1,0,IF(L265&lt;=10,11,IF(L265&lt;=14,12,IF(L265&lt;=17,13,IF(L265&lt;=20,14,IF(L265&lt;=22,15,IF(L265&lt;=25,16,IF(L265&lt;=27,17,IF(L265&lt;=29,18,IF(L265&lt;=32,19,IF(L265&lt;=34,20,IF(L265&lt;=36,21,IF(L265&lt;=40,22,24)))))))))))))</f>
        <v>0</v>
      </c>
      <c r="O265" s="3" t="n">
        <v>15</v>
      </c>
      <c r="Q265" s="3" t="n">
        <f aca="false">_xlfn.IFS(O265="взв",11,O265="накл",24,O265="прокл",25,O265="пт",26,O265=90,10,O265=85,10,O265=80,9,O265=75,8,O265=70,8,O265=65,7,O265=60,7,O265=55,6,O265=50,6,O265=45,6,O265=40,5,O265=35,4,O265=30,4,O265=25,3,O265=20,2,O265=15,1,O265=10,1,O265=0,0)</f>
        <v>1</v>
      </c>
      <c r="R265" s="3" t="n">
        <f aca="false">IF(P265&lt;=1,0,IF(P265&lt;=10,11,IF(P265&lt;=14,12,IF(P265&lt;=17,13,IF(P265&lt;=20,14,IF(P265&lt;=22,15,IF(P265&lt;=25,16,IF(P265&lt;=27,17,IF(P265&lt;=29,18,IF(P265&lt;=32,19,IF(P265&lt;=34,20,IF(P265&lt;=36,21,IF(P265&lt;=40,22,24)))))))))))))</f>
        <v>0</v>
      </c>
      <c r="S265" s="3" t="n">
        <f aca="false">ROUND((Q265+R265+I265+J265+M265+N265)/3,0)</f>
        <v>1</v>
      </c>
      <c r="T265" s="17" t="n">
        <f aca="false">F265*LOG10(S265+2)</f>
        <v>3.33984878303764</v>
      </c>
    </row>
    <row r="266" customFormat="false" ht="14.65" hidden="false" customHeight="true" outlineLevel="0" collapsed="false">
      <c r="A266" s="13" t="s">
        <v>327</v>
      </c>
      <c r="B266" s="14" t="n">
        <v>39985</v>
      </c>
      <c r="C266" s="15" t="s">
        <v>27</v>
      </c>
      <c r="D266" s="4" t="s">
        <v>64</v>
      </c>
      <c r="E266" s="3" t="n">
        <v>4</v>
      </c>
      <c r="F266" s="3" t="n">
        <v>7</v>
      </c>
      <c r="G266" s="3" t="n">
        <v>45</v>
      </c>
      <c r="I266" s="3" t="n">
        <f aca="false">_xlfn.IFS(G266="взв",11,G266="накл",24,G266="прокл",25,G266="пт",26,G266=90,10,G266=85,10,G266=80,9,G266=75,8,G266=70,8,G266=65,7,G266=60,7,G266=55,6,G266=50,6,G266=45,6,G266=40,5,G266=35,4,G266=30,4,G266=25,3,G266=20,2,G266=15,1,G266=10,1,G266=0,0)</f>
        <v>6</v>
      </c>
      <c r="J266" s="3" t="n">
        <f aca="false">IF(H266&lt;=1,0,IF(H266&lt;=10,11,IF(H266&lt;=14,12,IF(H266&lt;=17,13,IF(H266&lt;=20,14,IF(H266&lt;=22,15,IF(H266&lt;=25,16,IF(H266&lt;=27,17,IF(H266&lt;=29,18,IF(H266&lt;=32,19,IF(H266&lt;=34,20,IF(H266&lt;=36,21,IF(H266&lt;=40,22,24)))))))))))))</f>
        <v>0</v>
      </c>
      <c r="K266" s="3" t="n">
        <v>60</v>
      </c>
      <c r="M266" s="3" t="n">
        <f aca="false">_xlfn.IFS(K266="взв",11,K266="накл",24,K266="прокл",25,K266="пт",26,K266=90,10,K266=85,10,K266=80,9,K266=75,8,K266=70,8,K266=65,7,K266=60,7,K266=55,6,K266=50,6,K266=45,6,K266=40,5,K266=35,4,K266=30,4,K266=25,3,K266=20,2,K266=15,1,K266=10,1,K266=0,0)</f>
        <v>7</v>
      </c>
      <c r="N266" s="3" t="n">
        <f aca="false">IF(L266&lt;=1,0,IF(L266&lt;=10,11,IF(L266&lt;=14,12,IF(L266&lt;=17,13,IF(L266&lt;=20,14,IF(L266&lt;=22,15,IF(L266&lt;=25,16,IF(L266&lt;=27,17,IF(L266&lt;=29,18,IF(L266&lt;=32,19,IF(L266&lt;=34,20,IF(L266&lt;=36,21,IF(L266&lt;=40,22,24)))))))))))))</f>
        <v>0</v>
      </c>
      <c r="O266" s="3" t="n">
        <v>60</v>
      </c>
      <c r="Q266" s="3" t="n">
        <f aca="false">_xlfn.IFS(O266="взв",11,O266="накл",24,O266="прокл",25,O266="пт",26,O266=90,10,O266=85,10,O266=80,9,O266=75,8,O266=70,8,O266=65,7,O266=60,7,O266=55,6,O266=50,6,O266=45,6,O266=40,5,O266=35,4,O266=30,4,O266=25,3,O266=20,2,O266=15,1,O266=10,1,O266=0,0)</f>
        <v>7</v>
      </c>
      <c r="R266" s="3" t="n">
        <f aca="false">IF(P266&lt;=1,0,IF(P266&lt;=10,11,IF(P266&lt;=14,12,IF(P266&lt;=17,13,IF(P266&lt;=20,14,IF(P266&lt;=22,15,IF(P266&lt;=25,16,IF(P266&lt;=27,17,IF(P266&lt;=29,18,IF(P266&lt;=32,19,IF(P266&lt;=34,20,IF(P266&lt;=36,21,IF(P266&lt;=40,22,24)))))))))))))</f>
        <v>0</v>
      </c>
      <c r="S266" s="3" t="n">
        <f aca="false">ROUND((Q266+R266+I266+J266+M266+N266)/3,0)</f>
        <v>7</v>
      </c>
      <c r="T266" s="17" t="n">
        <f aca="false">F266*LOG10(S266+2)</f>
        <v>6.67969756607527</v>
      </c>
    </row>
    <row r="267" customFormat="false" ht="14.65" hidden="false" customHeight="true" outlineLevel="0" collapsed="false">
      <c r="A267" s="13" t="s">
        <v>328</v>
      </c>
      <c r="B267" s="14" t="n">
        <v>39985</v>
      </c>
      <c r="C267" s="15" t="s">
        <v>27</v>
      </c>
      <c r="D267" s="4" t="s">
        <v>70</v>
      </c>
      <c r="E267" s="3" t="n">
        <v>4</v>
      </c>
      <c r="F267" s="3" t="n">
        <v>7</v>
      </c>
      <c r="G267" s="3" t="s">
        <v>72</v>
      </c>
      <c r="I267" s="3" t="n">
        <f aca="false">_xlfn.IFS(G267="взв",11,G267="накл",24,G267="прокл",25,G267="пт",26,G267=90,10,G267=85,10,G267=80,9,G267=75,8,G267=70,8,G267=65,7,G267=60,7,G267=55,6,G267=50,6,G267=45,6,G267=40,5,G267=35,4,G267=30,4,G267=25,3,G267=20,2,G267=15,1,G267=10,1,G267=0,0)</f>
        <v>11</v>
      </c>
      <c r="J267" s="3" t="n">
        <f aca="false">IF(H267&lt;=1,0,IF(H267&lt;=10,11,IF(H267&lt;=14,12,IF(H267&lt;=17,13,IF(H267&lt;=20,14,IF(H267&lt;=22,15,IF(H267&lt;=25,16,IF(H267&lt;=27,17,IF(H267&lt;=29,18,IF(H267&lt;=32,19,IF(H267&lt;=34,20,IF(H267&lt;=36,21,IF(H267&lt;=40,22,24)))))))))))))</f>
        <v>0</v>
      </c>
      <c r="L267" s="3" t="n">
        <v>24</v>
      </c>
      <c r="M267" s="3" t="n">
        <f aca="false">_xlfn.IFS(K267="взв",11,K267="накл",24,K267="прокл",25,K267="пт",26,K267=90,10,K267=85,10,K267=80,9,K267=75,8,K267=70,8,K267=65,7,K267=60,7,K267=55,6,K267=50,6,K267=45,6,K267=40,5,K267=35,4,K267=30,4,K267=25,3,K267=20,2,K267=15,1,K267=10,1,K267=0,0)</f>
        <v>0</v>
      </c>
      <c r="N267" s="3" t="n">
        <f aca="false">IF(L267&lt;=1,0,IF(L267&lt;=10,11,IF(L267&lt;=14,12,IF(L267&lt;=17,13,IF(L267&lt;=20,14,IF(L267&lt;=22,15,IF(L267&lt;=25,16,IF(L267&lt;=27,17,IF(L267&lt;=29,18,IF(L267&lt;=32,19,IF(L267&lt;=34,20,IF(L267&lt;=36,21,IF(L267&lt;=40,22,24)))))))))))))</f>
        <v>16</v>
      </c>
      <c r="P267" s="3" t="n">
        <v>25</v>
      </c>
      <c r="Q267" s="3" t="n">
        <f aca="false">_xlfn.IFS(O267="взв",11,O267="накл",24,O267="прокл",25,O267="пт",26,O267=90,10,O267=85,10,O267=80,9,O267=75,8,O267=70,8,O267=65,7,O267=60,7,O267=55,6,O267=50,6,O267=45,6,O267=40,5,O267=35,4,O267=30,4,O267=25,3,O267=20,2,O267=15,1,O267=10,1,O267=0,0)</f>
        <v>0</v>
      </c>
      <c r="R267" s="3" t="n">
        <f aca="false">IF(P267&lt;=1,0,IF(P267&lt;=10,11,IF(P267&lt;=14,12,IF(P267&lt;=17,13,IF(P267&lt;=20,14,IF(P267&lt;=22,15,IF(P267&lt;=25,16,IF(P267&lt;=27,17,IF(P267&lt;=29,18,IF(P267&lt;=32,19,IF(P267&lt;=34,20,IF(P267&lt;=36,21,IF(P267&lt;=40,22,24)))))))))))))</f>
        <v>16</v>
      </c>
      <c r="S267" s="3" t="n">
        <f aca="false">ROUND((Q267+R267+I267+J267+M267+N267)/3,0)</f>
        <v>14</v>
      </c>
      <c r="T267" s="17" t="n">
        <f aca="false">F267*LOG10(S267+2)</f>
        <v>8.42883987859147</v>
      </c>
    </row>
    <row r="268" customFormat="false" ht="14.65" hidden="false" customHeight="true" outlineLevel="0" collapsed="false">
      <c r="A268" s="13" t="s">
        <v>329</v>
      </c>
      <c r="B268" s="14" t="n">
        <v>39976</v>
      </c>
      <c r="C268" s="15" t="s">
        <v>21</v>
      </c>
      <c r="D268" s="16" t="s">
        <v>96</v>
      </c>
      <c r="E268" s="3" t="n">
        <v>5</v>
      </c>
      <c r="F268" s="3" t="n">
        <v>8</v>
      </c>
      <c r="H268" s="3" t="n">
        <v>32</v>
      </c>
      <c r="I268" s="3" t="n">
        <f aca="false">_xlfn.IFS(G268="взв",11,G268="накл",24,G268="прокл",25,G268="пт",26,G268=90,10,G268=85,10,G268=80,9,G268=75,8,G268=70,8,G268=65,7,G268=60,7,G268=55,6,G268=50,6,G268=45,6,G268=40,5,G268=35,4,G268=30,4,G268=25,3,G268=20,2,G268=15,1,G268=10,1,G268=0,0)</f>
        <v>0</v>
      </c>
      <c r="J268" s="3" t="n">
        <f aca="false">IF(H268&lt;=1,0,IF(H268&lt;=10,11,IF(H268&lt;=14,12,IF(H268&lt;=17,13,IF(H268&lt;=20,14,IF(H268&lt;=22,15,IF(H268&lt;=25,16,IF(H268&lt;=27,17,IF(H268&lt;=29,18,IF(H268&lt;=32,19,IF(H268&lt;=34,20,IF(H268&lt;=36,21,IF(H268&lt;=40,22,24)))))))))))))</f>
        <v>19</v>
      </c>
      <c r="L268" s="3" t="n">
        <v>32</v>
      </c>
      <c r="M268" s="3" t="n">
        <f aca="false">_xlfn.IFS(K268="взв",11,K268="накл",24,K268="прокл",25,K268="пт",26,K268=90,10,K268=85,10,K268=80,9,K268=75,8,K268=70,8,K268=65,7,K268=60,7,K268=55,6,K268=50,6,K268=45,6,K268=40,5,K268=35,4,K268=30,4,K268=25,3,K268=20,2,K268=15,1,K268=10,1,K268=0,0)</f>
        <v>0</v>
      </c>
      <c r="N268" s="3" t="n">
        <f aca="false">IF(L268&lt;=1,0,IF(L268&lt;=10,11,IF(L268&lt;=14,12,IF(L268&lt;=17,13,IF(L268&lt;=20,14,IF(L268&lt;=22,15,IF(L268&lt;=25,16,IF(L268&lt;=27,17,IF(L268&lt;=29,18,IF(L268&lt;=32,19,IF(L268&lt;=34,20,IF(L268&lt;=36,21,IF(L268&lt;=40,22,24)))))))))))))</f>
        <v>19</v>
      </c>
      <c r="P268" s="3" t="n">
        <v>30</v>
      </c>
      <c r="Q268" s="3" t="n">
        <f aca="false">_xlfn.IFS(O268="взв",11,O268="накл",24,O268="прокл",25,O268="пт",26,O268=90,10,O268=85,10,O268=80,9,O268=75,8,O268=70,8,O268=65,7,O268=60,7,O268=55,6,O268=50,6,O268=45,6,O268=40,5,O268=35,4,O268=30,4,O268=25,3,O268=20,2,O268=15,1,O268=10,1,O268=0,0)</f>
        <v>0</v>
      </c>
      <c r="R268" s="3" t="n">
        <f aca="false">IF(P268&lt;=1,0,IF(P268&lt;=10,11,IF(P268&lt;=14,12,IF(P268&lt;=17,13,IF(P268&lt;=20,14,IF(P268&lt;=22,15,IF(P268&lt;=25,16,IF(P268&lt;=27,17,IF(P268&lt;=29,18,IF(P268&lt;=32,19,IF(P268&lt;=34,20,IF(P268&lt;=36,21,IF(P268&lt;=40,22,24)))))))))))))</f>
        <v>19</v>
      </c>
      <c r="S268" s="3" t="n">
        <f aca="false">ROUND((Q268+R268+I268+J268+M268+N268)/3,0)</f>
        <v>19</v>
      </c>
      <c r="T268" s="17" t="n">
        <f aca="false">F268*LOG10(S268+2)</f>
        <v>10.5777543578714</v>
      </c>
    </row>
    <row r="269" customFormat="false" ht="14.65" hidden="false" customHeight="true" outlineLevel="0" collapsed="false">
      <c r="A269" s="13" t="s">
        <v>330</v>
      </c>
      <c r="B269" s="14" t="n">
        <v>39977</v>
      </c>
      <c r="C269" s="15" t="s">
        <v>21</v>
      </c>
      <c r="D269" s="16" t="s">
        <v>100</v>
      </c>
      <c r="E269" s="3" t="n">
        <v>4</v>
      </c>
      <c r="F269" s="3" t="n">
        <v>8</v>
      </c>
      <c r="G269" s="3" t="n">
        <v>15</v>
      </c>
      <c r="I269" s="3" t="n">
        <f aca="false">_xlfn.IFS(G269="взв",11,G269="накл",24,G269="прокл",25,G269="пт",26,G269=90,10,G269=85,10,G269=80,9,G269=75,8,G269=70,8,G269=65,7,G269=60,7,G269=55,6,G269=50,6,G269=45,6,G269=40,5,G269=35,4,G269=30,4,G269=25,3,G269=20,2,G269=15,1,G269=10,1,G269=0,0)</f>
        <v>1</v>
      </c>
      <c r="J269" s="3" t="n">
        <f aca="false">IF(H269&lt;=1,0,IF(H269&lt;=10,11,IF(H269&lt;=14,12,IF(H269&lt;=17,13,IF(H269&lt;=20,14,IF(H269&lt;=22,15,IF(H269&lt;=25,16,IF(H269&lt;=27,17,IF(H269&lt;=29,18,IF(H269&lt;=32,19,IF(H269&lt;=34,20,IF(H269&lt;=36,21,IF(H269&lt;=40,22,24)))))))))))))</f>
        <v>0</v>
      </c>
      <c r="K269" s="3" t="n">
        <v>15</v>
      </c>
      <c r="M269" s="3" t="n">
        <f aca="false">_xlfn.IFS(K269="взв",11,K269="накл",24,K269="прокл",25,K269="пт",26,K269=90,10,K269=85,10,K269=80,9,K269=75,8,K269=70,8,K269=65,7,K269=60,7,K269=55,6,K269=50,6,K269=45,6,K269=40,5,K269=35,4,K269=30,4,K269=25,3,K269=20,2,K269=15,1,K269=10,1,K269=0,0)</f>
        <v>1</v>
      </c>
      <c r="N269" s="3" t="n">
        <f aca="false">IF(L269&lt;=1,0,IF(L269&lt;=10,11,IF(L269&lt;=14,12,IF(L269&lt;=17,13,IF(L269&lt;=20,14,IF(L269&lt;=22,15,IF(L269&lt;=25,16,IF(L269&lt;=27,17,IF(L269&lt;=29,18,IF(L269&lt;=32,19,IF(L269&lt;=34,20,IF(L269&lt;=36,21,IF(L269&lt;=40,22,24)))))))))))))</f>
        <v>0</v>
      </c>
      <c r="O269" s="3" t="n">
        <v>15</v>
      </c>
      <c r="Q269" s="3" t="n">
        <f aca="false">_xlfn.IFS(O269="взв",11,O269="накл",24,O269="прокл",25,O269="пт",26,O269=90,10,O269=85,10,O269=80,9,O269=75,8,O269=70,8,O269=65,7,O269=60,7,O269=55,6,O269=50,6,O269=45,6,O269=40,5,O269=35,4,O269=30,4,O269=25,3,O269=20,2,O269=15,1,O269=10,1,O269=0,0)</f>
        <v>1</v>
      </c>
      <c r="R269" s="3" t="n">
        <f aca="false">IF(P269&lt;=1,0,IF(P269&lt;=10,11,IF(P269&lt;=14,12,IF(P269&lt;=17,13,IF(P269&lt;=20,14,IF(P269&lt;=22,15,IF(P269&lt;=25,16,IF(P269&lt;=27,17,IF(P269&lt;=29,18,IF(P269&lt;=32,19,IF(P269&lt;=34,20,IF(P269&lt;=36,21,IF(P269&lt;=40,22,24)))))))))))))</f>
        <v>0</v>
      </c>
      <c r="S269" s="3" t="n">
        <f aca="false">ROUND((Q269+R269+I269+J269+M269+N269)/3,0)</f>
        <v>1</v>
      </c>
      <c r="T269" s="17" t="n">
        <f aca="false">F269*LOG10(S269+2)</f>
        <v>3.8169700377573</v>
      </c>
    </row>
    <row r="270" customFormat="false" ht="14.65" hidden="false" customHeight="true" outlineLevel="0" collapsed="false">
      <c r="A270" s="13" t="s">
        <v>331</v>
      </c>
      <c r="B270" s="14" t="n">
        <v>39977</v>
      </c>
      <c r="C270" s="15" t="s">
        <v>21</v>
      </c>
      <c r="D270" s="16" t="s">
        <v>106</v>
      </c>
      <c r="E270" s="3" t="n">
        <v>8</v>
      </c>
      <c r="F270" s="3" t="n">
        <v>8</v>
      </c>
      <c r="G270" s="3" t="n">
        <v>15</v>
      </c>
      <c r="I270" s="3" t="n">
        <f aca="false">_xlfn.IFS(G270="взв",11,G270="накл",24,G270="прокл",25,G270="пт",26,G270=90,10,G270=85,10,G270=80,9,G270=75,8,G270=70,8,G270=65,7,G270=60,7,G270=55,6,G270=50,6,G270=45,6,G270=40,5,G270=35,4,G270=30,4,G270=25,3,G270=20,2,G270=15,1,G270=10,1,G270=0,0)</f>
        <v>1</v>
      </c>
      <c r="J270" s="3" t="n">
        <f aca="false">IF(H270&lt;=1,0,IF(H270&lt;=10,11,IF(H270&lt;=14,12,IF(H270&lt;=17,13,IF(H270&lt;=20,14,IF(H270&lt;=22,15,IF(H270&lt;=25,16,IF(H270&lt;=27,17,IF(H270&lt;=29,18,IF(H270&lt;=32,19,IF(H270&lt;=34,20,IF(H270&lt;=36,21,IF(H270&lt;=40,22,24)))))))))))))</f>
        <v>0</v>
      </c>
      <c r="K270" s="3" t="n">
        <v>15</v>
      </c>
      <c r="M270" s="3" t="n">
        <f aca="false">_xlfn.IFS(K270="взв",11,K270="накл",24,K270="прокл",25,K270="пт",26,K270=90,10,K270=85,10,K270=80,9,K270=75,8,K270=70,8,K270=65,7,K270=60,7,K270=55,6,K270=50,6,K270=45,6,K270=40,5,K270=35,4,K270=30,4,K270=25,3,K270=20,2,K270=15,1,K270=10,1,K270=0,0)</f>
        <v>1</v>
      </c>
      <c r="N270" s="3" t="n">
        <f aca="false">IF(L270&lt;=1,0,IF(L270&lt;=10,11,IF(L270&lt;=14,12,IF(L270&lt;=17,13,IF(L270&lt;=20,14,IF(L270&lt;=22,15,IF(L270&lt;=25,16,IF(L270&lt;=27,17,IF(L270&lt;=29,18,IF(L270&lt;=32,19,IF(L270&lt;=34,20,IF(L270&lt;=36,21,IF(L270&lt;=40,22,24)))))))))))))</f>
        <v>0</v>
      </c>
      <c r="O270" s="3" t="n">
        <v>15</v>
      </c>
      <c r="Q270" s="3" t="n">
        <f aca="false">_xlfn.IFS(O270="взв",11,O270="накл",24,O270="прокл",25,O270="пт",26,O270=90,10,O270=85,10,O270=80,9,O270=75,8,O270=70,8,O270=65,7,O270=60,7,O270=55,6,O270=50,6,O270=45,6,O270=40,5,O270=35,4,O270=30,4,O270=25,3,O270=20,2,O270=15,1,O270=10,1,O270=0,0)</f>
        <v>1</v>
      </c>
      <c r="R270" s="3" t="n">
        <f aca="false">IF(P270&lt;=1,0,IF(P270&lt;=10,11,IF(P270&lt;=14,12,IF(P270&lt;=17,13,IF(P270&lt;=20,14,IF(P270&lt;=22,15,IF(P270&lt;=25,16,IF(P270&lt;=27,17,IF(P270&lt;=29,18,IF(P270&lt;=32,19,IF(P270&lt;=34,20,IF(P270&lt;=36,21,IF(P270&lt;=40,22,24)))))))))))))</f>
        <v>0</v>
      </c>
      <c r="S270" s="3" t="n">
        <f aca="false">ROUND((Q270+R270+I270+J270+M270+N270)/3,0)</f>
        <v>1</v>
      </c>
      <c r="T270" s="17" t="n">
        <f aca="false">F270*LOG10(S270+2)</f>
        <v>3.8169700377573</v>
      </c>
    </row>
    <row r="271" customFormat="false" ht="14.65" hidden="false" customHeight="true" outlineLevel="0" collapsed="false">
      <c r="A271" s="13" t="s">
        <v>332</v>
      </c>
      <c r="B271" s="14" t="n">
        <v>39981</v>
      </c>
      <c r="C271" s="15" t="s">
        <v>27</v>
      </c>
      <c r="D271" s="4" t="s">
        <v>318</v>
      </c>
      <c r="E271" s="3" t="n">
        <v>8</v>
      </c>
      <c r="F271" s="3" t="n">
        <v>8</v>
      </c>
      <c r="G271" s="3" t="n">
        <v>30</v>
      </c>
      <c r="I271" s="3" t="n">
        <f aca="false">_xlfn.IFS(G271="взв",11,G271="накл",24,G271="прокл",25,G271="пт",26,G271=90,10,G271=85,10,G271=80,9,G271=75,8,G271=70,8,G271=65,7,G271=60,7,G271=55,6,G271=50,6,G271=45,6,G271=40,5,G271=35,4,G271=30,4,G271=25,3,G271=20,2,G271=15,1,G271=10,1,G271=0,0)</f>
        <v>4</v>
      </c>
      <c r="J271" s="3" t="n">
        <f aca="false">IF(H271&lt;=1,0,IF(H271&lt;=10,11,IF(H271&lt;=14,12,IF(H271&lt;=17,13,IF(H271&lt;=20,14,IF(H271&lt;=22,15,IF(H271&lt;=25,16,IF(H271&lt;=27,17,IF(H271&lt;=29,18,IF(H271&lt;=32,19,IF(H271&lt;=34,20,IF(H271&lt;=36,21,IF(H271&lt;=40,22,24)))))))))))))</f>
        <v>0</v>
      </c>
      <c r="K271" s="3" t="n">
        <v>60</v>
      </c>
      <c r="M271" s="3" t="n">
        <f aca="false">_xlfn.IFS(K271="взв",11,K271="накл",24,K271="прокл",25,K271="пт",26,K271=90,10,K271=85,10,K271=80,9,K271=75,8,K271=70,8,K271=65,7,K271=60,7,K271=55,6,K271=50,6,K271=45,6,K271=40,5,K271=35,4,K271=30,4,K271=25,3,K271=20,2,K271=15,1,K271=10,1,K271=0,0)</f>
        <v>7</v>
      </c>
      <c r="N271" s="3" t="n">
        <f aca="false">IF(L271&lt;=1,0,IF(L271&lt;=10,11,IF(L271&lt;=14,12,IF(L271&lt;=17,13,IF(L271&lt;=20,14,IF(L271&lt;=22,15,IF(L271&lt;=25,16,IF(L271&lt;=27,17,IF(L271&lt;=29,18,IF(L271&lt;=32,19,IF(L271&lt;=34,20,IF(L271&lt;=36,21,IF(L271&lt;=40,22,24)))))))))))))</f>
        <v>0</v>
      </c>
      <c r="O271" s="3" t="n">
        <v>60</v>
      </c>
      <c r="Q271" s="3" t="n">
        <f aca="false">_xlfn.IFS(O271="взв",11,O271="накл",24,O271="прокл",25,O271="пт",26,O271=90,10,O271=85,10,O271=80,9,O271=75,8,O271=70,8,O271=65,7,O271=60,7,O271=55,6,O271=50,6,O271=45,6,O271=40,5,O271=35,4,O271=30,4,O271=25,3,O271=20,2,O271=15,1,O271=10,1,O271=0,0)</f>
        <v>7</v>
      </c>
      <c r="R271" s="3" t="n">
        <f aca="false">IF(P271&lt;=1,0,IF(P271&lt;=10,11,IF(P271&lt;=14,12,IF(P271&lt;=17,13,IF(P271&lt;=20,14,IF(P271&lt;=22,15,IF(P271&lt;=25,16,IF(P271&lt;=27,17,IF(P271&lt;=29,18,IF(P271&lt;=32,19,IF(P271&lt;=34,20,IF(P271&lt;=36,21,IF(P271&lt;=40,22,24)))))))))))))</f>
        <v>0</v>
      </c>
      <c r="S271" s="3" t="n">
        <f aca="false">ROUND((Q271+R271+I271+J271+M271+N271)/3,0)</f>
        <v>6</v>
      </c>
      <c r="T271" s="17" t="n">
        <f aca="false">F271*LOG10(S271+2)</f>
        <v>7.22471989593555</v>
      </c>
    </row>
    <row r="272" customFormat="false" ht="14.65" hidden="false" customHeight="true" outlineLevel="0" collapsed="false">
      <c r="A272" s="13" t="s">
        <v>333</v>
      </c>
      <c r="B272" s="14" t="n">
        <v>39981</v>
      </c>
      <c r="C272" s="15" t="s">
        <v>27</v>
      </c>
      <c r="D272" s="4" t="s">
        <v>318</v>
      </c>
      <c r="E272" s="3" t="n">
        <v>7</v>
      </c>
      <c r="F272" s="3" t="n">
        <v>8</v>
      </c>
      <c r="H272" s="3" t="n">
        <v>31</v>
      </c>
      <c r="I272" s="3" t="n">
        <f aca="false">_xlfn.IFS(G272="взв",11,G272="накл",24,G272="прокл",25,G272="пт",26,G272=90,10,G272=85,10,G272=80,9,G272=75,8,G272=70,8,G272=65,7,G272=60,7,G272=55,6,G272=50,6,G272=45,6,G272=40,5,G272=35,4,G272=30,4,G272=25,3,G272=20,2,G272=15,1,G272=10,1,G272=0,0)</f>
        <v>0</v>
      </c>
      <c r="J272" s="3" t="n">
        <f aca="false">IF(H272&lt;=1,0,IF(H272&lt;=10,11,IF(H272&lt;=14,12,IF(H272&lt;=17,13,IF(H272&lt;=20,14,IF(H272&lt;=22,15,IF(H272&lt;=25,16,IF(H272&lt;=27,17,IF(H272&lt;=29,18,IF(H272&lt;=32,19,IF(H272&lt;=34,20,IF(H272&lt;=36,21,IF(H272&lt;=40,22,24)))))))))))))</f>
        <v>19</v>
      </c>
      <c r="L272" s="3" t="n">
        <v>27</v>
      </c>
      <c r="M272" s="3" t="n">
        <f aca="false">_xlfn.IFS(K272="взв",11,K272="накл",24,K272="прокл",25,K272="пт",26,K272=90,10,K272=85,10,K272=80,9,K272=75,8,K272=70,8,K272=65,7,K272=60,7,K272=55,6,K272=50,6,K272=45,6,K272=40,5,K272=35,4,K272=30,4,K272=25,3,K272=20,2,K272=15,1,K272=10,1,K272=0,0)</f>
        <v>0</v>
      </c>
      <c r="N272" s="3" t="n">
        <f aca="false">IF(L272&lt;=1,0,IF(L272&lt;=10,11,IF(L272&lt;=14,12,IF(L272&lt;=17,13,IF(L272&lt;=20,14,IF(L272&lt;=22,15,IF(L272&lt;=25,16,IF(L272&lt;=27,17,IF(L272&lt;=29,18,IF(L272&lt;=32,19,IF(L272&lt;=34,20,IF(L272&lt;=36,21,IF(L272&lt;=40,22,24)))))))))))))</f>
        <v>17</v>
      </c>
      <c r="P272" s="3" t="n">
        <v>24</v>
      </c>
      <c r="Q272" s="3" t="n">
        <f aca="false">_xlfn.IFS(O272="взв",11,O272="накл",24,O272="прокл",25,O272="пт",26,O272=90,10,O272=85,10,O272=80,9,O272=75,8,O272=70,8,O272=65,7,O272=60,7,O272=55,6,O272=50,6,O272=45,6,O272=40,5,O272=35,4,O272=30,4,O272=25,3,O272=20,2,O272=15,1,O272=10,1,O272=0,0)</f>
        <v>0</v>
      </c>
      <c r="R272" s="3" t="n">
        <f aca="false">IF(P272&lt;=1,0,IF(P272&lt;=10,11,IF(P272&lt;=14,12,IF(P272&lt;=17,13,IF(P272&lt;=20,14,IF(P272&lt;=22,15,IF(P272&lt;=25,16,IF(P272&lt;=27,17,IF(P272&lt;=29,18,IF(P272&lt;=32,19,IF(P272&lt;=34,20,IF(P272&lt;=36,21,IF(P272&lt;=40,22,24)))))))))))))</f>
        <v>16</v>
      </c>
      <c r="S272" s="3" t="n">
        <f aca="false">ROUND((Q272+R272+I272+J272+M272+N272)/3,0)</f>
        <v>17</v>
      </c>
      <c r="T272" s="17" t="n">
        <f aca="false">F272*LOG10(S272+2)</f>
        <v>10.2300288076226</v>
      </c>
    </row>
    <row r="273" customFormat="false" ht="14.65" hidden="false" customHeight="true" outlineLevel="0" collapsed="false">
      <c r="A273" s="13" t="s">
        <v>334</v>
      </c>
      <c r="B273" s="14" t="n">
        <v>39981</v>
      </c>
      <c r="C273" s="15" t="s">
        <v>27</v>
      </c>
      <c r="D273" s="4" t="s">
        <v>28</v>
      </c>
      <c r="E273" s="3" t="n">
        <v>3</v>
      </c>
      <c r="F273" s="3" t="n">
        <v>8</v>
      </c>
      <c r="H273" s="3" t="n">
        <v>22</v>
      </c>
      <c r="I273" s="3" t="n">
        <f aca="false">_xlfn.IFS(G273="взв",11,G273="накл",24,G273="прокл",25,G273="пт",26,G273=90,10,G273=85,10,G273=80,9,G273=75,8,G273=70,8,G273=65,7,G273=60,7,G273=55,6,G273=50,6,G273=45,6,G273=40,5,G273=35,4,G273=30,4,G273=25,3,G273=20,2,G273=15,1,G273=10,1,G273=0,0)</f>
        <v>0</v>
      </c>
      <c r="J273" s="3" t="n">
        <f aca="false">IF(H273&lt;=1,0,IF(H273&lt;=10,11,IF(H273&lt;=14,12,IF(H273&lt;=17,13,IF(H273&lt;=20,14,IF(H273&lt;=22,15,IF(H273&lt;=25,16,IF(H273&lt;=27,17,IF(H273&lt;=29,18,IF(H273&lt;=32,19,IF(H273&lt;=34,20,IF(H273&lt;=36,21,IF(H273&lt;=40,22,24)))))))))))))</f>
        <v>15</v>
      </c>
      <c r="L273" s="3" t="n">
        <v>26</v>
      </c>
      <c r="M273" s="3" t="n">
        <f aca="false">_xlfn.IFS(K273="взв",11,K273="накл",24,K273="прокл",25,K273="пт",26,K273=90,10,K273=85,10,K273=80,9,K273=75,8,K273=70,8,K273=65,7,K273=60,7,K273=55,6,K273=50,6,K273=45,6,K273=40,5,K273=35,4,K273=30,4,K273=25,3,K273=20,2,K273=15,1,K273=10,1,K273=0,0)</f>
        <v>0</v>
      </c>
      <c r="N273" s="3" t="n">
        <f aca="false">IF(L273&lt;=1,0,IF(L273&lt;=10,11,IF(L273&lt;=14,12,IF(L273&lt;=17,13,IF(L273&lt;=20,14,IF(L273&lt;=22,15,IF(L273&lt;=25,16,IF(L273&lt;=27,17,IF(L273&lt;=29,18,IF(L273&lt;=32,19,IF(L273&lt;=34,20,IF(L273&lt;=36,21,IF(L273&lt;=40,22,24)))))))))))))</f>
        <v>17</v>
      </c>
      <c r="O273" s="3" t="s">
        <v>72</v>
      </c>
      <c r="Q273" s="3" t="n">
        <f aca="false">_xlfn.IFS(O273="взв",11,O273="накл",24,O273="прокл",25,O273="пт",26,O273=90,10,O273=85,10,O273=80,9,O273=75,8,O273=70,8,O273=65,7,O273=60,7,O273=55,6,O273=50,6,O273=45,6,O273=40,5,O273=35,4,O273=30,4,O273=25,3,O273=20,2,O273=15,1,O273=10,1,O273=0,0)</f>
        <v>11</v>
      </c>
      <c r="R273" s="3" t="n">
        <f aca="false">IF(P273&lt;=1,0,IF(P273&lt;=10,11,IF(P273&lt;=14,12,IF(P273&lt;=17,13,IF(P273&lt;=20,14,IF(P273&lt;=22,15,IF(P273&lt;=25,16,IF(P273&lt;=27,17,IF(P273&lt;=29,18,IF(P273&lt;=32,19,IF(P273&lt;=34,20,IF(P273&lt;=36,21,IF(P273&lt;=40,22,24)))))))))))))</f>
        <v>0</v>
      </c>
      <c r="S273" s="3" t="n">
        <f aca="false">ROUND((Q273+R273+I273+J273+M273+N273)/3,0)</f>
        <v>14</v>
      </c>
      <c r="T273" s="17" t="n">
        <f aca="false">F273*LOG10(S273+2)</f>
        <v>9.6329598612474</v>
      </c>
    </row>
    <row r="274" customFormat="false" ht="14.65" hidden="false" customHeight="true" outlineLevel="0" collapsed="false">
      <c r="A274" s="13" t="s">
        <v>335</v>
      </c>
      <c r="B274" s="14" t="n">
        <v>39981</v>
      </c>
      <c r="C274" s="15" t="s">
        <v>27</v>
      </c>
      <c r="D274" s="4" t="s">
        <v>49</v>
      </c>
      <c r="E274" s="3" t="n">
        <v>3</v>
      </c>
      <c r="F274" s="3" t="n">
        <v>8</v>
      </c>
      <c r="H274" s="3" t="n">
        <v>33</v>
      </c>
      <c r="I274" s="3" t="n">
        <f aca="false">_xlfn.IFS(G274="взв",11,G274="накл",24,G274="прокл",25,G274="пт",26,G274=90,10,G274=85,10,G274=80,9,G274=75,8,G274=70,8,G274=65,7,G274=60,7,G274=55,6,G274=50,6,G274=45,6,G274=40,5,G274=35,4,G274=30,4,G274=25,3,G274=20,2,G274=15,1,G274=10,1,G274=0,0)</f>
        <v>0</v>
      </c>
      <c r="J274" s="3" t="n">
        <f aca="false">IF(H274&lt;=1,0,IF(H274&lt;=10,11,IF(H274&lt;=14,12,IF(H274&lt;=17,13,IF(H274&lt;=20,14,IF(H274&lt;=22,15,IF(H274&lt;=25,16,IF(H274&lt;=27,17,IF(H274&lt;=29,18,IF(H274&lt;=32,19,IF(H274&lt;=34,20,IF(H274&lt;=36,21,IF(H274&lt;=40,22,24)))))))))))))</f>
        <v>20</v>
      </c>
      <c r="L274" s="3" t="n">
        <v>32</v>
      </c>
      <c r="M274" s="3" t="n">
        <f aca="false">_xlfn.IFS(K274="взв",11,K274="накл",24,K274="прокл",25,K274="пт",26,K274=90,10,K274=85,10,K274=80,9,K274=75,8,K274=70,8,K274=65,7,K274=60,7,K274=55,6,K274=50,6,K274=45,6,K274=40,5,K274=35,4,K274=30,4,K274=25,3,K274=20,2,K274=15,1,K274=10,1,K274=0,0)</f>
        <v>0</v>
      </c>
      <c r="N274" s="3" t="n">
        <f aca="false">IF(L274&lt;=1,0,IF(L274&lt;=10,11,IF(L274&lt;=14,12,IF(L274&lt;=17,13,IF(L274&lt;=20,14,IF(L274&lt;=22,15,IF(L274&lt;=25,16,IF(L274&lt;=27,17,IF(L274&lt;=29,18,IF(L274&lt;=32,19,IF(L274&lt;=34,20,IF(L274&lt;=36,21,IF(L274&lt;=40,22,24)))))))))))))</f>
        <v>19</v>
      </c>
      <c r="P274" s="3" t="n">
        <v>32</v>
      </c>
      <c r="Q274" s="3" t="n">
        <f aca="false">_xlfn.IFS(O274="взв",11,O274="накл",24,O274="прокл",25,O274="пт",26,O274=90,10,O274=85,10,O274=80,9,O274=75,8,O274=70,8,O274=65,7,O274=60,7,O274=55,6,O274=50,6,O274=45,6,O274=40,5,O274=35,4,O274=30,4,O274=25,3,O274=20,2,O274=15,1,O274=10,1,O274=0,0)</f>
        <v>0</v>
      </c>
      <c r="R274" s="3" t="n">
        <f aca="false">IF(P274&lt;=1,0,IF(P274&lt;=10,11,IF(P274&lt;=14,12,IF(P274&lt;=17,13,IF(P274&lt;=20,14,IF(P274&lt;=22,15,IF(P274&lt;=25,16,IF(P274&lt;=27,17,IF(P274&lt;=29,18,IF(P274&lt;=32,19,IF(P274&lt;=34,20,IF(P274&lt;=36,21,IF(P274&lt;=40,22,24)))))))))))))</f>
        <v>19</v>
      </c>
      <c r="S274" s="3" t="n">
        <f aca="false">ROUND((Q274+R274+I274+J274+M274+N274)/3,0)</f>
        <v>19</v>
      </c>
      <c r="T274" s="17" t="n">
        <f aca="false">F274*LOG10(S274+2)</f>
        <v>10.5777543578714</v>
      </c>
    </row>
    <row r="275" customFormat="false" ht="14.65" hidden="false" customHeight="true" outlineLevel="0" collapsed="false">
      <c r="A275" s="13" t="s">
        <v>336</v>
      </c>
      <c r="B275" s="14" t="n">
        <v>39981</v>
      </c>
      <c r="C275" s="15" t="s">
        <v>27</v>
      </c>
      <c r="D275" s="4" t="s">
        <v>51</v>
      </c>
      <c r="E275" s="3" t="n">
        <v>4</v>
      </c>
      <c r="F275" s="3" t="n">
        <v>8</v>
      </c>
      <c r="G275" s="3" t="n">
        <v>15</v>
      </c>
      <c r="I275" s="3" t="n">
        <f aca="false">_xlfn.IFS(G275="взв",11,G275="накл",24,G275="прокл",25,G275="пт",26,G275=90,10,G275=85,10,G275=80,9,G275=75,8,G275=70,8,G275=65,7,G275=60,7,G275=55,6,G275=50,6,G275=45,6,G275=40,5,G275=35,4,G275=30,4,G275=25,3,G275=20,2,G275=15,1,G275=10,1,G275=0,0)</f>
        <v>1</v>
      </c>
      <c r="J275" s="3" t="n">
        <f aca="false">IF(H275&lt;=1,0,IF(H275&lt;=10,11,IF(H275&lt;=14,12,IF(H275&lt;=17,13,IF(H275&lt;=20,14,IF(H275&lt;=22,15,IF(H275&lt;=25,16,IF(H275&lt;=27,17,IF(H275&lt;=29,18,IF(H275&lt;=32,19,IF(H275&lt;=34,20,IF(H275&lt;=36,21,IF(H275&lt;=40,22,24)))))))))))))</f>
        <v>0</v>
      </c>
      <c r="K275" s="3" t="n">
        <v>15</v>
      </c>
      <c r="M275" s="3" t="n">
        <f aca="false">_xlfn.IFS(K275="взв",11,K275="накл",24,K275="прокл",25,K275="пт",26,K275=90,10,K275=85,10,K275=80,9,K275=75,8,K275=70,8,K275=65,7,K275=60,7,K275=55,6,K275=50,6,K275=45,6,K275=40,5,K275=35,4,K275=30,4,K275=25,3,K275=20,2,K275=15,1,K275=10,1,K275=0,0)</f>
        <v>1</v>
      </c>
      <c r="N275" s="3" t="n">
        <f aca="false">IF(L275&lt;=1,0,IF(L275&lt;=10,11,IF(L275&lt;=14,12,IF(L275&lt;=17,13,IF(L275&lt;=20,14,IF(L275&lt;=22,15,IF(L275&lt;=25,16,IF(L275&lt;=27,17,IF(L275&lt;=29,18,IF(L275&lt;=32,19,IF(L275&lt;=34,20,IF(L275&lt;=36,21,IF(L275&lt;=40,22,24)))))))))))))</f>
        <v>0</v>
      </c>
      <c r="O275" s="3" t="n">
        <v>15</v>
      </c>
      <c r="Q275" s="3" t="n">
        <f aca="false">_xlfn.IFS(O275="взв",11,O275="накл",24,O275="прокл",25,O275="пт",26,O275=90,10,O275=85,10,O275=80,9,O275=75,8,O275=70,8,O275=65,7,O275=60,7,O275=55,6,O275=50,6,O275=45,6,O275=40,5,O275=35,4,O275=30,4,O275=25,3,O275=20,2,O275=15,1,O275=10,1,O275=0,0)</f>
        <v>1</v>
      </c>
      <c r="R275" s="3" t="n">
        <f aca="false">IF(P275&lt;=1,0,IF(P275&lt;=10,11,IF(P275&lt;=14,12,IF(P275&lt;=17,13,IF(P275&lt;=20,14,IF(P275&lt;=22,15,IF(P275&lt;=25,16,IF(P275&lt;=27,17,IF(P275&lt;=29,18,IF(P275&lt;=32,19,IF(P275&lt;=34,20,IF(P275&lt;=36,21,IF(P275&lt;=40,22,24)))))))))))))</f>
        <v>0</v>
      </c>
      <c r="S275" s="3" t="n">
        <f aca="false">ROUND((Q275+R275+I275+J275+M275+N275)/3,0)</f>
        <v>1</v>
      </c>
      <c r="T275" s="17" t="n">
        <f aca="false">F275*LOG10(S275+2)</f>
        <v>3.8169700377573</v>
      </c>
    </row>
    <row r="276" customFormat="false" ht="14.65" hidden="false" customHeight="true" outlineLevel="0" collapsed="false">
      <c r="A276" s="13" t="s">
        <v>337</v>
      </c>
      <c r="B276" s="14" t="n">
        <v>39981</v>
      </c>
      <c r="C276" s="15" t="s">
        <v>27</v>
      </c>
      <c r="D276" s="4" t="s">
        <v>51</v>
      </c>
      <c r="E276" s="3" t="n">
        <v>4</v>
      </c>
      <c r="F276" s="3" t="n">
        <v>8</v>
      </c>
      <c r="G276" s="3" t="n">
        <v>90</v>
      </c>
      <c r="I276" s="3" t="n">
        <f aca="false">_xlfn.IFS(G276="взв",11,G276="накл",24,G276="прокл",25,G276="пт",26,G276=90,10,G276=85,10,G276=80,9,G276=75,8,G276=70,8,G276=65,7,G276=60,7,G276=55,6,G276=50,6,G276=45,6,G276=40,5,G276=35,4,G276=30,4,G276=25,3,G276=20,2,G276=15,1,G276=10,1,G276=0,0)</f>
        <v>10</v>
      </c>
      <c r="J276" s="3" t="n">
        <f aca="false">IF(H276&lt;=1,0,IF(H276&lt;=10,11,IF(H276&lt;=14,12,IF(H276&lt;=17,13,IF(H276&lt;=20,14,IF(H276&lt;=22,15,IF(H276&lt;=25,16,IF(H276&lt;=27,17,IF(H276&lt;=29,18,IF(H276&lt;=32,19,IF(H276&lt;=34,20,IF(H276&lt;=36,21,IF(H276&lt;=40,22,24)))))))))))))</f>
        <v>0</v>
      </c>
      <c r="K276" s="3" t="n">
        <v>75</v>
      </c>
      <c r="M276" s="3" t="n">
        <f aca="false">_xlfn.IFS(K276="взв",11,K276="накл",24,K276="прокл",25,K276="пт",26,K276=90,10,K276=85,10,K276=80,9,K276=75,8,K276=70,8,K276=65,7,K276=60,7,K276=55,6,K276=50,6,K276=45,6,K276=40,5,K276=35,4,K276=30,4,K276=25,3,K276=20,2,K276=15,1,K276=10,1,K276=0,0)</f>
        <v>8</v>
      </c>
      <c r="N276" s="3" t="n">
        <f aca="false">IF(L276&lt;=1,0,IF(L276&lt;=10,11,IF(L276&lt;=14,12,IF(L276&lt;=17,13,IF(L276&lt;=20,14,IF(L276&lt;=22,15,IF(L276&lt;=25,16,IF(L276&lt;=27,17,IF(L276&lt;=29,18,IF(L276&lt;=32,19,IF(L276&lt;=34,20,IF(L276&lt;=36,21,IF(L276&lt;=40,22,24)))))))))))))</f>
        <v>0</v>
      </c>
      <c r="O276" s="3" t="n">
        <v>75</v>
      </c>
      <c r="Q276" s="3" t="n">
        <f aca="false">_xlfn.IFS(O276="взв",11,O276="накл",24,O276="прокл",25,O276="пт",26,O276=90,10,O276=85,10,O276=80,9,O276=75,8,O276=70,8,O276=65,7,O276=60,7,O276=55,6,O276=50,6,O276=45,6,O276=40,5,O276=35,4,O276=30,4,O276=25,3,O276=20,2,O276=15,1,O276=10,1,O276=0,0)</f>
        <v>8</v>
      </c>
      <c r="R276" s="3" t="n">
        <f aca="false">IF(P276&lt;=1,0,IF(P276&lt;=10,11,IF(P276&lt;=14,12,IF(P276&lt;=17,13,IF(P276&lt;=20,14,IF(P276&lt;=22,15,IF(P276&lt;=25,16,IF(P276&lt;=27,17,IF(P276&lt;=29,18,IF(P276&lt;=32,19,IF(P276&lt;=34,20,IF(P276&lt;=36,21,IF(P276&lt;=40,22,24)))))))))))))</f>
        <v>0</v>
      </c>
      <c r="S276" s="3" t="n">
        <f aca="false">ROUND((Q276+R276+I276+J276+M276+N276)/3,0)</f>
        <v>9</v>
      </c>
      <c r="T276" s="17" t="n">
        <f aca="false">F276*LOG10(S276+2)</f>
        <v>8.3311414812658</v>
      </c>
    </row>
    <row r="277" customFormat="false" ht="14.65" hidden="false" customHeight="true" outlineLevel="0" collapsed="false">
      <c r="A277" s="13" t="s">
        <v>338</v>
      </c>
      <c r="B277" s="14" t="n">
        <v>39981</v>
      </c>
      <c r="C277" s="15" t="s">
        <v>27</v>
      </c>
      <c r="D277" s="4" t="s">
        <v>28</v>
      </c>
      <c r="E277" s="3" t="n">
        <v>4</v>
      </c>
      <c r="F277" s="3" t="n">
        <v>8</v>
      </c>
      <c r="H277" s="3" t="n">
        <v>33</v>
      </c>
      <c r="I277" s="3" t="n">
        <f aca="false">_xlfn.IFS(G277="взв",11,G277="накл",24,G277="прокл",25,G277="пт",26,G277=90,10,G277=85,10,G277=80,9,G277=75,8,G277=70,8,G277=65,7,G277=60,7,G277=55,6,G277=50,6,G277=45,6,G277=40,5,G277=35,4,G277=30,4,G277=25,3,G277=20,2,G277=15,1,G277=10,1,G277=0,0)</f>
        <v>0</v>
      </c>
      <c r="J277" s="3" t="n">
        <f aca="false">IF(H277&lt;=1,0,IF(H277&lt;=10,11,IF(H277&lt;=14,12,IF(H277&lt;=17,13,IF(H277&lt;=20,14,IF(H277&lt;=22,15,IF(H277&lt;=25,16,IF(H277&lt;=27,17,IF(H277&lt;=29,18,IF(H277&lt;=32,19,IF(H277&lt;=34,20,IF(H277&lt;=36,21,IF(H277&lt;=40,22,24)))))))))))))</f>
        <v>20</v>
      </c>
      <c r="L277" s="3" t="n">
        <v>25</v>
      </c>
      <c r="M277" s="3" t="n">
        <f aca="false">_xlfn.IFS(K277="взв",11,K277="накл",24,K277="прокл",25,K277="пт",26,K277=90,10,K277=85,10,K277=80,9,K277=75,8,K277=70,8,K277=65,7,K277=60,7,K277=55,6,K277=50,6,K277=45,6,K277=40,5,K277=35,4,K277=30,4,K277=25,3,K277=20,2,K277=15,1,K277=10,1,K277=0,0)</f>
        <v>0</v>
      </c>
      <c r="N277" s="3" t="n">
        <f aca="false">IF(L277&lt;=1,0,IF(L277&lt;=10,11,IF(L277&lt;=14,12,IF(L277&lt;=17,13,IF(L277&lt;=20,14,IF(L277&lt;=22,15,IF(L277&lt;=25,16,IF(L277&lt;=27,17,IF(L277&lt;=29,18,IF(L277&lt;=32,19,IF(L277&lt;=34,20,IF(L277&lt;=36,21,IF(L277&lt;=40,22,24)))))))))))))</f>
        <v>16</v>
      </c>
      <c r="O277" s="3" t="n">
        <v>90</v>
      </c>
      <c r="Q277" s="3" t="n">
        <f aca="false">_xlfn.IFS(O277="взв",11,O277="накл",24,O277="прокл",25,O277="пт",26,O277=90,10,O277=85,10,O277=80,9,O277=75,8,O277=70,8,O277=65,7,O277=60,7,O277=55,6,O277=50,6,O277=45,6,O277=40,5,O277=35,4,O277=30,4,O277=25,3,O277=20,2,O277=15,1,O277=10,1,O277=0,0)</f>
        <v>10</v>
      </c>
      <c r="R277" s="3" t="n">
        <f aca="false">IF(P277&lt;=1,0,IF(P277&lt;=10,11,IF(P277&lt;=14,12,IF(P277&lt;=17,13,IF(P277&lt;=20,14,IF(P277&lt;=22,15,IF(P277&lt;=25,16,IF(P277&lt;=27,17,IF(P277&lt;=29,18,IF(P277&lt;=32,19,IF(P277&lt;=34,20,IF(P277&lt;=36,21,IF(P277&lt;=40,22,24)))))))))))))</f>
        <v>0</v>
      </c>
      <c r="S277" s="3" t="n">
        <f aca="false">ROUND((Q277+R277+I277+J277+M277+N277)/3,0)</f>
        <v>15</v>
      </c>
      <c r="T277" s="17" t="n">
        <f aca="false">F277*LOG10(S277+2)</f>
        <v>9.84359137102619</v>
      </c>
    </row>
    <row r="278" customFormat="false" ht="14.65" hidden="false" customHeight="true" outlineLevel="0" collapsed="false">
      <c r="A278" s="13" t="s">
        <v>339</v>
      </c>
      <c r="B278" s="14" t="n">
        <v>39981</v>
      </c>
      <c r="C278" s="15" t="s">
        <v>27</v>
      </c>
      <c r="D278" s="4" t="s">
        <v>47</v>
      </c>
      <c r="E278" s="3" t="n">
        <v>2</v>
      </c>
      <c r="F278" s="3" t="n">
        <v>8</v>
      </c>
      <c r="G278" s="3" t="n">
        <v>15</v>
      </c>
      <c r="I278" s="3" t="n">
        <f aca="false">_xlfn.IFS(G278="взв",11,G278="накл",24,G278="прокл",25,G278="пт",26,G278=90,10,G278=85,10,G278=80,9,G278=75,8,G278=70,8,G278=65,7,G278=60,7,G278=55,6,G278=50,6,G278=45,6,G278=40,5,G278=35,4,G278=30,4,G278=25,3,G278=20,2,G278=15,1,G278=10,1,G278=0,0)</f>
        <v>1</v>
      </c>
      <c r="J278" s="3" t="n">
        <f aca="false">IF(H278&lt;=1,0,IF(H278&lt;=10,11,IF(H278&lt;=14,12,IF(H278&lt;=17,13,IF(H278&lt;=20,14,IF(H278&lt;=22,15,IF(H278&lt;=25,16,IF(H278&lt;=27,17,IF(H278&lt;=29,18,IF(H278&lt;=32,19,IF(H278&lt;=34,20,IF(H278&lt;=36,21,IF(H278&lt;=40,22,24)))))))))))))</f>
        <v>0</v>
      </c>
      <c r="K278" s="3" t="n">
        <v>15</v>
      </c>
      <c r="M278" s="3" t="n">
        <f aca="false">_xlfn.IFS(K278="взв",11,K278="накл",24,K278="прокл",25,K278="пт",26,K278=90,10,K278=85,10,K278=80,9,K278=75,8,K278=70,8,K278=65,7,K278=60,7,K278=55,6,K278=50,6,K278=45,6,K278=40,5,K278=35,4,K278=30,4,K278=25,3,K278=20,2,K278=15,1,K278=10,1,K278=0,0)</f>
        <v>1</v>
      </c>
      <c r="N278" s="3" t="n">
        <f aca="false">IF(L278&lt;=1,0,IF(L278&lt;=10,11,IF(L278&lt;=14,12,IF(L278&lt;=17,13,IF(L278&lt;=20,14,IF(L278&lt;=22,15,IF(L278&lt;=25,16,IF(L278&lt;=27,17,IF(L278&lt;=29,18,IF(L278&lt;=32,19,IF(L278&lt;=34,20,IF(L278&lt;=36,21,IF(L278&lt;=40,22,24)))))))))))))</f>
        <v>0</v>
      </c>
      <c r="Q278" s="3" t="n">
        <f aca="false">_xlfn.IFS(O278="взв",11,O278="накл",24,O278="прокл",25,O278="пт",26,O278=90,10,O278=85,10,O278=80,9,O278=75,8,O278=70,8,O278=65,7,O278=60,7,O278=55,6,O278=50,6,O278=45,6,O278=40,5,O278=35,4,O278=30,4,O278=25,3,O278=20,2,O278=15,1,O278=10,1,O278=0,0)</f>
        <v>0</v>
      </c>
      <c r="R278" s="3" t="n">
        <f aca="false">IF(P278&lt;=1,0,IF(P278&lt;=10,11,IF(P278&lt;=14,12,IF(P278&lt;=17,13,IF(P278&lt;=20,14,IF(P278&lt;=22,15,IF(P278&lt;=25,16,IF(P278&lt;=27,17,IF(P278&lt;=29,18,IF(P278&lt;=32,19,IF(P278&lt;=34,20,IF(P278&lt;=36,21,IF(P278&lt;=40,22,24)))))))))))))</f>
        <v>0</v>
      </c>
      <c r="S278" s="3" t="n">
        <f aca="false">ROUND((Q278+R278+I278+J278+M278+N278)/3,0)</f>
        <v>1</v>
      </c>
      <c r="T278" s="17" t="n">
        <f aca="false">F278*LOG10(S278+2)</f>
        <v>3.8169700377573</v>
      </c>
    </row>
    <row r="279" customFormat="false" ht="14.65" hidden="false" customHeight="true" outlineLevel="0" collapsed="false">
      <c r="A279" s="13" t="s">
        <v>340</v>
      </c>
      <c r="B279" s="14" t="n">
        <v>39981</v>
      </c>
      <c r="C279" s="15" t="s">
        <v>27</v>
      </c>
      <c r="D279" s="4" t="s">
        <v>60</v>
      </c>
      <c r="E279" s="3" t="n">
        <v>6</v>
      </c>
      <c r="F279" s="3" t="n">
        <v>8</v>
      </c>
      <c r="G279" s="3" t="n">
        <v>60</v>
      </c>
      <c r="I279" s="3" t="n">
        <f aca="false">_xlfn.IFS(G279="взв",11,G279="накл",24,G279="прокл",25,G279="пт",26,G279=90,10,G279=85,10,G279=80,9,G279=75,8,G279=70,8,G279=65,7,G279=60,7,G279=55,6,G279=50,6,G279=45,6,G279=40,5,G279=35,4,G279=30,4,G279=25,3,G279=20,2,G279=15,1,G279=10,1,G279=0,0)</f>
        <v>7</v>
      </c>
      <c r="J279" s="3" t="n">
        <f aca="false">IF(H279&lt;=1,0,IF(H279&lt;=10,11,IF(H279&lt;=14,12,IF(H279&lt;=17,13,IF(H279&lt;=20,14,IF(H279&lt;=22,15,IF(H279&lt;=25,16,IF(H279&lt;=27,17,IF(H279&lt;=29,18,IF(H279&lt;=32,19,IF(H279&lt;=34,20,IF(H279&lt;=36,21,IF(H279&lt;=40,22,24)))))))))))))</f>
        <v>0</v>
      </c>
      <c r="K279" s="3" t="n">
        <v>75</v>
      </c>
      <c r="M279" s="3" t="n">
        <f aca="false">_xlfn.IFS(K279="взв",11,K279="накл",24,K279="прокл",25,K279="пт",26,K279=90,10,K279=85,10,K279=80,9,K279=75,8,K279=70,8,K279=65,7,K279=60,7,K279=55,6,K279=50,6,K279=45,6,K279=40,5,K279=35,4,K279=30,4,K279=25,3,K279=20,2,K279=15,1,K279=10,1,K279=0,0)</f>
        <v>8</v>
      </c>
      <c r="N279" s="3" t="n">
        <f aca="false">IF(L279&lt;=1,0,IF(L279&lt;=10,11,IF(L279&lt;=14,12,IF(L279&lt;=17,13,IF(L279&lt;=20,14,IF(L279&lt;=22,15,IF(L279&lt;=25,16,IF(L279&lt;=27,17,IF(L279&lt;=29,18,IF(L279&lt;=32,19,IF(L279&lt;=34,20,IF(L279&lt;=36,21,IF(L279&lt;=40,22,24)))))))))))))</f>
        <v>0</v>
      </c>
      <c r="O279" s="3" t="n">
        <v>75</v>
      </c>
      <c r="Q279" s="3" t="n">
        <f aca="false">_xlfn.IFS(O279="взв",11,O279="накл",24,O279="прокл",25,O279="пт",26,O279=90,10,O279=85,10,O279=80,9,O279=75,8,O279=70,8,O279=65,7,O279=60,7,O279=55,6,O279=50,6,O279=45,6,O279=40,5,O279=35,4,O279=30,4,O279=25,3,O279=20,2,O279=15,1,O279=10,1,O279=0,0)</f>
        <v>8</v>
      </c>
      <c r="R279" s="3" t="n">
        <f aca="false">IF(P279&lt;=1,0,IF(P279&lt;=10,11,IF(P279&lt;=14,12,IF(P279&lt;=17,13,IF(P279&lt;=20,14,IF(P279&lt;=22,15,IF(P279&lt;=25,16,IF(P279&lt;=27,17,IF(P279&lt;=29,18,IF(P279&lt;=32,19,IF(P279&lt;=34,20,IF(P279&lt;=36,21,IF(P279&lt;=40,22,24)))))))))))))</f>
        <v>0</v>
      </c>
      <c r="S279" s="3" t="n">
        <f aca="false">ROUND((Q279+R279+I279+J279+M279+N279)/3,0)</f>
        <v>8</v>
      </c>
      <c r="T279" s="17" t="n">
        <f aca="false">F279*LOG10(S279+2)</f>
        <v>8</v>
      </c>
    </row>
    <row r="280" customFormat="false" ht="14.65" hidden="false" customHeight="true" outlineLevel="0" collapsed="false">
      <c r="A280" s="13" t="s">
        <v>341</v>
      </c>
      <c r="B280" s="14" t="n">
        <v>39985</v>
      </c>
      <c r="C280" s="15" t="s">
        <v>27</v>
      </c>
      <c r="D280" s="4" t="s">
        <v>64</v>
      </c>
      <c r="E280" s="3" t="n">
        <v>5</v>
      </c>
      <c r="F280" s="3" t="n">
        <v>8</v>
      </c>
      <c r="G280" s="3" t="s">
        <v>43</v>
      </c>
      <c r="I280" s="3" t="n">
        <f aca="false">_xlfn.IFS(G280="взв",11,G280="накл",24,G280="прокл",25,G280="пт",26,G280=90,10,G280=85,10,G280=80,9,G280=75,8,G280=70,8,G280=65,7,G280=60,7,G280=55,6,G280=50,6,G280=45,6,G280=40,5,G280=35,4,G280=30,4,G280=25,3,G280=20,2,G280=15,1,G280=10,1,G280=0,0)</f>
        <v>24</v>
      </c>
      <c r="J280" s="3" t="n">
        <f aca="false">IF(H280&lt;=1,0,IF(H280&lt;=10,11,IF(H280&lt;=14,12,IF(H280&lt;=17,13,IF(H280&lt;=20,14,IF(H280&lt;=22,15,IF(H280&lt;=25,16,IF(H280&lt;=27,17,IF(H280&lt;=29,18,IF(H280&lt;=32,19,IF(H280&lt;=34,20,IF(H280&lt;=36,21,IF(H280&lt;=40,22,24)))))))))))))</f>
        <v>0</v>
      </c>
      <c r="M280" s="3" t="n">
        <f aca="false">_xlfn.IFS(K280="взв",11,K280="накл",24,K280="прокл",25,K280="пт",26,K280=90,10,K280=85,10,K280=80,9,K280=75,8,K280=70,8,K280=65,7,K280=60,7,K280=55,6,K280=50,6,K280=45,6,K280=40,5,K280=35,4,K280=30,4,K280=25,3,K280=20,2,K280=15,1,K280=10,1,K280=0,0)</f>
        <v>0</v>
      </c>
      <c r="N280" s="3" t="n">
        <f aca="false">IF(L280&lt;=1,0,IF(L280&lt;=10,11,IF(L280&lt;=14,12,IF(L280&lt;=17,13,IF(L280&lt;=20,14,IF(L280&lt;=22,15,IF(L280&lt;=25,16,IF(L280&lt;=27,17,IF(L280&lt;=29,18,IF(L280&lt;=32,19,IF(L280&lt;=34,20,IF(L280&lt;=36,21,IF(L280&lt;=40,22,24)))))))))))))</f>
        <v>0</v>
      </c>
      <c r="Q280" s="3" t="n">
        <f aca="false">_xlfn.IFS(O280="взв",11,O280="накл",24,O280="прокл",25,O280="пт",26,O280=90,10,O280=85,10,O280=80,9,O280=75,8,O280=70,8,O280=65,7,O280=60,7,O280=55,6,O280=50,6,O280=45,6,O280=40,5,O280=35,4,O280=30,4,O280=25,3,O280=20,2,O280=15,1,O280=10,1,O280=0,0)</f>
        <v>0</v>
      </c>
      <c r="R280" s="3" t="n">
        <f aca="false">IF(P280&lt;=1,0,IF(P280&lt;=10,11,IF(P280&lt;=14,12,IF(P280&lt;=17,13,IF(P280&lt;=20,14,IF(P280&lt;=22,15,IF(P280&lt;=25,16,IF(P280&lt;=27,17,IF(P280&lt;=29,18,IF(P280&lt;=32,19,IF(P280&lt;=34,20,IF(P280&lt;=36,21,IF(P280&lt;=40,22,24)))))))))))))</f>
        <v>0</v>
      </c>
      <c r="S280" s="3" t="n">
        <v>24</v>
      </c>
      <c r="T280" s="17" t="n">
        <f aca="false">F280*LOG10(S280+2)</f>
        <v>11.3197867837665</v>
      </c>
    </row>
    <row r="281" customFormat="false" ht="14.65" hidden="false" customHeight="true" outlineLevel="0" collapsed="false">
      <c r="A281" s="13" t="s">
        <v>342</v>
      </c>
      <c r="B281" s="14" t="n">
        <v>39985</v>
      </c>
      <c r="C281" s="15" t="s">
        <v>27</v>
      </c>
      <c r="D281" s="4" t="s">
        <v>64</v>
      </c>
      <c r="E281" s="3" t="n">
        <v>3</v>
      </c>
      <c r="F281" s="3" t="n">
        <v>8</v>
      </c>
      <c r="H281" s="3" t="n">
        <v>33</v>
      </c>
      <c r="I281" s="3" t="n">
        <f aca="false">_xlfn.IFS(G281="взв",11,G281="накл",24,G281="прокл",25,G281="пт",26,G281=90,10,G281=85,10,G281=80,9,G281=75,8,G281=70,8,G281=65,7,G281=60,7,G281=55,6,G281=50,6,G281=45,6,G281=40,5,G281=35,4,G281=30,4,G281=25,3,G281=20,2,G281=15,1,G281=10,1,G281=0,0)</f>
        <v>0</v>
      </c>
      <c r="J281" s="3" t="n">
        <f aca="false">IF(H281&lt;=1,0,IF(H281&lt;=10,11,IF(H281&lt;=14,12,IF(H281&lt;=17,13,IF(H281&lt;=20,14,IF(H281&lt;=22,15,IF(H281&lt;=25,16,IF(H281&lt;=27,17,IF(H281&lt;=29,18,IF(H281&lt;=32,19,IF(H281&lt;=34,20,IF(H281&lt;=36,21,IF(H281&lt;=40,22,24)))))))))))))</f>
        <v>20</v>
      </c>
      <c r="L281" s="3" t="n">
        <v>30</v>
      </c>
      <c r="M281" s="3" t="n">
        <f aca="false">_xlfn.IFS(K281="взв",11,K281="накл",24,K281="прокл",25,K281="пт",26,K281=90,10,K281=85,10,K281=80,9,K281=75,8,K281=70,8,K281=65,7,K281=60,7,K281=55,6,K281=50,6,K281=45,6,K281=40,5,K281=35,4,K281=30,4,K281=25,3,K281=20,2,K281=15,1,K281=10,1,K281=0,0)</f>
        <v>0</v>
      </c>
      <c r="N281" s="3" t="n">
        <f aca="false">IF(L281&lt;=1,0,IF(L281&lt;=10,11,IF(L281&lt;=14,12,IF(L281&lt;=17,13,IF(L281&lt;=20,14,IF(L281&lt;=22,15,IF(L281&lt;=25,16,IF(L281&lt;=27,17,IF(L281&lt;=29,18,IF(L281&lt;=32,19,IF(L281&lt;=34,20,IF(L281&lt;=36,21,IF(L281&lt;=40,22,24)))))))))))))</f>
        <v>19</v>
      </c>
      <c r="P281" s="3" t="n">
        <v>31</v>
      </c>
      <c r="Q281" s="3" t="n">
        <f aca="false">_xlfn.IFS(O281="взв",11,O281="накл",24,O281="прокл",25,O281="пт",26,O281=90,10,O281=85,10,O281=80,9,O281=75,8,O281=70,8,O281=65,7,O281=60,7,O281=55,6,O281=50,6,O281=45,6,O281=40,5,O281=35,4,O281=30,4,O281=25,3,O281=20,2,O281=15,1,O281=10,1,O281=0,0)</f>
        <v>0</v>
      </c>
      <c r="R281" s="3" t="n">
        <f aca="false">IF(P281&lt;=1,0,IF(P281&lt;=10,11,IF(P281&lt;=14,12,IF(P281&lt;=17,13,IF(P281&lt;=20,14,IF(P281&lt;=22,15,IF(P281&lt;=25,16,IF(P281&lt;=27,17,IF(P281&lt;=29,18,IF(P281&lt;=32,19,IF(P281&lt;=34,20,IF(P281&lt;=36,21,IF(P281&lt;=40,22,24)))))))))))))</f>
        <v>19</v>
      </c>
      <c r="S281" s="3" t="n">
        <f aca="false">ROUND((Q281+R281+I281+J281+M281+N281)/3,0)</f>
        <v>19</v>
      </c>
      <c r="T281" s="17" t="n">
        <f aca="false">F281*LOG10(S281+2)</f>
        <v>10.5777543578714</v>
      </c>
    </row>
    <row r="282" customFormat="false" ht="14.65" hidden="false" customHeight="true" outlineLevel="0" collapsed="false">
      <c r="A282" s="13" t="s">
        <v>343</v>
      </c>
      <c r="B282" s="14" t="n">
        <v>39985</v>
      </c>
      <c r="C282" s="15" t="s">
        <v>27</v>
      </c>
      <c r="D282" s="4" t="s">
        <v>70</v>
      </c>
      <c r="E282" s="3" t="n">
        <v>4</v>
      </c>
      <c r="F282" s="3" t="n">
        <v>8</v>
      </c>
      <c r="G282" s="3" t="s">
        <v>43</v>
      </c>
      <c r="I282" s="3" t="n">
        <f aca="false">_xlfn.IFS(G282="взв",11,G282="накл",24,G282="прокл",25,G282="пт",26,G282=90,10,G282=85,10,G282=80,9,G282=75,8,G282=70,8,G282=65,7,G282=60,7,G282=55,6,G282=50,6,G282=45,6,G282=40,5,G282=35,4,G282=30,4,G282=25,3,G282=20,2,G282=15,1,G282=10,1,G282=0,0)</f>
        <v>24</v>
      </c>
      <c r="J282" s="3" t="n">
        <f aca="false">IF(H282&lt;=1,0,IF(H282&lt;=10,11,IF(H282&lt;=14,12,IF(H282&lt;=17,13,IF(H282&lt;=20,14,IF(H282&lt;=22,15,IF(H282&lt;=25,16,IF(H282&lt;=27,17,IF(H282&lt;=29,18,IF(H282&lt;=32,19,IF(H282&lt;=34,20,IF(H282&lt;=36,21,IF(H282&lt;=40,22,24)))))))))))))</f>
        <v>0</v>
      </c>
      <c r="K282" s="3" t="s">
        <v>36</v>
      </c>
      <c r="M282" s="3" t="n">
        <f aca="false">_xlfn.IFS(K282="взв",11,K282="накл",24,K282="прокл",25,K282="пт",26,K282=90,10,K282=85,10,K282=80,9,K282=75,8,K282=70,8,K282=65,7,K282=60,7,K282=55,6,K282=50,6,K282=45,6,K282=40,5,K282=35,4,K282=30,4,K282=25,3,K282=20,2,K282=15,1,K282=10,1,K282=0,0)</f>
        <v>26</v>
      </c>
      <c r="N282" s="3" t="n">
        <f aca="false">IF(L282&lt;=1,0,IF(L282&lt;=10,11,IF(L282&lt;=14,12,IF(L282&lt;=17,13,IF(L282&lt;=20,14,IF(L282&lt;=22,15,IF(L282&lt;=25,16,IF(L282&lt;=27,17,IF(L282&lt;=29,18,IF(L282&lt;=32,19,IF(L282&lt;=34,20,IF(L282&lt;=36,21,IF(L282&lt;=40,22,24)))))))))))))</f>
        <v>0</v>
      </c>
      <c r="O282" s="3" t="s">
        <v>36</v>
      </c>
      <c r="Q282" s="3" t="n">
        <f aca="false">_xlfn.IFS(O282="взв",11,O282="накл",24,O282="прокл",25,O282="пт",26,O282=90,10,O282=85,10,O282=80,9,O282=75,8,O282=70,8,O282=65,7,O282=60,7,O282=55,6,O282=50,6,O282=45,6,O282=40,5,O282=35,4,O282=30,4,O282=25,3,O282=20,2,O282=15,1,O282=10,1,O282=0,0)</f>
        <v>26</v>
      </c>
      <c r="R282" s="3" t="n">
        <f aca="false">IF(P282&lt;=1,0,IF(P282&lt;=10,11,IF(P282&lt;=14,12,IF(P282&lt;=17,13,IF(P282&lt;=20,14,IF(P282&lt;=22,15,IF(P282&lt;=25,16,IF(P282&lt;=27,17,IF(P282&lt;=29,18,IF(P282&lt;=32,19,IF(P282&lt;=34,20,IF(P282&lt;=36,21,IF(P282&lt;=40,22,24)))))))))))))</f>
        <v>0</v>
      </c>
      <c r="S282" s="3" t="n">
        <f aca="false">ROUND((Q282+R282+I282+J282+M282+N282)/3,0)</f>
        <v>25</v>
      </c>
      <c r="T282" s="17" t="n">
        <f aca="false">F282*LOG10(S282+2)</f>
        <v>11.4509101132719</v>
      </c>
    </row>
    <row r="283" customFormat="false" ht="14.65" hidden="false" customHeight="true" outlineLevel="0" collapsed="false">
      <c r="A283" s="13" t="s">
        <v>344</v>
      </c>
      <c r="B283" s="14" t="n">
        <v>39993</v>
      </c>
      <c r="C283" s="15" t="s">
        <v>78</v>
      </c>
      <c r="D283" s="4" t="s">
        <v>345</v>
      </c>
      <c r="E283" s="3" t="n">
        <v>4</v>
      </c>
      <c r="F283" s="3" t="n">
        <v>8</v>
      </c>
      <c r="H283" s="3" t="n">
        <v>34</v>
      </c>
      <c r="I283" s="3" t="n">
        <f aca="false">_xlfn.IFS(G283="взв",11,G283="накл",24,G283="прокл",25,G283="пт",26,G283=90,10,G283=85,10,G283=80,9,G283=75,8,G283=70,8,G283=65,7,G283=60,7,G283=55,6,G283=50,6,G283=45,6,G283=40,5,G283=35,4,G283=30,4,G283=25,3,G283=20,2,G283=15,1,G283=10,1,G283=0,0)</f>
        <v>0</v>
      </c>
      <c r="J283" s="3" t="n">
        <f aca="false">IF(H283&lt;=1,0,IF(H283&lt;=10,11,IF(H283&lt;=14,12,IF(H283&lt;=17,13,IF(H283&lt;=20,14,IF(H283&lt;=22,15,IF(H283&lt;=25,16,IF(H283&lt;=27,17,IF(H283&lt;=29,18,IF(H283&lt;=32,19,IF(H283&lt;=34,20,IF(H283&lt;=36,21,IF(H283&lt;=40,22,24)))))))))))))</f>
        <v>20</v>
      </c>
      <c r="L283" s="3" t="n">
        <v>36</v>
      </c>
      <c r="M283" s="3" t="n">
        <f aca="false">_xlfn.IFS(K283="взв",11,K283="накл",24,K283="прокл",25,K283="пт",26,K283=90,10,K283=85,10,K283=80,9,K283=75,8,K283=70,8,K283=65,7,K283=60,7,K283=55,6,K283=50,6,K283=45,6,K283=40,5,K283=35,4,K283=30,4,K283=25,3,K283=20,2,K283=15,1,K283=10,1,K283=0,0)</f>
        <v>0</v>
      </c>
      <c r="N283" s="3" t="n">
        <f aca="false">IF(L283&lt;=1,0,IF(L283&lt;=10,11,IF(L283&lt;=14,12,IF(L283&lt;=17,13,IF(L283&lt;=20,14,IF(L283&lt;=22,15,IF(L283&lt;=25,16,IF(L283&lt;=27,17,IF(L283&lt;=29,18,IF(L283&lt;=32,19,IF(L283&lt;=34,20,IF(L283&lt;=36,21,IF(L283&lt;=40,22,24)))))))))))))</f>
        <v>21</v>
      </c>
      <c r="P283" s="3" t="n">
        <v>33</v>
      </c>
      <c r="Q283" s="3" t="n">
        <f aca="false">_xlfn.IFS(O283="взв",11,O283="накл",24,O283="прокл",25,O283="пт",26,O283=90,10,O283=85,10,O283=80,9,O283=75,8,O283=70,8,O283=65,7,O283=60,7,O283=55,6,O283=50,6,O283=45,6,O283=40,5,O283=35,4,O283=30,4,O283=25,3,O283=20,2,O283=15,1,O283=10,1,O283=0,0)</f>
        <v>0</v>
      </c>
      <c r="R283" s="3" t="n">
        <f aca="false">IF(P283&lt;=1,0,IF(P283&lt;=10,11,IF(P283&lt;=14,12,IF(P283&lt;=17,13,IF(P283&lt;=20,14,IF(P283&lt;=22,15,IF(P283&lt;=25,16,IF(P283&lt;=27,17,IF(P283&lt;=29,18,IF(P283&lt;=32,19,IF(P283&lt;=34,20,IF(P283&lt;=36,21,IF(P283&lt;=40,22,24)))))))))))))</f>
        <v>20</v>
      </c>
      <c r="S283" s="3" t="n">
        <f aca="false">ROUND((Q283+R283+I283+J283+M283+N283)/3,0)</f>
        <v>20</v>
      </c>
      <c r="T283" s="17" t="n">
        <f aca="false">F283*LOG10(S283+2)</f>
        <v>10.7393814465777</v>
      </c>
    </row>
    <row r="284" customFormat="false" ht="14.65" hidden="false" customHeight="true" outlineLevel="0" collapsed="false">
      <c r="A284" s="13" t="s">
        <v>346</v>
      </c>
      <c r="B284" s="2" t="n">
        <v>40003</v>
      </c>
      <c r="C284" s="15" t="s">
        <v>39</v>
      </c>
      <c r="D284" s="4" t="s">
        <v>40</v>
      </c>
      <c r="E284" s="3" t="n">
        <v>4</v>
      </c>
      <c r="F284" s="3" t="n">
        <v>8</v>
      </c>
      <c r="H284" s="3" t="n">
        <v>32</v>
      </c>
      <c r="I284" s="3" t="n">
        <f aca="false">_xlfn.IFS(G284="взв",11,G284="накл",24,G284="прокл",25,G284="пт",26,G284=90,10,G284=85,10,G284=80,9,G284=75,8,G284=70,8,G284=65,7,G284=60,7,G284=55,6,G284=50,6,G284=45,6,G284=40,5,G284=35,4,G284=30,4,G284=25,3,G284=20,2,G284=15,1,G284=10,1,G284=0,0)</f>
        <v>0</v>
      </c>
      <c r="J284" s="3" t="n">
        <f aca="false">IF(H284&lt;=1,0,IF(H284&lt;=10,11,IF(H284&lt;=14,12,IF(H284&lt;=17,13,IF(H284&lt;=20,14,IF(H284&lt;=22,15,IF(H284&lt;=25,16,IF(H284&lt;=27,17,IF(H284&lt;=29,18,IF(H284&lt;=32,19,IF(H284&lt;=34,20,IF(H284&lt;=36,21,IF(H284&lt;=40,22,24)))))))))))))</f>
        <v>19</v>
      </c>
      <c r="L284" s="3" t="n">
        <v>34</v>
      </c>
      <c r="M284" s="3" t="n">
        <f aca="false">_xlfn.IFS(K284="взв",11,K284="накл",24,K284="прокл",25,K284="пт",26,K284=90,10,K284=85,10,K284=80,9,K284=75,8,K284=70,8,K284=65,7,K284=60,7,K284=55,6,K284=50,6,K284=45,6,K284=40,5,K284=35,4,K284=30,4,K284=25,3,K284=20,2,K284=15,1,K284=10,1,K284=0,0)</f>
        <v>0</v>
      </c>
      <c r="N284" s="3" t="n">
        <f aca="false">IF(L284&lt;=1,0,IF(L284&lt;=10,11,IF(L284&lt;=14,12,IF(L284&lt;=17,13,IF(L284&lt;=20,14,IF(L284&lt;=22,15,IF(L284&lt;=25,16,IF(L284&lt;=27,17,IF(L284&lt;=29,18,IF(L284&lt;=32,19,IF(L284&lt;=34,20,IF(L284&lt;=36,21,IF(L284&lt;=40,22,24)))))))))))))</f>
        <v>20</v>
      </c>
      <c r="P284" s="3" t="n">
        <v>33</v>
      </c>
      <c r="Q284" s="3" t="n">
        <f aca="false">_xlfn.IFS(O284="взв",11,O284="накл",24,O284="прокл",25,O284="пт",26,O284=90,10,O284=85,10,O284=80,9,O284=75,8,O284=70,8,O284=65,7,O284=60,7,O284=55,6,O284=50,6,O284=45,6,O284=40,5,O284=35,4,O284=30,4,O284=25,3,O284=20,2,O284=15,1,O284=10,1,O284=0,0)</f>
        <v>0</v>
      </c>
      <c r="R284" s="3" t="n">
        <f aca="false">IF(P284&lt;=1,0,IF(P284&lt;=10,11,IF(P284&lt;=14,12,IF(P284&lt;=17,13,IF(P284&lt;=20,14,IF(P284&lt;=22,15,IF(P284&lt;=25,16,IF(P284&lt;=27,17,IF(P284&lt;=29,18,IF(P284&lt;=32,19,IF(P284&lt;=34,20,IF(P284&lt;=36,21,IF(P284&lt;=40,22,24)))))))))))))</f>
        <v>20</v>
      </c>
      <c r="S284" s="3" t="n">
        <f aca="false">ROUND((Q284+R284+I284+J284+M284+N284)/3,0)</f>
        <v>20</v>
      </c>
      <c r="T284" s="17" t="n">
        <f aca="false">F284*LOG10(S284+2)</f>
        <v>10.7393814465777</v>
      </c>
    </row>
    <row r="285" customFormat="false" ht="14.65" hidden="false" customHeight="true" outlineLevel="0" collapsed="false">
      <c r="A285" s="13" t="s">
        <v>347</v>
      </c>
      <c r="B285" s="2" t="n">
        <v>40001</v>
      </c>
      <c r="C285" s="15" t="s">
        <v>39</v>
      </c>
      <c r="D285" s="4" t="s">
        <v>39</v>
      </c>
      <c r="E285" s="3" t="n">
        <v>6</v>
      </c>
      <c r="F285" s="3" t="n">
        <v>9</v>
      </c>
      <c r="H285" s="3" t="n">
        <v>31</v>
      </c>
      <c r="I285" s="3" t="n">
        <f aca="false">_xlfn.IFS(G285="взв",11,G285="накл",24,G285="прокл",25,G285="пт",26,G285=90,10,G285=85,10,G285=80,9,G285=75,8,G285=70,8,G285=65,7,G285=60,7,G285=55,6,G285=50,6,G285=45,6,G285=40,5,G285=35,4,G285=30,4,G285=25,3,G285=20,2,G285=15,1,G285=10,1,G285=0,0)</f>
        <v>0</v>
      </c>
      <c r="J285" s="3" t="n">
        <f aca="false">IF(H285&lt;=1,0,IF(H285&lt;=10,11,IF(H285&lt;=14,12,IF(H285&lt;=17,13,IF(H285&lt;=20,14,IF(H285&lt;=22,15,IF(H285&lt;=25,16,IF(H285&lt;=27,17,IF(H285&lt;=29,18,IF(H285&lt;=32,19,IF(H285&lt;=34,20,IF(H285&lt;=36,21,IF(H285&lt;=40,22,24)))))))))))))</f>
        <v>19</v>
      </c>
      <c r="L285" s="3" t="n">
        <v>31</v>
      </c>
      <c r="M285" s="3" t="n">
        <f aca="false">_xlfn.IFS(K285="взв",11,K285="накл",24,K285="прокл",25,K285="пт",26,K285=90,10,K285=85,10,K285=80,9,K285=75,8,K285=70,8,K285=65,7,K285=60,7,K285=55,6,K285=50,6,K285=45,6,K285=40,5,K285=35,4,K285=30,4,K285=25,3,K285=20,2,K285=15,1,K285=10,1,K285=0,0)</f>
        <v>0</v>
      </c>
      <c r="N285" s="3" t="n">
        <f aca="false">IF(L285&lt;=1,0,IF(L285&lt;=10,11,IF(L285&lt;=14,12,IF(L285&lt;=17,13,IF(L285&lt;=20,14,IF(L285&lt;=22,15,IF(L285&lt;=25,16,IF(L285&lt;=27,17,IF(L285&lt;=29,18,IF(L285&lt;=32,19,IF(L285&lt;=34,20,IF(L285&lt;=36,21,IF(L285&lt;=40,22,24)))))))))))))</f>
        <v>19</v>
      </c>
      <c r="P285" s="3" t="n">
        <v>30</v>
      </c>
      <c r="Q285" s="3" t="n">
        <f aca="false">_xlfn.IFS(O285="взв",11,O285="накл",24,O285="прокл",25,O285="пт",26,O285=90,10,O285=85,10,O285=80,9,O285=75,8,O285=70,8,O285=65,7,O285=60,7,O285=55,6,O285=50,6,O285=45,6,O285=40,5,O285=35,4,O285=30,4,O285=25,3,O285=20,2,O285=15,1,O285=10,1,O285=0,0)</f>
        <v>0</v>
      </c>
      <c r="R285" s="3" t="n">
        <f aca="false">IF(P285&lt;=1,0,IF(P285&lt;=10,11,IF(P285&lt;=14,12,IF(P285&lt;=17,13,IF(P285&lt;=20,14,IF(P285&lt;=22,15,IF(P285&lt;=25,16,IF(P285&lt;=27,17,IF(P285&lt;=29,18,IF(P285&lt;=32,19,IF(P285&lt;=34,20,IF(P285&lt;=36,21,IF(P285&lt;=40,22,24)))))))))))))</f>
        <v>19</v>
      </c>
      <c r="S285" s="3" t="n">
        <f aca="false">ROUND((Q285+R285+I285+J285+M285+N285)/3,0)</f>
        <v>19</v>
      </c>
      <c r="T285" s="17" t="n">
        <f aca="false">F285*LOG10(S285+2)</f>
        <v>11.8999736526053</v>
      </c>
    </row>
    <row r="286" customFormat="false" ht="14.65" hidden="false" customHeight="true" outlineLevel="0" collapsed="false">
      <c r="A286" s="13" t="s">
        <v>348</v>
      </c>
      <c r="B286" s="14" t="n">
        <v>39976</v>
      </c>
      <c r="C286" s="15" t="s">
        <v>21</v>
      </c>
      <c r="D286" s="16" t="s">
        <v>92</v>
      </c>
      <c r="E286" s="15" t="n">
        <v>6</v>
      </c>
      <c r="F286" s="15" t="n">
        <v>10</v>
      </c>
      <c r="G286" s="15" t="n">
        <v>75</v>
      </c>
      <c r="H286" s="15"/>
      <c r="I286" s="3" t="n">
        <f aca="false">_xlfn.IFS(G286="взв",11,G286="накл",24,G286="прокл",25,G286="пт",26,G286=90,10,G286=85,10,G286=80,9,G286=75,8,G286=70,8,G286=65,7,G286=60,7,G286=55,6,G286=50,6,G286=45,6,G286=40,5,G286=35,4,G286=30,4,G286=25,3,G286=20,2,G286=15,1,G286=10,1,G286=0,0)</f>
        <v>8</v>
      </c>
      <c r="J286" s="3" t="n">
        <f aca="false">IF(H286&lt;=1,0,IF(H286&lt;=10,11,IF(H286&lt;=14,12,IF(H286&lt;=17,13,IF(H286&lt;=20,14,IF(H286&lt;=22,15,IF(H286&lt;=25,16,IF(H286&lt;=27,17,IF(H286&lt;=29,18,IF(H286&lt;=32,19,IF(H286&lt;=34,20,IF(H286&lt;=36,21,IF(H286&lt;=40,22,24)))))))))))))</f>
        <v>0</v>
      </c>
      <c r="K286" s="15" t="n">
        <v>90</v>
      </c>
      <c r="L286" s="15"/>
      <c r="M286" s="3" t="n">
        <f aca="false">_xlfn.IFS(K286="взв",11,K286="накл",24,K286="прокл",25,K286="пт",26,K286=90,10,K286=85,10,K286=80,9,K286=75,8,K286=70,8,K286=65,7,K286=60,7,K286=55,6,K286=50,6,K286=45,6,K286=40,5,K286=35,4,K286=30,4,K286=25,3,K286=20,2,K286=15,1,K286=10,1,K286=0,0)</f>
        <v>10</v>
      </c>
      <c r="N286" s="3" t="n">
        <f aca="false">IF(L286&lt;=1,0,IF(L286&lt;=10,11,IF(L286&lt;=14,12,IF(L286&lt;=17,13,IF(L286&lt;=20,14,IF(L286&lt;=22,15,IF(L286&lt;=25,16,IF(L286&lt;=27,17,IF(L286&lt;=29,18,IF(L286&lt;=32,19,IF(L286&lt;=34,20,IF(L286&lt;=36,21,IF(L286&lt;=40,22,24)))))))))))))</f>
        <v>0</v>
      </c>
      <c r="O286" s="15" t="s">
        <v>72</v>
      </c>
      <c r="P286" s="15"/>
      <c r="Q286" s="3" t="n">
        <f aca="false">_xlfn.IFS(O286="взв",11,O286="накл",24,O286="прокл",25,O286="пт",26,O286=90,10,O286=85,10,O286=80,9,O286=75,8,O286=70,8,O286=65,7,O286=60,7,O286=55,6,O286=50,6,O286=45,6,O286=40,5,O286=35,4,O286=30,4,O286=25,3,O286=20,2,O286=15,1,O286=10,1,O286=0,0)</f>
        <v>11</v>
      </c>
      <c r="R286" s="3" t="n">
        <f aca="false">IF(P286&lt;=1,0,IF(P286&lt;=10,11,IF(P286&lt;=14,12,IF(P286&lt;=17,13,IF(P286&lt;=20,14,IF(P286&lt;=22,15,IF(P286&lt;=25,16,IF(P286&lt;=27,17,IF(P286&lt;=29,18,IF(P286&lt;=32,19,IF(P286&lt;=34,20,IF(P286&lt;=36,21,IF(P286&lt;=40,22,24)))))))))))))</f>
        <v>0</v>
      </c>
      <c r="S286" s="3" t="n">
        <f aca="false">ROUND((Q286+R286+I286+J286+M286+N286)/3,0)</f>
        <v>10</v>
      </c>
      <c r="T286" s="17" t="n">
        <f aca="false">F286*LOG10(S286+2)</f>
        <v>10.7918124604763</v>
      </c>
    </row>
    <row r="287" customFormat="false" ht="14.65" hidden="false" customHeight="true" outlineLevel="0" collapsed="false">
      <c r="A287" s="13" t="s">
        <v>349</v>
      </c>
      <c r="B287" s="14" t="n">
        <v>39976</v>
      </c>
      <c r="C287" s="15" t="s">
        <v>21</v>
      </c>
      <c r="D287" s="16" t="s">
        <v>22</v>
      </c>
      <c r="E287" s="3" t="n">
        <v>5</v>
      </c>
      <c r="F287" s="3" t="n">
        <v>10</v>
      </c>
      <c r="H287" s="3" t="n">
        <v>40</v>
      </c>
      <c r="I287" s="3" t="n">
        <f aca="false">_xlfn.IFS(G287="взв",11,G287="накл",24,G287="прокл",25,G287="пт",26,G287=90,10,G287=85,10,G287=80,9,G287=75,8,G287=70,8,G287=65,7,G287=60,7,G287=55,6,G287=50,6,G287=45,6,G287=40,5,G287=35,4,G287=30,4,G287=25,3,G287=20,2,G287=15,1,G287=10,1,G287=0,0)</f>
        <v>0</v>
      </c>
      <c r="J287" s="3" t="n">
        <f aca="false">IF(H287&lt;=1,0,IF(H287&lt;=10,11,IF(H287&lt;=14,12,IF(H287&lt;=17,13,IF(H287&lt;=20,14,IF(H287&lt;=22,15,IF(H287&lt;=25,16,IF(H287&lt;=27,17,IF(H287&lt;=29,18,IF(H287&lt;=32,19,IF(H287&lt;=34,20,IF(H287&lt;=36,21,IF(H287&lt;=40,22,24)))))))))))))</f>
        <v>22</v>
      </c>
      <c r="L287" s="3" t="n">
        <v>42</v>
      </c>
      <c r="M287" s="3" t="n">
        <f aca="false">_xlfn.IFS(K287="взв",11,K287="накл",24,K287="прокл",25,K287="пт",26,K287=90,10,K287=85,10,K287=80,9,K287=75,8,K287=70,8,K287=65,7,K287=60,7,K287=55,6,K287=50,6,K287=45,6,K287=40,5,K287=35,4,K287=30,4,K287=25,3,K287=20,2,K287=15,1,K287=10,1,K287=0,0)</f>
        <v>0</v>
      </c>
      <c r="N287" s="3" t="n">
        <f aca="false">IF(L287&lt;=1,0,IF(L287&lt;=10,11,IF(L287&lt;=14,12,IF(L287&lt;=17,13,IF(L287&lt;=20,14,IF(L287&lt;=22,15,IF(L287&lt;=25,16,IF(L287&lt;=27,17,IF(L287&lt;=29,18,IF(L287&lt;=32,19,IF(L287&lt;=34,20,IF(L287&lt;=36,21,IF(L287&lt;=40,22,24)))))))))))))</f>
        <v>24</v>
      </c>
      <c r="O287" s="3" t="n">
        <v>90</v>
      </c>
      <c r="Q287" s="3" t="n">
        <f aca="false">_xlfn.IFS(O287="взв",11,O287="накл",24,O287="прокл",25,O287="пт",26,O287=90,10,O287=85,10,O287=80,9,O287=75,8,O287=70,8,O287=65,7,O287=60,7,O287=55,6,O287=50,6,O287=45,6,O287=40,5,O287=35,4,O287=30,4,O287=25,3,O287=20,2,O287=15,1,O287=10,1,O287=0,0)</f>
        <v>10</v>
      </c>
      <c r="R287" s="3" t="n">
        <f aca="false">IF(P287&lt;=1,0,IF(P287&lt;=10,11,IF(P287&lt;=14,12,IF(P287&lt;=17,13,IF(P287&lt;=20,14,IF(P287&lt;=22,15,IF(P287&lt;=25,16,IF(P287&lt;=27,17,IF(P287&lt;=29,18,IF(P287&lt;=32,19,IF(P287&lt;=34,20,IF(P287&lt;=36,21,IF(P287&lt;=40,22,24)))))))))))))</f>
        <v>0</v>
      </c>
      <c r="S287" s="3" t="n">
        <f aca="false">ROUND((Q287+R287+I287+J287+M287+N287)/3,0)</f>
        <v>19</v>
      </c>
      <c r="T287" s="17" t="n">
        <f aca="false">F287*LOG10(S287+2)</f>
        <v>13.2221929473392</v>
      </c>
    </row>
    <row r="288" customFormat="false" ht="14.65" hidden="false" customHeight="true" outlineLevel="0" collapsed="false">
      <c r="A288" s="13" t="s">
        <v>350</v>
      </c>
      <c r="B288" s="14" t="n">
        <v>39976</v>
      </c>
      <c r="C288" s="15" t="s">
        <v>21</v>
      </c>
      <c r="D288" s="16" t="s">
        <v>22</v>
      </c>
      <c r="E288" s="3" t="n">
        <v>6</v>
      </c>
      <c r="F288" s="3" t="n">
        <v>10</v>
      </c>
      <c r="I288" s="3" t="n">
        <f aca="false">_xlfn.IFS(G288="взв",11,G288="накл",24,G288="прокл",25,G288="пт",26,G288=90,10,G288=85,10,G288=80,9,G288=75,8,G288=70,8,G288=65,7,G288=60,7,G288=55,6,G288=50,6,G288=45,6,G288=40,5,G288=35,4,G288=30,4,G288=25,3,G288=20,2,G288=15,1,G288=10,1,G288=0,0)</f>
        <v>0</v>
      </c>
      <c r="J288" s="3" t="n">
        <f aca="false">IF(H288&lt;=1,0,IF(H288&lt;=10,11,IF(H288&lt;=14,12,IF(H288&lt;=17,13,IF(H288&lt;=20,14,IF(H288&lt;=22,15,IF(H288&lt;=25,16,IF(H288&lt;=27,17,IF(H288&lt;=29,18,IF(H288&lt;=32,19,IF(H288&lt;=34,20,IF(H288&lt;=36,21,IF(H288&lt;=40,22,24)))))))))))))</f>
        <v>0</v>
      </c>
      <c r="K288" s="3" t="n">
        <v>80</v>
      </c>
      <c r="M288" s="3" t="n">
        <f aca="false">_xlfn.IFS(K288="взв",11,K288="накл",24,K288="прокл",25,K288="пт",26,K288=90,10,K288=85,10,K288=80,9,K288=75,8,K288=70,8,K288=65,7,K288=60,7,K288=55,6,K288=50,6,K288=45,6,K288=40,5,K288=35,4,K288=30,4,K288=25,3,K288=20,2,K288=15,1,K288=10,1,K288=0,0)</f>
        <v>9</v>
      </c>
      <c r="N288" s="3" t="n">
        <f aca="false">IF(L288&lt;=1,0,IF(L288&lt;=10,11,IF(L288&lt;=14,12,IF(L288&lt;=17,13,IF(L288&lt;=20,14,IF(L288&lt;=22,15,IF(L288&lt;=25,16,IF(L288&lt;=27,17,IF(L288&lt;=29,18,IF(L288&lt;=32,19,IF(L288&lt;=34,20,IF(L288&lt;=36,21,IF(L288&lt;=40,22,24)))))))))))))</f>
        <v>0</v>
      </c>
      <c r="O288" s="3" t="n">
        <v>90</v>
      </c>
      <c r="Q288" s="3" t="n">
        <f aca="false">_xlfn.IFS(O288="взв",11,O288="накл",24,O288="прокл",25,O288="пт",26,O288=90,10,O288=85,10,O288=80,9,O288=75,8,O288=70,8,O288=65,7,O288=60,7,O288=55,6,O288=50,6,O288=45,6,O288=40,5,O288=35,4,O288=30,4,O288=25,3,O288=20,2,O288=15,1,O288=10,1,O288=0,0)</f>
        <v>10</v>
      </c>
      <c r="R288" s="3" t="n">
        <f aca="false">IF(P288&lt;=1,0,IF(P288&lt;=10,11,IF(P288&lt;=14,12,IF(P288&lt;=17,13,IF(P288&lt;=20,14,IF(P288&lt;=22,15,IF(P288&lt;=25,16,IF(P288&lt;=27,17,IF(P288&lt;=29,18,IF(P288&lt;=32,19,IF(P288&lt;=34,20,IF(P288&lt;=36,21,IF(P288&lt;=40,22,24)))))))))))))</f>
        <v>0</v>
      </c>
      <c r="S288" s="3" t="n">
        <f aca="false">ROUND((Q288+R288+I288+J288+M288+N288)/2,0)</f>
        <v>10</v>
      </c>
      <c r="T288" s="17" t="n">
        <f aca="false">F288*LOG10(S288+2)</f>
        <v>10.7918124604763</v>
      </c>
    </row>
    <row r="289" customFormat="false" ht="14.65" hidden="false" customHeight="true" outlineLevel="0" collapsed="false">
      <c r="A289" s="13" t="s">
        <v>351</v>
      </c>
      <c r="B289" s="14" t="n">
        <v>39981</v>
      </c>
      <c r="C289" s="15" t="s">
        <v>27</v>
      </c>
      <c r="D289" s="4" t="s">
        <v>51</v>
      </c>
      <c r="E289" s="3" t="n">
        <v>3</v>
      </c>
      <c r="F289" s="3" t="n">
        <v>10</v>
      </c>
      <c r="G289" s="3" t="n">
        <v>75</v>
      </c>
      <c r="I289" s="3" t="n">
        <f aca="false">_xlfn.IFS(G289="взв",11,G289="накл",24,G289="прокл",25,G289="пт",26,G289=90,10,G289=85,10,G289=80,9,G289=75,8,G289=70,8,G289=65,7,G289=60,7,G289=55,6,G289=50,6,G289=45,6,G289=40,5,G289=35,4,G289=30,4,G289=25,3,G289=20,2,G289=15,1,G289=10,1,G289=0,0)</f>
        <v>8</v>
      </c>
      <c r="J289" s="3" t="n">
        <f aca="false">IF(H289&lt;=1,0,IF(H289&lt;=10,11,IF(H289&lt;=14,12,IF(H289&lt;=17,13,IF(H289&lt;=20,14,IF(H289&lt;=22,15,IF(H289&lt;=25,16,IF(H289&lt;=27,17,IF(H289&lt;=29,18,IF(H289&lt;=32,19,IF(H289&lt;=34,20,IF(H289&lt;=36,21,IF(H289&lt;=40,22,24)))))))))))))</f>
        <v>0</v>
      </c>
      <c r="K289" s="3" t="n">
        <v>60</v>
      </c>
      <c r="M289" s="3" t="n">
        <f aca="false">_xlfn.IFS(K289="взв",11,K289="накл",24,K289="прокл",25,K289="пт",26,K289=90,10,K289=85,10,K289=80,9,K289=75,8,K289=70,8,K289=65,7,K289=60,7,K289=55,6,K289=50,6,K289=45,6,K289=40,5,K289=35,4,K289=30,4,K289=25,3,K289=20,2,K289=15,1,K289=10,1,K289=0,0)</f>
        <v>7</v>
      </c>
      <c r="N289" s="3" t="n">
        <f aca="false">IF(L289&lt;=1,0,IF(L289&lt;=10,11,IF(L289&lt;=14,12,IF(L289&lt;=17,13,IF(L289&lt;=20,14,IF(L289&lt;=22,15,IF(L289&lt;=25,16,IF(L289&lt;=27,17,IF(L289&lt;=29,18,IF(L289&lt;=32,19,IF(L289&lt;=34,20,IF(L289&lt;=36,21,IF(L289&lt;=40,22,24)))))))))))))</f>
        <v>0</v>
      </c>
      <c r="O289" s="3" t="n">
        <v>75</v>
      </c>
      <c r="Q289" s="3" t="n">
        <f aca="false">_xlfn.IFS(O289="взв",11,O289="накл",24,O289="прокл",25,O289="пт",26,O289=90,10,O289=85,10,O289=80,9,O289=75,8,O289=70,8,O289=65,7,O289=60,7,O289=55,6,O289=50,6,O289=45,6,O289=40,5,O289=35,4,O289=30,4,O289=25,3,O289=20,2,O289=15,1,O289=10,1,O289=0,0)</f>
        <v>8</v>
      </c>
      <c r="R289" s="3" t="n">
        <f aca="false">IF(P289&lt;=1,0,IF(P289&lt;=10,11,IF(P289&lt;=14,12,IF(P289&lt;=17,13,IF(P289&lt;=20,14,IF(P289&lt;=22,15,IF(P289&lt;=25,16,IF(P289&lt;=27,17,IF(P289&lt;=29,18,IF(P289&lt;=32,19,IF(P289&lt;=34,20,IF(P289&lt;=36,21,IF(P289&lt;=40,22,24)))))))))))))</f>
        <v>0</v>
      </c>
      <c r="S289" s="3" t="n">
        <f aca="false">ROUND((Q289+R289+I289+J289+M289+N289)/3,0)</f>
        <v>8</v>
      </c>
      <c r="T289" s="17" t="n">
        <f aca="false">F289*LOG10(S289+2)</f>
        <v>10</v>
      </c>
    </row>
    <row r="290" customFormat="false" ht="14.65" hidden="false" customHeight="true" outlineLevel="0" collapsed="false">
      <c r="A290" s="13" t="s">
        <v>352</v>
      </c>
      <c r="B290" s="14" t="n">
        <v>39981</v>
      </c>
      <c r="C290" s="15" t="s">
        <v>27</v>
      </c>
      <c r="D290" s="4" t="s">
        <v>318</v>
      </c>
      <c r="E290" s="3" t="n">
        <v>9</v>
      </c>
      <c r="F290" s="3" t="n">
        <v>10</v>
      </c>
      <c r="H290" s="3" t="n">
        <v>42</v>
      </c>
      <c r="I290" s="3" t="n">
        <f aca="false">_xlfn.IFS(G290="взв",11,G290="накл",24,G290="прокл",25,G290="пт",26,G290=90,10,G290=85,10,G290=80,9,G290=75,8,G290=70,8,G290=65,7,G290=60,7,G290=55,6,G290=50,6,G290=45,6,G290=40,5,G290=35,4,G290=30,4,G290=25,3,G290=20,2,G290=15,1,G290=10,1,G290=0,0)</f>
        <v>0</v>
      </c>
      <c r="J290" s="3" t="n">
        <f aca="false">IF(H290&lt;=1,0,IF(H290&lt;=10,11,IF(H290&lt;=14,12,IF(H290&lt;=17,13,IF(H290&lt;=20,14,IF(H290&lt;=22,15,IF(H290&lt;=25,16,IF(H290&lt;=27,17,IF(H290&lt;=29,18,IF(H290&lt;=32,19,IF(H290&lt;=34,20,IF(H290&lt;=36,21,IF(H290&lt;=40,22,24)))))))))))))</f>
        <v>24</v>
      </c>
      <c r="K290" s="3" t="s">
        <v>43</v>
      </c>
      <c r="M290" s="3" t="n">
        <f aca="false">_xlfn.IFS(K290="взв",11,K290="накл",24,K290="прокл",25,K290="пт",26,K290=90,10,K290=85,10,K290=80,9,K290=75,8,K290=70,8,K290=65,7,K290=60,7,K290=55,6,K290=50,6,K290=45,6,K290=40,5,K290=35,4,K290=30,4,K290=25,3,K290=20,2,K290=15,1,K290=10,1,K290=0,0)</f>
        <v>24</v>
      </c>
      <c r="N290" s="3" t="n">
        <f aca="false">IF(L290&lt;=1,0,IF(L290&lt;=10,11,IF(L290&lt;=14,12,IF(L290&lt;=17,13,IF(L290&lt;=20,14,IF(L290&lt;=22,15,IF(L290&lt;=25,16,IF(L290&lt;=27,17,IF(L290&lt;=29,18,IF(L290&lt;=32,19,IF(L290&lt;=34,20,IF(L290&lt;=36,21,IF(L290&lt;=40,22,24)))))))))))))</f>
        <v>0</v>
      </c>
      <c r="O290" s="3" t="s">
        <v>43</v>
      </c>
      <c r="Q290" s="3" t="n">
        <f aca="false">_xlfn.IFS(O290="взв",11,O290="накл",24,O290="прокл",25,O290="пт",26,O290=90,10,O290=85,10,O290=80,9,O290=75,8,O290=70,8,O290=65,7,O290=60,7,O290=55,6,O290=50,6,O290=45,6,O290=40,5,O290=35,4,O290=30,4,O290=25,3,O290=20,2,O290=15,1,O290=10,1,O290=0,0)</f>
        <v>24</v>
      </c>
      <c r="R290" s="3" t="n">
        <f aca="false">IF(P290&lt;=1,0,IF(P290&lt;=10,11,IF(P290&lt;=14,12,IF(P290&lt;=17,13,IF(P290&lt;=20,14,IF(P290&lt;=22,15,IF(P290&lt;=25,16,IF(P290&lt;=27,17,IF(P290&lt;=29,18,IF(P290&lt;=32,19,IF(P290&lt;=34,20,IF(P290&lt;=36,21,IF(P290&lt;=40,22,24)))))))))))))</f>
        <v>0</v>
      </c>
      <c r="S290" s="3" t="n">
        <f aca="false">ROUND((Q290+R290+I290+J290+M290+N290)/3,0)</f>
        <v>24</v>
      </c>
      <c r="T290" s="17" t="n">
        <f aca="false">F290*LOG10(S290+2)</f>
        <v>14.1497334797082</v>
      </c>
    </row>
    <row r="291" customFormat="false" ht="14.65" hidden="false" customHeight="true" outlineLevel="0" collapsed="false">
      <c r="A291" s="13" t="s">
        <v>353</v>
      </c>
      <c r="B291" s="14" t="n">
        <v>39981</v>
      </c>
      <c r="C291" s="15" t="s">
        <v>27</v>
      </c>
      <c r="D291" s="4" t="s">
        <v>28</v>
      </c>
      <c r="E291" s="3" t="n">
        <v>7</v>
      </c>
      <c r="F291" s="3" t="n">
        <v>10</v>
      </c>
      <c r="G291" s="3" t="n">
        <v>75</v>
      </c>
      <c r="I291" s="3" t="n">
        <f aca="false">_xlfn.IFS(G291="взв",11,G291="накл",24,G291="прокл",25,G291="пт",26,G291=90,10,G291=85,10,G291=80,9,G291=75,8,G291=70,8,G291=65,7,G291=60,7,G291=55,6,G291=50,6,G291=45,6,G291=40,5,G291=35,4,G291=30,4,G291=25,3,G291=20,2,G291=15,1,G291=10,1,G291=0,0)</f>
        <v>8</v>
      </c>
      <c r="J291" s="3" t="n">
        <f aca="false">IF(H291&lt;=1,0,IF(H291&lt;=10,11,IF(H291&lt;=14,12,IF(H291&lt;=17,13,IF(H291&lt;=20,14,IF(H291&lt;=22,15,IF(H291&lt;=25,16,IF(H291&lt;=27,17,IF(H291&lt;=29,18,IF(H291&lt;=32,19,IF(H291&lt;=34,20,IF(H291&lt;=36,21,IF(H291&lt;=40,22,24)))))))))))))</f>
        <v>0</v>
      </c>
      <c r="K291" s="3" t="n">
        <v>75</v>
      </c>
      <c r="M291" s="3" t="n">
        <f aca="false">_xlfn.IFS(K291="взв",11,K291="накл",24,K291="прокл",25,K291="пт",26,K291=90,10,K291=85,10,K291=80,9,K291=75,8,K291=70,8,K291=65,7,K291=60,7,K291=55,6,K291=50,6,K291=45,6,K291=40,5,K291=35,4,K291=30,4,K291=25,3,K291=20,2,K291=15,1,K291=10,1,K291=0,0)</f>
        <v>8</v>
      </c>
      <c r="N291" s="3" t="n">
        <f aca="false">IF(L291&lt;=1,0,IF(L291&lt;=10,11,IF(L291&lt;=14,12,IF(L291&lt;=17,13,IF(L291&lt;=20,14,IF(L291&lt;=22,15,IF(L291&lt;=25,16,IF(L291&lt;=27,17,IF(L291&lt;=29,18,IF(L291&lt;=32,19,IF(L291&lt;=34,20,IF(L291&lt;=36,21,IF(L291&lt;=40,22,24)))))))))))))</f>
        <v>0</v>
      </c>
      <c r="O291" s="3" t="n">
        <v>60</v>
      </c>
      <c r="Q291" s="3" t="n">
        <f aca="false">_xlfn.IFS(O291="взв",11,O291="накл",24,O291="прокл",25,O291="пт",26,O291=90,10,O291=85,10,O291=80,9,O291=75,8,O291=70,8,O291=65,7,O291=60,7,O291=55,6,O291=50,6,O291=45,6,O291=40,5,O291=35,4,O291=30,4,O291=25,3,O291=20,2,O291=15,1,O291=10,1,O291=0,0)</f>
        <v>7</v>
      </c>
      <c r="R291" s="3" t="n">
        <f aca="false">IF(P291&lt;=1,0,IF(P291&lt;=10,11,IF(P291&lt;=14,12,IF(P291&lt;=17,13,IF(P291&lt;=20,14,IF(P291&lt;=22,15,IF(P291&lt;=25,16,IF(P291&lt;=27,17,IF(P291&lt;=29,18,IF(P291&lt;=32,19,IF(P291&lt;=34,20,IF(P291&lt;=36,21,IF(P291&lt;=40,22,24)))))))))))))</f>
        <v>0</v>
      </c>
      <c r="S291" s="3" t="n">
        <f aca="false">ROUND((Q291+R291+I291+J291+M291+N291)/3,0)</f>
        <v>8</v>
      </c>
      <c r="T291" s="17" t="n">
        <f aca="false">F291*LOG10(S291+2)</f>
        <v>10</v>
      </c>
    </row>
    <row r="292" customFormat="false" ht="14.65" hidden="false" customHeight="true" outlineLevel="0" collapsed="false">
      <c r="A292" s="13" t="s">
        <v>354</v>
      </c>
      <c r="B292" s="14" t="n">
        <v>39985</v>
      </c>
      <c r="C292" s="15" t="s">
        <v>27</v>
      </c>
      <c r="D292" s="4" t="s">
        <v>64</v>
      </c>
      <c r="E292" s="3" t="n">
        <v>2</v>
      </c>
      <c r="F292" s="3" t="n">
        <v>10</v>
      </c>
      <c r="H292" s="3" t="n">
        <v>35</v>
      </c>
      <c r="I292" s="3" t="n">
        <f aca="false">_xlfn.IFS(G292="взв",11,G292="накл",24,G292="прокл",25,G292="пт",26,G292=90,10,G292=85,10,G292=80,9,G292=75,8,G292=70,8,G292=65,7,G292=60,7,G292=55,6,G292=50,6,G292=45,6,G292=40,5,G292=35,4,G292=30,4,G292=25,3,G292=20,2,G292=15,1,G292=10,1,G292=0,0)</f>
        <v>0</v>
      </c>
      <c r="J292" s="3" t="n">
        <f aca="false">IF(H292&lt;=1,0,IF(H292&lt;=10,11,IF(H292&lt;=14,12,IF(H292&lt;=17,13,IF(H292&lt;=20,14,IF(H292&lt;=22,15,IF(H292&lt;=25,16,IF(H292&lt;=27,17,IF(H292&lt;=29,18,IF(H292&lt;=32,19,IF(H292&lt;=34,20,IF(H292&lt;=36,21,IF(H292&lt;=40,22,24)))))))))))))</f>
        <v>21</v>
      </c>
      <c r="L292" s="3" t="n">
        <v>36</v>
      </c>
      <c r="M292" s="3" t="n">
        <f aca="false">_xlfn.IFS(K292="взв",11,K292="накл",24,K292="прокл",25,K292="пт",26,K292=90,10,K292=85,10,K292=80,9,K292=75,8,K292=70,8,K292=65,7,K292=60,7,K292=55,6,K292=50,6,K292=45,6,K292=40,5,K292=35,4,K292=30,4,K292=25,3,K292=20,2,K292=15,1,K292=10,1,K292=0,0)</f>
        <v>0</v>
      </c>
      <c r="N292" s="3" t="n">
        <f aca="false">IF(L292&lt;=1,0,IF(L292&lt;=10,11,IF(L292&lt;=14,12,IF(L292&lt;=17,13,IF(L292&lt;=20,14,IF(L292&lt;=22,15,IF(L292&lt;=25,16,IF(L292&lt;=27,17,IF(L292&lt;=29,18,IF(L292&lt;=32,19,IF(L292&lt;=34,20,IF(L292&lt;=36,21,IF(L292&lt;=40,22,24)))))))))))))</f>
        <v>21</v>
      </c>
      <c r="Q292" s="3" t="n">
        <f aca="false">_xlfn.IFS(O292="взв",11,O292="накл",24,O292="прокл",25,O292="пт",26,O292=90,10,O292=85,10,O292=80,9,O292=75,8,O292=70,8,O292=65,7,O292=60,7,O292=55,6,O292=50,6,O292=45,6,O292=40,5,O292=35,4,O292=30,4,O292=25,3,O292=20,2,O292=15,1,O292=10,1,O292=0,0)</f>
        <v>0</v>
      </c>
      <c r="R292" s="3" t="n">
        <f aca="false">IF(P292&lt;=1,0,IF(P292&lt;=10,11,IF(P292&lt;=14,12,IF(P292&lt;=17,13,IF(P292&lt;=20,14,IF(P292&lt;=22,15,IF(P292&lt;=25,16,IF(P292&lt;=27,17,IF(P292&lt;=29,18,IF(P292&lt;=32,19,IF(P292&lt;=34,20,IF(P292&lt;=36,21,IF(P292&lt;=40,22,24)))))))))))))</f>
        <v>0</v>
      </c>
      <c r="S292" s="3" t="n">
        <f aca="false">ROUND((Q292+R292+I292+J292+M292+N292)/2,0)</f>
        <v>21</v>
      </c>
      <c r="T292" s="17" t="n">
        <f aca="false">F292*LOG10(S292+2)</f>
        <v>13.6172783601759</v>
      </c>
    </row>
    <row r="293" customFormat="false" ht="14.65" hidden="false" customHeight="true" outlineLevel="0" collapsed="false">
      <c r="A293" s="13" t="s">
        <v>355</v>
      </c>
      <c r="B293" s="14" t="n">
        <v>39985</v>
      </c>
      <c r="C293" s="15" t="s">
        <v>27</v>
      </c>
      <c r="D293" s="4" t="s">
        <v>64</v>
      </c>
      <c r="E293" s="3" t="n">
        <v>4</v>
      </c>
      <c r="F293" s="3" t="n">
        <v>10</v>
      </c>
      <c r="G293" s="3" t="n">
        <v>90</v>
      </c>
      <c r="I293" s="3" t="n">
        <f aca="false">_xlfn.IFS(G293="взв",11,G293="накл",24,G293="прокл",25,G293="пт",26,G293=90,10,G293=85,10,G293=80,9,G293=75,8,G293=70,8,G293=65,7,G293=60,7,G293=55,6,G293=50,6,G293=45,6,G293=40,5,G293=35,4,G293=30,4,G293=25,3,G293=20,2,G293=15,1,G293=10,1,G293=0,0)</f>
        <v>10</v>
      </c>
      <c r="J293" s="3" t="n">
        <f aca="false">IF(H293&lt;=1,0,IF(H293&lt;=10,11,IF(H293&lt;=14,12,IF(H293&lt;=17,13,IF(H293&lt;=20,14,IF(H293&lt;=22,15,IF(H293&lt;=25,16,IF(H293&lt;=27,17,IF(H293&lt;=29,18,IF(H293&lt;=32,19,IF(H293&lt;=34,20,IF(H293&lt;=36,21,IF(H293&lt;=40,22,24)))))))))))))</f>
        <v>0</v>
      </c>
      <c r="K293" s="3" t="n">
        <v>75</v>
      </c>
      <c r="M293" s="3" t="n">
        <f aca="false">_xlfn.IFS(K293="взв",11,K293="накл",24,K293="прокл",25,K293="пт",26,K293=90,10,K293=85,10,K293=80,9,K293=75,8,K293=70,8,K293=65,7,K293=60,7,K293=55,6,K293=50,6,K293=45,6,K293=40,5,K293=35,4,K293=30,4,K293=25,3,K293=20,2,K293=15,1,K293=10,1,K293=0,0)</f>
        <v>8</v>
      </c>
      <c r="N293" s="3" t="n">
        <f aca="false">IF(L293&lt;=1,0,IF(L293&lt;=10,11,IF(L293&lt;=14,12,IF(L293&lt;=17,13,IF(L293&lt;=20,14,IF(L293&lt;=22,15,IF(L293&lt;=25,16,IF(L293&lt;=27,17,IF(L293&lt;=29,18,IF(L293&lt;=32,19,IF(L293&lt;=34,20,IF(L293&lt;=36,21,IF(L293&lt;=40,22,24)))))))))))))</f>
        <v>0</v>
      </c>
      <c r="O293" s="3" t="n">
        <v>75</v>
      </c>
      <c r="Q293" s="3" t="n">
        <f aca="false">_xlfn.IFS(O293="взв",11,O293="накл",24,O293="прокл",25,O293="пт",26,O293=90,10,O293=85,10,O293=80,9,O293=75,8,O293=70,8,O293=65,7,O293=60,7,O293=55,6,O293=50,6,O293=45,6,O293=40,5,O293=35,4,O293=30,4,O293=25,3,O293=20,2,O293=15,1,O293=10,1,O293=0,0)</f>
        <v>8</v>
      </c>
      <c r="R293" s="3" t="n">
        <f aca="false">IF(P293&lt;=1,0,IF(P293&lt;=10,11,IF(P293&lt;=14,12,IF(P293&lt;=17,13,IF(P293&lt;=20,14,IF(P293&lt;=22,15,IF(P293&lt;=25,16,IF(P293&lt;=27,17,IF(P293&lt;=29,18,IF(P293&lt;=32,19,IF(P293&lt;=34,20,IF(P293&lt;=36,21,IF(P293&lt;=40,22,24)))))))))))))</f>
        <v>0</v>
      </c>
      <c r="S293" s="3" t="n">
        <f aca="false">ROUND((Q293+R293+I293+J293+M293+N293)/3,0)</f>
        <v>9</v>
      </c>
      <c r="T293" s="17" t="n">
        <f aca="false">F293*LOG10(S293+2)</f>
        <v>10.4139268515823</v>
      </c>
    </row>
    <row r="294" customFormat="false" ht="14.65" hidden="false" customHeight="true" outlineLevel="0" collapsed="false">
      <c r="A294" s="13" t="s">
        <v>356</v>
      </c>
      <c r="B294" s="14" t="n">
        <v>39985</v>
      </c>
      <c r="C294" s="15" t="s">
        <v>27</v>
      </c>
      <c r="D294" s="4" t="s">
        <v>64</v>
      </c>
      <c r="E294" s="3" t="n">
        <v>5</v>
      </c>
      <c r="F294" s="3" t="n">
        <v>10</v>
      </c>
      <c r="H294" s="3" t="n">
        <v>39</v>
      </c>
      <c r="I294" s="3" t="n">
        <f aca="false">_xlfn.IFS(G294="взв",11,G294="накл",24,G294="прокл",25,G294="пт",26,G294=90,10,G294=85,10,G294=80,9,G294=75,8,G294=70,8,G294=65,7,G294=60,7,G294=55,6,G294=50,6,G294=45,6,G294=40,5,G294=35,4,G294=30,4,G294=25,3,G294=20,2,G294=15,1,G294=10,1,G294=0,0)</f>
        <v>0</v>
      </c>
      <c r="J294" s="3" t="n">
        <f aca="false">IF(H294&lt;=1,0,IF(H294&lt;=10,11,IF(H294&lt;=14,12,IF(H294&lt;=17,13,IF(H294&lt;=20,14,IF(H294&lt;=22,15,IF(H294&lt;=25,16,IF(H294&lt;=27,17,IF(H294&lt;=29,18,IF(H294&lt;=32,19,IF(H294&lt;=34,20,IF(H294&lt;=36,21,IF(H294&lt;=40,22,24)))))))))))))</f>
        <v>22</v>
      </c>
      <c r="L294" s="3" t="n">
        <v>35</v>
      </c>
      <c r="M294" s="3" t="n">
        <f aca="false">_xlfn.IFS(K294="взв",11,K294="накл",24,K294="прокл",25,K294="пт",26,K294=90,10,K294=85,10,K294=80,9,K294=75,8,K294=70,8,K294=65,7,K294=60,7,K294=55,6,K294=50,6,K294=45,6,K294=40,5,K294=35,4,K294=30,4,K294=25,3,K294=20,2,K294=15,1,K294=10,1,K294=0,0)</f>
        <v>0</v>
      </c>
      <c r="N294" s="3" t="n">
        <f aca="false">IF(L294&lt;=1,0,IF(L294&lt;=10,11,IF(L294&lt;=14,12,IF(L294&lt;=17,13,IF(L294&lt;=20,14,IF(L294&lt;=22,15,IF(L294&lt;=25,16,IF(L294&lt;=27,17,IF(L294&lt;=29,18,IF(L294&lt;=32,19,IF(L294&lt;=34,20,IF(L294&lt;=36,21,IF(L294&lt;=40,22,24)))))))))))))</f>
        <v>21</v>
      </c>
      <c r="O294" s="3" t="n">
        <v>0</v>
      </c>
      <c r="Q294" s="3" t="n">
        <f aca="false">_xlfn.IFS(O294="взв",11,O294="накл",24,O294="прокл",25,O294="пт",26,O294=90,10,O294=85,10,O294=80,9,O294=75,8,O294=70,8,O294=65,7,O294=60,7,O294=55,6,O294=50,6,O294=45,6,O294=40,5,O294=35,4,O294=30,4,O294=25,3,O294=20,2,O294=15,1,O294=10,1,O294=0,0)</f>
        <v>0</v>
      </c>
      <c r="R294" s="3" t="n">
        <f aca="false">IF(P294&lt;=1,0,IF(P294&lt;=10,11,IF(P294&lt;=14,12,IF(P294&lt;=17,13,IF(P294&lt;=20,14,IF(P294&lt;=22,15,IF(P294&lt;=25,16,IF(P294&lt;=27,17,IF(P294&lt;=29,18,IF(P294&lt;=32,19,IF(P294&lt;=34,20,IF(P294&lt;=36,21,IF(P294&lt;=40,22,24)))))))))))))</f>
        <v>0</v>
      </c>
      <c r="S294" s="3" t="n">
        <f aca="false">ROUND((Q294+R294+I294+J294+M294+N294)/3,0)</f>
        <v>14</v>
      </c>
      <c r="T294" s="17" t="n">
        <f aca="false">F294*LOG10(S294+2)</f>
        <v>12.0411998265592</v>
      </c>
    </row>
    <row r="295" customFormat="false" ht="14.65" hidden="false" customHeight="true" outlineLevel="0" collapsed="false">
      <c r="A295" s="13" t="s">
        <v>357</v>
      </c>
      <c r="B295" s="14" t="n">
        <v>39985</v>
      </c>
      <c r="C295" s="15" t="s">
        <v>27</v>
      </c>
      <c r="D295" s="4" t="s">
        <v>70</v>
      </c>
      <c r="E295" s="3" t="n">
        <v>3</v>
      </c>
      <c r="F295" s="3" t="n">
        <v>10</v>
      </c>
      <c r="H295" s="3" t="n">
        <v>42</v>
      </c>
      <c r="I295" s="3" t="n">
        <f aca="false">_xlfn.IFS(G295="взв",11,G295="накл",24,G295="прокл",25,G295="пт",26,G295=90,10,G295=85,10,G295=80,9,G295=75,8,G295=70,8,G295=65,7,G295=60,7,G295=55,6,G295=50,6,G295=45,6,G295=40,5,G295=35,4,G295=30,4,G295=25,3,G295=20,2,G295=15,1,G295=10,1,G295=0,0)</f>
        <v>0</v>
      </c>
      <c r="J295" s="3" t="n">
        <f aca="false">IF(H295&lt;=1,0,IF(H295&lt;=10,11,IF(H295&lt;=14,12,IF(H295&lt;=17,13,IF(H295&lt;=20,14,IF(H295&lt;=22,15,IF(H295&lt;=25,16,IF(H295&lt;=27,17,IF(H295&lt;=29,18,IF(H295&lt;=32,19,IF(H295&lt;=34,20,IF(H295&lt;=36,21,IF(H295&lt;=40,22,24)))))))))))))</f>
        <v>24</v>
      </c>
      <c r="L295" s="3" t="n">
        <v>38</v>
      </c>
      <c r="M295" s="3" t="n">
        <f aca="false">_xlfn.IFS(K295="взв",11,K295="накл",24,K295="прокл",25,K295="пт",26,K295=90,10,K295=85,10,K295=80,9,K295=75,8,K295=70,8,K295=65,7,K295=60,7,K295=55,6,K295=50,6,K295=45,6,K295=40,5,K295=35,4,K295=30,4,K295=25,3,K295=20,2,K295=15,1,K295=10,1,K295=0,0)</f>
        <v>0</v>
      </c>
      <c r="N295" s="3" t="n">
        <f aca="false">IF(L295&lt;=1,0,IF(L295&lt;=10,11,IF(L295&lt;=14,12,IF(L295&lt;=17,13,IF(L295&lt;=20,14,IF(L295&lt;=22,15,IF(L295&lt;=25,16,IF(L295&lt;=27,17,IF(L295&lt;=29,18,IF(L295&lt;=32,19,IF(L295&lt;=34,20,IF(L295&lt;=36,21,IF(L295&lt;=40,22,24)))))))))))))</f>
        <v>22</v>
      </c>
      <c r="P295" s="3" t="n">
        <v>39</v>
      </c>
      <c r="Q295" s="3" t="n">
        <f aca="false">_xlfn.IFS(O295="взв",11,O295="накл",24,O295="прокл",25,O295="пт",26,O295=90,10,O295=85,10,O295=80,9,O295=75,8,O295=70,8,O295=65,7,O295=60,7,O295=55,6,O295=50,6,O295=45,6,O295=40,5,O295=35,4,O295=30,4,O295=25,3,O295=20,2,O295=15,1,O295=10,1,O295=0,0)</f>
        <v>0</v>
      </c>
      <c r="R295" s="3" t="n">
        <f aca="false">IF(P295&lt;=1,0,IF(P295&lt;=10,11,IF(P295&lt;=14,12,IF(P295&lt;=17,13,IF(P295&lt;=20,14,IF(P295&lt;=22,15,IF(P295&lt;=25,16,IF(P295&lt;=27,17,IF(P295&lt;=29,18,IF(P295&lt;=32,19,IF(P295&lt;=34,20,IF(P295&lt;=36,21,IF(P295&lt;=40,22,24)))))))))))))</f>
        <v>22</v>
      </c>
      <c r="S295" s="3" t="n">
        <f aca="false">ROUND((Q295+R295+I295+J295+M295+N295)/3,0)</f>
        <v>23</v>
      </c>
      <c r="T295" s="17" t="n">
        <f aca="false">F295*LOG10(S295+2)</f>
        <v>13.9794000867204</v>
      </c>
    </row>
    <row r="296" customFormat="false" ht="14.65" hidden="false" customHeight="true" outlineLevel="0" collapsed="false">
      <c r="A296" s="13" t="s">
        <v>358</v>
      </c>
      <c r="B296" s="14" t="n">
        <v>39985</v>
      </c>
      <c r="C296" s="15" t="s">
        <v>27</v>
      </c>
      <c r="D296" s="4" t="s">
        <v>31</v>
      </c>
      <c r="E296" s="3" t="n">
        <v>5</v>
      </c>
      <c r="F296" s="3" t="n">
        <v>10</v>
      </c>
      <c r="G296" s="3" t="n">
        <v>0</v>
      </c>
      <c r="I296" s="3" t="n">
        <f aca="false">_xlfn.IFS(G296="взв",11,G296="накл",24,G296="прокл",25,G296="пт",26,G296=90,10,G296=85,10,G296=80,9,G296=75,8,G296=70,8,G296=65,7,G296=60,7,G296=55,6,G296=50,6,G296=45,6,G296=40,5,G296=35,4,G296=30,4,G296=25,3,G296=20,2,G296=15,1,G296=10,1,G296=0,0)</f>
        <v>0</v>
      </c>
      <c r="J296" s="3" t="n">
        <f aca="false">IF(H296&lt;=1,0,IF(H296&lt;=10,11,IF(H296&lt;=14,12,IF(H296&lt;=17,13,IF(H296&lt;=20,14,IF(H296&lt;=22,15,IF(H296&lt;=25,16,IF(H296&lt;=27,17,IF(H296&lt;=29,18,IF(H296&lt;=32,19,IF(H296&lt;=34,20,IF(H296&lt;=36,21,IF(H296&lt;=40,22,24)))))))))))))</f>
        <v>0</v>
      </c>
      <c r="K296" s="3" t="n">
        <v>15</v>
      </c>
      <c r="M296" s="3" t="n">
        <f aca="false">_xlfn.IFS(K296="взв",11,K296="накл",24,K296="прокл",25,K296="пт",26,K296=90,10,K296=85,10,K296=80,9,K296=75,8,K296=70,8,K296=65,7,K296=60,7,K296=55,6,K296=50,6,K296=45,6,K296=40,5,K296=35,4,K296=30,4,K296=25,3,K296=20,2,K296=15,1,K296=10,1,K296=0,0)</f>
        <v>1</v>
      </c>
      <c r="N296" s="3" t="n">
        <f aca="false">IF(L296&lt;=1,0,IF(L296&lt;=10,11,IF(L296&lt;=14,12,IF(L296&lt;=17,13,IF(L296&lt;=20,14,IF(L296&lt;=22,15,IF(L296&lt;=25,16,IF(L296&lt;=27,17,IF(L296&lt;=29,18,IF(L296&lt;=32,19,IF(L296&lt;=34,20,IF(L296&lt;=36,21,IF(L296&lt;=40,22,24)))))))))))))</f>
        <v>0</v>
      </c>
      <c r="O296" s="3" t="n">
        <v>15</v>
      </c>
      <c r="Q296" s="3" t="n">
        <f aca="false">_xlfn.IFS(O296="взв",11,O296="накл",24,O296="прокл",25,O296="пт",26,O296=90,10,O296=85,10,O296=80,9,O296=75,8,O296=70,8,O296=65,7,O296=60,7,O296=55,6,O296=50,6,O296=45,6,O296=40,5,O296=35,4,O296=30,4,O296=25,3,O296=20,2,O296=15,1,O296=10,1,O296=0,0)</f>
        <v>1</v>
      </c>
      <c r="R296" s="3" t="n">
        <f aca="false">IF(P296&lt;=1,0,IF(P296&lt;=10,11,IF(P296&lt;=14,12,IF(P296&lt;=17,13,IF(P296&lt;=20,14,IF(P296&lt;=22,15,IF(P296&lt;=25,16,IF(P296&lt;=27,17,IF(P296&lt;=29,18,IF(P296&lt;=32,19,IF(P296&lt;=34,20,IF(P296&lt;=36,21,IF(P296&lt;=40,22,24)))))))))))))</f>
        <v>0</v>
      </c>
      <c r="S296" s="3" t="n">
        <f aca="false">ROUND((Q296+R296+I296+J296+M296+N296)/3,0)</f>
        <v>1</v>
      </c>
      <c r="T296" s="17" t="n">
        <f aca="false">F296*LOG10(S296+2)</f>
        <v>4.77121254719662</v>
      </c>
    </row>
    <row r="297" customFormat="false" ht="14.65" hidden="false" customHeight="true" outlineLevel="0" collapsed="false">
      <c r="A297" s="13" t="s">
        <v>359</v>
      </c>
      <c r="B297" s="14" t="n">
        <v>39985</v>
      </c>
      <c r="C297" s="15" t="s">
        <v>27</v>
      </c>
      <c r="D297" s="4" t="s">
        <v>31</v>
      </c>
      <c r="E297" s="3" t="n">
        <v>4</v>
      </c>
      <c r="F297" s="3" t="n">
        <v>10</v>
      </c>
      <c r="G297" s="3" t="n">
        <v>30</v>
      </c>
      <c r="I297" s="3" t="n">
        <f aca="false">_xlfn.IFS(G297="взв",11,G297="накл",24,G297="прокл",25,G297="пт",26,G297=90,10,G297=85,10,G297=80,9,G297=75,8,G297=70,8,G297=65,7,G297=60,7,G297=55,6,G297=50,6,G297=45,6,G297=40,5,G297=35,4,G297=30,4,G297=25,3,G297=20,2,G297=15,1,G297=10,1,G297=0,0)</f>
        <v>4</v>
      </c>
      <c r="J297" s="3" t="n">
        <f aca="false">IF(H297&lt;=1,0,IF(H297&lt;=10,11,IF(H297&lt;=14,12,IF(H297&lt;=17,13,IF(H297&lt;=20,14,IF(H297&lt;=22,15,IF(H297&lt;=25,16,IF(H297&lt;=27,17,IF(H297&lt;=29,18,IF(H297&lt;=32,19,IF(H297&lt;=34,20,IF(H297&lt;=36,21,IF(H297&lt;=40,22,24)))))))))))))</f>
        <v>0</v>
      </c>
      <c r="K297" s="3" t="n">
        <v>30</v>
      </c>
      <c r="M297" s="3" t="n">
        <f aca="false">_xlfn.IFS(K297="взв",11,K297="накл",24,K297="прокл",25,K297="пт",26,K297=90,10,K297=85,10,K297=80,9,K297=75,8,K297=70,8,K297=65,7,K297=60,7,K297=55,6,K297=50,6,K297=45,6,K297=40,5,K297=35,4,K297=30,4,K297=25,3,K297=20,2,K297=15,1,K297=10,1,K297=0,0)</f>
        <v>4</v>
      </c>
      <c r="N297" s="3" t="n">
        <f aca="false">IF(L297&lt;=1,0,IF(L297&lt;=10,11,IF(L297&lt;=14,12,IF(L297&lt;=17,13,IF(L297&lt;=20,14,IF(L297&lt;=22,15,IF(L297&lt;=25,16,IF(L297&lt;=27,17,IF(L297&lt;=29,18,IF(L297&lt;=32,19,IF(L297&lt;=34,20,IF(L297&lt;=36,21,IF(L297&lt;=40,22,24)))))))))))))</f>
        <v>0</v>
      </c>
      <c r="O297" s="3" t="n">
        <v>30</v>
      </c>
      <c r="Q297" s="3" t="n">
        <f aca="false">_xlfn.IFS(O297="взв",11,O297="накл",24,O297="прокл",25,O297="пт",26,O297=90,10,O297=85,10,O297=80,9,O297=75,8,O297=70,8,O297=65,7,O297=60,7,O297=55,6,O297=50,6,O297=45,6,O297=40,5,O297=35,4,O297=30,4,O297=25,3,O297=20,2,O297=15,1,O297=10,1,O297=0,0)</f>
        <v>4</v>
      </c>
      <c r="R297" s="3" t="n">
        <f aca="false">IF(P297&lt;=1,0,IF(P297&lt;=10,11,IF(P297&lt;=14,12,IF(P297&lt;=17,13,IF(P297&lt;=20,14,IF(P297&lt;=22,15,IF(P297&lt;=25,16,IF(P297&lt;=27,17,IF(P297&lt;=29,18,IF(P297&lt;=32,19,IF(P297&lt;=34,20,IF(P297&lt;=36,21,IF(P297&lt;=40,22,24)))))))))))))</f>
        <v>0</v>
      </c>
      <c r="S297" s="3" t="n">
        <f aca="false">ROUND((Q297+R297+I297+J297+M297+N297)/3,0)</f>
        <v>4</v>
      </c>
      <c r="T297" s="17" t="n">
        <f aca="false">F297*LOG10(S297+2)</f>
        <v>7.78151250383644</v>
      </c>
    </row>
    <row r="298" customFormat="false" ht="14.65" hidden="false" customHeight="true" outlineLevel="0" collapsed="false">
      <c r="A298" s="13" t="s">
        <v>360</v>
      </c>
      <c r="B298" s="14" t="n">
        <v>39993</v>
      </c>
      <c r="C298" s="15" t="s">
        <v>78</v>
      </c>
      <c r="D298" s="4" t="s">
        <v>345</v>
      </c>
      <c r="E298" s="3" t="n">
        <v>4</v>
      </c>
      <c r="F298" s="3" t="n">
        <v>10</v>
      </c>
      <c r="G298" s="3" t="n">
        <v>70</v>
      </c>
      <c r="I298" s="3" t="n">
        <f aca="false">_xlfn.IFS(G298="взв",11,G298="накл",24,G298="прокл",25,G298="пт",26,G298=90,10,G298=85,10,G298=80,9,G298=75,8,G298=70,8,G298=65,7,G298=60,7,G298=55,6,G298=50,6,G298=45,6,G298=40,5,G298=35,4,G298=30,4,G298=25,3,G298=20,2,G298=15,1,G298=10,1,G298=0,0)</f>
        <v>8</v>
      </c>
      <c r="J298" s="3" t="n">
        <f aca="false">IF(H298&lt;=1,0,IF(H298&lt;=10,11,IF(H298&lt;=14,12,IF(H298&lt;=17,13,IF(H298&lt;=20,14,IF(H298&lt;=22,15,IF(H298&lt;=25,16,IF(H298&lt;=27,17,IF(H298&lt;=29,18,IF(H298&lt;=32,19,IF(H298&lt;=34,20,IF(H298&lt;=36,21,IF(H298&lt;=40,22,24)))))))))))))</f>
        <v>0</v>
      </c>
      <c r="K298" s="3" t="n">
        <v>70</v>
      </c>
      <c r="M298" s="3" t="n">
        <f aca="false">_xlfn.IFS(K298="взв",11,K298="накл",24,K298="прокл",25,K298="пт",26,K298=90,10,K298=85,10,K298=80,9,K298=75,8,K298=70,8,K298=65,7,K298=60,7,K298=55,6,K298=50,6,K298=45,6,K298=40,5,K298=35,4,K298=30,4,K298=25,3,K298=20,2,K298=15,1,K298=10,1,K298=0,0)</f>
        <v>8</v>
      </c>
      <c r="N298" s="3" t="n">
        <f aca="false">IF(L298&lt;=1,0,IF(L298&lt;=10,11,IF(L298&lt;=14,12,IF(L298&lt;=17,13,IF(L298&lt;=20,14,IF(L298&lt;=22,15,IF(L298&lt;=25,16,IF(L298&lt;=27,17,IF(L298&lt;=29,18,IF(L298&lt;=32,19,IF(L298&lt;=34,20,IF(L298&lt;=36,21,IF(L298&lt;=40,22,24)))))))))))))</f>
        <v>0</v>
      </c>
      <c r="O298" s="3" t="n">
        <v>80</v>
      </c>
      <c r="Q298" s="3" t="n">
        <f aca="false">_xlfn.IFS(O298="взв",11,O298="накл",24,O298="прокл",25,O298="пт",26,O298=90,10,O298=85,10,O298=80,9,O298=75,8,O298=70,8,O298=65,7,O298=60,7,O298=55,6,O298=50,6,O298=45,6,O298=40,5,O298=35,4,O298=30,4,O298=25,3,O298=20,2,O298=15,1,O298=10,1,O298=0,0)</f>
        <v>9</v>
      </c>
      <c r="R298" s="3" t="n">
        <f aca="false">IF(P298&lt;=1,0,IF(P298&lt;=10,11,IF(P298&lt;=14,12,IF(P298&lt;=17,13,IF(P298&lt;=20,14,IF(P298&lt;=22,15,IF(P298&lt;=25,16,IF(P298&lt;=27,17,IF(P298&lt;=29,18,IF(P298&lt;=32,19,IF(P298&lt;=34,20,IF(P298&lt;=36,21,IF(P298&lt;=40,22,24)))))))))))))</f>
        <v>0</v>
      </c>
      <c r="S298" s="3" t="n">
        <f aca="false">ROUND((Q298+R298+I298+J298+M298+N298)/3,0)</f>
        <v>8</v>
      </c>
      <c r="T298" s="17" t="n">
        <f aca="false">F298*LOG10(S298+2)</f>
        <v>10</v>
      </c>
    </row>
    <row r="299" customFormat="false" ht="14.65" hidden="false" customHeight="true" outlineLevel="0" collapsed="false">
      <c r="A299" s="13" t="s">
        <v>361</v>
      </c>
      <c r="B299" s="2" t="n">
        <v>39996</v>
      </c>
      <c r="C299" s="15" t="s">
        <v>21</v>
      </c>
      <c r="D299" s="4" t="s">
        <v>34</v>
      </c>
      <c r="E299" s="3" t="n">
        <v>5</v>
      </c>
      <c r="F299" s="3" t="n">
        <v>10</v>
      </c>
      <c r="G299" s="3" t="n">
        <v>60</v>
      </c>
      <c r="I299" s="3" t="n">
        <f aca="false">_xlfn.IFS(G299="взв",11,G299="накл",24,G299="прокл",25,G299="пт",26,G299=90,10,G299=85,10,G299=80,9,G299=75,8,G299=70,8,G299=65,7,G299=60,7,G299=55,6,G299=50,6,G299=45,6,G299=40,5,G299=35,4,G299=30,4,G299=25,3,G299=20,2,G299=15,1,G299=10,1,G299=0,0)</f>
        <v>7</v>
      </c>
      <c r="J299" s="3" t="n">
        <f aca="false">IF(H299&lt;=1,0,IF(H299&lt;=10,11,IF(H299&lt;=14,12,IF(H299&lt;=17,13,IF(H299&lt;=20,14,IF(H299&lt;=22,15,IF(H299&lt;=25,16,IF(H299&lt;=27,17,IF(H299&lt;=29,18,IF(H299&lt;=32,19,IF(H299&lt;=34,20,IF(H299&lt;=36,21,IF(H299&lt;=40,22,24)))))))))))))</f>
        <v>0</v>
      </c>
      <c r="K299" s="3" t="n">
        <v>80</v>
      </c>
      <c r="M299" s="3" t="n">
        <f aca="false">_xlfn.IFS(K299="взв",11,K299="накл",24,K299="прокл",25,K299="пт",26,K299=90,10,K299=85,10,K299=80,9,K299=75,8,K299=70,8,K299=65,7,K299=60,7,K299=55,6,K299=50,6,K299=45,6,K299=40,5,K299=35,4,K299=30,4,K299=25,3,K299=20,2,K299=15,1,K299=10,1,K299=0,0)</f>
        <v>9</v>
      </c>
      <c r="N299" s="3" t="n">
        <f aca="false">IF(L299&lt;=1,0,IF(L299&lt;=10,11,IF(L299&lt;=14,12,IF(L299&lt;=17,13,IF(L299&lt;=20,14,IF(L299&lt;=22,15,IF(L299&lt;=25,16,IF(L299&lt;=27,17,IF(L299&lt;=29,18,IF(L299&lt;=32,19,IF(L299&lt;=34,20,IF(L299&lt;=36,21,IF(L299&lt;=40,22,24)))))))))))))</f>
        <v>0</v>
      </c>
      <c r="O299" s="3" t="n">
        <v>45</v>
      </c>
      <c r="Q299" s="3" t="n">
        <f aca="false">_xlfn.IFS(O299="взв",11,O299="накл",24,O299="прокл",25,O299="пт",26,O299=90,10,O299=85,10,O299=80,9,O299=75,8,O299=70,8,O299=65,7,O299=60,7,O299=55,6,O299=50,6,O299=45,6,O299=40,5,O299=35,4,O299=30,4,O299=25,3,O299=20,2,O299=15,1,O299=10,1,O299=0,0)</f>
        <v>6</v>
      </c>
      <c r="R299" s="3" t="n">
        <f aca="false">IF(P299&lt;=1,0,IF(P299&lt;=10,11,IF(P299&lt;=14,12,IF(P299&lt;=17,13,IF(P299&lt;=20,14,IF(P299&lt;=22,15,IF(P299&lt;=25,16,IF(P299&lt;=27,17,IF(P299&lt;=29,18,IF(P299&lt;=32,19,IF(P299&lt;=34,20,IF(P299&lt;=36,21,IF(P299&lt;=40,22,24)))))))))))))</f>
        <v>0</v>
      </c>
      <c r="S299" s="3" t="n">
        <f aca="false">ROUND((Q299+R299+I299+J299+M299+N299)/3,0)</f>
        <v>7</v>
      </c>
      <c r="T299" s="17" t="n">
        <f aca="false">F299*LOG10(S299+2)</f>
        <v>9.54242509439325</v>
      </c>
    </row>
    <row r="300" customFormat="false" ht="14.65" hidden="false" customHeight="true" outlineLevel="0" collapsed="false">
      <c r="A300" s="13" t="s">
        <v>362</v>
      </c>
      <c r="B300" s="2" t="n">
        <v>40003</v>
      </c>
      <c r="C300" s="15" t="s">
        <v>39</v>
      </c>
      <c r="D300" s="4" t="s">
        <v>40</v>
      </c>
      <c r="E300" s="3" t="n">
        <v>9</v>
      </c>
      <c r="F300" s="3" t="n">
        <v>10</v>
      </c>
      <c r="H300" s="3" t="n">
        <v>27</v>
      </c>
      <c r="I300" s="3" t="n">
        <f aca="false">_xlfn.IFS(G300="взв",11,G300="накл",24,G300="прокл",25,G300="пт",26,G300=90,10,G300=85,10,G300=80,9,G300=75,8,G300=70,8,G300=65,7,G300=60,7,G300=55,6,G300=50,6,G300=45,6,G300=40,5,G300=35,4,G300=30,4,G300=25,3,G300=20,2,G300=15,1,G300=10,1,G300=0,0)</f>
        <v>0</v>
      </c>
      <c r="J300" s="3" t="n">
        <f aca="false">IF(H300&lt;=1,0,IF(H300&lt;=10,11,IF(H300&lt;=14,12,IF(H300&lt;=17,13,IF(H300&lt;=20,14,IF(H300&lt;=22,15,IF(H300&lt;=25,16,IF(H300&lt;=27,17,IF(H300&lt;=29,18,IF(H300&lt;=32,19,IF(H300&lt;=34,20,IF(H300&lt;=36,21,IF(H300&lt;=40,22,24)))))))))))))</f>
        <v>17</v>
      </c>
      <c r="L300" s="3" t="n">
        <v>32</v>
      </c>
      <c r="M300" s="3" t="n">
        <f aca="false">_xlfn.IFS(K300="взв",11,K300="накл",24,K300="прокл",25,K300="пт",26,K300=90,10,K300=85,10,K300=80,9,K300=75,8,K300=70,8,K300=65,7,K300=60,7,K300=55,6,K300=50,6,K300=45,6,K300=40,5,K300=35,4,K300=30,4,K300=25,3,K300=20,2,K300=15,1,K300=10,1,K300=0,0)</f>
        <v>0</v>
      </c>
      <c r="N300" s="3" t="n">
        <f aca="false">IF(L300&lt;=1,0,IF(L300&lt;=10,11,IF(L300&lt;=14,12,IF(L300&lt;=17,13,IF(L300&lt;=20,14,IF(L300&lt;=22,15,IF(L300&lt;=25,16,IF(L300&lt;=27,17,IF(L300&lt;=29,18,IF(L300&lt;=32,19,IF(L300&lt;=34,20,IF(L300&lt;=36,21,IF(L300&lt;=40,22,24)))))))))))))</f>
        <v>19</v>
      </c>
      <c r="P300" s="3" t="n">
        <v>19</v>
      </c>
      <c r="Q300" s="3" t="n">
        <f aca="false">_xlfn.IFS(O300="взв",11,O300="накл",24,O300="прокл",25,O300="пт",26,O300=90,10,O300=85,10,O300=80,9,O300=75,8,O300=70,8,O300=65,7,O300=60,7,O300=55,6,O300=50,6,O300=45,6,O300=40,5,O300=35,4,O300=30,4,O300=25,3,O300=20,2,O300=15,1,O300=10,1,O300=0,0)</f>
        <v>0</v>
      </c>
      <c r="R300" s="3" t="n">
        <f aca="false">IF(P300&lt;=1,0,IF(P300&lt;=10,11,IF(P300&lt;=14,12,IF(P300&lt;=17,13,IF(P300&lt;=20,14,IF(P300&lt;=22,15,IF(P300&lt;=25,16,IF(P300&lt;=27,17,IF(P300&lt;=29,18,IF(P300&lt;=32,19,IF(P300&lt;=34,20,IF(P300&lt;=36,21,IF(P300&lt;=40,22,24)))))))))))))</f>
        <v>14</v>
      </c>
      <c r="S300" s="3" t="n">
        <f aca="false">ROUND((Q300+R300+I300+J300+M300+N300)/3,0)</f>
        <v>17</v>
      </c>
      <c r="T300" s="17" t="n">
        <f aca="false">F300*LOG10(S300+2)</f>
        <v>12.7875360095283</v>
      </c>
    </row>
    <row r="301" customFormat="false" ht="14.65" hidden="false" customHeight="true" outlineLevel="0" collapsed="false">
      <c r="A301" s="13" t="s">
        <v>363</v>
      </c>
      <c r="B301" s="2" t="n">
        <v>40003</v>
      </c>
      <c r="C301" s="15" t="s">
        <v>39</v>
      </c>
      <c r="D301" s="4" t="s">
        <v>40</v>
      </c>
      <c r="E301" s="3" t="n">
        <v>3</v>
      </c>
      <c r="F301" s="3" t="n">
        <v>10</v>
      </c>
      <c r="H301" s="3" t="n">
        <v>30</v>
      </c>
      <c r="I301" s="3" t="n">
        <f aca="false">_xlfn.IFS(G301="взв",11,G301="накл",24,G301="прокл",25,G301="пт",26,G301=90,10,G301=85,10,G301=80,9,G301=75,8,G301=70,8,G301=65,7,G301=60,7,G301=55,6,G301=50,6,G301=45,6,G301=40,5,G301=35,4,G301=30,4,G301=25,3,G301=20,2,G301=15,1,G301=10,1,G301=0,0)</f>
        <v>0</v>
      </c>
      <c r="J301" s="3" t="n">
        <f aca="false">IF(H301&lt;=1,0,IF(H301&lt;=10,11,IF(H301&lt;=14,12,IF(H301&lt;=17,13,IF(H301&lt;=20,14,IF(H301&lt;=22,15,IF(H301&lt;=25,16,IF(H301&lt;=27,17,IF(H301&lt;=29,18,IF(H301&lt;=32,19,IF(H301&lt;=34,20,IF(H301&lt;=36,21,IF(H301&lt;=40,22,24)))))))))))))</f>
        <v>19</v>
      </c>
      <c r="L301" s="3" t="n">
        <v>35</v>
      </c>
      <c r="M301" s="3" t="n">
        <f aca="false">_xlfn.IFS(K301="взв",11,K301="накл",24,K301="прокл",25,K301="пт",26,K301=90,10,K301=85,10,K301=80,9,K301=75,8,K301=70,8,K301=65,7,K301=60,7,K301=55,6,K301=50,6,K301=45,6,K301=40,5,K301=35,4,K301=30,4,K301=25,3,K301=20,2,K301=15,1,K301=10,1,K301=0,0)</f>
        <v>0</v>
      </c>
      <c r="N301" s="3" t="n">
        <f aca="false">IF(L301&lt;=1,0,IF(L301&lt;=10,11,IF(L301&lt;=14,12,IF(L301&lt;=17,13,IF(L301&lt;=20,14,IF(L301&lt;=22,15,IF(L301&lt;=25,16,IF(L301&lt;=27,17,IF(L301&lt;=29,18,IF(L301&lt;=32,19,IF(L301&lt;=34,20,IF(L301&lt;=36,21,IF(L301&lt;=40,22,24)))))))))))))</f>
        <v>21</v>
      </c>
      <c r="P301" s="3" t="n">
        <v>36</v>
      </c>
      <c r="Q301" s="3" t="n">
        <f aca="false">_xlfn.IFS(O301="взв",11,O301="накл",24,O301="прокл",25,O301="пт",26,O301=90,10,O301=85,10,O301=80,9,O301=75,8,O301=70,8,O301=65,7,O301=60,7,O301=55,6,O301=50,6,O301=45,6,O301=40,5,O301=35,4,O301=30,4,O301=25,3,O301=20,2,O301=15,1,O301=10,1,O301=0,0)</f>
        <v>0</v>
      </c>
      <c r="R301" s="3" t="n">
        <f aca="false">IF(P301&lt;=1,0,IF(P301&lt;=10,11,IF(P301&lt;=14,12,IF(P301&lt;=17,13,IF(P301&lt;=20,14,IF(P301&lt;=22,15,IF(P301&lt;=25,16,IF(P301&lt;=27,17,IF(P301&lt;=29,18,IF(P301&lt;=32,19,IF(P301&lt;=34,20,IF(P301&lt;=36,21,IF(P301&lt;=40,22,24)))))))))))))</f>
        <v>21</v>
      </c>
      <c r="S301" s="3" t="n">
        <f aca="false">ROUND((Q301+R301+I301+J301+M301+N301)/3,0)</f>
        <v>20</v>
      </c>
      <c r="T301" s="17" t="n">
        <f aca="false">F301*LOG10(S301+2)</f>
        <v>13.4242268082221</v>
      </c>
    </row>
    <row r="302" customFormat="false" ht="14.65" hidden="false" customHeight="true" outlineLevel="0" collapsed="false">
      <c r="A302" s="13" t="s">
        <v>364</v>
      </c>
      <c r="B302" s="14" t="n">
        <v>39976</v>
      </c>
      <c r="C302" s="15" t="s">
        <v>21</v>
      </c>
      <c r="D302" s="16" t="s">
        <v>92</v>
      </c>
      <c r="E302" s="15" t="n">
        <v>6</v>
      </c>
      <c r="F302" s="15" t="n">
        <v>12</v>
      </c>
      <c r="G302" s="15" t="n">
        <v>10</v>
      </c>
      <c r="H302" s="15"/>
      <c r="I302" s="3" t="n">
        <f aca="false">_xlfn.IFS(G302="взв",11,G302="накл",24,G302="прокл",25,G302="пт",26,G302=90,10,G302=85,10,G302=80,9,G302=75,8,G302=70,8,G302=65,7,G302=60,7,G302=55,6,G302=50,6,G302=45,6,G302=40,5,G302=35,4,G302=30,4,G302=25,3,G302=20,2,G302=15,1,G302=10,1,G302=0,0)</f>
        <v>1</v>
      </c>
      <c r="J302" s="3" t="n">
        <f aca="false">IF(H302&lt;=1,0,IF(H302&lt;=10,11,IF(H302&lt;=14,12,IF(H302&lt;=17,13,IF(H302&lt;=20,14,IF(H302&lt;=22,15,IF(H302&lt;=25,16,IF(H302&lt;=27,17,IF(H302&lt;=29,18,IF(H302&lt;=32,19,IF(H302&lt;=34,20,IF(H302&lt;=36,21,IF(H302&lt;=40,22,24)))))))))))))</f>
        <v>0</v>
      </c>
      <c r="K302" s="15" t="n">
        <v>0</v>
      </c>
      <c r="L302" s="15"/>
      <c r="M302" s="3" t="n">
        <f aca="false">_xlfn.IFS(K302="взв",11,K302="накл",24,K302="прокл",25,K302="пт",26,K302=90,10,K302=85,10,K302=80,9,K302=75,8,K302=70,8,K302=65,7,K302=60,7,K302=55,6,K302=50,6,K302=45,6,K302=40,5,K302=35,4,K302=30,4,K302=25,3,K302=20,2,K302=15,1,K302=10,1,K302=0,0)</f>
        <v>0</v>
      </c>
      <c r="N302" s="3" t="n">
        <f aca="false">IF(L302&lt;=1,0,IF(L302&lt;=10,11,IF(L302&lt;=14,12,IF(L302&lt;=17,13,IF(L302&lt;=20,14,IF(L302&lt;=22,15,IF(L302&lt;=25,16,IF(L302&lt;=27,17,IF(L302&lt;=29,18,IF(L302&lt;=32,19,IF(L302&lt;=34,20,IF(L302&lt;=36,21,IF(L302&lt;=40,22,24)))))))))))))</f>
        <v>0</v>
      </c>
      <c r="O302" s="15" t="n">
        <v>0</v>
      </c>
      <c r="P302" s="15"/>
      <c r="Q302" s="3" t="n">
        <f aca="false">_xlfn.IFS(O302="взв",11,O302="накл",24,O302="прокл",25,O302="пт",26,O302=90,10,O302=85,10,O302=80,9,O302=75,8,O302=70,8,O302=65,7,O302=60,7,O302=55,6,O302=50,6,O302=45,6,O302=40,5,O302=35,4,O302=30,4,O302=25,3,O302=20,2,O302=15,1,O302=10,1,O302=0,0)</f>
        <v>0</v>
      </c>
      <c r="R302" s="3" t="n">
        <f aca="false">IF(P302&lt;=1,0,IF(P302&lt;=10,11,IF(P302&lt;=14,12,IF(P302&lt;=17,13,IF(P302&lt;=20,14,IF(P302&lt;=22,15,IF(P302&lt;=25,16,IF(P302&lt;=27,17,IF(P302&lt;=29,18,IF(P302&lt;=32,19,IF(P302&lt;=34,20,IF(P302&lt;=36,21,IF(P302&lt;=40,22,24)))))))))))))</f>
        <v>0</v>
      </c>
      <c r="S302" s="3" t="n">
        <f aca="false">ROUND((Q302+R302+I302+J302+M302+N302)/3,0)</f>
        <v>0</v>
      </c>
      <c r="T302" s="17" t="n">
        <f aca="false">F302*LOG10(S302+2)</f>
        <v>3.61235994796777</v>
      </c>
    </row>
    <row r="303" customFormat="false" ht="14.65" hidden="false" customHeight="true" outlineLevel="0" collapsed="false">
      <c r="A303" s="13" t="s">
        <v>365</v>
      </c>
      <c r="B303" s="14" t="n">
        <v>39981</v>
      </c>
      <c r="C303" s="15" t="s">
        <v>27</v>
      </c>
      <c r="D303" s="4" t="s">
        <v>47</v>
      </c>
      <c r="E303" s="3" t="n">
        <v>7</v>
      </c>
      <c r="F303" s="3" t="n">
        <v>12</v>
      </c>
      <c r="G303" s="3" t="n">
        <v>30</v>
      </c>
      <c r="I303" s="3" t="n">
        <f aca="false">_xlfn.IFS(G303="взв",11,G303="накл",24,G303="прокл",25,G303="пт",26,G303=90,10,G303=85,10,G303=80,9,G303=75,8,G303=70,8,G303=65,7,G303=60,7,G303=55,6,G303=50,6,G303=45,6,G303=40,5,G303=35,4,G303=30,4,G303=25,3,G303=20,2,G303=15,1,G303=10,1,G303=0,0)</f>
        <v>4</v>
      </c>
      <c r="J303" s="3" t="n">
        <f aca="false">IF(H303&lt;=1,0,IF(H303&lt;=10,11,IF(H303&lt;=14,12,IF(H303&lt;=17,13,IF(H303&lt;=20,14,IF(H303&lt;=22,15,IF(H303&lt;=25,16,IF(H303&lt;=27,17,IF(H303&lt;=29,18,IF(H303&lt;=32,19,IF(H303&lt;=34,20,IF(H303&lt;=36,21,IF(H303&lt;=40,22,24)))))))))))))</f>
        <v>0</v>
      </c>
      <c r="K303" s="3" t="n">
        <v>45</v>
      </c>
      <c r="M303" s="3" t="n">
        <f aca="false">_xlfn.IFS(K303="взв",11,K303="накл",24,K303="прокл",25,K303="пт",26,K303=90,10,K303=85,10,K303=80,9,K303=75,8,K303=70,8,K303=65,7,K303=60,7,K303=55,6,K303=50,6,K303=45,6,K303=40,5,K303=35,4,K303=30,4,K303=25,3,K303=20,2,K303=15,1,K303=10,1,K303=0,0)</f>
        <v>6</v>
      </c>
      <c r="N303" s="3" t="n">
        <f aca="false">IF(L303&lt;=1,0,IF(L303&lt;=10,11,IF(L303&lt;=14,12,IF(L303&lt;=17,13,IF(L303&lt;=20,14,IF(L303&lt;=22,15,IF(L303&lt;=25,16,IF(L303&lt;=27,17,IF(L303&lt;=29,18,IF(L303&lt;=32,19,IF(L303&lt;=34,20,IF(L303&lt;=36,21,IF(L303&lt;=40,22,24)))))))))))))</f>
        <v>0</v>
      </c>
      <c r="O303" s="3" t="n">
        <v>45</v>
      </c>
      <c r="Q303" s="3" t="n">
        <f aca="false">_xlfn.IFS(O303="взв",11,O303="накл",24,O303="прокл",25,O303="пт",26,O303=90,10,O303=85,10,O303=80,9,O303=75,8,O303=70,8,O303=65,7,O303=60,7,O303=55,6,O303=50,6,O303=45,6,O303=40,5,O303=35,4,O303=30,4,O303=25,3,O303=20,2,O303=15,1,O303=10,1,O303=0,0)</f>
        <v>6</v>
      </c>
      <c r="R303" s="3" t="n">
        <f aca="false">IF(P303&lt;=1,0,IF(P303&lt;=10,11,IF(P303&lt;=14,12,IF(P303&lt;=17,13,IF(P303&lt;=20,14,IF(P303&lt;=22,15,IF(P303&lt;=25,16,IF(P303&lt;=27,17,IF(P303&lt;=29,18,IF(P303&lt;=32,19,IF(P303&lt;=34,20,IF(P303&lt;=36,21,IF(P303&lt;=40,22,24)))))))))))))</f>
        <v>0</v>
      </c>
      <c r="S303" s="3" t="n">
        <f aca="false">ROUND((Q303+R303+I303+J303+M303+N303)/3,0)</f>
        <v>5</v>
      </c>
      <c r="T303" s="17" t="n">
        <f aca="false">F303*LOG10(S303+2)</f>
        <v>10.1411764801711</v>
      </c>
    </row>
    <row r="304" customFormat="false" ht="14.65" hidden="false" customHeight="true" outlineLevel="0" collapsed="false">
      <c r="A304" s="13" t="s">
        <v>366</v>
      </c>
      <c r="B304" s="2" t="n">
        <v>40001</v>
      </c>
      <c r="C304" s="15" t="s">
        <v>39</v>
      </c>
      <c r="D304" s="4" t="s">
        <v>39</v>
      </c>
      <c r="E304" s="3" t="n">
        <v>3</v>
      </c>
      <c r="F304" s="3" t="n">
        <v>14</v>
      </c>
      <c r="H304" s="3" t="n">
        <v>35</v>
      </c>
      <c r="I304" s="3" t="n">
        <f aca="false">_xlfn.IFS(G304="взв",11,G304="накл",24,G304="прокл",25,G304="пт",26,G304=90,10,G304=85,10,G304=80,9,G304=75,8,G304=70,8,G304=65,7,G304=60,7,G304=55,6,G304=50,6,G304=45,6,G304=40,5,G304=35,4,G304=30,4,G304=25,3,G304=20,2,G304=15,1,G304=10,1,G304=0,0)</f>
        <v>0</v>
      </c>
      <c r="J304" s="3" t="n">
        <f aca="false">IF(H304&lt;=1,0,IF(H304&lt;=10,11,IF(H304&lt;=14,12,IF(H304&lt;=17,13,IF(H304&lt;=20,14,IF(H304&lt;=22,15,IF(H304&lt;=25,16,IF(H304&lt;=27,17,IF(H304&lt;=29,18,IF(H304&lt;=32,19,IF(H304&lt;=34,20,IF(H304&lt;=36,21,IF(H304&lt;=40,22,24)))))))))))))</f>
        <v>21</v>
      </c>
      <c r="L304" s="3" t="n">
        <v>33</v>
      </c>
      <c r="M304" s="3" t="n">
        <f aca="false">_xlfn.IFS(K304="взв",11,K304="накл",24,K304="прокл",25,K304="пт",26,K304=90,10,K304=85,10,K304=80,9,K304=75,8,K304=70,8,K304=65,7,K304=60,7,K304=55,6,K304=50,6,K304=45,6,K304=40,5,K304=35,4,K304=30,4,K304=25,3,K304=20,2,K304=15,1,K304=10,1,K304=0,0)</f>
        <v>0</v>
      </c>
      <c r="N304" s="3" t="n">
        <f aca="false">IF(L304&lt;=1,0,IF(L304&lt;=10,11,IF(L304&lt;=14,12,IF(L304&lt;=17,13,IF(L304&lt;=20,14,IF(L304&lt;=22,15,IF(L304&lt;=25,16,IF(L304&lt;=27,17,IF(L304&lt;=29,18,IF(L304&lt;=32,19,IF(L304&lt;=34,20,IF(L304&lt;=36,21,IF(L304&lt;=40,22,24)))))))))))))</f>
        <v>20</v>
      </c>
      <c r="P304" s="3" t="n">
        <v>36</v>
      </c>
      <c r="Q304" s="3" t="n">
        <f aca="false">_xlfn.IFS(O304="взв",11,O304="накл",24,O304="прокл",25,O304="пт",26,O304=90,10,O304=85,10,O304=80,9,O304=75,8,O304=70,8,O304=65,7,O304=60,7,O304=55,6,O304=50,6,O304=45,6,O304=40,5,O304=35,4,O304=30,4,O304=25,3,O304=20,2,O304=15,1,O304=10,1,O304=0,0)</f>
        <v>0</v>
      </c>
      <c r="R304" s="3" t="n">
        <f aca="false">IF(P304&lt;=1,0,IF(P304&lt;=10,11,IF(P304&lt;=14,12,IF(P304&lt;=17,13,IF(P304&lt;=20,14,IF(P304&lt;=22,15,IF(P304&lt;=25,16,IF(P304&lt;=27,17,IF(P304&lt;=29,18,IF(P304&lt;=32,19,IF(P304&lt;=34,20,IF(P304&lt;=36,21,IF(P304&lt;=40,22,24)))))))))))))</f>
        <v>21</v>
      </c>
      <c r="S304" s="3" t="n">
        <f aca="false">ROUND((Q304+R304+I304+J304+M304+N304)/3,0)</f>
        <v>21</v>
      </c>
      <c r="T304" s="17" t="n">
        <f aca="false">F304*LOG10(S304+2)</f>
        <v>19.0641897042463</v>
      </c>
    </row>
    <row r="305" customFormat="false" ht="14.65" hidden="false" customHeight="true" outlineLevel="0" collapsed="false">
      <c r="A305" s="13" t="s">
        <v>367</v>
      </c>
      <c r="B305" s="14" t="n">
        <v>39977</v>
      </c>
      <c r="C305" s="15" t="s">
        <v>21</v>
      </c>
      <c r="D305" s="16" t="s">
        <v>100</v>
      </c>
      <c r="E305" s="3" t="n">
        <v>6</v>
      </c>
      <c r="F305" s="3" t="n">
        <v>15</v>
      </c>
      <c r="G305" s="3" t="n">
        <v>75</v>
      </c>
      <c r="I305" s="3" t="n">
        <f aca="false">_xlfn.IFS(G305="взв",11,G305="накл",24,G305="прокл",25,G305="пт",26,G305=90,10,G305=85,10,G305=80,9,G305=75,8,G305=70,8,G305=65,7,G305=60,7,G305=55,6,G305=50,6,G305=45,6,G305=40,5,G305=35,4,G305=30,4,G305=25,3,G305=20,2,G305=15,1,G305=10,1,G305=0,0)</f>
        <v>8</v>
      </c>
      <c r="J305" s="3" t="n">
        <f aca="false">IF(H305&lt;=1,0,IF(H305&lt;=10,11,IF(H305&lt;=14,12,IF(H305&lt;=17,13,IF(H305&lt;=20,14,IF(H305&lt;=22,15,IF(H305&lt;=25,16,IF(H305&lt;=27,17,IF(H305&lt;=29,18,IF(H305&lt;=32,19,IF(H305&lt;=34,20,IF(H305&lt;=36,21,IF(H305&lt;=40,22,24)))))))))))))</f>
        <v>0</v>
      </c>
      <c r="K305" s="3" t="n">
        <v>75</v>
      </c>
      <c r="M305" s="3" t="n">
        <f aca="false">_xlfn.IFS(K305="взв",11,K305="накл",24,K305="прокл",25,K305="пт",26,K305=90,10,K305=85,10,K305=80,9,K305=75,8,K305=70,8,K305=65,7,K305=60,7,K305=55,6,K305=50,6,K305=45,6,K305=40,5,K305=35,4,K305=30,4,K305=25,3,K305=20,2,K305=15,1,K305=10,1,K305=0,0)</f>
        <v>8</v>
      </c>
      <c r="N305" s="3" t="n">
        <f aca="false">IF(L305&lt;=1,0,IF(L305&lt;=10,11,IF(L305&lt;=14,12,IF(L305&lt;=17,13,IF(L305&lt;=20,14,IF(L305&lt;=22,15,IF(L305&lt;=25,16,IF(L305&lt;=27,17,IF(L305&lt;=29,18,IF(L305&lt;=32,19,IF(L305&lt;=34,20,IF(L305&lt;=36,21,IF(L305&lt;=40,22,24)))))))))))))</f>
        <v>0</v>
      </c>
      <c r="O305" s="3" t="n">
        <v>45</v>
      </c>
      <c r="Q305" s="3" t="n">
        <f aca="false">_xlfn.IFS(O305="взв",11,O305="накл",24,O305="прокл",25,O305="пт",26,O305=90,10,O305=85,10,O305=80,9,O305=75,8,O305=70,8,O305=65,7,O305=60,7,O305=55,6,O305=50,6,O305=45,6,O305=40,5,O305=35,4,O305=30,4,O305=25,3,O305=20,2,O305=15,1,O305=10,1,O305=0,0)</f>
        <v>6</v>
      </c>
      <c r="R305" s="3" t="n">
        <f aca="false">IF(P305&lt;=1,0,IF(P305&lt;=10,11,IF(P305&lt;=14,12,IF(P305&lt;=17,13,IF(P305&lt;=20,14,IF(P305&lt;=22,15,IF(P305&lt;=25,16,IF(P305&lt;=27,17,IF(P305&lt;=29,18,IF(P305&lt;=32,19,IF(P305&lt;=34,20,IF(P305&lt;=36,21,IF(P305&lt;=40,22,24)))))))))))))</f>
        <v>0</v>
      </c>
      <c r="S305" s="3" t="n">
        <f aca="false">ROUND((Q305+R305+I305+J305+M305+N305)/3,0)</f>
        <v>7</v>
      </c>
      <c r="T305" s="17" t="n">
        <f aca="false">F305*LOG10(S305+2)</f>
        <v>14.3136376415899</v>
      </c>
    </row>
    <row r="306" customFormat="false" ht="14.65" hidden="false" customHeight="true" outlineLevel="0" collapsed="false">
      <c r="A306" s="13" t="s">
        <v>368</v>
      </c>
      <c r="B306" s="14" t="n">
        <v>39981</v>
      </c>
      <c r="C306" s="15" t="s">
        <v>27</v>
      </c>
      <c r="D306" s="4" t="s">
        <v>47</v>
      </c>
      <c r="E306" s="3" t="n">
        <v>4</v>
      </c>
      <c r="F306" s="3" t="n">
        <v>15</v>
      </c>
      <c r="G306" s="3" t="n">
        <v>75</v>
      </c>
      <c r="I306" s="3" t="n">
        <f aca="false">_xlfn.IFS(G306="взв",11,G306="накл",24,G306="прокл",25,G306="пт",26,G306=90,10,G306=85,10,G306=80,9,G306=75,8,G306=70,8,G306=65,7,G306=60,7,G306=55,6,G306=50,6,G306=45,6,G306=40,5,G306=35,4,G306=30,4,G306=25,3,G306=20,2,G306=15,1,G306=10,1,G306=0,0)</f>
        <v>8</v>
      </c>
      <c r="J306" s="3" t="n">
        <f aca="false">IF(H306&lt;=1,0,IF(H306&lt;=10,11,IF(H306&lt;=14,12,IF(H306&lt;=17,13,IF(H306&lt;=20,14,IF(H306&lt;=22,15,IF(H306&lt;=25,16,IF(H306&lt;=27,17,IF(H306&lt;=29,18,IF(H306&lt;=32,19,IF(H306&lt;=34,20,IF(H306&lt;=36,21,IF(H306&lt;=40,22,24)))))))))))))</f>
        <v>0</v>
      </c>
      <c r="K306" s="3" t="n">
        <v>75</v>
      </c>
      <c r="M306" s="3" t="n">
        <f aca="false">_xlfn.IFS(K306="взв",11,K306="накл",24,K306="прокл",25,K306="пт",26,K306=90,10,K306=85,10,K306=80,9,K306=75,8,K306=70,8,K306=65,7,K306=60,7,K306=55,6,K306=50,6,K306=45,6,K306=40,5,K306=35,4,K306=30,4,K306=25,3,K306=20,2,K306=15,1,K306=10,1,K306=0,0)</f>
        <v>8</v>
      </c>
      <c r="N306" s="3" t="n">
        <f aca="false">IF(L306&lt;=1,0,IF(L306&lt;=10,11,IF(L306&lt;=14,12,IF(L306&lt;=17,13,IF(L306&lt;=20,14,IF(L306&lt;=22,15,IF(L306&lt;=25,16,IF(L306&lt;=27,17,IF(L306&lt;=29,18,IF(L306&lt;=32,19,IF(L306&lt;=34,20,IF(L306&lt;=36,21,IF(L306&lt;=40,22,24)))))))))))))</f>
        <v>0</v>
      </c>
      <c r="O306" s="3" t="n">
        <v>45</v>
      </c>
      <c r="Q306" s="3" t="n">
        <f aca="false">_xlfn.IFS(O306="взв",11,O306="накл",24,O306="прокл",25,O306="пт",26,O306=90,10,O306=85,10,O306=80,9,O306=75,8,O306=70,8,O306=65,7,O306=60,7,O306=55,6,O306=50,6,O306=45,6,O306=40,5,O306=35,4,O306=30,4,O306=25,3,O306=20,2,O306=15,1,O306=10,1,O306=0,0)</f>
        <v>6</v>
      </c>
      <c r="R306" s="3" t="n">
        <f aca="false">IF(P306&lt;=1,0,IF(P306&lt;=10,11,IF(P306&lt;=14,12,IF(P306&lt;=17,13,IF(P306&lt;=20,14,IF(P306&lt;=22,15,IF(P306&lt;=25,16,IF(P306&lt;=27,17,IF(P306&lt;=29,18,IF(P306&lt;=32,19,IF(P306&lt;=34,20,IF(P306&lt;=36,21,IF(P306&lt;=40,22,24)))))))))))))</f>
        <v>0</v>
      </c>
      <c r="S306" s="3" t="n">
        <f aca="false">ROUND((Q306+R306+I306+J306+M306+N306)/3,0)</f>
        <v>7</v>
      </c>
      <c r="T306" s="17" t="n">
        <f aca="false">F306*LOG10(S306+2)</f>
        <v>14.3136376415899</v>
      </c>
    </row>
    <row r="307" customFormat="false" ht="14.65" hidden="false" customHeight="true" outlineLevel="0" collapsed="false">
      <c r="A307" s="13" t="s">
        <v>369</v>
      </c>
      <c r="B307" s="14" t="n">
        <v>39993</v>
      </c>
      <c r="C307" s="15" t="s">
        <v>78</v>
      </c>
      <c r="D307" s="4" t="s">
        <v>345</v>
      </c>
      <c r="E307" s="3" t="n">
        <v>4</v>
      </c>
      <c r="F307" s="3" t="n">
        <v>18</v>
      </c>
      <c r="G307" s="3" t="s">
        <v>43</v>
      </c>
      <c r="I307" s="3" t="n">
        <f aca="false">_xlfn.IFS(G307="взв",11,G307="накл",24,G307="прокл",25,G307="пт",26,G307=90,10,G307=85,10,G307=80,9,G307=75,8,G307=70,8,G307=65,7,G307=60,7,G307=55,6,G307=50,6,G307=45,6,G307=40,5,G307=35,4,G307=30,4,G307=25,3,G307=20,2,G307=15,1,G307=10,1,G307=0,0)</f>
        <v>24</v>
      </c>
      <c r="J307" s="3" t="n">
        <f aca="false">IF(H307&lt;=1,0,IF(H307&lt;=10,11,IF(H307&lt;=14,12,IF(H307&lt;=17,13,IF(H307&lt;=20,14,IF(H307&lt;=22,15,IF(H307&lt;=25,16,IF(H307&lt;=27,17,IF(H307&lt;=29,18,IF(H307&lt;=32,19,IF(H307&lt;=34,20,IF(H307&lt;=36,21,IF(H307&lt;=40,22,24)))))))))))))</f>
        <v>0</v>
      </c>
      <c r="K307" s="3" t="s">
        <v>43</v>
      </c>
      <c r="M307" s="3" t="n">
        <f aca="false">_xlfn.IFS(K307="взв",11,K307="накл",24,K307="прокл",25,K307="пт",26,K307=90,10,K307=85,10,K307=80,9,K307=75,8,K307=70,8,K307=65,7,K307=60,7,K307=55,6,K307=50,6,K307=45,6,K307=40,5,K307=35,4,K307=30,4,K307=25,3,K307=20,2,K307=15,1,K307=10,1,K307=0,0)</f>
        <v>24</v>
      </c>
      <c r="N307" s="3" t="n">
        <f aca="false">IF(L307&lt;=1,0,IF(L307&lt;=10,11,IF(L307&lt;=14,12,IF(L307&lt;=17,13,IF(L307&lt;=20,14,IF(L307&lt;=22,15,IF(L307&lt;=25,16,IF(L307&lt;=27,17,IF(L307&lt;=29,18,IF(L307&lt;=32,19,IF(L307&lt;=34,20,IF(L307&lt;=36,21,IF(L307&lt;=40,22,24)))))))))))))</f>
        <v>0</v>
      </c>
      <c r="O307" s="3" t="s">
        <v>43</v>
      </c>
      <c r="Q307" s="3" t="n">
        <f aca="false">_xlfn.IFS(O307="взв",11,O307="накл",24,O307="прокл",25,O307="пт",26,O307=90,10,O307=85,10,O307=80,9,O307=75,8,O307=70,8,O307=65,7,O307=60,7,O307=55,6,O307=50,6,O307=45,6,O307=40,5,O307=35,4,O307=30,4,O307=25,3,O307=20,2,O307=15,1,O307=10,1,O307=0,0)</f>
        <v>24</v>
      </c>
      <c r="R307" s="3" t="n">
        <f aca="false">IF(P307&lt;=1,0,IF(P307&lt;=10,11,IF(P307&lt;=14,12,IF(P307&lt;=17,13,IF(P307&lt;=20,14,IF(P307&lt;=22,15,IF(P307&lt;=25,16,IF(P307&lt;=27,17,IF(P307&lt;=29,18,IF(P307&lt;=32,19,IF(P307&lt;=34,20,IF(P307&lt;=36,21,IF(P307&lt;=40,22,24)))))))))))))</f>
        <v>0</v>
      </c>
      <c r="S307" s="3" t="n">
        <f aca="false">ROUND((Q307+R307+I307+J307+M307+N307)/3,0)</f>
        <v>24</v>
      </c>
      <c r="T307" s="17" t="n">
        <f aca="false">F307*LOG10(S307+2)</f>
        <v>25.4695202634747</v>
      </c>
    </row>
    <row r="308" customFormat="false" ht="14.65" hidden="false" customHeight="true" outlineLevel="0" collapsed="false">
      <c r="A308" s="13" t="s">
        <v>370</v>
      </c>
      <c r="B308" s="2" t="n">
        <v>40000</v>
      </c>
      <c r="C308" s="15" t="s">
        <v>78</v>
      </c>
      <c r="D308" s="4" t="s">
        <v>158</v>
      </c>
      <c r="E308" s="3" t="n">
        <v>3</v>
      </c>
      <c r="F308" s="3" t="n">
        <v>19</v>
      </c>
      <c r="G308" s="3" t="n">
        <v>90</v>
      </c>
      <c r="I308" s="3" t="n">
        <f aca="false">_xlfn.IFS(G308="взв",11,G308="накл",24,G308="прокл",25,G308="пт",26,G308=90,10,G308=85,10,G308=80,9,G308=75,8,G308=70,8,G308=65,7,G308=60,7,G308=55,6,G308=50,6,G308=45,6,G308=40,5,G308=35,4,G308=30,4,G308=25,3,G308=20,2,G308=15,1,G308=10,1,G308=0,0)</f>
        <v>10</v>
      </c>
      <c r="J308" s="3" t="n">
        <f aca="false">IF(H308&lt;=1,0,IF(H308&lt;=10,11,IF(H308&lt;=14,12,IF(H308&lt;=17,13,IF(H308&lt;=20,14,IF(H308&lt;=22,15,IF(H308&lt;=25,16,IF(H308&lt;=27,17,IF(H308&lt;=29,18,IF(H308&lt;=32,19,IF(H308&lt;=34,20,IF(H308&lt;=36,21,IF(H308&lt;=40,22,24)))))))))))))</f>
        <v>0</v>
      </c>
      <c r="K308" s="3" t="n">
        <v>80</v>
      </c>
      <c r="M308" s="3" t="n">
        <f aca="false">_xlfn.IFS(K308="взв",11,K308="накл",24,K308="прокл",25,K308="пт",26,K308=90,10,K308=85,10,K308=80,9,K308=75,8,K308=70,8,K308=65,7,K308=60,7,K308=55,6,K308=50,6,K308=45,6,K308=40,5,K308=35,4,K308=30,4,K308=25,3,K308=20,2,K308=15,1,K308=10,1,K308=0,0)</f>
        <v>9</v>
      </c>
      <c r="N308" s="3" t="n">
        <f aca="false">IF(L308&lt;=1,0,IF(L308&lt;=10,11,IF(L308&lt;=14,12,IF(L308&lt;=17,13,IF(L308&lt;=20,14,IF(L308&lt;=22,15,IF(L308&lt;=25,16,IF(L308&lt;=27,17,IF(L308&lt;=29,18,IF(L308&lt;=32,19,IF(L308&lt;=34,20,IF(L308&lt;=36,21,IF(L308&lt;=40,22,24)))))))))))))</f>
        <v>0</v>
      </c>
      <c r="O308" s="3" t="n">
        <v>90</v>
      </c>
      <c r="Q308" s="3" t="n">
        <f aca="false">_xlfn.IFS(O308="взв",11,O308="накл",24,O308="прокл",25,O308="пт",26,O308=90,10,O308=85,10,O308=80,9,O308=75,8,O308=70,8,O308=65,7,O308=60,7,O308=55,6,O308=50,6,O308=45,6,O308=40,5,O308=35,4,O308=30,4,O308=25,3,O308=20,2,O308=15,1,O308=10,1,O308=0,0)</f>
        <v>10</v>
      </c>
      <c r="R308" s="3" t="n">
        <f aca="false">IF(P308&lt;=1,0,IF(P308&lt;=10,11,IF(P308&lt;=14,12,IF(P308&lt;=17,13,IF(P308&lt;=20,14,IF(P308&lt;=22,15,IF(P308&lt;=25,16,IF(P308&lt;=27,17,IF(P308&lt;=29,18,IF(P308&lt;=32,19,IF(P308&lt;=34,20,IF(P308&lt;=36,21,IF(P308&lt;=40,22,24)))))))))))))</f>
        <v>0</v>
      </c>
      <c r="S308" s="3" t="n">
        <f aca="false">ROUND((Q308+R308+I308+J308+M308+N308)/3,0)</f>
        <v>10</v>
      </c>
      <c r="T308" s="17" t="n">
        <f aca="false">F308*LOG10(S308+2)</f>
        <v>20.5044436749049</v>
      </c>
    </row>
    <row r="309" customFormat="false" ht="14.65" hidden="false" customHeight="true" outlineLevel="0" collapsed="false">
      <c r="A309" s="13" t="s">
        <v>371</v>
      </c>
      <c r="B309" s="14" t="n">
        <v>39993</v>
      </c>
      <c r="C309" s="15" t="s">
        <v>78</v>
      </c>
      <c r="D309" s="4" t="s">
        <v>154</v>
      </c>
      <c r="E309" s="3" t="n">
        <v>5</v>
      </c>
      <c r="F309" s="3" t="n">
        <v>20</v>
      </c>
      <c r="G309" s="3" t="n">
        <v>70</v>
      </c>
      <c r="I309" s="3" t="n">
        <f aca="false">_xlfn.IFS(G309="взв",11,G309="накл",24,G309="прокл",25,G309="пт",26,G309=90,10,G309=85,10,G309=80,9,G309=75,8,G309=70,8,G309=65,7,G309=60,7,G309=55,6,G309=50,6,G309=45,6,G309=40,5,G309=35,4,G309=30,4,G309=25,3,G309=20,2,G309=15,1,G309=10,1,G309=0,0)</f>
        <v>8</v>
      </c>
      <c r="J309" s="3" t="n">
        <f aca="false">IF(H309&lt;=1,0,IF(H309&lt;=10,11,IF(H309&lt;=14,12,IF(H309&lt;=17,13,IF(H309&lt;=20,14,IF(H309&lt;=22,15,IF(H309&lt;=25,16,IF(H309&lt;=27,17,IF(H309&lt;=29,18,IF(H309&lt;=32,19,IF(H309&lt;=34,20,IF(H309&lt;=36,21,IF(H309&lt;=40,22,24)))))))))))))</f>
        <v>0</v>
      </c>
      <c r="K309" s="3" t="n">
        <v>50</v>
      </c>
      <c r="M309" s="3" t="n">
        <f aca="false">_xlfn.IFS(K309="взв",11,K309="накл",24,K309="прокл",25,K309="пт",26,K309=90,10,K309=85,10,K309=80,9,K309=75,8,K309=70,8,K309=65,7,K309=60,7,K309=55,6,K309=50,6,K309=45,6,K309=40,5,K309=35,4,K309=30,4,K309=25,3,K309=20,2,K309=15,1,K309=10,1,K309=0,0)</f>
        <v>6</v>
      </c>
      <c r="N309" s="3" t="n">
        <f aca="false">IF(L309&lt;=1,0,IF(L309&lt;=10,11,IF(L309&lt;=14,12,IF(L309&lt;=17,13,IF(L309&lt;=20,14,IF(L309&lt;=22,15,IF(L309&lt;=25,16,IF(L309&lt;=27,17,IF(L309&lt;=29,18,IF(L309&lt;=32,19,IF(L309&lt;=34,20,IF(L309&lt;=36,21,IF(L309&lt;=40,22,24)))))))))))))</f>
        <v>0</v>
      </c>
      <c r="O309" s="3" t="n">
        <v>60</v>
      </c>
      <c r="Q309" s="3" t="n">
        <f aca="false">_xlfn.IFS(O309="взв",11,O309="накл",24,O309="прокл",25,O309="пт",26,O309=90,10,O309=85,10,O309=80,9,O309=75,8,O309=70,8,O309=65,7,O309=60,7,O309=55,6,O309=50,6,O309=45,6,O309=40,5,O309=35,4,O309=30,4,O309=25,3,O309=20,2,O309=15,1,O309=10,1,O309=0,0)</f>
        <v>7</v>
      </c>
      <c r="R309" s="3" t="n">
        <f aca="false">IF(P309&lt;=1,0,IF(P309&lt;=10,11,IF(P309&lt;=14,12,IF(P309&lt;=17,13,IF(P309&lt;=20,14,IF(P309&lt;=22,15,IF(P309&lt;=25,16,IF(P309&lt;=27,17,IF(P309&lt;=29,18,IF(P309&lt;=32,19,IF(P309&lt;=34,20,IF(P309&lt;=36,21,IF(P309&lt;=40,22,24)))))))))))))</f>
        <v>0</v>
      </c>
      <c r="S309" s="3" t="n">
        <f aca="false">ROUND((Q309+R309+I309+J309+M309+N309)/3,0)</f>
        <v>7</v>
      </c>
      <c r="T309" s="17" t="n">
        <f aca="false">F309*LOG10(S309+2)</f>
        <v>19.0848501887865</v>
      </c>
    </row>
    <row r="310" customFormat="false" ht="14.65" hidden="false" customHeight="true" outlineLevel="0" collapsed="false">
      <c r="A310" s="13" t="s">
        <v>372</v>
      </c>
      <c r="B310" s="14" t="n">
        <v>39993</v>
      </c>
      <c r="C310" s="15" t="s">
        <v>78</v>
      </c>
      <c r="D310" s="4" t="s">
        <v>345</v>
      </c>
      <c r="E310" s="3" t="n">
        <v>2</v>
      </c>
      <c r="F310" s="3" t="n">
        <v>23</v>
      </c>
      <c r="H310" s="3" t="n">
        <v>32</v>
      </c>
      <c r="I310" s="3" t="n">
        <f aca="false">_xlfn.IFS(G310="взв",11,G310="накл",24,G310="прокл",25,G310="пт",26,G310=90,10,G310=85,10,G310=80,9,G310=75,8,G310=70,8,G310=65,7,G310=60,7,G310=55,6,G310=50,6,G310=45,6,G310=40,5,G310=35,4,G310=30,4,G310=25,3,G310=20,2,G310=15,1,G310=10,1,G310=0,0)</f>
        <v>0</v>
      </c>
      <c r="J310" s="3" t="n">
        <f aca="false">IF(H310&lt;=1,0,IF(H310&lt;=10,11,IF(H310&lt;=14,12,IF(H310&lt;=17,13,IF(H310&lt;=20,14,IF(H310&lt;=22,15,IF(H310&lt;=25,16,IF(H310&lt;=27,17,IF(H310&lt;=29,18,IF(H310&lt;=32,19,IF(H310&lt;=34,20,IF(H310&lt;=36,21,IF(H310&lt;=40,22,24)))))))))))))</f>
        <v>19</v>
      </c>
      <c r="L310" s="3" t="n">
        <v>31</v>
      </c>
      <c r="M310" s="3" t="n">
        <f aca="false">_xlfn.IFS(K310="взв",11,K310="накл",24,K310="прокл",25,K310="пт",26,K310=90,10,K310=85,10,K310=80,9,K310=75,8,K310=70,8,K310=65,7,K310=60,7,K310=55,6,K310=50,6,K310=45,6,K310=40,5,K310=35,4,K310=30,4,K310=25,3,K310=20,2,K310=15,1,K310=10,1,K310=0,0)</f>
        <v>0</v>
      </c>
      <c r="N310" s="3" t="n">
        <f aca="false">IF(L310&lt;=1,0,IF(L310&lt;=10,11,IF(L310&lt;=14,12,IF(L310&lt;=17,13,IF(L310&lt;=20,14,IF(L310&lt;=22,15,IF(L310&lt;=25,16,IF(L310&lt;=27,17,IF(L310&lt;=29,18,IF(L310&lt;=32,19,IF(L310&lt;=34,20,IF(L310&lt;=36,21,IF(L310&lt;=40,22,24)))))))))))))</f>
        <v>19</v>
      </c>
      <c r="Q310" s="3" t="n">
        <f aca="false">_xlfn.IFS(O310="взв",11,O310="накл",24,O310="прокл",25,O310="пт",26,O310=90,10,O310=85,10,O310=80,9,O310=75,8,O310=70,8,O310=65,7,O310=60,7,O310=55,6,O310=50,6,O310=45,6,O310=40,5,O310=35,4,O310=30,4,O310=25,3,O310=20,2,O310=15,1,O310=10,1,O310=0,0)</f>
        <v>0</v>
      </c>
      <c r="R310" s="3" t="n">
        <f aca="false">IF(P310&lt;=1,0,IF(P310&lt;=10,11,IF(P310&lt;=14,12,IF(P310&lt;=17,13,IF(P310&lt;=20,14,IF(P310&lt;=22,15,IF(P310&lt;=25,16,IF(P310&lt;=27,17,IF(P310&lt;=29,18,IF(P310&lt;=32,19,IF(P310&lt;=34,20,IF(P310&lt;=36,21,IF(P310&lt;=40,22,24)))))))))))))</f>
        <v>0</v>
      </c>
      <c r="S310" s="3" t="n">
        <f aca="false">ROUND((Q310+R310+I310+J310+M310+N310)/2,0)</f>
        <v>19</v>
      </c>
      <c r="T310" s="17" t="n">
        <f aca="false">F310*LOG10(S310+2)</f>
        <v>30.4110437788801</v>
      </c>
    </row>
    <row r="311" customFormat="false" ht="14.65" hidden="false" customHeight="true" outlineLevel="0" collapsed="false">
      <c r="A311" s="13" t="s">
        <v>373</v>
      </c>
      <c r="B311" s="14" t="n">
        <v>39976</v>
      </c>
      <c r="C311" s="15" t="s">
        <v>21</v>
      </c>
      <c r="D311" s="16" t="s">
        <v>96</v>
      </c>
      <c r="E311" s="3" t="n">
        <v>4</v>
      </c>
      <c r="F311" s="3" t="n">
        <v>20</v>
      </c>
      <c r="G311" s="3" t="n">
        <v>0</v>
      </c>
      <c r="I311" s="3" t="n">
        <f aca="false">_xlfn.IFS(G311="взв",11,G311="накл",24,G311="прокл",25,G311="пт",26,G311=90,10,G311=85,10,G311=80,9,G311=75,8,G311=70,8,G311=65,7,G311=60,7,G311=55,6,G311=50,6,G311=45,6,G311=40,5,G311=35,4,G311=30,4,G311=25,3,G311=20,2,G311=15,1,G311=10,1,G311=0,0)</f>
        <v>0</v>
      </c>
      <c r="J311" s="3" t="n">
        <f aca="false">IF(H311&lt;=1,0,IF(H311&lt;=10,11,IF(H311&lt;=14,12,IF(H311&lt;=17,13,IF(H311&lt;=20,14,IF(H311&lt;=22,15,IF(H311&lt;=25,16,IF(H311&lt;=27,17,IF(H311&lt;=29,18,IF(H311&lt;=32,19,IF(H311&lt;=34,20,IF(H311&lt;=36,21,IF(H311&lt;=40,22,24)))))))))))))</f>
        <v>0</v>
      </c>
      <c r="K311" s="3" t="n">
        <v>0</v>
      </c>
      <c r="M311" s="3" t="n">
        <f aca="false">_xlfn.IFS(K311="взв",11,K311="накл",24,K311="прокл",25,K311="пт",26,K311=90,10,K311=85,10,K311=80,9,K311=75,8,K311=70,8,K311=65,7,K311=60,7,K311=55,6,K311=50,6,K311=45,6,K311=40,5,K311=35,4,K311=30,4,K311=25,3,K311=20,2,K311=15,1,K311=10,1,K311=0,0)</f>
        <v>0</v>
      </c>
      <c r="N311" s="3" t="n">
        <f aca="false">IF(L311&lt;=1,0,IF(L311&lt;=10,11,IF(L311&lt;=14,12,IF(L311&lt;=17,13,IF(L311&lt;=20,14,IF(L311&lt;=22,15,IF(L311&lt;=25,16,IF(L311&lt;=27,17,IF(L311&lt;=29,18,IF(L311&lt;=32,19,IF(L311&lt;=34,20,IF(L311&lt;=36,21,IF(L311&lt;=40,22,24)))))))))))))</f>
        <v>0</v>
      </c>
      <c r="O311" s="3" t="n">
        <v>0</v>
      </c>
      <c r="Q311" s="3" t="n">
        <f aca="false">_xlfn.IFS(O311="взв",11,O311="накл",24,O311="прокл",25,O311="пт",26,O311=90,10,O311=85,10,O311=80,9,O311=75,8,O311=70,8,O311=65,7,O311=60,7,O311=55,6,O311=50,6,O311=45,6,O311=40,5,O311=35,4,O311=30,4,O311=25,3,O311=20,2,O311=15,1,O311=10,1,O311=0,0)</f>
        <v>0</v>
      </c>
      <c r="R311" s="3" t="n">
        <f aca="false">IF(P311&lt;=1,0,IF(P311&lt;=10,11,IF(P311&lt;=14,12,IF(P311&lt;=17,13,IF(P311&lt;=20,14,IF(P311&lt;=22,15,IF(P311&lt;=25,16,IF(P311&lt;=27,17,IF(P311&lt;=29,18,IF(P311&lt;=32,19,IF(P311&lt;=34,20,IF(P311&lt;=36,21,IF(P311&lt;=40,22,24)))))))))))))</f>
        <v>0</v>
      </c>
      <c r="S311" s="3" t="n">
        <f aca="false">ROUND((Q311+R311+I311+J311+M311+N311)/3,0)</f>
        <v>0</v>
      </c>
      <c r="T311" s="17" t="n">
        <f aca="false">F311*LOG10(S311+2)</f>
        <v>6.02059991327962</v>
      </c>
    </row>
    <row r="312" customFormat="false" ht="14.65" hidden="false" customHeight="true" outlineLevel="0" collapsed="false">
      <c r="A312" s="13" t="s">
        <v>374</v>
      </c>
      <c r="B312" s="14" t="n">
        <v>39981</v>
      </c>
      <c r="C312" s="15" t="s">
        <v>27</v>
      </c>
      <c r="D312" s="4" t="s">
        <v>47</v>
      </c>
      <c r="E312" s="3" t="n">
        <v>5</v>
      </c>
      <c r="F312" s="3" t="n">
        <v>1</v>
      </c>
      <c r="G312" s="3" t="s">
        <v>36</v>
      </c>
      <c r="I312" s="3" t="n">
        <f aca="false">_xlfn.IFS(G312="взв",11,G312="накл",24,G312="прокл",25,G312="пт",26,G312=90,10,G312=85,10,G312=80,9,G312=75,8,G312=70,8,G312=65,7,G312=60,7,G312=55,6,G312=50,6,G312=45,6,G312=40,5,G312=35,4,G312=30,4,G312=25,3,G312=20,2,G312=15,1,G312=10,1,G312=0,0)</f>
        <v>26</v>
      </c>
      <c r="J312" s="3" t="n">
        <f aca="false">IF(H312&lt;=1,0,IF(H312&lt;=10,11,IF(H312&lt;=14,12,IF(H312&lt;=17,13,IF(H312&lt;=20,14,IF(H312&lt;=22,15,IF(H312&lt;=25,16,IF(H312&lt;=27,17,IF(H312&lt;=29,18,IF(H312&lt;=32,19,IF(H312&lt;=34,20,IF(H312&lt;=36,21,IF(H312&lt;=40,22,24)))))))))))))</f>
        <v>0</v>
      </c>
      <c r="K312" s="3" t="s">
        <v>36</v>
      </c>
      <c r="M312" s="3" t="n">
        <f aca="false">_xlfn.IFS(K312="взв",11,K312="накл",24,K312="прокл",25,K312="пт",26,K312=90,10,K312=85,10,K312=80,9,K312=75,8,K312=70,8,K312=65,7,K312=60,7,K312=55,6,K312=50,6,K312=45,6,K312=40,5,K312=35,4,K312=30,4,K312=25,3,K312=20,2,K312=15,1,K312=10,1,K312=0,0)</f>
        <v>26</v>
      </c>
      <c r="N312" s="3" t="n">
        <f aca="false">IF(L312&lt;=1,0,IF(L312&lt;=10,11,IF(L312&lt;=14,12,IF(L312&lt;=17,13,IF(L312&lt;=20,14,IF(L312&lt;=22,15,IF(L312&lt;=25,16,IF(L312&lt;=27,17,IF(L312&lt;=29,18,IF(L312&lt;=32,19,IF(L312&lt;=34,20,IF(L312&lt;=36,21,IF(L312&lt;=40,22,24)))))))))))))</f>
        <v>0</v>
      </c>
      <c r="O312" s="3" t="s">
        <v>36</v>
      </c>
      <c r="Q312" s="3" t="n">
        <f aca="false">_xlfn.IFS(O312="взв",11,O312="накл",24,O312="прокл",25,O312="пт",26,O312=90,10,O312=85,10,O312=80,9,O312=75,8,O312=70,8,O312=65,7,O312=60,7,O312=55,6,O312=50,6,O312=45,6,O312=40,5,O312=35,4,O312=30,4,O312=25,3,O312=20,2,O312=15,1,O312=10,1,O312=0,0)</f>
        <v>26</v>
      </c>
      <c r="R312" s="3" t="n">
        <f aca="false">IF(P312&lt;=1,0,IF(P312&lt;=10,11,IF(P312&lt;=14,12,IF(P312&lt;=17,13,IF(P312&lt;=20,14,IF(P312&lt;=22,15,IF(P312&lt;=25,16,IF(P312&lt;=27,17,IF(P312&lt;=29,18,IF(P312&lt;=32,19,IF(P312&lt;=34,20,IF(P312&lt;=36,21,IF(P312&lt;=40,22,24)))))))))))))</f>
        <v>0</v>
      </c>
      <c r="S312" s="3" t="n">
        <f aca="false">ROUND((Q312+R312+I312+J312+M312+N312)/3,0)</f>
        <v>26</v>
      </c>
      <c r="T312" s="17" t="n">
        <f aca="false">F312*LOG10(S312+2)</f>
        <v>1.44715803134222</v>
      </c>
    </row>
    <row r="313" customFormat="false" ht="14.65" hidden="false" customHeight="true" outlineLevel="0" collapsed="false">
      <c r="A313" s="13" t="s">
        <v>375</v>
      </c>
      <c r="B313" s="14" t="n">
        <v>39985</v>
      </c>
      <c r="C313" s="15" t="s">
        <v>27</v>
      </c>
      <c r="D313" s="4" t="s">
        <v>64</v>
      </c>
      <c r="E313" s="3" t="n">
        <v>6</v>
      </c>
      <c r="F313" s="3" t="n">
        <v>1</v>
      </c>
      <c r="G313" s="3" t="s">
        <v>43</v>
      </c>
      <c r="I313" s="3" t="n">
        <f aca="false">_xlfn.IFS(G313="взв",11,G313="накл",24,G313="прокл",25,G313="пт",26,G313=90,10,G313=85,10,G313=80,9,G313=75,8,G313=70,8,G313=65,7,G313=60,7,G313=55,6,G313=50,6,G313=45,6,G313=40,5,G313=35,4,G313=30,4,G313=25,3,G313=20,2,G313=15,1,G313=10,1,G313=0,0)</f>
        <v>24</v>
      </c>
      <c r="J313" s="3" t="n">
        <f aca="false">IF(H313&lt;=1,0,IF(H313&lt;=10,11,IF(H313&lt;=14,12,IF(H313&lt;=17,13,IF(H313&lt;=20,14,IF(H313&lt;=22,15,IF(H313&lt;=25,16,IF(H313&lt;=27,17,IF(H313&lt;=29,18,IF(H313&lt;=32,19,IF(H313&lt;=34,20,IF(H313&lt;=36,21,IF(H313&lt;=40,22,24)))))))))))))</f>
        <v>0</v>
      </c>
      <c r="M313" s="3" t="n">
        <f aca="false">_xlfn.IFS(K313="взв",11,K313="накл",24,K313="прокл",25,K313="пт",26,K313=90,10,K313=85,10,K313=80,9,K313=75,8,K313=70,8,K313=65,7,K313=60,7,K313=55,6,K313=50,6,K313=45,6,K313=40,5,K313=35,4,K313=30,4,K313=25,3,K313=20,2,K313=15,1,K313=10,1,K313=0,0)</f>
        <v>0</v>
      </c>
      <c r="N313" s="3" t="n">
        <f aca="false">IF(L313&lt;=1,0,IF(L313&lt;=10,11,IF(L313&lt;=14,12,IF(L313&lt;=17,13,IF(L313&lt;=20,14,IF(L313&lt;=22,15,IF(L313&lt;=25,16,IF(L313&lt;=27,17,IF(L313&lt;=29,18,IF(L313&lt;=32,19,IF(L313&lt;=34,20,IF(L313&lt;=36,21,IF(L313&lt;=40,22,24)))))))))))))</f>
        <v>0</v>
      </c>
      <c r="P313" s="3" t="s">
        <v>43</v>
      </c>
      <c r="Q313" s="3" t="n">
        <f aca="false">_xlfn.IFS(O313="взв",11,O313="накл",24,O313="прокл",25,O313="пт",26,O313=90,10,O313=85,10,O313=80,9,O313=75,8,O313=70,8,O313=65,7,O313=60,7,O313=55,6,O313=50,6,O313=45,6,O313=40,5,O313=35,4,O313=30,4,O313=25,3,O313=20,2,O313=15,1,O313=10,1,O313=0,0)</f>
        <v>0</v>
      </c>
      <c r="R313" s="3" t="n">
        <f aca="false">IF(P313&lt;=1,0,IF(P313&lt;=10,11,IF(P313&lt;=14,12,IF(P313&lt;=17,13,IF(P313&lt;=20,14,IF(P313&lt;=22,15,IF(P313&lt;=25,16,IF(P313&lt;=27,17,IF(P313&lt;=29,18,IF(P313&lt;=32,19,IF(P313&lt;=34,20,IF(P313&lt;=36,21,IF(P313&lt;=40,22,24)))))))))))))</f>
        <v>24</v>
      </c>
      <c r="S313" s="3" t="n">
        <v>24</v>
      </c>
      <c r="T313" s="17" t="n">
        <f aca="false">F313*LOG10(S313+2)</f>
        <v>1.41497334797082</v>
      </c>
    </row>
    <row r="314" customFormat="false" ht="14.65" hidden="false" customHeight="true" outlineLevel="0" collapsed="false">
      <c r="A314" s="13" t="s">
        <v>376</v>
      </c>
      <c r="B314" s="14" t="n">
        <v>39985</v>
      </c>
      <c r="C314" s="15" t="s">
        <v>27</v>
      </c>
      <c r="D314" s="4" t="s">
        <v>64</v>
      </c>
      <c r="E314" s="3" t="n">
        <v>4</v>
      </c>
      <c r="F314" s="3" t="n">
        <v>2</v>
      </c>
      <c r="G314" s="3" t="n">
        <v>75</v>
      </c>
      <c r="I314" s="3" t="n">
        <f aca="false">_xlfn.IFS(G314="взв",11,G314="накл",24,G314="прокл",25,G314="пт",26,G314=90,10,G314=85,10,G314=80,9,G314=75,8,G314=70,8,G314=65,7,G314=60,7,G314=55,6,G314=50,6,G314=45,6,G314=40,5,G314=35,4,G314=30,4,G314=25,3,G314=20,2,G314=15,1,G314=10,1,G314=0,0)</f>
        <v>8</v>
      </c>
      <c r="J314" s="3" t="n">
        <f aca="false">IF(H314&lt;=1,0,IF(H314&lt;=10,11,IF(H314&lt;=14,12,IF(H314&lt;=17,13,IF(H314&lt;=20,14,IF(H314&lt;=22,15,IF(H314&lt;=25,16,IF(H314&lt;=27,17,IF(H314&lt;=29,18,IF(H314&lt;=32,19,IF(H314&lt;=34,20,IF(H314&lt;=36,21,IF(H314&lt;=40,22,24)))))))))))))</f>
        <v>0</v>
      </c>
      <c r="K314" s="3" t="n">
        <v>75</v>
      </c>
      <c r="M314" s="3" t="n">
        <f aca="false">_xlfn.IFS(K314="взв",11,K314="накл",24,K314="прокл",25,K314="пт",26,K314=90,10,K314=85,10,K314=80,9,K314=75,8,K314=70,8,K314=65,7,K314=60,7,K314=55,6,K314=50,6,K314=45,6,K314=40,5,K314=35,4,K314=30,4,K314=25,3,K314=20,2,K314=15,1,K314=10,1,K314=0,0)</f>
        <v>8</v>
      </c>
      <c r="N314" s="3" t="n">
        <f aca="false">IF(L314&lt;=1,0,IF(L314&lt;=10,11,IF(L314&lt;=14,12,IF(L314&lt;=17,13,IF(L314&lt;=20,14,IF(L314&lt;=22,15,IF(L314&lt;=25,16,IF(L314&lt;=27,17,IF(L314&lt;=29,18,IF(L314&lt;=32,19,IF(L314&lt;=34,20,IF(L314&lt;=36,21,IF(L314&lt;=40,22,24)))))))))))))</f>
        <v>0</v>
      </c>
      <c r="O314" s="3" t="n">
        <v>75</v>
      </c>
      <c r="Q314" s="3" t="n">
        <f aca="false">_xlfn.IFS(O314="взв",11,O314="накл",24,O314="прокл",25,O314="пт",26,O314=90,10,O314=85,10,O314=80,9,O314=75,8,O314=70,8,O314=65,7,O314=60,7,O314=55,6,O314=50,6,O314=45,6,O314=40,5,O314=35,4,O314=30,4,O314=25,3,O314=20,2,O314=15,1,O314=10,1,O314=0,0)</f>
        <v>8</v>
      </c>
      <c r="R314" s="3" t="n">
        <f aca="false">IF(P314&lt;=1,0,IF(P314&lt;=10,11,IF(P314&lt;=14,12,IF(P314&lt;=17,13,IF(P314&lt;=20,14,IF(P314&lt;=22,15,IF(P314&lt;=25,16,IF(P314&lt;=27,17,IF(P314&lt;=29,18,IF(P314&lt;=32,19,IF(P314&lt;=34,20,IF(P314&lt;=36,21,IF(P314&lt;=40,22,24)))))))))))))</f>
        <v>0</v>
      </c>
      <c r="S314" s="3" t="n">
        <f aca="false">ROUND((Q314+R314+I314+J314+M314+N314)/3,0)</f>
        <v>8</v>
      </c>
      <c r="T314" s="17" t="n">
        <f aca="false">F314*LOG10(S314+2)</f>
        <v>2</v>
      </c>
    </row>
    <row r="315" customFormat="false" ht="14.65" hidden="false" customHeight="true" outlineLevel="0" collapsed="false">
      <c r="A315" s="13" t="s">
        <v>377</v>
      </c>
      <c r="B315" s="14" t="n">
        <v>39981</v>
      </c>
      <c r="C315" s="15" t="s">
        <v>27</v>
      </c>
      <c r="D315" s="4" t="s">
        <v>28</v>
      </c>
      <c r="E315" s="3" t="n">
        <v>2</v>
      </c>
      <c r="F315" s="18" t="s">
        <v>378</v>
      </c>
      <c r="H315" s="3" t="n">
        <v>41</v>
      </c>
      <c r="I315" s="3" t="n">
        <f aca="false">_xlfn.IFS(G315="взв",11,G315="накл",24,G315="прокл",25,G315="пт",26,G315=90,10,G315=85,10,G315=80,9,G315=75,8,G315=70,8,G315=65,7,G315=60,7,G315=55,6,G315=50,6,G315=45,6,G315=40,5,G315=35,4,G315=30,4,G315=25,3,G315=20,2,G315=15,1,G315=10,1,G315=0,0)</f>
        <v>0</v>
      </c>
      <c r="J315" s="3" t="n">
        <f aca="false">IF(H315&lt;=1,0,IF(H315&lt;=10,11,IF(H315&lt;=14,12,IF(H315&lt;=17,13,IF(H315&lt;=20,14,IF(H315&lt;=22,15,IF(H315&lt;=25,16,IF(H315&lt;=27,17,IF(H315&lt;=29,18,IF(H315&lt;=32,19,IF(H315&lt;=34,20,IF(H315&lt;=36,21,IF(H315&lt;=40,22,24)))))))))))))</f>
        <v>24</v>
      </c>
      <c r="L315" s="3" t="n">
        <v>30</v>
      </c>
      <c r="M315" s="3" t="n">
        <f aca="false">_xlfn.IFS(K315="взв",11,K315="накл",24,K315="прокл",25,K315="пт",26,K315=90,10,K315=85,10,K315=80,9,K315=75,8,K315=70,8,K315=65,7,K315=60,7,K315=55,6,K315=50,6,K315=45,6,K315=40,5,K315=35,4,K315=30,4,K315=25,3,K315=20,2,K315=15,1,K315=10,1,K315=0,0)</f>
        <v>0</v>
      </c>
      <c r="N315" s="3" t="n">
        <f aca="false">IF(L315&lt;=1,0,IF(L315&lt;=10,11,IF(L315&lt;=14,12,IF(L315&lt;=17,13,IF(L315&lt;=20,14,IF(L315&lt;=22,15,IF(L315&lt;=25,16,IF(L315&lt;=27,17,IF(L315&lt;=29,18,IF(L315&lt;=32,19,IF(L315&lt;=34,20,IF(L315&lt;=36,21,IF(L315&lt;=40,22,24)))))))))))))</f>
        <v>19</v>
      </c>
      <c r="Q315" s="3" t="n">
        <f aca="false">_xlfn.IFS(O315="взв",11,O315="накл",24,O315="прокл",25,O315="пт",26,O315=90,10,O315=85,10,O315=80,9,O315=75,8,O315=70,8,O315=65,7,O315=60,7,O315=55,6,O315=50,6,O315=45,6,O315=40,5,O315=35,4,O315=30,4,O315=25,3,O315=20,2,O315=15,1,O315=10,1,O315=0,0)</f>
        <v>0</v>
      </c>
      <c r="R315" s="3" t="n">
        <f aca="false">IF(P315&lt;=1,0,IF(P315&lt;=10,11,IF(P315&lt;=14,12,IF(P315&lt;=17,13,IF(P315&lt;=20,14,IF(P315&lt;=22,15,IF(P315&lt;=25,16,IF(P315&lt;=27,17,IF(P315&lt;=29,18,IF(P315&lt;=32,19,IF(P315&lt;=34,20,IF(P315&lt;=36,21,IF(P315&lt;=40,22,24)))))))))))))</f>
        <v>0</v>
      </c>
      <c r="S315" s="3" t="n">
        <f aca="false">ROUND((Q315+R315+I315+J315+M315+N315)/2,0)</f>
        <v>22</v>
      </c>
      <c r="T315" s="17" t="n">
        <f aca="false">F315*LOG10(S315+2)</f>
        <v>6.90105620855803</v>
      </c>
    </row>
    <row r="316" customFormat="false" ht="14.65" hidden="false" customHeight="true" outlineLevel="0" collapsed="false">
      <c r="A316" s="13" t="s">
        <v>379</v>
      </c>
      <c r="B316" s="2" t="n">
        <v>40001</v>
      </c>
      <c r="C316" s="15" t="s">
        <v>39</v>
      </c>
      <c r="D316" s="4" t="s">
        <v>39</v>
      </c>
      <c r="E316" s="3" t="n">
        <v>3</v>
      </c>
      <c r="F316" s="3" t="n">
        <v>50</v>
      </c>
      <c r="G316" s="3" t="n">
        <v>15</v>
      </c>
      <c r="I316" s="3" t="n">
        <f aca="false">_xlfn.IFS(G316="взв",11,G316="накл",24,G316="прокл",25,G316="пт",26,G316=90,10,G316=85,10,G316=80,9,G316=75,8,G316=70,8,G316=65,7,G316=60,7,G316=55,6,G316=50,6,G316=45,6,G316=40,5,G316=35,4,G316=30,4,G316=25,3,G316=20,2,G316=15,1,G316=10,1,G316=0,0)</f>
        <v>1</v>
      </c>
      <c r="J316" s="3" t="n">
        <f aca="false">IF(H316&lt;=1,0,IF(H316&lt;=10,11,IF(H316&lt;=14,12,IF(H316&lt;=17,13,IF(H316&lt;=20,14,IF(H316&lt;=22,15,IF(H316&lt;=25,16,IF(H316&lt;=27,17,IF(H316&lt;=29,18,IF(H316&lt;=32,19,IF(H316&lt;=34,20,IF(H316&lt;=36,21,IF(H316&lt;=40,22,24)))))))))))))</f>
        <v>0</v>
      </c>
      <c r="K316" s="3" t="n">
        <v>15</v>
      </c>
      <c r="M316" s="3" t="n">
        <f aca="false">_xlfn.IFS(K316="взв",11,K316="накл",24,K316="прокл",25,K316="пт",26,K316=90,10,K316=85,10,K316=80,9,K316=75,8,K316=70,8,K316=65,7,K316=60,7,K316=55,6,K316=50,6,K316=45,6,K316=40,5,K316=35,4,K316=30,4,K316=25,3,K316=20,2,K316=15,1,K316=10,1,K316=0,0)</f>
        <v>1</v>
      </c>
      <c r="N316" s="3" t="n">
        <f aca="false">IF(L316&lt;=1,0,IF(L316&lt;=10,11,IF(L316&lt;=14,12,IF(L316&lt;=17,13,IF(L316&lt;=20,14,IF(L316&lt;=22,15,IF(L316&lt;=25,16,IF(L316&lt;=27,17,IF(L316&lt;=29,18,IF(L316&lt;=32,19,IF(L316&lt;=34,20,IF(L316&lt;=36,21,IF(L316&lt;=40,22,24)))))))))))))</f>
        <v>0</v>
      </c>
      <c r="O316" s="3" t="n">
        <v>15</v>
      </c>
      <c r="Q316" s="3" t="n">
        <f aca="false">_xlfn.IFS(O316="взв",11,O316="накл",24,O316="прокл",25,O316="пт",26,O316=90,10,O316=85,10,O316=80,9,O316=75,8,O316=70,8,O316=65,7,O316=60,7,O316=55,6,O316=50,6,O316=45,6,O316=40,5,O316=35,4,O316=30,4,O316=25,3,O316=20,2,O316=15,1,O316=10,1,O316=0,0)</f>
        <v>1</v>
      </c>
      <c r="R316" s="3" t="n">
        <f aca="false">IF(P316&lt;=1,0,IF(P316&lt;=10,11,IF(P316&lt;=14,12,IF(P316&lt;=17,13,IF(P316&lt;=20,14,IF(P316&lt;=22,15,IF(P316&lt;=25,16,IF(P316&lt;=27,17,IF(P316&lt;=29,18,IF(P316&lt;=32,19,IF(P316&lt;=34,20,IF(P316&lt;=36,21,IF(P316&lt;=40,22,24)))))))))))))</f>
        <v>0</v>
      </c>
      <c r="S316" s="3" t="n">
        <f aca="false">ROUND((Q316+R316+I316+J316+M316+N316)/3,0)</f>
        <v>1</v>
      </c>
      <c r="T316" s="17" t="n">
        <f aca="false">F316*LOG10(S316+2)</f>
        <v>23.8560627359831</v>
      </c>
    </row>
    <row r="317" customFormat="false" ht="14.65" hidden="false" customHeight="true" outlineLevel="0" collapsed="false">
      <c r="A317" s="13" t="s">
        <v>380</v>
      </c>
      <c r="B317" s="14" t="n">
        <v>39981</v>
      </c>
      <c r="C317" s="15" t="s">
        <v>27</v>
      </c>
      <c r="D317" s="4" t="s">
        <v>28</v>
      </c>
      <c r="E317" s="3" t="n">
        <v>4</v>
      </c>
      <c r="F317" s="18" t="s">
        <v>381</v>
      </c>
      <c r="G317" s="3" t="s">
        <v>36</v>
      </c>
      <c r="I317" s="3" t="n">
        <f aca="false">_xlfn.IFS(G317="взв",11,G317="накл",24,G317="прокл",25,G317="пт",26,G317=90,10,G317=85,10,G317=80,9,G317=75,8,G317=70,8,G317=65,7,G317=60,7,G317=55,6,G317=50,6,G317=45,6,G317=40,5,G317=35,4,G317=30,4,G317=25,3,G317=20,2,G317=15,1,G317=10,1,G317=0,0)</f>
        <v>26</v>
      </c>
      <c r="J317" s="3" t="n">
        <f aca="false">IF(H317&lt;=1,0,IF(H317&lt;=10,11,IF(H317&lt;=14,12,IF(H317&lt;=17,13,IF(H317&lt;=20,14,IF(H317&lt;=22,15,IF(H317&lt;=25,16,IF(H317&lt;=27,17,IF(H317&lt;=29,18,IF(H317&lt;=32,19,IF(H317&lt;=34,20,IF(H317&lt;=36,21,IF(H317&lt;=40,22,24)))))))))))))</f>
        <v>0</v>
      </c>
      <c r="M317" s="3" t="n">
        <f aca="false">_xlfn.IFS(K317="взв",11,K317="накл",24,K317="прокл",25,K317="пт",26,K317=90,10,K317=85,10,K317=80,9,K317=75,8,K317=70,8,K317=65,7,K317=60,7,K317=55,6,K317=50,6,K317=45,6,K317=40,5,K317=35,4,K317=30,4,K317=25,3,K317=20,2,K317=15,1,K317=10,1,K317=0,0)</f>
        <v>0</v>
      </c>
      <c r="N317" s="3" t="n">
        <f aca="false">IF(L317&lt;=1,0,IF(L317&lt;=10,11,IF(L317&lt;=14,12,IF(L317&lt;=17,13,IF(L317&lt;=20,14,IF(L317&lt;=22,15,IF(L317&lt;=25,16,IF(L317&lt;=27,17,IF(L317&lt;=29,18,IF(L317&lt;=32,19,IF(L317&lt;=34,20,IF(L317&lt;=36,21,IF(L317&lt;=40,22,24)))))))))))))</f>
        <v>0</v>
      </c>
      <c r="Q317" s="3" t="n">
        <f aca="false">_xlfn.IFS(O317="взв",11,O317="накл",24,O317="прокл",25,O317="пт",26,O317=90,10,O317=85,10,O317=80,9,O317=75,8,O317=70,8,O317=65,7,O317=60,7,O317=55,6,O317=50,6,O317=45,6,O317=40,5,O317=35,4,O317=30,4,O317=25,3,O317=20,2,O317=15,1,O317=10,1,O317=0,0)</f>
        <v>0</v>
      </c>
      <c r="R317" s="3" t="n">
        <f aca="false">IF(P317&lt;=1,0,IF(P317&lt;=10,11,IF(P317&lt;=14,12,IF(P317&lt;=17,13,IF(P317&lt;=20,14,IF(P317&lt;=22,15,IF(P317&lt;=25,16,IF(P317&lt;=27,17,IF(P317&lt;=29,18,IF(P317&lt;=32,19,IF(P317&lt;=34,20,IF(P317&lt;=36,21,IF(P317&lt;=40,22,24)))))))))))))</f>
        <v>0</v>
      </c>
      <c r="S317" s="3" t="n">
        <v>26</v>
      </c>
      <c r="T317" s="17" t="n">
        <f aca="false">F317*LOG10(S317+2)</f>
        <v>11.5772642507378</v>
      </c>
    </row>
    <row r="318" customFormat="false" ht="14.65" hidden="false" customHeight="true" outlineLevel="0" collapsed="false">
      <c r="A318" s="13" t="s">
        <v>382</v>
      </c>
      <c r="B318" s="14" t="n">
        <v>39976</v>
      </c>
      <c r="C318" s="15" t="s">
        <v>21</v>
      </c>
      <c r="D318" s="16" t="s">
        <v>92</v>
      </c>
      <c r="E318" s="15" t="n">
        <v>5</v>
      </c>
      <c r="F318" s="15" t="n">
        <v>0</v>
      </c>
      <c r="G318" s="15" t="n">
        <v>90</v>
      </c>
      <c r="H318" s="15"/>
      <c r="I318" s="3" t="n">
        <f aca="false">_xlfn.IFS(G318="взв",11,G318="накл",24,G318="прокл",25,G318="пт",26,G318=90,10,G318=85,10,G318=80,9,G318=75,8,G318=70,8,G318=65,7,G318=60,7,G318=55,6,G318=50,6,G318=45,6,G318=40,5,G318=35,4,G318=30,4,G318=25,3,G318=20,2,G318=15,1,G318=10,1,G318=0,0)</f>
        <v>10</v>
      </c>
      <c r="J318" s="3" t="n">
        <f aca="false">IF(H318&lt;=1,0,IF(H318&lt;=10,11,IF(H318&lt;=14,12,IF(H318&lt;=17,13,IF(H318&lt;=20,14,IF(H318&lt;=22,15,IF(H318&lt;=25,16,IF(H318&lt;=27,17,IF(H318&lt;=29,18,IF(H318&lt;=32,19,IF(H318&lt;=34,20,IF(H318&lt;=36,21,IF(H318&lt;=40,22,24)))))))))))))</f>
        <v>0</v>
      </c>
      <c r="K318" s="15" t="n">
        <v>90</v>
      </c>
      <c r="L318" s="15"/>
      <c r="M318" s="3" t="n">
        <f aca="false">_xlfn.IFS(K318="взв",11,K318="накл",24,K318="прокл",25,K318="пт",26,K318=90,10,K318=85,10,K318=80,9,K318=75,8,K318=70,8,K318=65,7,K318=60,7,K318=55,6,K318=50,6,K318=45,6,K318=40,5,K318=35,4,K318=30,4,K318=25,3,K318=20,2,K318=15,1,K318=10,1,K318=0,0)</f>
        <v>10</v>
      </c>
      <c r="N318" s="3" t="n">
        <f aca="false">IF(L318&lt;=1,0,IF(L318&lt;=10,11,IF(L318&lt;=14,12,IF(L318&lt;=17,13,IF(L318&lt;=20,14,IF(L318&lt;=22,15,IF(L318&lt;=25,16,IF(L318&lt;=27,17,IF(L318&lt;=29,18,IF(L318&lt;=32,19,IF(L318&lt;=34,20,IF(L318&lt;=36,21,IF(L318&lt;=40,22,24)))))))))))))</f>
        <v>0</v>
      </c>
      <c r="O318" s="15" t="n">
        <v>90</v>
      </c>
      <c r="P318" s="15"/>
      <c r="Q318" s="3" t="n">
        <f aca="false">_xlfn.IFS(O318="взв",11,O318="накл",24,O318="прокл",25,O318="пт",26,O318=90,10,O318=85,10,O318=80,9,O318=75,8,O318=70,8,O318=65,7,O318=60,7,O318=55,6,O318=50,6,O318=45,6,O318=40,5,O318=35,4,O318=30,4,O318=25,3,O318=20,2,O318=15,1,O318=10,1,O318=0,0)</f>
        <v>10</v>
      </c>
      <c r="R318" s="3" t="n">
        <f aca="false">IF(P318&lt;=1,0,IF(P318&lt;=10,11,IF(P318&lt;=14,12,IF(P318&lt;=17,13,IF(P318&lt;=20,14,IF(P318&lt;=22,15,IF(P318&lt;=25,16,IF(P318&lt;=27,17,IF(P318&lt;=29,18,IF(P318&lt;=32,19,IF(P318&lt;=34,20,IF(P318&lt;=36,21,IF(P318&lt;=40,22,24)))))))))))))</f>
        <v>0</v>
      </c>
      <c r="S318" s="3" t="n">
        <f aca="false">ROUND((Q318+R318+I318+J318+M318+N318)/3,0)</f>
        <v>10</v>
      </c>
      <c r="T318" s="17" t="n">
        <f aca="false">F318*LOG10(S318+2)</f>
        <v>0</v>
      </c>
    </row>
    <row r="319" customFormat="false" ht="14.65" hidden="false" customHeight="true" outlineLevel="0" collapsed="false">
      <c r="A319" s="13" t="s">
        <v>383</v>
      </c>
      <c r="B319" s="14" t="n">
        <v>39976</v>
      </c>
      <c r="C319" s="15" t="s">
        <v>21</v>
      </c>
      <c r="D319" s="16" t="s">
        <v>170</v>
      </c>
      <c r="E319" s="3" t="n">
        <v>4</v>
      </c>
      <c r="F319" s="3" t="n">
        <v>0</v>
      </c>
      <c r="G319" s="3" t="n">
        <v>60</v>
      </c>
      <c r="I319" s="3" t="n">
        <f aca="false">_xlfn.IFS(G319="взв",11,G319="накл",24,G319="прокл",25,G319="пт",26,G319=90,10,G319=85,10,G319=80,9,G319=75,8,G319=70,8,G319=65,7,G319=60,7,G319=55,6,G319=50,6,G319=45,6,G319=40,5,G319=35,4,G319=30,4,G319=25,3,G319=20,2,G319=15,1,G319=10,1,G319=0,0)</f>
        <v>7</v>
      </c>
      <c r="J319" s="3" t="n">
        <f aca="false">IF(H319&lt;=1,0,IF(H319&lt;=10,11,IF(H319&lt;=14,12,IF(H319&lt;=17,13,IF(H319&lt;=20,14,IF(H319&lt;=22,15,IF(H319&lt;=25,16,IF(H319&lt;=27,17,IF(H319&lt;=29,18,IF(H319&lt;=32,19,IF(H319&lt;=34,20,IF(H319&lt;=36,21,IF(H319&lt;=40,22,24)))))))))))))</f>
        <v>0</v>
      </c>
      <c r="K319" s="3" t="n">
        <v>60</v>
      </c>
      <c r="M319" s="3" t="n">
        <f aca="false">_xlfn.IFS(K319="взв",11,K319="накл",24,K319="прокл",25,K319="пт",26,K319=90,10,K319=85,10,K319=80,9,K319=75,8,K319=70,8,K319=65,7,K319=60,7,K319=55,6,K319=50,6,K319=45,6,K319=40,5,K319=35,4,K319=30,4,K319=25,3,K319=20,2,K319=15,1,K319=10,1,K319=0,0)</f>
        <v>7</v>
      </c>
      <c r="N319" s="3" t="n">
        <f aca="false">IF(L319&lt;=1,0,IF(L319&lt;=10,11,IF(L319&lt;=14,12,IF(L319&lt;=17,13,IF(L319&lt;=20,14,IF(L319&lt;=22,15,IF(L319&lt;=25,16,IF(L319&lt;=27,17,IF(L319&lt;=29,18,IF(L319&lt;=32,19,IF(L319&lt;=34,20,IF(L319&lt;=36,21,IF(L319&lt;=40,22,24)))))))))))))</f>
        <v>0</v>
      </c>
      <c r="O319" s="3" t="n">
        <v>60</v>
      </c>
      <c r="Q319" s="3" t="n">
        <f aca="false">_xlfn.IFS(O319="взв",11,O319="накл",24,O319="прокл",25,O319="пт",26,O319=90,10,O319=85,10,O319=80,9,O319=75,8,O319=70,8,O319=65,7,O319=60,7,O319=55,6,O319=50,6,O319=45,6,O319=40,5,O319=35,4,O319=30,4,O319=25,3,O319=20,2,O319=15,1,O319=10,1,O319=0,0)</f>
        <v>7</v>
      </c>
      <c r="R319" s="3" t="n">
        <f aca="false">IF(P319&lt;=1,0,IF(P319&lt;=10,11,IF(P319&lt;=14,12,IF(P319&lt;=17,13,IF(P319&lt;=20,14,IF(P319&lt;=22,15,IF(P319&lt;=25,16,IF(P319&lt;=27,17,IF(P319&lt;=29,18,IF(P319&lt;=32,19,IF(P319&lt;=34,20,IF(P319&lt;=36,21,IF(P319&lt;=40,22,24)))))))))))))</f>
        <v>0</v>
      </c>
      <c r="S319" s="3" t="n">
        <f aca="false">ROUND((Q319+R319+I319+J319+M319+N319)/3,0)</f>
        <v>7</v>
      </c>
      <c r="T319" s="17" t="n">
        <f aca="false">F319*LOG10(S319+2)</f>
        <v>0</v>
      </c>
    </row>
    <row r="320" customFormat="false" ht="14.65" hidden="false" customHeight="true" outlineLevel="0" collapsed="false">
      <c r="A320" s="13" t="s">
        <v>384</v>
      </c>
      <c r="B320" s="14" t="n">
        <v>39976</v>
      </c>
      <c r="C320" s="15" t="s">
        <v>21</v>
      </c>
      <c r="D320" s="16" t="s">
        <v>22</v>
      </c>
      <c r="E320" s="3" t="n">
        <v>2</v>
      </c>
      <c r="F320" s="3" t="n">
        <v>0</v>
      </c>
      <c r="H320" s="3" t="n">
        <v>34</v>
      </c>
      <c r="I320" s="3" t="n">
        <f aca="false">_xlfn.IFS(G320="взв",11,G320="накл",24,G320="прокл",25,G320="пт",26,G320=90,10,G320=85,10,G320=80,9,G320=75,8,G320=70,8,G320=65,7,G320=60,7,G320=55,6,G320=50,6,G320=45,6,G320=40,5,G320=35,4,G320=30,4,G320=25,3,G320=20,2,G320=15,1,G320=10,1,G320=0,0)</f>
        <v>0</v>
      </c>
      <c r="J320" s="3" t="n">
        <f aca="false">IF(H320&lt;=1,0,IF(H320&lt;=10,11,IF(H320&lt;=14,12,IF(H320&lt;=17,13,IF(H320&lt;=20,14,IF(H320&lt;=22,15,IF(H320&lt;=25,16,IF(H320&lt;=27,17,IF(H320&lt;=29,18,IF(H320&lt;=32,19,IF(H320&lt;=34,20,IF(H320&lt;=36,21,IF(H320&lt;=40,22,24)))))))))))))</f>
        <v>20</v>
      </c>
      <c r="L320" s="3" t="n">
        <v>40</v>
      </c>
      <c r="M320" s="3" t="n">
        <f aca="false">_xlfn.IFS(K320="взв",11,K320="накл",24,K320="прокл",25,K320="пт",26,K320=90,10,K320=85,10,K320=80,9,K320=75,8,K320=70,8,K320=65,7,K320=60,7,K320=55,6,K320=50,6,K320=45,6,K320=40,5,K320=35,4,K320=30,4,K320=25,3,K320=20,2,K320=15,1,K320=10,1,K320=0,0)</f>
        <v>0</v>
      </c>
      <c r="N320" s="3" t="n">
        <f aca="false">IF(L320&lt;=1,0,IF(L320&lt;=10,11,IF(L320&lt;=14,12,IF(L320&lt;=17,13,IF(L320&lt;=20,14,IF(L320&lt;=22,15,IF(L320&lt;=25,16,IF(L320&lt;=27,17,IF(L320&lt;=29,18,IF(L320&lt;=32,19,IF(L320&lt;=34,20,IF(L320&lt;=36,21,IF(L320&lt;=40,22,24)))))))))))))</f>
        <v>22</v>
      </c>
      <c r="Q320" s="3" t="n">
        <f aca="false">_xlfn.IFS(O320="взв",11,O320="накл",24,O320="прокл",25,O320="пт",26,O320=90,10,O320=85,10,O320=80,9,O320=75,8,O320=70,8,O320=65,7,O320=60,7,O320=55,6,O320=50,6,O320=45,6,O320=40,5,O320=35,4,O320=30,4,O320=25,3,O320=20,2,O320=15,1,O320=10,1,O320=0,0)</f>
        <v>0</v>
      </c>
      <c r="R320" s="3" t="n">
        <f aca="false">IF(P320&lt;=1,0,IF(P320&lt;=10,11,IF(P320&lt;=14,12,IF(P320&lt;=17,13,IF(P320&lt;=20,14,IF(P320&lt;=22,15,IF(P320&lt;=25,16,IF(P320&lt;=27,17,IF(P320&lt;=29,18,IF(P320&lt;=32,19,IF(P320&lt;=34,20,IF(P320&lt;=36,21,IF(P320&lt;=40,22,24)))))))))))))</f>
        <v>0</v>
      </c>
      <c r="S320" s="3" t="n">
        <f aca="false">ROUND((Q320+R320+I320+J320+M320+N320)/2,0)</f>
        <v>21</v>
      </c>
      <c r="T320" s="17" t="n">
        <f aca="false">F320*LOG10(S320+2)</f>
        <v>0</v>
      </c>
    </row>
    <row r="321" customFormat="false" ht="14.65" hidden="false" customHeight="true" outlineLevel="0" collapsed="false">
      <c r="A321" s="13" t="s">
        <v>385</v>
      </c>
      <c r="B321" s="14" t="n">
        <v>39976</v>
      </c>
      <c r="C321" s="15" t="s">
        <v>21</v>
      </c>
      <c r="D321" s="16" t="s">
        <v>22</v>
      </c>
      <c r="E321" s="3" t="n">
        <v>5</v>
      </c>
      <c r="F321" s="3" t="n">
        <v>0</v>
      </c>
      <c r="H321" s="3" t="n">
        <v>38</v>
      </c>
      <c r="I321" s="3" t="n">
        <f aca="false">_xlfn.IFS(G321="взв",11,G321="накл",24,G321="прокл",25,G321="пт",26,G321=90,10,G321=85,10,G321=80,9,G321=75,8,G321=70,8,G321=65,7,G321=60,7,G321=55,6,G321=50,6,G321=45,6,G321=40,5,G321=35,4,G321=30,4,G321=25,3,G321=20,2,G321=15,1,G321=10,1,G321=0,0)</f>
        <v>0</v>
      </c>
      <c r="J321" s="3" t="n">
        <f aca="false">IF(H321&lt;=1,0,IF(H321&lt;=10,11,IF(H321&lt;=14,12,IF(H321&lt;=17,13,IF(H321&lt;=20,14,IF(H321&lt;=22,15,IF(H321&lt;=25,16,IF(H321&lt;=27,17,IF(H321&lt;=29,18,IF(H321&lt;=32,19,IF(H321&lt;=34,20,IF(H321&lt;=36,21,IF(H321&lt;=40,22,24)))))))))))))</f>
        <v>22</v>
      </c>
      <c r="L321" s="3" t="n">
        <v>37</v>
      </c>
      <c r="M321" s="3" t="n">
        <f aca="false">_xlfn.IFS(K321="взв",11,K321="накл",24,K321="прокл",25,K321="пт",26,K321=90,10,K321=85,10,K321=80,9,K321=75,8,K321=70,8,K321=65,7,K321=60,7,K321=55,6,K321=50,6,K321=45,6,K321=40,5,K321=35,4,K321=30,4,K321=25,3,K321=20,2,K321=15,1,K321=10,1,K321=0,0)</f>
        <v>0</v>
      </c>
      <c r="N321" s="3" t="n">
        <f aca="false">IF(L321&lt;=1,0,IF(L321&lt;=10,11,IF(L321&lt;=14,12,IF(L321&lt;=17,13,IF(L321&lt;=20,14,IF(L321&lt;=22,15,IF(L321&lt;=25,16,IF(L321&lt;=27,17,IF(L321&lt;=29,18,IF(L321&lt;=32,19,IF(L321&lt;=34,20,IF(L321&lt;=36,21,IF(L321&lt;=40,22,24)))))))))))))</f>
        <v>22</v>
      </c>
      <c r="P321" s="3" t="n">
        <v>38</v>
      </c>
      <c r="Q321" s="3" t="n">
        <f aca="false">_xlfn.IFS(O321="взв",11,O321="накл",24,O321="прокл",25,O321="пт",26,O321=90,10,O321=85,10,O321=80,9,O321=75,8,O321=70,8,O321=65,7,O321=60,7,O321=55,6,O321=50,6,O321=45,6,O321=40,5,O321=35,4,O321=30,4,O321=25,3,O321=20,2,O321=15,1,O321=10,1,O321=0,0)</f>
        <v>0</v>
      </c>
      <c r="R321" s="3" t="n">
        <f aca="false">IF(P321&lt;=1,0,IF(P321&lt;=10,11,IF(P321&lt;=14,12,IF(P321&lt;=17,13,IF(P321&lt;=20,14,IF(P321&lt;=22,15,IF(P321&lt;=25,16,IF(P321&lt;=27,17,IF(P321&lt;=29,18,IF(P321&lt;=32,19,IF(P321&lt;=34,20,IF(P321&lt;=36,21,IF(P321&lt;=40,22,24)))))))))))))</f>
        <v>22</v>
      </c>
      <c r="S321" s="3" t="n">
        <f aca="false">ROUND((Q321+R321+I321+J321+M321+N321)/3,0)</f>
        <v>22</v>
      </c>
      <c r="T321" s="17" t="n">
        <f aca="false">F321*LOG10(S321+2)</f>
        <v>0</v>
      </c>
    </row>
    <row r="322" customFormat="false" ht="14.65" hidden="false" customHeight="true" outlineLevel="0" collapsed="false">
      <c r="A322" s="13" t="s">
        <v>386</v>
      </c>
      <c r="B322" s="14" t="n">
        <v>39977</v>
      </c>
      <c r="C322" s="15" t="s">
        <v>21</v>
      </c>
      <c r="D322" s="16" t="s">
        <v>100</v>
      </c>
      <c r="E322" s="3" t="n">
        <v>5</v>
      </c>
      <c r="F322" s="3" t="n">
        <v>0</v>
      </c>
      <c r="G322" s="3" t="n">
        <v>90</v>
      </c>
      <c r="I322" s="3" t="n">
        <f aca="false">_xlfn.IFS(G322="взв",11,G322="накл",24,G322="прокл",25,G322="пт",26,G322=90,10,G322=85,10,G322=80,9,G322=75,8,G322=70,8,G322=65,7,G322=60,7,G322=55,6,G322=50,6,G322=45,6,G322=40,5,G322=35,4,G322=30,4,G322=25,3,G322=20,2,G322=15,1,G322=10,1,G322=0,0)</f>
        <v>10</v>
      </c>
      <c r="J322" s="3" t="n">
        <f aca="false">IF(H322&lt;=1,0,IF(H322&lt;=10,11,IF(H322&lt;=14,12,IF(H322&lt;=17,13,IF(H322&lt;=20,14,IF(H322&lt;=22,15,IF(H322&lt;=25,16,IF(H322&lt;=27,17,IF(H322&lt;=29,18,IF(H322&lt;=32,19,IF(H322&lt;=34,20,IF(H322&lt;=36,21,IF(H322&lt;=40,22,24)))))))))))))</f>
        <v>0</v>
      </c>
      <c r="K322" s="3" t="n">
        <v>75</v>
      </c>
      <c r="M322" s="3" t="n">
        <f aca="false">_xlfn.IFS(K322="взв",11,K322="накл",24,K322="прокл",25,K322="пт",26,K322=90,10,K322=85,10,K322=80,9,K322=75,8,K322=70,8,K322=65,7,K322=60,7,K322=55,6,K322=50,6,K322=45,6,K322=40,5,K322=35,4,K322=30,4,K322=25,3,K322=20,2,K322=15,1,K322=10,1,K322=0,0)</f>
        <v>8</v>
      </c>
      <c r="N322" s="3" t="n">
        <f aca="false">IF(L322&lt;=1,0,IF(L322&lt;=10,11,IF(L322&lt;=14,12,IF(L322&lt;=17,13,IF(L322&lt;=20,14,IF(L322&lt;=22,15,IF(L322&lt;=25,16,IF(L322&lt;=27,17,IF(L322&lt;=29,18,IF(L322&lt;=32,19,IF(L322&lt;=34,20,IF(L322&lt;=36,21,IF(L322&lt;=40,22,24)))))))))))))</f>
        <v>0</v>
      </c>
      <c r="O322" s="3" t="n">
        <v>45</v>
      </c>
      <c r="Q322" s="3" t="n">
        <f aca="false">_xlfn.IFS(O322="взв",11,O322="накл",24,O322="прокл",25,O322="пт",26,O322=90,10,O322=85,10,O322=80,9,O322=75,8,O322=70,8,O322=65,7,O322=60,7,O322=55,6,O322=50,6,O322=45,6,O322=40,5,O322=35,4,O322=30,4,O322=25,3,O322=20,2,O322=15,1,O322=10,1,O322=0,0)</f>
        <v>6</v>
      </c>
      <c r="R322" s="3" t="n">
        <f aca="false">IF(P322&lt;=1,0,IF(P322&lt;=10,11,IF(P322&lt;=14,12,IF(P322&lt;=17,13,IF(P322&lt;=20,14,IF(P322&lt;=22,15,IF(P322&lt;=25,16,IF(P322&lt;=27,17,IF(P322&lt;=29,18,IF(P322&lt;=32,19,IF(P322&lt;=34,20,IF(P322&lt;=36,21,IF(P322&lt;=40,22,24)))))))))))))</f>
        <v>0</v>
      </c>
      <c r="S322" s="3" t="n">
        <f aca="false">ROUND((Q322+R322+I322+J322+M322+N322)/3,0)</f>
        <v>8</v>
      </c>
      <c r="T322" s="17" t="n">
        <f aca="false">F322*LOG10(S322+2)</f>
        <v>0</v>
      </c>
    </row>
    <row r="323" customFormat="false" ht="14.65" hidden="false" customHeight="true" outlineLevel="0" collapsed="false">
      <c r="A323" s="13" t="s">
        <v>387</v>
      </c>
      <c r="B323" s="14" t="n">
        <v>39977</v>
      </c>
      <c r="C323" s="15" t="s">
        <v>21</v>
      </c>
      <c r="D323" s="16" t="s">
        <v>42</v>
      </c>
      <c r="E323" s="3" t="n">
        <v>6</v>
      </c>
      <c r="F323" s="3" t="n">
        <v>0</v>
      </c>
      <c r="H323" s="3" t="n">
        <v>34</v>
      </c>
      <c r="I323" s="3" t="n">
        <f aca="false">_xlfn.IFS(G323="взв",11,G323="накл",24,G323="прокл",25,G323="пт",26,G323=90,10,G323=85,10,G323=80,9,G323=75,8,G323=70,8,G323=65,7,G323=60,7,G323=55,6,G323=50,6,G323=45,6,G323=40,5,G323=35,4,G323=30,4,G323=25,3,G323=20,2,G323=15,1,G323=10,1,G323=0,0)</f>
        <v>0</v>
      </c>
      <c r="J323" s="3" t="n">
        <f aca="false">IF(H323&lt;=1,0,IF(H323&lt;=10,11,IF(H323&lt;=14,12,IF(H323&lt;=17,13,IF(H323&lt;=20,14,IF(H323&lt;=22,15,IF(H323&lt;=25,16,IF(H323&lt;=27,17,IF(H323&lt;=29,18,IF(H323&lt;=32,19,IF(H323&lt;=34,20,IF(H323&lt;=36,21,IF(H323&lt;=40,22,24)))))))))))))</f>
        <v>20</v>
      </c>
      <c r="L323" s="3" t="n">
        <v>36</v>
      </c>
      <c r="M323" s="3" t="n">
        <f aca="false">_xlfn.IFS(K323="взв",11,K323="накл",24,K323="прокл",25,K323="пт",26,K323=90,10,K323=85,10,K323=80,9,K323=75,8,K323=70,8,K323=65,7,K323=60,7,K323=55,6,K323=50,6,K323=45,6,K323=40,5,K323=35,4,K323=30,4,K323=25,3,K323=20,2,K323=15,1,K323=10,1,K323=0,0)</f>
        <v>0</v>
      </c>
      <c r="N323" s="3" t="n">
        <f aca="false">IF(L323&lt;=1,0,IF(L323&lt;=10,11,IF(L323&lt;=14,12,IF(L323&lt;=17,13,IF(L323&lt;=20,14,IF(L323&lt;=22,15,IF(L323&lt;=25,16,IF(L323&lt;=27,17,IF(L323&lt;=29,18,IF(L323&lt;=32,19,IF(L323&lt;=34,20,IF(L323&lt;=36,21,IF(L323&lt;=40,22,24)))))))))))))</f>
        <v>21</v>
      </c>
      <c r="P323" s="3" t="n">
        <v>35</v>
      </c>
      <c r="Q323" s="3" t="n">
        <f aca="false">_xlfn.IFS(O323="взв",11,O323="накл",24,O323="прокл",25,O323="пт",26,O323=90,10,O323=85,10,O323=80,9,O323=75,8,O323=70,8,O323=65,7,O323=60,7,O323=55,6,O323=50,6,O323=45,6,O323=40,5,O323=35,4,O323=30,4,O323=25,3,O323=20,2,O323=15,1,O323=10,1,O323=0,0)</f>
        <v>0</v>
      </c>
      <c r="R323" s="3" t="n">
        <f aca="false">IF(P323&lt;=1,0,IF(P323&lt;=10,11,IF(P323&lt;=14,12,IF(P323&lt;=17,13,IF(P323&lt;=20,14,IF(P323&lt;=22,15,IF(P323&lt;=25,16,IF(P323&lt;=27,17,IF(P323&lt;=29,18,IF(P323&lt;=32,19,IF(P323&lt;=34,20,IF(P323&lt;=36,21,IF(P323&lt;=40,22,24)))))))))))))</f>
        <v>21</v>
      </c>
      <c r="S323" s="3" t="n">
        <f aca="false">ROUND((Q323+R323+I323+J323+M323+N323)/3,0)</f>
        <v>21</v>
      </c>
      <c r="T323" s="17" t="n">
        <f aca="false">F323*LOG10(S323+2)</f>
        <v>0</v>
      </c>
    </row>
    <row r="324" customFormat="false" ht="14.65" hidden="false" customHeight="true" outlineLevel="0" collapsed="false">
      <c r="A324" s="13" t="s">
        <v>388</v>
      </c>
      <c r="B324" s="14" t="n">
        <v>39977</v>
      </c>
      <c r="C324" s="15" t="s">
        <v>21</v>
      </c>
      <c r="D324" s="16" t="s">
        <v>42</v>
      </c>
      <c r="E324" s="3" t="n">
        <v>5</v>
      </c>
      <c r="F324" s="3" t="n">
        <v>0</v>
      </c>
      <c r="H324" s="3" t="n">
        <v>22</v>
      </c>
      <c r="I324" s="3" t="n">
        <f aca="false">_xlfn.IFS(G324="взв",11,G324="накл",24,G324="прокл",25,G324="пт",26,G324=90,10,G324=85,10,G324=80,9,G324=75,8,G324=70,8,G324=65,7,G324=60,7,G324=55,6,G324=50,6,G324=45,6,G324=40,5,G324=35,4,G324=30,4,G324=25,3,G324=20,2,G324=15,1,G324=10,1,G324=0,0)</f>
        <v>0</v>
      </c>
      <c r="J324" s="3" t="n">
        <f aca="false">IF(H324&lt;=1,0,IF(H324&lt;=10,11,IF(H324&lt;=14,12,IF(H324&lt;=17,13,IF(H324&lt;=20,14,IF(H324&lt;=22,15,IF(H324&lt;=25,16,IF(H324&lt;=27,17,IF(H324&lt;=29,18,IF(H324&lt;=32,19,IF(H324&lt;=34,20,IF(H324&lt;=36,21,IF(H324&lt;=40,22,24)))))))))))))</f>
        <v>15</v>
      </c>
      <c r="L324" s="3" t="n">
        <v>30</v>
      </c>
      <c r="M324" s="3" t="n">
        <f aca="false">_xlfn.IFS(K324="взв",11,K324="накл",24,K324="прокл",25,K324="пт",26,K324=90,10,K324=85,10,K324=80,9,K324=75,8,K324=70,8,K324=65,7,K324=60,7,K324=55,6,K324=50,6,K324=45,6,K324=40,5,K324=35,4,K324=30,4,K324=25,3,K324=20,2,K324=15,1,K324=10,1,K324=0,0)</f>
        <v>0</v>
      </c>
      <c r="N324" s="3" t="n">
        <f aca="false">IF(L324&lt;=1,0,IF(L324&lt;=10,11,IF(L324&lt;=14,12,IF(L324&lt;=17,13,IF(L324&lt;=20,14,IF(L324&lt;=22,15,IF(L324&lt;=25,16,IF(L324&lt;=27,17,IF(L324&lt;=29,18,IF(L324&lt;=32,19,IF(L324&lt;=34,20,IF(L324&lt;=36,21,IF(L324&lt;=40,22,24)))))))))))))</f>
        <v>19</v>
      </c>
      <c r="P324" s="3" t="n">
        <v>32</v>
      </c>
      <c r="Q324" s="3" t="n">
        <f aca="false">_xlfn.IFS(O324="взв",11,O324="накл",24,O324="прокл",25,O324="пт",26,O324=90,10,O324=85,10,O324=80,9,O324=75,8,O324=70,8,O324=65,7,O324=60,7,O324=55,6,O324=50,6,O324=45,6,O324=40,5,O324=35,4,O324=30,4,O324=25,3,O324=20,2,O324=15,1,O324=10,1,O324=0,0)</f>
        <v>0</v>
      </c>
      <c r="R324" s="3" t="n">
        <f aca="false">IF(P324&lt;=1,0,IF(P324&lt;=10,11,IF(P324&lt;=14,12,IF(P324&lt;=17,13,IF(P324&lt;=20,14,IF(P324&lt;=22,15,IF(P324&lt;=25,16,IF(P324&lt;=27,17,IF(P324&lt;=29,18,IF(P324&lt;=32,19,IF(P324&lt;=34,20,IF(P324&lt;=36,21,IF(P324&lt;=40,22,24)))))))))))))</f>
        <v>19</v>
      </c>
      <c r="S324" s="3" t="n">
        <f aca="false">ROUND((Q324+R324+I324+J324+M324+N324)/3,0)</f>
        <v>18</v>
      </c>
      <c r="T324" s="17" t="n">
        <f aca="false">F324*LOG10(S324+2)</f>
        <v>0</v>
      </c>
    </row>
    <row r="325" customFormat="false" ht="14.65" hidden="false" customHeight="true" outlineLevel="0" collapsed="false">
      <c r="A325" s="13" t="s">
        <v>389</v>
      </c>
      <c r="B325" s="14" t="n">
        <v>39977</v>
      </c>
      <c r="C325" s="15" t="s">
        <v>21</v>
      </c>
      <c r="D325" s="16" t="s">
        <v>42</v>
      </c>
      <c r="E325" s="3" t="n">
        <v>5</v>
      </c>
      <c r="F325" s="3" t="n">
        <v>0</v>
      </c>
      <c r="H325" s="3" t="n">
        <v>30</v>
      </c>
      <c r="I325" s="3" t="n">
        <f aca="false">_xlfn.IFS(G325="взв",11,G325="накл",24,G325="прокл",25,G325="пт",26,G325=90,10,G325=85,10,G325=80,9,G325=75,8,G325=70,8,G325=65,7,G325=60,7,G325=55,6,G325=50,6,G325=45,6,G325=40,5,G325=35,4,G325=30,4,G325=25,3,G325=20,2,G325=15,1,G325=10,1,G325=0,0)</f>
        <v>0</v>
      </c>
      <c r="J325" s="3" t="n">
        <f aca="false">IF(H325&lt;=1,0,IF(H325&lt;=10,11,IF(H325&lt;=14,12,IF(H325&lt;=17,13,IF(H325&lt;=20,14,IF(H325&lt;=22,15,IF(H325&lt;=25,16,IF(H325&lt;=27,17,IF(H325&lt;=29,18,IF(H325&lt;=32,19,IF(H325&lt;=34,20,IF(H325&lt;=36,21,IF(H325&lt;=40,22,24)))))))))))))</f>
        <v>19</v>
      </c>
      <c r="L325" s="3" t="n">
        <v>32</v>
      </c>
      <c r="M325" s="3" t="n">
        <f aca="false">_xlfn.IFS(K325="взв",11,K325="накл",24,K325="прокл",25,K325="пт",26,K325=90,10,K325=85,10,K325=80,9,K325=75,8,K325=70,8,K325=65,7,K325=60,7,K325=55,6,K325=50,6,K325=45,6,K325=40,5,K325=35,4,K325=30,4,K325=25,3,K325=20,2,K325=15,1,K325=10,1,K325=0,0)</f>
        <v>0</v>
      </c>
      <c r="N325" s="3" t="n">
        <f aca="false">IF(L325&lt;=1,0,IF(L325&lt;=10,11,IF(L325&lt;=14,12,IF(L325&lt;=17,13,IF(L325&lt;=20,14,IF(L325&lt;=22,15,IF(L325&lt;=25,16,IF(L325&lt;=27,17,IF(L325&lt;=29,18,IF(L325&lt;=32,19,IF(L325&lt;=34,20,IF(L325&lt;=36,21,IF(L325&lt;=40,22,24)))))))))))))</f>
        <v>19</v>
      </c>
      <c r="P325" s="3" t="n">
        <v>30</v>
      </c>
      <c r="Q325" s="3" t="n">
        <f aca="false">_xlfn.IFS(O325="взв",11,O325="накл",24,O325="прокл",25,O325="пт",26,O325=90,10,O325=85,10,O325=80,9,O325=75,8,O325=70,8,O325=65,7,O325=60,7,O325=55,6,O325=50,6,O325=45,6,O325=40,5,O325=35,4,O325=30,4,O325=25,3,O325=20,2,O325=15,1,O325=10,1,O325=0,0)</f>
        <v>0</v>
      </c>
      <c r="R325" s="3" t="n">
        <f aca="false">IF(P325&lt;=1,0,IF(P325&lt;=10,11,IF(P325&lt;=14,12,IF(P325&lt;=17,13,IF(P325&lt;=20,14,IF(P325&lt;=22,15,IF(P325&lt;=25,16,IF(P325&lt;=27,17,IF(P325&lt;=29,18,IF(P325&lt;=32,19,IF(P325&lt;=34,20,IF(P325&lt;=36,21,IF(P325&lt;=40,22,24)))))))))))))</f>
        <v>19</v>
      </c>
      <c r="S325" s="3" t="n">
        <f aca="false">ROUND((Q325+R325+I325+J325+M325+N325)/3,0)</f>
        <v>19</v>
      </c>
      <c r="T325" s="17" t="n">
        <f aca="false">F325*LOG10(S325+2)</f>
        <v>0</v>
      </c>
    </row>
    <row r="326" customFormat="false" ht="14.65" hidden="false" customHeight="true" outlineLevel="0" collapsed="false">
      <c r="A326" s="13" t="s">
        <v>390</v>
      </c>
      <c r="B326" s="14" t="n">
        <v>39977</v>
      </c>
      <c r="C326" s="15" t="s">
        <v>21</v>
      </c>
      <c r="D326" s="16" t="s">
        <v>42</v>
      </c>
      <c r="E326" s="3" t="n">
        <v>4</v>
      </c>
      <c r="F326" s="3" t="n">
        <v>0</v>
      </c>
      <c r="H326" s="3" t="n">
        <v>34</v>
      </c>
      <c r="I326" s="3" t="n">
        <f aca="false">_xlfn.IFS(G326="взв",11,G326="накл",24,G326="прокл",25,G326="пт",26,G326=90,10,G326=85,10,G326=80,9,G326=75,8,G326=70,8,G326=65,7,G326=60,7,G326=55,6,G326=50,6,G326=45,6,G326=40,5,G326=35,4,G326=30,4,G326=25,3,G326=20,2,G326=15,1,G326=10,1,G326=0,0)</f>
        <v>0</v>
      </c>
      <c r="J326" s="3" t="n">
        <f aca="false">IF(H326&lt;=1,0,IF(H326&lt;=10,11,IF(H326&lt;=14,12,IF(H326&lt;=17,13,IF(H326&lt;=20,14,IF(H326&lt;=22,15,IF(H326&lt;=25,16,IF(H326&lt;=27,17,IF(H326&lt;=29,18,IF(H326&lt;=32,19,IF(H326&lt;=34,20,IF(H326&lt;=36,21,IF(H326&lt;=40,22,24)))))))))))))</f>
        <v>20</v>
      </c>
      <c r="L326" s="3" t="n">
        <v>37</v>
      </c>
      <c r="M326" s="3" t="n">
        <f aca="false">_xlfn.IFS(K326="взв",11,K326="накл",24,K326="прокл",25,K326="пт",26,K326=90,10,K326=85,10,K326=80,9,K326=75,8,K326=70,8,K326=65,7,K326=60,7,K326=55,6,K326=50,6,K326=45,6,K326=40,5,K326=35,4,K326=30,4,K326=25,3,K326=20,2,K326=15,1,K326=10,1,K326=0,0)</f>
        <v>0</v>
      </c>
      <c r="N326" s="3" t="n">
        <f aca="false">IF(L326&lt;=1,0,IF(L326&lt;=10,11,IF(L326&lt;=14,12,IF(L326&lt;=17,13,IF(L326&lt;=20,14,IF(L326&lt;=22,15,IF(L326&lt;=25,16,IF(L326&lt;=27,17,IF(L326&lt;=29,18,IF(L326&lt;=32,19,IF(L326&lt;=34,20,IF(L326&lt;=36,21,IF(L326&lt;=40,22,24)))))))))))))</f>
        <v>22</v>
      </c>
      <c r="P326" s="3" t="n">
        <v>33</v>
      </c>
      <c r="Q326" s="3" t="n">
        <f aca="false">_xlfn.IFS(O326="взв",11,O326="накл",24,O326="прокл",25,O326="пт",26,O326=90,10,O326=85,10,O326=80,9,O326=75,8,O326=70,8,O326=65,7,O326=60,7,O326=55,6,O326=50,6,O326=45,6,O326=40,5,O326=35,4,O326=30,4,O326=25,3,O326=20,2,O326=15,1,O326=10,1,O326=0,0)</f>
        <v>0</v>
      </c>
      <c r="R326" s="3" t="n">
        <f aca="false">IF(P326&lt;=1,0,IF(P326&lt;=10,11,IF(P326&lt;=14,12,IF(P326&lt;=17,13,IF(P326&lt;=20,14,IF(P326&lt;=22,15,IF(P326&lt;=25,16,IF(P326&lt;=27,17,IF(P326&lt;=29,18,IF(P326&lt;=32,19,IF(P326&lt;=34,20,IF(P326&lt;=36,21,IF(P326&lt;=40,22,24)))))))))))))</f>
        <v>20</v>
      </c>
      <c r="S326" s="3" t="n">
        <f aca="false">ROUND((Q326+R326+I326+J326+M326+N326)/3,0)</f>
        <v>21</v>
      </c>
      <c r="T326" s="17" t="n">
        <f aca="false">F326*LOG10(S326+2)</f>
        <v>0</v>
      </c>
    </row>
    <row r="327" customFormat="false" ht="14.65" hidden="false" customHeight="true" outlineLevel="0" collapsed="false">
      <c r="A327" s="13" t="s">
        <v>391</v>
      </c>
      <c r="B327" s="14" t="n">
        <v>39977</v>
      </c>
      <c r="C327" s="15" t="s">
        <v>21</v>
      </c>
      <c r="D327" s="16" t="s">
        <v>106</v>
      </c>
      <c r="E327" s="3" t="n">
        <v>7</v>
      </c>
      <c r="F327" s="3" t="n">
        <v>0</v>
      </c>
      <c r="H327" s="3" t="n">
        <v>36</v>
      </c>
      <c r="I327" s="3" t="n">
        <f aca="false">_xlfn.IFS(G327="взв",11,G327="накл",24,G327="прокл",25,G327="пт",26,G327=90,10,G327=85,10,G327=80,9,G327=75,8,G327=70,8,G327=65,7,G327=60,7,G327=55,6,G327=50,6,G327=45,6,G327=40,5,G327=35,4,G327=30,4,G327=25,3,G327=20,2,G327=15,1,G327=10,1,G327=0,0)</f>
        <v>0</v>
      </c>
      <c r="J327" s="3" t="n">
        <f aca="false">IF(H327&lt;=1,0,IF(H327&lt;=10,11,IF(H327&lt;=14,12,IF(H327&lt;=17,13,IF(H327&lt;=20,14,IF(H327&lt;=22,15,IF(H327&lt;=25,16,IF(H327&lt;=27,17,IF(H327&lt;=29,18,IF(H327&lt;=32,19,IF(H327&lt;=34,20,IF(H327&lt;=36,21,IF(H327&lt;=40,22,24)))))))))))))</f>
        <v>21</v>
      </c>
      <c r="L327" s="3" t="n">
        <v>36</v>
      </c>
      <c r="M327" s="3" t="n">
        <f aca="false">_xlfn.IFS(K327="взв",11,K327="накл",24,K327="прокл",25,K327="пт",26,K327=90,10,K327=85,10,K327=80,9,K327=75,8,K327=70,8,K327=65,7,K327=60,7,K327=55,6,K327=50,6,K327=45,6,K327=40,5,K327=35,4,K327=30,4,K327=25,3,K327=20,2,K327=15,1,K327=10,1,K327=0,0)</f>
        <v>0</v>
      </c>
      <c r="N327" s="3" t="n">
        <f aca="false">IF(L327&lt;=1,0,IF(L327&lt;=10,11,IF(L327&lt;=14,12,IF(L327&lt;=17,13,IF(L327&lt;=20,14,IF(L327&lt;=22,15,IF(L327&lt;=25,16,IF(L327&lt;=27,17,IF(L327&lt;=29,18,IF(L327&lt;=32,19,IF(L327&lt;=34,20,IF(L327&lt;=36,21,IF(L327&lt;=40,22,24)))))))))))))</f>
        <v>21</v>
      </c>
      <c r="P327" s="3" t="n">
        <v>36</v>
      </c>
      <c r="Q327" s="3" t="n">
        <f aca="false">_xlfn.IFS(O327="взв",11,O327="накл",24,O327="прокл",25,O327="пт",26,O327=90,10,O327=85,10,O327=80,9,O327=75,8,O327=70,8,O327=65,7,O327=60,7,O327=55,6,O327=50,6,O327=45,6,O327=40,5,O327=35,4,O327=30,4,O327=25,3,O327=20,2,O327=15,1,O327=10,1,O327=0,0)</f>
        <v>0</v>
      </c>
      <c r="R327" s="3" t="n">
        <f aca="false">IF(P327&lt;=1,0,IF(P327&lt;=10,11,IF(P327&lt;=14,12,IF(P327&lt;=17,13,IF(P327&lt;=20,14,IF(P327&lt;=22,15,IF(P327&lt;=25,16,IF(P327&lt;=27,17,IF(P327&lt;=29,18,IF(P327&lt;=32,19,IF(P327&lt;=34,20,IF(P327&lt;=36,21,IF(P327&lt;=40,22,24)))))))))))))</f>
        <v>21</v>
      </c>
      <c r="S327" s="3" t="n">
        <f aca="false">ROUND((Q327+R327+I327+J327+M327+N327)/3,0)</f>
        <v>21</v>
      </c>
      <c r="T327" s="17" t="n">
        <f aca="false">F327*LOG10(S327+2)</f>
        <v>0</v>
      </c>
    </row>
    <row r="328" customFormat="false" ht="14.65" hidden="false" customHeight="true" outlineLevel="0" collapsed="false">
      <c r="A328" s="13" t="s">
        <v>392</v>
      </c>
      <c r="B328" s="14" t="n">
        <v>39977</v>
      </c>
      <c r="C328" s="15" t="s">
        <v>21</v>
      </c>
      <c r="D328" s="16" t="s">
        <v>108</v>
      </c>
      <c r="E328" s="3" t="n">
        <v>6</v>
      </c>
      <c r="F328" s="3" t="n">
        <v>0</v>
      </c>
      <c r="H328" s="3" t="n">
        <v>17</v>
      </c>
      <c r="I328" s="3" t="n">
        <f aca="false">_xlfn.IFS(G328="взв",11,G328="накл",24,G328="прокл",25,G328="пт",26,G328=90,10,G328=85,10,G328=80,9,G328=75,8,G328=70,8,G328=65,7,G328=60,7,G328=55,6,G328=50,6,G328=45,6,G328=40,5,G328=35,4,G328=30,4,G328=25,3,G328=20,2,G328=15,1,G328=10,1,G328=0,0)</f>
        <v>0</v>
      </c>
      <c r="J328" s="3" t="n">
        <f aca="false">IF(H328&lt;=1,0,IF(H328&lt;=10,11,IF(H328&lt;=14,12,IF(H328&lt;=17,13,IF(H328&lt;=20,14,IF(H328&lt;=22,15,IF(H328&lt;=25,16,IF(H328&lt;=27,17,IF(H328&lt;=29,18,IF(H328&lt;=32,19,IF(H328&lt;=34,20,IF(H328&lt;=36,21,IF(H328&lt;=40,22,24)))))))))))))</f>
        <v>13</v>
      </c>
      <c r="L328" s="3" t="n">
        <v>25</v>
      </c>
      <c r="M328" s="3" t="n">
        <f aca="false">_xlfn.IFS(K328="взв",11,K328="накл",24,K328="прокл",25,K328="пт",26,K328=90,10,K328=85,10,K328=80,9,K328=75,8,K328=70,8,K328=65,7,K328=60,7,K328=55,6,K328=50,6,K328=45,6,K328=40,5,K328=35,4,K328=30,4,K328=25,3,K328=20,2,K328=15,1,K328=10,1,K328=0,0)</f>
        <v>0</v>
      </c>
      <c r="N328" s="3" t="n">
        <f aca="false">IF(L328&lt;=1,0,IF(L328&lt;=10,11,IF(L328&lt;=14,12,IF(L328&lt;=17,13,IF(L328&lt;=20,14,IF(L328&lt;=22,15,IF(L328&lt;=25,16,IF(L328&lt;=27,17,IF(L328&lt;=29,18,IF(L328&lt;=32,19,IF(L328&lt;=34,20,IF(L328&lt;=36,21,IF(L328&lt;=40,22,24)))))))))))))</f>
        <v>16</v>
      </c>
      <c r="P328" s="3" t="n">
        <v>26</v>
      </c>
      <c r="Q328" s="3" t="n">
        <f aca="false">_xlfn.IFS(O328="взв",11,O328="накл",24,O328="прокл",25,O328="пт",26,O328=90,10,O328=85,10,O328=80,9,O328=75,8,O328=70,8,O328=65,7,O328=60,7,O328=55,6,O328=50,6,O328=45,6,O328=40,5,O328=35,4,O328=30,4,O328=25,3,O328=20,2,O328=15,1,O328=10,1,O328=0,0)</f>
        <v>0</v>
      </c>
      <c r="R328" s="3" t="n">
        <f aca="false">IF(P328&lt;=1,0,IF(P328&lt;=10,11,IF(P328&lt;=14,12,IF(P328&lt;=17,13,IF(P328&lt;=20,14,IF(P328&lt;=22,15,IF(P328&lt;=25,16,IF(P328&lt;=27,17,IF(P328&lt;=29,18,IF(P328&lt;=32,19,IF(P328&lt;=34,20,IF(P328&lt;=36,21,IF(P328&lt;=40,22,24)))))))))))))</f>
        <v>17</v>
      </c>
      <c r="S328" s="3" t="n">
        <f aca="false">ROUND((Q328+R328+I328+J328+M328+N328)/3,0)</f>
        <v>15</v>
      </c>
      <c r="T328" s="17" t="n">
        <f aca="false">F328*LOG10(S328+2)</f>
        <v>0</v>
      </c>
    </row>
    <row r="329" customFormat="false" ht="14.65" hidden="false" customHeight="true" outlineLevel="0" collapsed="false">
      <c r="A329" s="13" t="s">
        <v>393</v>
      </c>
      <c r="B329" s="14" t="n">
        <v>39977</v>
      </c>
      <c r="C329" s="15" t="s">
        <v>21</v>
      </c>
      <c r="D329" s="16" t="s">
        <v>108</v>
      </c>
      <c r="E329" s="3" t="n">
        <v>5</v>
      </c>
      <c r="F329" s="3" t="n">
        <v>0</v>
      </c>
      <c r="H329" s="3" t="n">
        <v>36</v>
      </c>
      <c r="I329" s="3" t="n">
        <f aca="false">_xlfn.IFS(G329="взв",11,G329="накл",24,G329="прокл",25,G329="пт",26,G329=90,10,G329=85,10,G329=80,9,G329=75,8,G329=70,8,G329=65,7,G329=60,7,G329=55,6,G329=50,6,G329=45,6,G329=40,5,G329=35,4,G329=30,4,G329=25,3,G329=20,2,G329=15,1,G329=10,1,G329=0,0)</f>
        <v>0</v>
      </c>
      <c r="J329" s="3" t="n">
        <f aca="false">IF(H329&lt;=1,0,IF(H329&lt;=10,11,IF(H329&lt;=14,12,IF(H329&lt;=17,13,IF(H329&lt;=20,14,IF(H329&lt;=22,15,IF(H329&lt;=25,16,IF(H329&lt;=27,17,IF(H329&lt;=29,18,IF(H329&lt;=32,19,IF(H329&lt;=34,20,IF(H329&lt;=36,21,IF(H329&lt;=40,22,24)))))))))))))</f>
        <v>21</v>
      </c>
      <c r="L329" s="3" t="n">
        <v>35</v>
      </c>
      <c r="M329" s="3" t="n">
        <f aca="false">_xlfn.IFS(K329="взв",11,K329="накл",24,K329="прокл",25,K329="пт",26,K329=90,10,K329=85,10,K329=80,9,K329=75,8,K329=70,8,K329=65,7,K329=60,7,K329=55,6,K329=50,6,K329=45,6,K329=40,5,K329=35,4,K329=30,4,K329=25,3,K329=20,2,K329=15,1,K329=10,1,K329=0,0)</f>
        <v>0</v>
      </c>
      <c r="N329" s="3" t="n">
        <f aca="false">IF(L329&lt;=1,0,IF(L329&lt;=10,11,IF(L329&lt;=14,12,IF(L329&lt;=17,13,IF(L329&lt;=20,14,IF(L329&lt;=22,15,IF(L329&lt;=25,16,IF(L329&lt;=27,17,IF(L329&lt;=29,18,IF(L329&lt;=32,19,IF(L329&lt;=34,20,IF(L329&lt;=36,21,IF(L329&lt;=40,22,24)))))))))))))</f>
        <v>21</v>
      </c>
      <c r="P329" s="3" t="n">
        <v>36</v>
      </c>
      <c r="Q329" s="3" t="n">
        <f aca="false">_xlfn.IFS(O329="взв",11,O329="накл",24,O329="прокл",25,O329="пт",26,O329=90,10,O329=85,10,O329=80,9,O329=75,8,O329=70,8,O329=65,7,O329=60,7,O329=55,6,O329=50,6,O329=45,6,O329=40,5,O329=35,4,O329=30,4,O329=25,3,O329=20,2,O329=15,1,O329=10,1,O329=0,0)</f>
        <v>0</v>
      </c>
      <c r="R329" s="3" t="n">
        <f aca="false">IF(P329&lt;=1,0,IF(P329&lt;=10,11,IF(P329&lt;=14,12,IF(P329&lt;=17,13,IF(P329&lt;=20,14,IF(P329&lt;=22,15,IF(P329&lt;=25,16,IF(P329&lt;=27,17,IF(P329&lt;=29,18,IF(P329&lt;=32,19,IF(P329&lt;=34,20,IF(P329&lt;=36,21,IF(P329&lt;=40,22,24)))))))))))))</f>
        <v>21</v>
      </c>
      <c r="S329" s="3" t="n">
        <f aca="false">ROUND((Q329+R329+I329+J329+M329+N329)/3,0)</f>
        <v>21</v>
      </c>
      <c r="T329" s="17" t="n">
        <f aca="false">F329*LOG10(S329+2)</f>
        <v>0</v>
      </c>
    </row>
    <row r="330" customFormat="false" ht="14.65" hidden="false" customHeight="true" outlineLevel="0" collapsed="false">
      <c r="A330" s="13" t="s">
        <v>394</v>
      </c>
      <c r="B330" s="14" t="n">
        <v>39981</v>
      </c>
      <c r="C330" s="15" t="s">
        <v>27</v>
      </c>
      <c r="D330" s="4" t="s">
        <v>51</v>
      </c>
      <c r="E330" s="3" t="n">
        <v>5</v>
      </c>
      <c r="F330" s="3" t="n">
        <v>0</v>
      </c>
      <c r="G330" s="3" t="n">
        <v>90</v>
      </c>
      <c r="I330" s="3" t="n">
        <f aca="false">_xlfn.IFS(G330="взв",11,G330="накл",24,G330="прокл",25,G330="пт",26,G330=90,10,G330=85,10,G330=80,9,G330=75,8,G330=70,8,G330=65,7,G330=60,7,G330=55,6,G330=50,6,G330=45,6,G330=40,5,G330=35,4,G330=30,4,G330=25,3,G330=20,2,G330=15,1,G330=10,1,G330=0,0)</f>
        <v>10</v>
      </c>
      <c r="J330" s="3" t="n">
        <f aca="false">IF(H330&lt;=1,0,IF(H330&lt;=10,11,IF(H330&lt;=14,12,IF(H330&lt;=17,13,IF(H330&lt;=20,14,IF(H330&lt;=22,15,IF(H330&lt;=25,16,IF(H330&lt;=27,17,IF(H330&lt;=29,18,IF(H330&lt;=32,19,IF(H330&lt;=34,20,IF(H330&lt;=36,21,IF(H330&lt;=40,22,24)))))))))))))</f>
        <v>0</v>
      </c>
      <c r="K330" s="3" t="n">
        <v>90</v>
      </c>
      <c r="M330" s="3" t="n">
        <f aca="false">_xlfn.IFS(K330="взв",11,K330="накл",24,K330="прокл",25,K330="пт",26,K330=90,10,K330=85,10,K330=80,9,K330=75,8,K330=70,8,K330=65,7,K330=60,7,K330=55,6,K330=50,6,K330=45,6,K330=40,5,K330=35,4,K330=30,4,K330=25,3,K330=20,2,K330=15,1,K330=10,1,K330=0,0)</f>
        <v>10</v>
      </c>
      <c r="N330" s="3" t="n">
        <f aca="false">IF(L330&lt;=1,0,IF(L330&lt;=10,11,IF(L330&lt;=14,12,IF(L330&lt;=17,13,IF(L330&lt;=20,14,IF(L330&lt;=22,15,IF(L330&lt;=25,16,IF(L330&lt;=27,17,IF(L330&lt;=29,18,IF(L330&lt;=32,19,IF(L330&lt;=34,20,IF(L330&lt;=36,21,IF(L330&lt;=40,22,24)))))))))))))</f>
        <v>0</v>
      </c>
      <c r="O330" s="3" t="n">
        <v>90</v>
      </c>
      <c r="Q330" s="3" t="n">
        <f aca="false">_xlfn.IFS(O330="взв",11,O330="накл",24,O330="прокл",25,O330="пт",26,O330=90,10,O330=85,10,O330=80,9,O330=75,8,O330=70,8,O330=65,7,O330=60,7,O330=55,6,O330=50,6,O330=45,6,O330=40,5,O330=35,4,O330=30,4,O330=25,3,O330=20,2,O330=15,1,O330=10,1,O330=0,0)</f>
        <v>10</v>
      </c>
      <c r="R330" s="3" t="n">
        <f aca="false">IF(P330&lt;=1,0,IF(P330&lt;=10,11,IF(P330&lt;=14,12,IF(P330&lt;=17,13,IF(P330&lt;=20,14,IF(P330&lt;=22,15,IF(P330&lt;=25,16,IF(P330&lt;=27,17,IF(P330&lt;=29,18,IF(P330&lt;=32,19,IF(P330&lt;=34,20,IF(P330&lt;=36,21,IF(P330&lt;=40,22,24)))))))))))))</f>
        <v>0</v>
      </c>
      <c r="S330" s="3" t="n">
        <f aca="false">ROUND((Q330+R330+I330+J330+M330+N330)/3,0)</f>
        <v>10</v>
      </c>
      <c r="T330" s="17" t="n">
        <f aca="false">F330*LOG10(S330+2)</f>
        <v>0</v>
      </c>
    </row>
    <row r="331" customFormat="false" ht="14.65" hidden="false" customHeight="true" outlineLevel="0" collapsed="false">
      <c r="A331" s="13" t="s">
        <v>395</v>
      </c>
      <c r="B331" s="14" t="n">
        <v>39981</v>
      </c>
      <c r="C331" s="15" t="s">
        <v>27</v>
      </c>
      <c r="D331" s="4" t="s">
        <v>51</v>
      </c>
      <c r="E331" s="3" t="n">
        <v>5</v>
      </c>
      <c r="F331" s="3" t="n">
        <v>0</v>
      </c>
      <c r="H331" s="3" t="n">
        <v>28</v>
      </c>
      <c r="I331" s="3" t="n">
        <f aca="false">_xlfn.IFS(G331="взв",11,G331="накл",24,G331="прокл",25,G331="пт",26,G331=90,10,G331=85,10,G331=80,9,G331=75,8,G331=70,8,G331=65,7,G331=60,7,G331=55,6,G331=50,6,G331=45,6,G331=40,5,G331=35,4,G331=30,4,G331=25,3,G331=20,2,G331=15,1,G331=10,1,G331=0,0)</f>
        <v>0</v>
      </c>
      <c r="J331" s="3" t="n">
        <f aca="false">IF(H331&lt;=1,0,IF(H331&lt;=10,11,IF(H331&lt;=14,12,IF(H331&lt;=17,13,IF(H331&lt;=20,14,IF(H331&lt;=22,15,IF(H331&lt;=25,16,IF(H331&lt;=27,17,IF(H331&lt;=29,18,IF(H331&lt;=32,19,IF(H331&lt;=34,20,IF(H331&lt;=36,21,IF(H331&lt;=40,22,24)))))))))))))</f>
        <v>18</v>
      </c>
      <c r="L331" s="3" t="n">
        <v>20</v>
      </c>
      <c r="M331" s="3" t="n">
        <f aca="false">_xlfn.IFS(K331="взв",11,K331="накл",24,K331="прокл",25,K331="пт",26,K331=90,10,K331=85,10,K331=80,9,K331=75,8,K331=70,8,K331=65,7,K331=60,7,K331=55,6,K331=50,6,K331=45,6,K331=40,5,K331=35,4,K331=30,4,K331=25,3,K331=20,2,K331=15,1,K331=10,1,K331=0,0)</f>
        <v>0</v>
      </c>
      <c r="N331" s="3" t="n">
        <f aca="false">IF(L331&lt;=1,0,IF(L331&lt;=10,11,IF(L331&lt;=14,12,IF(L331&lt;=17,13,IF(L331&lt;=20,14,IF(L331&lt;=22,15,IF(L331&lt;=25,16,IF(L331&lt;=27,17,IF(L331&lt;=29,18,IF(L331&lt;=32,19,IF(L331&lt;=34,20,IF(L331&lt;=36,21,IF(L331&lt;=40,22,24)))))))))))))</f>
        <v>14</v>
      </c>
      <c r="P331" s="3" t="n">
        <v>21</v>
      </c>
      <c r="Q331" s="3" t="n">
        <f aca="false">_xlfn.IFS(O331="взв",11,O331="накл",24,O331="прокл",25,O331="пт",26,O331=90,10,O331=85,10,O331=80,9,O331=75,8,O331=70,8,O331=65,7,O331=60,7,O331=55,6,O331=50,6,O331=45,6,O331=40,5,O331=35,4,O331=30,4,O331=25,3,O331=20,2,O331=15,1,O331=10,1,O331=0,0)</f>
        <v>0</v>
      </c>
      <c r="R331" s="3" t="n">
        <f aca="false">IF(P331&lt;=1,0,IF(P331&lt;=10,11,IF(P331&lt;=14,12,IF(P331&lt;=17,13,IF(P331&lt;=20,14,IF(P331&lt;=22,15,IF(P331&lt;=25,16,IF(P331&lt;=27,17,IF(P331&lt;=29,18,IF(P331&lt;=32,19,IF(P331&lt;=34,20,IF(P331&lt;=36,21,IF(P331&lt;=40,22,24)))))))))))))</f>
        <v>15</v>
      </c>
      <c r="S331" s="3" t="n">
        <f aca="false">ROUND((Q331+R331+I331+J331+M331+N331)/3,0)</f>
        <v>16</v>
      </c>
      <c r="T331" s="17" t="n">
        <f aca="false">F331*LOG10(S331+2)</f>
        <v>0</v>
      </c>
    </row>
    <row r="332" customFormat="false" ht="14.65" hidden="false" customHeight="true" outlineLevel="0" collapsed="false">
      <c r="A332" s="13" t="s">
        <v>396</v>
      </c>
      <c r="B332" s="14" t="n">
        <v>39981</v>
      </c>
      <c r="C332" s="15" t="s">
        <v>27</v>
      </c>
      <c r="D332" s="4" t="s">
        <v>51</v>
      </c>
      <c r="E332" s="3" t="n">
        <v>1</v>
      </c>
      <c r="F332" s="3" t="n">
        <v>0</v>
      </c>
      <c r="H332" s="3" t="n">
        <v>27</v>
      </c>
      <c r="I332" s="3" t="n">
        <f aca="false">_xlfn.IFS(G332="взв",11,G332="накл",24,G332="прокл",25,G332="пт",26,G332=90,10,G332=85,10,G332=80,9,G332=75,8,G332=70,8,G332=65,7,G332=60,7,G332=55,6,G332=50,6,G332=45,6,G332=40,5,G332=35,4,G332=30,4,G332=25,3,G332=20,2,G332=15,1,G332=10,1,G332=0,0)</f>
        <v>0</v>
      </c>
      <c r="J332" s="3" t="n">
        <f aca="false">IF(H332&lt;=1,0,IF(H332&lt;=10,11,IF(H332&lt;=14,12,IF(H332&lt;=17,13,IF(H332&lt;=20,14,IF(H332&lt;=22,15,IF(H332&lt;=25,16,IF(H332&lt;=27,17,IF(H332&lt;=29,18,IF(H332&lt;=32,19,IF(H332&lt;=34,20,IF(H332&lt;=36,21,IF(H332&lt;=40,22,24)))))))))))))</f>
        <v>17</v>
      </c>
      <c r="M332" s="3" t="n">
        <f aca="false">_xlfn.IFS(K332="взв",11,K332="накл",24,K332="прокл",25,K332="пт",26,K332=90,10,K332=85,10,K332=80,9,K332=75,8,K332=70,8,K332=65,7,K332=60,7,K332=55,6,K332=50,6,K332=45,6,K332=40,5,K332=35,4,K332=30,4,K332=25,3,K332=20,2,K332=15,1,K332=10,1,K332=0,0)</f>
        <v>0</v>
      </c>
      <c r="N332" s="3" t="n">
        <f aca="false">IF(L332&lt;=1,0,IF(L332&lt;=10,11,IF(L332&lt;=14,12,IF(L332&lt;=17,13,IF(L332&lt;=20,14,IF(L332&lt;=22,15,IF(L332&lt;=25,16,IF(L332&lt;=27,17,IF(L332&lt;=29,18,IF(L332&lt;=32,19,IF(L332&lt;=34,20,IF(L332&lt;=36,21,IF(L332&lt;=40,22,24)))))))))))))</f>
        <v>0</v>
      </c>
      <c r="Q332" s="3" t="n">
        <f aca="false">_xlfn.IFS(O332="взв",11,O332="накл",24,O332="прокл",25,O332="пт",26,O332=90,10,O332=85,10,O332=80,9,O332=75,8,O332=70,8,O332=65,7,O332=60,7,O332=55,6,O332=50,6,O332=45,6,O332=40,5,O332=35,4,O332=30,4,O332=25,3,O332=20,2,O332=15,1,O332=10,1,O332=0,0)</f>
        <v>0</v>
      </c>
      <c r="R332" s="3" t="n">
        <f aca="false">IF(P332&lt;=1,0,IF(P332&lt;=10,11,IF(P332&lt;=14,12,IF(P332&lt;=17,13,IF(P332&lt;=20,14,IF(P332&lt;=22,15,IF(P332&lt;=25,16,IF(P332&lt;=27,17,IF(P332&lt;=29,18,IF(P332&lt;=32,19,IF(P332&lt;=34,20,IF(P332&lt;=36,21,IF(P332&lt;=40,22,24)))))))))))))</f>
        <v>0</v>
      </c>
      <c r="S332" s="3" t="n">
        <v>17</v>
      </c>
      <c r="T332" s="17" t="n">
        <f aca="false">F332*LOG10(S332+2)</f>
        <v>0</v>
      </c>
    </row>
    <row r="333" customFormat="false" ht="14.65" hidden="false" customHeight="true" outlineLevel="0" collapsed="false">
      <c r="A333" s="13" t="s">
        <v>397</v>
      </c>
      <c r="B333" s="14" t="n">
        <v>39981</v>
      </c>
      <c r="C333" s="15" t="s">
        <v>27</v>
      </c>
      <c r="D333" s="4" t="s">
        <v>47</v>
      </c>
      <c r="E333" s="3" t="n">
        <v>4</v>
      </c>
      <c r="F333" s="3" t="n">
        <v>0</v>
      </c>
      <c r="H333" s="3" t="n">
        <v>28</v>
      </c>
      <c r="I333" s="3" t="n">
        <f aca="false">_xlfn.IFS(G333="взв",11,G333="накл",24,G333="прокл",25,G333="пт",26,G333=90,10,G333=85,10,G333=80,9,G333=75,8,G333=70,8,G333=65,7,G333=60,7,G333=55,6,G333=50,6,G333=45,6,G333=40,5,G333=35,4,G333=30,4,G333=25,3,G333=20,2,G333=15,1,G333=10,1,G333=0,0)</f>
        <v>0</v>
      </c>
      <c r="J333" s="3" t="n">
        <f aca="false">IF(H333&lt;=1,0,IF(H333&lt;=10,11,IF(H333&lt;=14,12,IF(H333&lt;=17,13,IF(H333&lt;=20,14,IF(H333&lt;=22,15,IF(H333&lt;=25,16,IF(H333&lt;=27,17,IF(H333&lt;=29,18,IF(H333&lt;=32,19,IF(H333&lt;=34,20,IF(H333&lt;=36,21,IF(H333&lt;=40,22,24)))))))))))))</f>
        <v>18</v>
      </c>
      <c r="L333" s="3" t="n">
        <v>32</v>
      </c>
      <c r="M333" s="3" t="n">
        <f aca="false">_xlfn.IFS(K333="взв",11,K333="накл",24,K333="прокл",25,K333="пт",26,K333=90,10,K333=85,10,K333=80,9,K333=75,8,K333=70,8,K333=65,7,K333=60,7,K333=55,6,K333=50,6,K333=45,6,K333=40,5,K333=35,4,K333=30,4,K333=25,3,K333=20,2,K333=15,1,K333=10,1,K333=0,0)</f>
        <v>0</v>
      </c>
      <c r="N333" s="3" t="n">
        <f aca="false">IF(L333&lt;=1,0,IF(L333&lt;=10,11,IF(L333&lt;=14,12,IF(L333&lt;=17,13,IF(L333&lt;=20,14,IF(L333&lt;=22,15,IF(L333&lt;=25,16,IF(L333&lt;=27,17,IF(L333&lt;=29,18,IF(L333&lt;=32,19,IF(L333&lt;=34,20,IF(L333&lt;=36,21,IF(L333&lt;=40,22,24)))))))))))))</f>
        <v>19</v>
      </c>
      <c r="P333" s="3" t="n">
        <v>32</v>
      </c>
      <c r="Q333" s="3" t="n">
        <f aca="false">_xlfn.IFS(O333="взв",11,O333="накл",24,O333="прокл",25,O333="пт",26,O333=90,10,O333=85,10,O333=80,9,O333=75,8,O333=70,8,O333=65,7,O333=60,7,O333=55,6,O333=50,6,O333=45,6,O333=40,5,O333=35,4,O333=30,4,O333=25,3,O333=20,2,O333=15,1,O333=10,1,O333=0,0)</f>
        <v>0</v>
      </c>
      <c r="R333" s="3" t="n">
        <f aca="false">IF(P333&lt;=1,0,IF(P333&lt;=10,11,IF(P333&lt;=14,12,IF(P333&lt;=17,13,IF(P333&lt;=20,14,IF(P333&lt;=22,15,IF(P333&lt;=25,16,IF(P333&lt;=27,17,IF(P333&lt;=29,18,IF(P333&lt;=32,19,IF(P333&lt;=34,20,IF(P333&lt;=36,21,IF(P333&lt;=40,22,24)))))))))))))</f>
        <v>19</v>
      </c>
      <c r="S333" s="3" t="n">
        <f aca="false">ROUND((Q333+R333+I333+J333+M333+N333)/3,0)</f>
        <v>19</v>
      </c>
      <c r="T333" s="17" t="n">
        <f aca="false">F333*LOG10(S333+2)</f>
        <v>0</v>
      </c>
    </row>
    <row r="334" customFormat="false" ht="14.65" hidden="false" customHeight="true" outlineLevel="0" collapsed="false">
      <c r="A334" s="13"/>
    </row>
    <row r="335" customFormat="false" ht="14.65" hidden="false" customHeight="true" outlineLevel="0" collapsed="false">
      <c r="A335" s="13"/>
    </row>
    <row r="336" customFormat="false" ht="14.65" hidden="false" customHeight="true" outlineLevel="0" collapsed="false">
      <c r="A336" s="13"/>
    </row>
    <row r="337" customFormat="false" ht="14.65" hidden="false" customHeight="true" outlineLevel="0" collapsed="false">
      <c r="A337" s="13"/>
    </row>
    <row r="338" customFormat="false" ht="14.65" hidden="false" customHeight="true" outlineLevel="0" collapsed="false">
      <c r="A338" s="13"/>
    </row>
    <row r="339" customFormat="false" ht="14.65" hidden="false" customHeight="true" outlineLevel="0" collapsed="false">
      <c r="A339" s="13"/>
    </row>
    <row r="340" customFormat="false" ht="14.65" hidden="false" customHeight="true" outlineLevel="0" collapsed="false">
      <c r="A340" s="13"/>
    </row>
    <row r="341" customFormat="false" ht="14.65" hidden="false" customHeight="true" outlineLevel="0" collapsed="false">
      <c r="A341" s="13"/>
    </row>
    <row r="342" customFormat="false" ht="14.65" hidden="false" customHeight="true" outlineLevel="0" collapsed="false">
      <c r="A342" s="13"/>
    </row>
    <row r="343" customFormat="false" ht="14.65" hidden="false" customHeight="true" outlineLevel="0" collapsed="false">
      <c r="A343" s="13"/>
    </row>
    <row r="344" customFormat="false" ht="14.65" hidden="false" customHeight="true" outlineLevel="0" collapsed="false">
      <c r="A344" s="13"/>
    </row>
    <row r="345" customFormat="false" ht="14.65" hidden="false" customHeight="true" outlineLevel="0" collapsed="false">
      <c r="A345" s="13"/>
    </row>
    <row r="346" customFormat="false" ht="14.65" hidden="false" customHeight="true" outlineLevel="0" collapsed="false">
      <c r="A346" s="13"/>
    </row>
    <row r="347" customFormat="false" ht="14.65" hidden="false" customHeight="true" outlineLevel="0" collapsed="false">
      <c r="A347" s="13"/>
    </row>
    <row r="348" customFormat="false" ht="14.65" hidden="false" customHeight="true" outlineLevel="0" collapsed="false">
      <c r="A348" s="13"/>
    </row>
    <row r="349" customFormat="false" ht="14.65" hidden="false" customHeight="true" outlineLevel="0" collapsed="false">
      <c r="A349" s="13" t="s">
        <v>398</v>
      </c>
    </row>
    <row r="350" customFormat="false" ht="14.65" hidden="false" customHeight="true" outlineLevel="0" collapsed="false">
      <c r="A350" s="13" t="s">
        <v>399</v>
      </c>
    </row>
    <row r="351" customFormat="false" ht="14.65" hidden="false" customHeight="true" outlineLevel="0" collapsed="false">
      <c r="A351" s="13" t="s">
        <v>400</v>
      </c>
    </row>
    <row r="352" customFormat="false" ht="14.65" hidden="false" customHeight="true" outlineLevel="0" collapsed="false">
      <c r="A352" s="13" t="s">
        <v>401</v>
      </c>
    </row>
    <row r="353" customFormat="false" ht="14.65" hidden="false" customHeight="true" outlineLevel="0" collapsed="false">
      <c r="A353" s="13" t="s">
        <v>402</v>
      </c>
    </row>
    <row r="354" customFormat="false" ht="14.65" hidden="false" customHeight="true" outlineLevel="0" collapsed="false">
      <c r="A354" s="13" t="s">
        <v>403</v>
      </c>
    </row>
    <row r="355" customFormat="false" ht="14.65" hidden="false" customHeight="true" outlineLevel="0" collapsed="false">
      <c r="A355" s="13" t="s">
        <v>404</v>
      </c>
    </row>
    <row r="356" customFormat="false" ht="14.65" hidden="false" customHeight="true" outlineLevel="0" collapsed="false">
      <c r="A356" s="13" t="s">
        <v>405</v>
      </c>
    </row>
    <row r="357" customFormat="false" ht="14.65" hidden="false" customHeight="true" outlineLevel="0" collapsed="false">
      <c r="A357" s="13" t="s">
        <v>406</v>
      </c>
    </row>
    <row r="358" customFormat="false" ht="14.65" hidden="false" customHeight="true" outlineLevel="0" collapsed="false">
      <c r="A358" s="13" t="s">
        <v>407</v>
      </c>
    </row>
    <row r="359" customFormat="false" ht="14.65" hidden="false" customHeight="true" outlineLevel="0" collapsed="false">
      <c r="A359" s="13" t="s">
        <v>408</v>
      </c>
    </row>
    <row r="360" customFormat="false" ht="14.65" hidden="false" customHeight="true" outlineLevel="0" collapsed="false">
      <c r="A360" s="13" t="s">
        <v>409</v>
      </c>
    </row>
    <row r="361" customFormat="false" ht="14.65" hidden="false" customHeight="true" outlineLevel="0" collapsed="false">
      <c r="A361" s="13" t="s">
        <v>410</v>
      </c>
    </row>
    <row r="362" customFormat="false" ht="14.65" hidden="false" customHeight="true" outlineLevel="0" collapsed="false">
      <c r="A362" s="13" t="s">
        <v>411</v>
      </c>
    </row>
    <row r="363" customFormat="false" ht="14.65" hidden="false" customHeight="true" outlineLevel="0" collapsed="false">
      <c r="A363" s="13" t="s">
        <v>412</v>
      </c>
    </row>
    <row r="364" customFormat="false" ht="14.65" hidden="false" customHeight="true" outlineLevel="0" collapsed="false">
      <c r="A364" s="13" t="s">
        <v>413</v>
      </c>
    </row>
    <row r="365" customFormat="false" ht="14.65" hidden="false" customHeight="true" outlineLevel="0" collapsed="false">
      <c r="A365" s="13" t="s">
        <v>414</v>
      </c>
    </row>
    <row r="366" customFormat="false" ht="14.65" hidden="false" customHeight="true" outlineLevel="0" collapsed="false">
      <c r="A366" s="13" t="s">
        <v>415</v>
      </c>
    </row>
    <row r="367" customFormat="false" ht="14.65" hidden="false" customHeight="true" outlineLevel="0" collapsed="false">
      <c r="A367" s="13" t="s">
        <v>416</v>
      </c>
    </row>
    <row r="368" customFormat="false" ht="14.65" hidden="false" customHeight="true" outlineLevel="0" collapsed="false">
      <c r="A368" s="13" t="s">
        <v>417</v>
      </c>
    </row>
    <row r="369" customFormat="false" ht="14.65" hidden="false" customHeight="true" outlineLevel="0" collapsed="false">
      <c r="A369" s="13" t="s">
        <v>418</v>
      </c>
    </row>
    <row r="370" customFormat="false" ht="14.65" hidden="false" customHeight="true" outlineLevel="0" collapsed="false">
      <c r="A370" s="13" t="s">
        <v>419</v>
      </c>
    </row>
    <row r="371" customFormat="false" ht="14.65" hidden="false" customHeight="true" outlineLevel="0" collapsed="false">
      <c r="A371" s="13" t="s">
        <v>420</v>
      </c>
    </row>
    <row r="372" customFormat="false" ht="14.65" hidden="false" customHeight="true" outlineLevel="0" collapsed="false">
      <c r="A372" s="13" t="s">
        <v>421</v>
      </c>
    </row>
    <row r="373" customFormat="false" ht="14.65" hidden="false" customHeight="true" outlineLevel="0" collapsed="false">
      <c r="A373" s="13" t="s">
        <v>422</v>
      </c>
    </row>
    <row r="374" customFormat="false" ht="14.65" hidden="false" customHeight="true" outlineLevel="0" collapsed="false">
      <c r="A374" s="13" t="s">
        <v>423</v>
      </c>
    </row>
    <row r="375" customFormat="false" ht="14.65" hidden="false" customHeight="true" outlineLevel="0" collapsed="false">
      <c r="A375" s="13" t="s">
        <v>424</v>
      </c>
    </row>
    <row r="376" customFormat="false" ht="14.65" hidden="false" customHeight="true" outlineLevel="0" collapsed="false">
      <c r="A376" s="13" t="s">
        <v>425</v>
      </c>
    </row>
    <row r="377" customFormat="false" ht="14.65" hidden="false" customHeight="true" outlineLevel="0" collapsed="false">
      <c r="A377" s="13" t="s">
        <v>426</v>
      </c>
    </row>
    <row r="378" customFormat="false" ht="14.65" hidden="false" customHeight="true" outlineLevel="0" collapsed="false">
      <c r="A378" s="13" t="s">
        <v>427</v>
      </c>
    </row>
    <row r="379" customFormat="false" ht="14.65" hidden="false" customHeight="true" outlineLevel="0" collapsed="false">
      <c r="A379" s="13" t="s">
        <v>428</v>
      </c>
    </row>
    <row r="380" customFormat="false" ht="14.65" hidden="false" customHeight="true" outlineLevel="0" collapsed="false">
      <c r="A380" s="13" t="s">
        <v>429</v>
      </c>
    </row>
    <row r="381" customFormat="false" ht="14.65" hidden="false" customHeight="true" outlineLevel="0" collapsed="false">
      <c r="A381" s="13" t="s">
        <v>430</v>
      </c>
    </row>
    <row r="382" customFormat="false" ht="14.65" hidden="false" customHeight="true" outlineLevel="0" collapsed="false">
      <c r="A382" s="13" t="s">
        <v>431</v>
      </c>
    </row>
    <row r="383" customFormat="false" ht="14.65" hidden="false" customHeight="true" outlineLevel="0" collapsed="false">
      <c r="A383" s="13" t="s">
        <v>432</v>
      </c>
    </row>
    <row r="384" customFormat="false" ht="14.65" hidden="false" customHeight="true" outlineLevel="0" collapsed="false">
      <c r="A384" s="13" t="s">
        <v>433</v>
      </c>
    </row>
    <row r="385" customFormat="false" ht="14.65" hidden="false" customHeight="true" outlineLevel="0" collapsed="false">
      <c r="A385" s="13" t="s">
        <v>434</v>
      </c>
    </row>
    <row r="386" customFormat="false" ht="14.65" hidden="false" customHeight="true" outlineLevel="0" collapsed="false">
      <c r="A386" s="13" t="s">
        <v>435</v>
      </c>
    </row>
    <row r="387" customFormat="false" ht="14.65" hidden="false" customHeight="true" outlineLevel="0" collapsed="false">
      <c r="A387" s="13" t="s">
        <v>436</v>
      </c>
    </row>
    <row r="388" customFormat="false" ht="14.65" hidden="false" customHeight="true" outlineLevel="0" collapsed="false">
      <c r="A388" s="13" t="s">
        <v>437</v>
      </c>
    </row>
    <row r="389" customFormat="false" ht="14.65" hidden="false" customHeight="true" outlineLevel="0" collapsed="false">
      <c r="A389" s="13" t="s">
        <v>438</v>
      </c>
    </row>
    <row r="390" customFormat="false" ht="14.65" hidden="false" customHeight="true" outlineLevel="0" collapsed="false">
      <c r="A390" s="13" t="s">
        <v>439</v>
      </c>
    </row>
    <row r="391" customFormat="false" ht="14.65" hidden="false" customHeight="true" outlineLevel="0" collapsed="false">
      <c r="A391" s="13" t="s">
        <v>440</v>
      </c>
    </row>
    <row r="392" customFormat="false" ht="14.65" hidden="false" customHeight="true" outlineLevel="0" collapsed="false">
      <c r="A392" s="13" t="s">
        <v>441</v>
      </c>
    </row>
    <row r="393" customFormat="false" ht="14.65" hidden="false" customHeight="true" outlineLevel="0" collapsed="false">
      <c r="A393" s="13" t="s">
        <v>442</v>
      </c>
    </row>
    <row r="394" customFormat="false" ht="14.65" hidden="false" customHeight="true" outlineLevel="0" collapsed="false">
      <c r="A394" s="13" t="s">
        <v>443</v>
      </c>
    </row>
    <row r="395" customFormat="false" ht="14.65" hidden="false" customHeight="true" outlineLevel="0" collapsed="false">
      <c r="A395" s="13" t="s">
        <v>444</v>
      </c>
    </row>
    <row r="396" customFormat="false" ht="14.65" hidden="false" customHeight="true" outlineLevel="0" collapsed="false">
      <c r="A396" s="13" t="s">
        <v>445</v>
      </c>
    </row>
    <row r="397" customFormat="false" ht="14.65" hidden="false" customHeight="true" outlineLevel="0" collapsed="false">
      <c r="A397" s="13" t="s">
        <v>446</v>
      </c>
    </row>
    <row r="398" customFormat="false" ht="14.65" hidden="false" customHeight="true" outlineLevel="0" collapsed="false">
      <c r="A398" s="13" t="s">
        <v>447</v>
      </c>
    </row>
    <row r="399" customFormat="false" ht="14.65" hidden="false" customHeight="true" outlineLevel="0" collapsed="false">
      <c r="A399" s="13" t="s">
        <v>448</v>
      </c>
    </row>
    <row r="400" customFormat="false" ht="14.65" hidden="false" customHeight="true" outlineLevel="0" collapsed="false">
      <c r="A400" s="13" t="s">
        <v>449</v>
      </c>
    </row>
    <row r="401" customFormat="false" ht="14.65" hidden="false" customHeight="true" outlineLevel="0" collapsed="false">
      <c r="A401" s="13" t="s">
        <v>450</v>
      </c>
    </row>
    <row r="402" customFormat="false" ht="14.65" hidden="false" customHeight="true" outlineLevel="0" collapsed="false">
      <c r="A402" s="13" t="s">
        <v>451</v>
      </c>
    </row>
    <row r="403" customFormat="false" ht="14.65" hidden="false" customHeight="true" outlineLevel="0" collapsed="false">
      <c r="A403" s="13" t="s">
        <v>452</v>
      </c>
    </row>
    <row r="404" customFormat="false" ht="14.65" hidden="false" customHeight="true" outlineLevel="0" collapsed="false">
      <c r="A404" s="13" t="s">
        <v>453</v>
      </c>
    </row>
    <row r="405" customFormat="false" ht="14.65" hidden="false" customHeight="true" outlineLevel="0" collapsed="false">
      <c r="A405" s="13" t="s">
        <v>454</v>
      </c>
    </row>
    <row r="406" customFormat="false" ht="14.65" hidden="false" customHeight="true" outlineLevel="0" collapsed="false">
      <c r="A406" s="13" t="s">
        <v>455</v>
      </c>
    </row>
    <row r="407" customFormat="false" ht="14.65" hidden="false" customHeight="true" outlineLevel="0" collapsed="false">
      <c r="A407" s="13" t="s">
        <v>456</v>
      </c>
    </row>
    <row r="408" customFormat="false" ht="14.65" hidden="false" customHeight="true" outlineLevel="0" collapsed="false">
      <c r="A408" s="13" t="s">
        <v>457</v>
      </c>
    </row>
    <row r="409" customFormat="false" ht="14.65" hidden="false" customHeight="true" outlineLevel="0" collapsed="false">
      <c r="A409" s="13" t="s">
        <v>458</v>
      </c>
    </row>
    <row r="410" customFormat="false" ht="14.65" hidden="false" customHeight="true" outlineLevel="0" collapsed="false">
      <c r="A410" s="13" t="s">
        <v>459</v>
      </c>
    </row>
    <row r="411" customFormat="false" ht="14.65" hidden="false" customHeight="true" outlineLevel="0" collapsed="false">
      <c r="A411" s="13" t="s">
        <v>460</v>
      </c>
    </row>
    <row r="412" customFormat="false" ht="14.65" hidden="false" customHeight="true" outlineLevel="0" collapsed="false">
      <c r="A412" s="13" t="s">
        <v>461</v>
      </c>
    </row>
    <row r="413" customFormat="false" ht="14.65" hidden="false" customHeight="true" outlineLevel="0" collapsed="false">
      <c r="A413" s="13" t="s">
        <v>462</v>
      </c>
    </row>
    <row r="414" customFormat="false" ht="14.65" hidden="false" customHeight="true" outlineLevel="0" collapsed="false">
      <c r="A414" s="13" t="s">
        <v>463</v>
      </c>
    </row>
    <row r="415" customFormat="false" ht="14.65" hidden="false" customHeight="true" outlineLevel="0" collapsed="false">
      <c r="A415" s="13" t="s">
        <v>464</v>
      </c>
    </row>
    <row r="416" customFormat="false" ht="14.65" hidden="false" customHeight="true" outlineLevel="0" collapsed="false">
      <c r="A416" s="13" t="s">
        <v>465</v>
      </c>
    </row>
    <row r="417" customFormat="false" ht="14.65" hidden="false" customHeight="true" outlineLevel="0" collapsed="false">
      <c r="A417" s="13" t="s">
        <v>466</v>
      </c>
    </row>
    <row r="418" customFormat="false" ht="14.65" hidden="false" customHeight="true" outlineLevel="0" collapsed="false">
      <c r="A418" s="13" t="s">
        <v>467</v>
      </c>
    </row>
    <row r="419" customFormat="false" ht="14.65" hidden="false" customHeight="true" outlineLevel="0" collapsed="false">
      <c r="A419" s="13" t="s">
        <v>468</v>
      </c>
    </row>
    <row r="420" customFormat="false" ht="14.65" hidden="false" customHeight="true" outlineLevel="0" collapsed="false">
      <c r="A420" s="13" t="s">
        <v>469</v>
      </c>
    </row>
    <row r="421" customFormat="false" ht="14.65" hidden="false" customHeight="true" outlineLevel="0" collapsed="false">
      <c r="A421" s="13" t="s">
        <v>470</v>
      </c>
    </row>
    <row r="422" customFormat="false" ht="14.65" hidden="false" customHeight="true" outlineLevel="0" collapsed="false">
      <c r="A422" s="13" t="s">
        <v>471</v>
      </c>
    </row>
    <row r="423" customFormat="false" ht="14.65" hidden="false" customHeight="true" outlineLevel="0" collapsed="false">
      <c r="A423" s="13" t="s">
        <v>472</v>
      </c>
    </row>
    <row r="424" customFormat="false" ht="14.65" hidden="false" customHeight="true" outlineLevel="0" collapsed="false">
      <c r="A424" s="13" t="s">
        <v>473</v>
      </c>
    </row>
    <row r="425" customFormat="false" ht="14.65" hidden="false" customHeight="true" outlineLevel="0" collapsed="false">
      <c r="A425" s="13" t="s">
        <v>474</v>
      </c>
    </row>
    <row r="426" customFormat="false" ht="14.65" hidden="false" customHeight="true" outlineLevel="0" collapsed="false">
      <c r="A426" s="13" t="s">
        <v>475</v>
      </c>
    </row>
    <row r="427" customFormat="false" ht="14.65" hidden="false" customHeight="true" outlineLevel="0" collapsed="false">
      <c r="A427" s="13" t="s">
        <v>476</v>
      </c>
    </row>
    <row r="428" customFormat="false" ht="14.65" hidden="false" customHeight="true" outlineLevel="0" collapsed="false">
      <c r="A428" s="13" t="s">
        <v>477</v>
      </c>
    </row>
    <row r="429" customFormat="false" ht="14.65" hidden="false" customHeight="true" outlineLevel="0" collapsed="false">
      <c r="A429" s="13" t="s">
        <v>478</v>
      </c>
    </row>
    <row r="430" customFormat="false" ht="14.65" hidden="false" customHeight="true" outlineLevel="0" collapsed="false">
      <c r="A430" s="13" t="s">
        <v>479</v>
      </c>
    </row>
    <row r="431" customFormat="false" ht="14.65" hidden="false" customHeight="true" outlineLevel="0" collapsed="false">
      <c r="A431" s="13" t="s">
        <v>480</v>
      </c>
    </row>
    <row r="432" customFormat="false" ht="14.65" hidden="false" customHeight="true" outlineLevel="0" collapsed="false">
      <c r="A432" s="13" t="s">
        <v>481</v>
      </c>
    </row>
    <row r="433" customFormat="false" ht="14.65" hidden="false" customHeight="true" outlineLevel="0" collapsed="false">
      <c r="A433" s="13" t="s">
        <v>482</v>
      </c>
    </row>
    <row r="434" customFormat="false" ht="14.65" hidden="false" customHeight="true" outlineLevel="0" collapsed="false">
      <c r="A434" s="13" t="s">
        <v>483</v>
      </c>
    </row>
    <row r="435" customFormat="false" ht="14.65" hidden="false" customHeight="true" outlineLevel="0" collapsed="false">
      <c r="A435" s="13" t="s">
        <v>484</v>
      </c>
    </row>
    <row r="436" customFormat="false" ht="14.65" hidden="false" customHeight="true" outlineLevel="0" collapsed="false">
      <c r="A436" s="13" t="s">
        <v>485</v>
      </c>
    </row>
    <row r="437" customFormat="false" ht="14.65" hidden="false" customHeight="true" outlineLevel="0" collapsed="false">
      <c r="A437" s="13" t="s">
        <v>486</v>
      </c>
    </row>
    <row r="438" customFormat="false" ht="14.65" hidden="false" customHeight="true" outlineLevel="0" collapsed="false">
      <c r="A438" s="13" t="s">
        <v>487</v>
      </c>
    </row>
    <row r="439" customFormat="false" ht="14.65" hidden="false" customHeight="true" outlineLevel="0" collapsed="false">
      <c r="A439" s="13" t="s">
        <v>488</v>
      </c>
    </row>
    <row r="440" customFormat="false" ht="14.65" hidden="false" customHeight="true" outlineLevel="0" collapsed="false">
      <c r="A440" s="13" t="s">
        <v>489</v>
      </c>
    </row>
    <row r="441" customFormat="false" ht="14.65" hidden="false" customHeight="true" outlineLevel="0" collapsed="false">
      <c r="A441" s="13" t="s">
        <v>490</v>
      </c>
    </row>
    <row r="442" customFormat="false" ht="14.65" hidden="false" customHeight="true" outlineLevel="0" collapsed="false">
      <c r="A442" s="13" t="s">
        <v>491</v>
      </c>
    </row>
    <row r="443" customFormat="false" ht="14.65" hidden="false" customHeight="true" outlineLevel="0" collapsed="false">
      <c r="A443" s="13" t="s">
        <v>492</v>
      </c>
    </row>
    <row r="444" customFormat="false" ht="14.65" hidden="false" customHeight="true" outlineLevel="0" collapsed="false">
      <c r="A444" s="13" t="s">
        <v>493</v>
      </c>
    </row>
    <row r="445" customFormat="false" ht="14.65" hidden="false" customHeight="true" outlineLevel="0" collapsed="false">
      <c r="A445" s="13" t="s">
        <v>494</v>
      </c>
    </row>
    <row r="446" customFormat="false" ht="14.65" hidden="false" customHeight="true" outlineLevel="0" collapsed="false">
      <c r="A446" s="13" t="s">
        <v>495</v>
      </c>
    </row>
    <row r="447" customFormat="false" ht="14.65" hidden="false" customHeight="true" outlineLevel="0" collapsed="false">
      <c r="A447" s="13" t="s">
        <v>496</v>
      </c>
    </row>
    <row r="448" customFormat="false" ht="14.65" hidden="false" customHeight="true" outlineLevel="0" collapsed="false">
      <c r="A448" s="13" t="s">
        <v>497</v>
      </c>
    </row>
    <row r="449" customFormat="false" ht="14.65" hidden="false" customHeight="true" outlineLevel="0" collapsed="false">
      <c r="A449" s="13" t="s">
        <v>498</v>
      </c>
    </row>
    <row r="450" customFormat="false" ht="14.65" hidden="false" customHeight="true" outlineLevel="0" collapsed="false">
      <c r="A450" s="13" t="s">
        <v>499</v>
      </c>
    </row>
    <row r="451" customFormat="false" ht="14.65" hidden="false" customHeight="true" outlineLevel="0" collapsed="false">
      <c r="A451" s="13" t="s">
        <v>500</v>
      </c>
    </row>
    <row r="452" customFormat="false" ht="14.65" hidden="false" customHeight="true" outlineLevel="0" collapsed="false">
      <c r="A452" s="13" t="s">
        <v>501</v>
      </c>
    </row>
    <row r="453" customFormat="false" ht="14.65" hidden="false" customHeight="true" outlineLevel="0" collapsed="false">
      <c r="A453" s="13" t="s">
        <v>502</v>
      </c>
    </row>
    <row r="454" customFormat="false" ht="14.65" hidden="false" customHeight="true" outlineLevel="0" collapsed="false">
      <c r="A454" s="13" t="s">
        <v>503</v>
      </c>
    </row>
    <row r="455" customFormat="false" ht="14.65" hidden="false" customHeight="true" outlineLevel="0" collapsed="false">
      <c r="A455" s="13" t="s">
        <v>504</v>
      </c>
    </row>
    <row r="456" customFormat="false" ht="14.65" hidden="false" customHeight="true" outlineLevel="0" collapsed="false">
      <c r="A456" s="13" t="s">
        <v>505</v>
      </c>
    </row>
    <row r="457" customFormat="false" ht="14.65" hidden="false" customHeight="true" outlineLevel="0" collapsed="false">
      <c r="A457" s="13" t="s">
        <v>506</v>
      </c>
    </row>
    <row r="458" customFormat="false" ht="14.65" hidden="false" customHeight="true" outlineLevel="0" collapsed="false">
      <c r="A458" s="13" t="s">
        <v>507</v>
      </c>
    </row>
    <row r="459" customFormat="false" ht="14.65" hidden="false" customHeight="true" outlineLevel="0" collapsed="false">
      <c r="A459" s="13" t="s">
        <v>508</v>
      </c>
    </row>
    <row r="460" customFormat="false" ht="14.65" hidden="false" customHeight="true" outlineLevel="0" collapsed="false">
      <c r="A460" s="13" t="s">
        <v>509</v>
      </c>
    </row>
    <row r="461" customFormat="false" ht="14.65" hidden="false" customHeight="true" outlineLevel="0" collapsed="false">
      <c r="A461" s="13" t="s">
        <v>510</v>
      </c>
    </row>
    <row r="462" customFormat="false" ht="14.65" hidden="false" customHeight="true" outlineLevel="0" collapsed="false">
      <c r="A462" s="13" t="s">
        <v>511</v>
      </c>
    </row>
    <row r="463" customFormat="false" ht="14.65" hidden="false" customHeight="true" outlineLevel="0" collapsed="false">
      <c r="A463" s="13" t="s">
        <v>512</v>
      </c>
    </row>
    <row r="464" customFormat="false" ht="14.65" hidden="false" customHeight="true" outlineLevel="0" collapsed="false">
      <c r="A464" s="13" t="s">
        <v>513</v>
      </c>
    </row>
    <row r="465" customFormat="false" ht="14.65" hidden="false" customHeight="true" outlineLevel="0" collapsed="false">
      <c r="A465" s="13" t="s">
        <v>514</v>
      </c>
    </row>
    <row r="466" customFormat="false" ht="14.65" hidden="false" customHeight="true" outlineLevel="0" collapsed="false">
      <c r="A466" s="13" t="s">
        <v>515</v>
      </c>
    </row>
    <row r="467" customFormat="false" ht="14.65" hidden="false" customHeight="true" outlineLevel="0" collapsed="false">
      <c r="A467" s="13" t="s">
        <v>516</v>
      </c>
    </row>
    <row r="468" customFormat="false" ht="14.65" hidden="false" customHeight="true" outlineLevel="0" collapsed="false">
      <c r="A468" s="13" t="s">
        <v>517</v>
      </c>
    </row>
    <row r="469" customFormat="false" ht="14.65" hidden="false" customHeight="true" outlineLevel="0" collapsed="false">
      <c r="A469" s="13" t="s">
        <v>518</v>
      </c>
    </row>
    <row r="470" customFormat="false" ht="14.65" hidden="false" customHeight="true" outlineLevel="0" collapsed="false">
      <c r="A470" s="13" t="s">
        <v>519</v>
      </c>
    </row>
    <row r="471" customFormat="false" ht="14.65" hidden="false" customHeight="true" outlineLevel="0" collapsed="false">
      <c r="A471" s="13" t="s">
        <v>520</v>
      </c>
    </row>
    <row r="472" customFormat="false" ht="14.65" hidden="false" customHeight="true" outlineLevel="0" collapsed="false">
      <c r="A472" s="13" t="s">
        <v>521</v>
      </c>
    </row>
    <row r="473" customFormat="false" ht="14.65" hidden="false" customHeight="true" outlineLevel="0" collapsed="false">
      <c r="A473" s="13" t="s">
        <v>522</v>
      </c>
    </row>
    <row r="474" customFormat="false" ht="14.65" hidden="false" customHeight="true" outlineLevel="0" collapsed="false">
      <c r="A474" s="13" t="s">
        <v>523</v>
      </c>
    </row>
    <row r="475" customFormat="false" ht="14.65" hidden="false" customHeight="true" outlineLevel="0" collapsed="false">
      <c r="A475" s="13" t="s">
        <v>524</v>
      </c>
    </row>
    <row r="476" customFormat="false" ht="14.65" hidden="false" customHeight="true" outlineLevel="0" collapsed="false">
      <c r="A476" s="13" t="s">
        <v>525</v>
      </c>
    </row>
    <row r="477" customFormat="false" ht="14.65" hidden="false" customHeight="true" outlineLevel="0" collapsed="false">
      <c r="A477" s="13" t="s">
        <v>526</v>
      </c>
    </row>
    <row r="478" customFormat="false" ht="14.65" hidden="false" customHeight="true" outlineLevel="0" collapsed="false">
      <c r="A478" s="13" t="s">
        <v>527</v>
      </c>
    </row>
    <row r="479" customFormat="false" ht="14.65" hidden="false" customHeight="true" outlineLevel="0" collapsed="false">
      <c r="A479" s="13" t="s">
        <v>528</v>
      </c>
    </row>
    <row r="480" customFormat="false" ht="14.65" hidden="false" customHeight="true" outlineLevel="0" collapsed="false">
      <c r="A480" s="13" t="s">
        <v>529</v>
      </c>
    </row>
    <row r="481" customFormat="false" ht="14.65" hidden="false" customHeight="true" outlineLevel="0" collapsed="false">
      <c r="A481" s="13" t="s">
        <v>530</v>
      </c>
    </row>
    <row r="482" customFormat="false" ht="14.65" hidden="false" customHeight="true" outlineLevel="0" collapsed="false">
      <c r="A482" s="13" t="s">
        <v>531</v>
      </c>
    </row>
    <row r="483" customFormat="false" ht="14.65" hidden="false" customHeight="true" outlineLevel="0" collapsed="false">
      <c r="A483" s="13" t="s">
        <v>532</v>
      </c>
    </row>
    <row r="484" customFormat="false" ht="14.65" hidden="false" customHeight="true" outlineLevel="0" collapsed="false">
      <c r="A484" s="13" t="s">
        <v>533</v>
      </c>
    </row>
    <row r="485" customFormat="false" ht="14.65" hidden="false" customHeight="true" outlineLevel="0" collapsed="false">
      <c r="A485" s="13" t="s">
        <v>534</v>
      </c>
    </row>
    <row r="486" customFormat="false" ht="14.65" hidden="false" customHeight="true" outlineLevel="0" collapsed="false">
      <c r="A486" s="13" t="s">
        <v>535</v>
      </c>
    </row>
    <row r="487" customFormat="false" ht="14.65" hidden="false" customHeight="true" outlineLevel="0" collapsed="false">
      <c r="A487" s="13" t="s">
        <v>536</v>
      </c>
    </row>
    <row r="488" customFormat="false" ht="14.65" hidden="false" customHeight="true" outlineLevel="0" collapsed="false">
      <c r="A488" s="13" t="s">
        <v>537</v>
      </c>
    </row>
    <row r="489" customFormat="false" ht="14.65" hidden="false" customHeight="true" outlineLevel="0" collapsed="false">
      <c r="A489" s="13" t="s">
        <v>538</v>
      </c>
    </row>
    <row r="490" customFormat="false" ht="14.65" hidden="false" customHeight="true" outlineLevel="0" collapsed="false">
      <c r="A490" s="13" t="s">
        <v>539</v>
      </c>
    </row>
    <row r="491" customFormat="false" ht="14.65" hidden="false" customHeight="true" outlineLevel="0" collapsed="false">
      <c r="A491" s="13" t="s">
        <v>540</v>
      </c>
    </row>
    <row r="492" customFormat="false" ht="14.65" hidden="false" customHeight="true" outlineLevel="0" collapsed="false">
      <c r="A492" s="13" t="s">
        <v>541</v>
      </c>
    </row>
    <row r="493" customFormat="false" ht="14.65" hidden="false" customHeight="true" outlineLevel="0" collapsed="false">
      <c r="A493" s="13" t="s">
        <v>542</v>
      </c>
    </row>
    <row r="494" customFormat="false" ht="14.65" hidden="false" customHeight="true" outlineLevel="0" collapsed="false">
      <c r="A494" s="13" t="s">
        <v>543</v>
      </c>
    </row>
    <row r="495" customFormat="false" ht="14.65" hidden="false" customHeight="true" outlineLevel="0" collapsed="false">
      <c r="A495" s="13" t="s">
        <v>544</v>
      </c>
    </row>
    <row r="496" customFormat="false" ht="14.65" hidden="false" customHeight="true" outlineLevel="0" collapsed="false">
      <c r="A496" s="13" t="s">
        <v>545</v>
      </c>
    </row>
    <row r="497" customFormat="false" ht="14.65" hidden="false" customHeight="true" outlineLevel="0" collapsed="false">
      <c r="A497" s="13" t="s">
        <v>546</v>
      </c>
    </row>
    <row r="498" customFormat="false" ht="14.65" hidden="false" customHeight="true" outlineLevel="0" collapsed="false">
      <c r="A498" s="13" t="s">
        <v>547</v>
      </c>
    </row>
    <row r="499" customFormat="false" ht="14.65" hidden="false" customHeight="true" outlineLevel="0" collapsed="false">
      <c r="A499" s="13" t="s">
        <v>548</v>
      </c>
    </row>
    <row r="500" customFormat="false" ht="14.65" hidden="false" customHeight="true" outlineLevel="0" collapsed="false">
      <c r="A500" s="13" t="s">
        <v>549</v>
      </c>
    </row>
    <row r="501" customFormat="false" ht="14.65" hidden="false" customHeight="true" outlineLevel="0" collapsed="false">
      <c r="A501" s="13" t="s">
        <v>550</v>
      </c>
    </row>
    <row r="502" customFormat="false" ht="14.65" hidden="false" customHeight="true" outlineLevel="0" collapsed="false">
      <c r="A502" s="13" t="s">
        <v>551</v>
      </c>
    </row>
    <row r="503" customFormat="false" ht="14.65" hidden="false" customHeight="true" outlineLevel="0" collapsed="false">
      <c r="A503" s="13" t="s">
        <v>552</v>
      </c>
    </row>
    <row r="504" customFormat="false" ht="14.65" hidden="false" customHeight="true" outlineLevel="0" collapsed="false">
      <c r="A504" s="13" t="s">
        <v>553</v>
      </c>
    </row>
    <row r="505" customFormat="false" ht="14.65" hidden="false" customHeight="true" outlineLevel="0" collapsed="false">
      <c r="A505" s="13" t="s">
        <v>554</v>
      </c>
    </row>
    <row r="506" customFormat="false" ht="14.65" hidden="false" customHeight="true" outlineLevel="0" collapsed="false">
      <c r="A506" s="13" t="s">
        <v>555</v>
      </c>
    </row>
    <row r="507" customFormat="false" ht="14.65" hidden="false" customHeight="true" outlineLevel="0" collapsed="false">
      <c r="A507" s="13" t="s">
        <v>556</v>
      </c>
    </row>
    <row r="508" customFormat="false" ht="14.65" hidden="false" customHeight="true" outlineLevel="0" collapsed="false">
      <c r="A508" s="13" t="s">
        <v>557</v>
      </c>
    </row>
    <row r="509" customFormat="false" ht="14.65" hidden="false" customHeight="true" outlineLevel="0" collapsed="false">
      <c r="A509" s="13" t="s">
        <v>558</v>
      </c>
    </row>
    <row r="510" customFormat="false" ht="14.65" hidden="false" customHeight="true" outlineLevel="0" collapsed="false">
      <c r="A510" s="13" t="s">
        <v>559</v>
      </c>
    </row>
    <row r="511" customFormat="false" ht="14.65" hidden="false" customHeight="true" outlineLevel="0" collapsed="false">
      <c r="A511" s="13" t="s">
        <v>560</v>
      </c>
    </row>
    <row r="512" customFormat="false" ht="14.65" hidden="false" customHeight="true" outlineLevel="0" collapsed="false">
      <c r="A512" s="13" t="s">
        <v>561</v>
      </c>
    </row>
    <row r="513" customFormat="false" ht="14.65" hidden="false" customHeight="true" outlineLevel="0" collapsed="false">
      <c r="A513" s="13" t="s">
        <v>562</v>
      </c>
    </row>
    <row r="514" customFormat="false" ht="14.65" hidden="false" customHeight="true" outlineLevel="0" collapsed="false">
      <c r="A514" s="13" t="s">
        <v>563</v>
      </c>
    </row>
    <row r="515" customFormat="false" ht="14.65" hidden="false" customHeight="true" outlineLevel="0" collapsed="false">
      <c r="A515" s="13" t="s">
        <v>564</v>
      </c>
    </row>
    <row r="516" customFormat="false" ht="14.65" hidden="false" customHeight="true" outlineLevel="0" collapsed="false">
      <c r="A516" s="13" t="s">
        <v>565</v>
      </c>
    </row>
    <row r="517" customFormat="false" ht="14.65" hidden="false" customHeight="true" outlineLevel="0" collapsed="false">
      <c r="A517" s="13" t="s">
        <v>566</v>
      </c>
    </row>
    <row r="518" customFormat="false" ht="14.65" hidden="false" customHeight="true" outlineLevel="0" collapsed="false">
      <c r="A518" s="13" t="s">
        <v>567</v>
      </c>
    </row>
    <row r="519" customFormat="false" ht="14.65" hidden="false" customHeight="true" outlineLevel="0" collapsed="false">
      <c r="A519" s="13" t="s">
        <v>568</v>
      </c>
    </row>
    <row r="520" customFormat="false" ht="14.65" hidden="false" customHeight="true" outlineLevel="0" collapsed="false">
      <c r="A520" s="13" t="s">
        <v>569</v>
      </c>
    </row>
    <row r="521" customFormat="false" ht="14.65" hidden="false" customHeight="true" outlineLevel="0" collapsed="false">
      <c r="A521" s="13" t="s">
        <v>570</v>
      </c>
    </row>
    <row r="522" customFormat="false" ht="14.65" hidden="false" customHeight="true" outlineLevel="0" collapsed="false">
      <c r="A522" s="13" t="s">
        <v>571</v>
      </c>
    </row>
    <row r="523" customFormat="false" ht="14.65" hidden="false" customHeight="true" outlineLevel="0" collapsed="false">
      <c r="A523" s="13" t="s">
        <v>572</v>
      </c>
    </row>
    <row r="524" customFormat="false" ht="14.65" hidden="false" customHeight="true" outlineLevel="0" collapsed="false">
      <c r="A524" s="13" t="s">
        <v>573</v>
      </c>
    </row>
    <row r="525" customFormat="false" ht="14.65" hidden="false" customHeight="true" outlineLevel="0" collapsed="false">
      <c r="A525" s="13" t="s">
        <v>574</v>
      </c>
    </row>
    <row r="526" customFormat="false" ht="14.65" hidden="false" customHeight="true" outlineLevel="0" collapsed="false">
      <c r="A526" s="13" t="s">
        <v>575</v>
      </c>
    </row>
    <row r="527" customFormat="false" ht="14.65" hidden="false" customHeight="true" outlineLevel="0" collapsed="false">
      <c r="A527" s="13" t="s">
        <v>576</v>
      </c>
    </row>
    <row r="528" customFormat="false" ht="14.65" hidden="false" customHeight="true" outlineLevel="0" collapsed="false">
      <c r="A528" s="13" t="s">
        <v>577</v>
      </c>
    </row>
    <row r="529" customFormat="false" ht="14.65" hidden="false" customHeight="true" outlineLevel="0" collapsed="false">
      <c r="A529" s="13" t="s">
        <v>578</v>
      </c>
    </row>
    <row r="530" customFormat="false" ht="14.65" hidden="false" customHeight="true" outlineLevel="0" collapsed="false">
      <c r="A530" s="13" t="s">
        <v>579</v>
      </c>
    </row>
    <row r="531" customFormat="false" ht="14.65" hidden="false" customHeight="true" outlineLevel="0" collapsed="false">
      <c r="A531" s="13" t="s">
        <v>580</v>
      </c>
    </row>
    <row r="532" customFormat="false" ht="14.65" hidden="false" customHeight="true" outlineLevel="0" collapsed="false">
      <c r="A532" s="13" t="s">
        <v>581</v>
      </c>
    </row>
    <row r="533" customFormat="false" ht="14.65" hidden="false" customHeight="true" outlineLevel="0" collapsed="false">
      <c r="A533" s="13" t="s">
        <v>582</v>
      </c>
    </row>
    <row r="534" customFormat="false" ht="14.65" hidden="false" customHeight="true" outlineLevel="0" collapsed="false">
      <c r="A534" s="13" t="s">
        <v>583</v>
      </c>
    </row>
    <row r="535" customFormat="false" ht="14.65" hidden="false" customHeight="true" outlineLevel="0" collapsed="false">
      <c r="A535" s="13" t="s">
        <v>584</v>
      </c>
    </row>
    <row r="536" customFormat="false" ht="14.65" hidden="false" customHeight="true" outlineLevel="0" collapsed="false">
      <c r="A536" s="13" t="s">
        <v>585</v>
      </c>
    </row>
    <row r="537" customFormat="false" ht="14.65" hidden="false" customHeight="true" outlineLevel="0" collapsed="false">
      <c r="A537" s="13" t="s">
        <v>586</v>
      </c>
    </row>
    <row r="538" customFormat="false" ht="14.65" hidden="false" customHeight="true" outlineLevel="0" collapsed="false">
      <c r="A538" s="13" t="s">
        <v>587</v>
      </c>
    </row>
    <row r="539" customFormat="false" ht="14.65" hidden="false" customHeight="true" outlineLevel="0" collapsed="false">
      <c r="A539" s="13" t="s">
        <v>588</v>
      </c>
    </row>
    <row r="540" customFormat="false" ht="14.65" hidden="false" customHeight="true" outlineLevel="0" collapsed="false">
      <c r="A540" s="13" t="s">
        <v>589</v>
      </c>
    </row>
    <row r="541" customFormat="false" ht="14.65" hidden="false" customHeight="true" outlineLevel="0" collapsed="false">
      <c r="A541" s="13" t="s">
        <v>590</v>
      </c>
    </row>
    <row r="542" customFormat="false" ht="14.65" hidden="false" customHeight="true" outlineLevel="0" collapsed="false">
      <c r="A542" s="13" t="s">
        <v>591</v>
      </c>
    </row>
    <row r="543" customFormat="false" ht="14.65" hidden="false" customHeight="true" outlineLevel="0" collapsed="false">
      <c r="A543" s="13" t="s">
        <v>592</v>
      </c>
    </row>
    <row r="544" customFormat="false" ht="14.65" hidden="false" customHeight="true" outlineLevel="0" collapsed="false">
      <c r="A544" s="13" t="s">
        <v>593</v>
      </c>
    </row>
    <row r="545" customFormat="false" ht="14.65" hidden="false" customHeight="true" outlineLevel="0" collapsed="false">
      <c r="A545" s="13" t="s">
        <v>594</v>
      </c>
    </row>
    <row r="546" customFormat="false" ht="14.65" hidden="false" customHeight="true" outlineLevel="0" collapsed="false">
      <c r="A546" s="13" t="s">
        <v>595</v>
      </c>
    </row>
    <row r="547" customFormat="false" ht="14.65" hidden="false" customHeight="true" outlineLevel="0" collapsed="false">
      <c r="A547" s="13" t="s">
        <v>596</v>
      </c>
    </row>
    <row r="548" customFormat="false" ht="14.65" hidden="false" customHeight="true" outlineLevel="0" collapsed="false">
      <c r="A548" s="13" t="s">
        <v>597</v>
      </c>
    </row>
    <row r="549" customFormat="false" ht="14.65" hidden="false" customHeight="true" outlineLevel="0" collapsed="false">
      <c r="A549" s="13" t="s">
        <v>598</v>
      </c>
    </row>
    <row r="550" customFormat="false" ht="14.65" hidden="false" customHeight="true" outlineLevel="0" collapsed="false">
      <c r="A550" s="13" t="s">
        <v>599</v>
      </c>
    </row>
    <row r="551" customFormat="false" ht="14.65" hidden="false" customHeight="true" outlineLevel="0" collapsed="false">
      <c r="A551" s="13" t="s">
        <v>600</v>
      </c>
    </row>
    <row r="552" customFormat="false" ht="14.65" hidden="false" customHeight="true" outlineLevel="0" collapsed="false">
      <c r="A552" s="13" t="s">
        <v>601</v>
      </c>
    </row>
    <row r="553" customFormat="false" ht="14.65" hidden="false" customHeight="true" outlineLevel="0" collapsed="false">
      <c r="A553" s="13" t="s">
        <v>602</v>
      </c>
    </row>
    <row r="554" customFormat="false" ht="14.65" hidden="false" customHeight="true" outlineLevel="0" collapsed="false">
      <c r="A554" s="13" t="s">
        <v>603</v>
      </c>
    </row>
    <row r="555" customFormat="false" ht="14.65" hidden="false" customHeight="true" outlineLevel="0" collapsed="false">
      <c r="A555" s="13" t="s">
        <v>604</v>
      </c>
    </row>
    <row r="556" customFormat="false" ht="14.65" hidden="false" customHeight="true" outlineLevel="0" collapsed="false">
      <c r="A556" s="13" t="s">
        <v>605</v>
      </c>
    </row>
    <row r="557" customFormat="false" ht="14.65" hidden="false" customHeight="true" outlineLevel="0" collapsed="false">
      <c r="A557" s="13" t="s">
        <v>606</v>
      </c>
    </row>
    <row r="558" customFormat="false" ht="14.65" hidden="false" customHeight="true" outlineLevel="0" collapsed="false">
      <c r="A558" s="13" t="s">
        <v>607</v>
      </c>
    </row>
    <row r="559" customFormat="false" ht="14.65" hidden="false" customHeight="true" outlineLevel="0" collapsed="false">
      <c r="A559" s="13" t="s">
        <v>608</v>
      </c>
    </row>
    <row r="560" customFormat="false" ht="14.65" hidden="false" customHeight="true" outlineLevel="0" collapsed="false">
      <c r="A560" s="13" t="s">
        <v>609</v>
      </c>
    </row>
    <row r="561" customFormat="false" ht="14.65" hidden="false" customHeight="true" outlineLevel="0" collapsed="false">
      <c r="A561" s="13" t="s">
        <v>610</v>
      </c>
    </row>
    <row r="562" customFormat="false" ht="14.65" hidden="false" customHeight="true" outlineLevel="0" collapsed="false">
      <c r="A562" s="13" t="s">
        <v>611</v>
      </c>
    </row>
    <row r="563" customFormat="false" ht="14.65" hidden="false" customHeight="true" outlineLevel="0" collapsed="false">
      <c r="A563" s="13" t="s">
        <v>612</v>
      </c>
    </row>
    <row r="564" customFormat="false" ht="14.65" hidden="false" customHeight="true" outlineLevel="0" collapsed="false">
      <c r="A564" s="13" t="s">
        <v>613</v>
      </c>
    </row>
    <row r="565" customFormat="false" ht="14.65" hidden="false" customHeight="true" outlineLevel="0" collapsed="false">
      <c r="A565" s="13" t="s">
        <v>614</v>
      </c>
    </row>
    <row r="566" customFormat="false" ht="14.65" hidden="false" customHeight="true" outlineLevel="0" collapsed="false">
      <c r="A566" s="13" t="s">
        <v>615</v>
      </c>
    </row>
    <row r="567" customFormat="false" ht="14.65" hidden="false" customHeight="true" outlineLevel="0" collapsed="false">
      <c r="A567" s="13" t="s">
        <v>616</v>
      </c>
    </row>
    <row r="568" customFormat="false" ht="14.65" hidden="false" customHeight="true" outlineLevel="0" collapsed="false">
      <c r="A568" s="13" t="s">
        <v>617</v>
      </c>
    </row>
    <row r="569" customFormat="false" ht="14.65" hidden="false" customHeight="true" outlineLevel="0" collapsed="false">
      <c r="A569" s="13" t="s">
        <v>618</v>
      </c>
    </row>
    <row r="570" customFormat="false" ht="14.65" hidden="false" customHeight="true" outlineLevel="0" collapsed="false">
      <c r="A570" s="13" t="s">
        <v>619</v>
      </c>
    </row>
    <row r="571" customFormat="false" ht="14.65" hidden="false" customHeight="true" outlineLevel="0" collapsed="false">
      <c r="A571" s="13" t="s">
        <v>620</v>
      </c>
    </row>
    <row r="572" customFormat="false" ht="14.65" hidden="false" customHeight="true" outlineLevel="0" collapsed="false">
      <c r="A572" s="13" t="s">
        <v>621</v>
      </c>
    </row>
    <row r="573" customFormat="false" ht="14.65" hidden="false" customHeight="true" outlineLevel="0" collapsed="false">
      <c r="A573" s="13" t="s">
        <v>622</v>
      </c>
    </row>
    <row r="574" customFormat="false" ht="14.65" hidden="false" customHeight="true" outlineLevel="0" collapsed="false">
      <c r="A574" s="13" t="s">
        <v>623</v>
      </c>
    </row>
    <row r="575" customFormat="false" ht="14.65" hidden="false" customHeight="true" outlineLevel="0" collapsed="false">
      <c r="A575" s="13" t="s">
        <v>624</v>
      </c>
    </row>
    <row r="576" customFormat="false" ht="14.65" hidden="false" customHeight="true" outlineLevel="0" collapsed="false">
      <c r="A576" s="13" t="s">
        <v>625</v>
      </c>
    </row>
    <row r="577" customFormat="false" ht="14.65" hidden="false" customHeight="true" outlineLevel="0" collapsed="false">
      <c r="A577" s="13" t="s">
        <v>626</v>
      </c>
    </row>
    <row r="578" customFormat="false" ht="14.65" hidden="false" customHeight="true" outlineLevel="0" collapsed="false">
      <c r="A578" s="13" t="s">
        <v>627</v>
      </c>
    </row>
    <row r="579" customFormat="false" ht="14.65" hidden="false" customHeight="true" outlineLevel="0" collapsed="false">
      <c r="A579" s="13" t="s">
        <v>628</v>
      </c>
    </row>
    <row r="580" customFormat="false" ht="14.65" hidden="false" customHeight="true" outlineLevel="0" collapsed="false">
      <c r="A580" s="13" t="s">
        <v>629</v>
      </c>
    </row>
    <row r="581" customFormat="false" ht="14.65" hidden="false" customHeight="true" outlineLevel="0" collapsed="false">
      <c r="A581" s="13" t="s">
        <v>630</v>
      </c>
    </row>
    <row r="582" customFormat="false" ht="14.65" hidden="false" customHeight="true" outlineLevel="0" collapsed="false">
      <c r="A582" s="13" t="s">
        <v>631</v>
      </c>
    </row>
    <row r="583" customFormat="false" ht="14.65" hidden="false" customHeight="true" outlineLevel="0" collapsed="false">
      <c r="A583" s="13" t="s">
        <v>632</v>
      </c>
    </row>
    <row r="584" customFormat="false" ht="14.65" hidden="false" customHeight="true" outlineLevel="0" collapsed="false">
      <c r="A584" s="13" t="s">
        <v>633</v>
      </c>
    </row>
    <row r="585" customFormat="false" ht="14.65" hidden="false" customHeight="true" outlineLevel="0" collapsed="false">
      <c r="A585" s="13" t="s">
        <v>634</v>
      </c>
    </row>
    <row r="586" customFormat="false" ht="14.65" hidden="false" customHeight="true" outlineLevel="0" collapsed="false">
      <c r="A586" s="13" t="s">
        <v>635</v>
      </c>
    </row>
    <row r="587" customFormat="false" ht="14.65" hidden="false" customHeight="true" outlineLevel="0" collapsed="false">
      <c r="A587" s="13" t="s">
        <v>636</v>
      </c>
    </row>
    <row r="588" customFormat="false" ht="14.65" hidden="false" customHeight="true" outlineLevel="0" collapsed="false">
      <c r="A588" s="13" t="s">
        <v>637</v>
      </c>
    </row>
    <row r="589" customFormat="false" ht="14.65" hidden="false" customHeight="true" outlineLevel="0" collapsed="false">
      <c r="A589" s="13" t="s">
        <v>638</v>
      </c>
    </row>
    <row r="590" customFormat="false" ht="14.65" hidden="false" customHeight="true" outlineLevel="0" collapsed="false">
      <c r="A590" s="13" t="s">
        <v>639</v>
      </c>
    </row>
    <row r="591" customFormat="false" ht="14.65" hidden="false" customHeight="true" outlineLevel="0" collapsed="false">
      <c r="A591" s="13" t="s">
        <v>640</v>
      </c>
    </row>
    <row r="592" customFormat="false" ht="14.65" hidden="false" customHeight="true" outlineLevel="0" collapsed="false">
      <c r="A592" s="13" t="s">
        <v>641</v>
      </c>
    </row>
    <row r="593" customFormat="false" ht="14.65" hidden="false" customHeight="true" outlineLevel="0" collapsed="false">
      <c r="A593" s="13" t="s">
        <v>642</v>
      </c>
    </row>
    <row r="594" customFormat="false" ht="14.65" hidden="false" customHeight="true" outlineLevel="0" collapsed="false">
      <c r="A594" s="13" t="s">
        <v>643</v>
      </c>
    </row>
    <row r="595" customFormat="false" ht="14.65" hidden="false" customHeight="true" outlineLevel="0" collapsed="false">
      <c r="A595" s="13" t="s">
        <v>644</v>
      </c>
    </row>
    <row r="596" customFormat="false" ht="14.65" hidden="false" customHeight="true" outlineLevel="0" collapsed="false">
      <c r="A596" s="13" t="s">
        <v>645</v>
      </c>
    </row>
    <row r="597" customFormat="false" ht="14.65" hidden="false" customHeight="true" outlineLevel="0" collapsed="false">
      <c r="A597" s="13" t="s">
        <v>646</v>
      </c>
    </row>
    <row r="598" customFormat="false" ht="14.65" hidden="false" customHeight="true" outlineLevel="0" collapsed="false">
      <c r="A598" s="13" t="s">
        <v>647</v>
      </c>
    </row>
    <row r="599" customFormat="false" ht="14.65" hidden="false" customHeight="true" outlineLevel="0" collapsed="false">
      <c r="A599" s="13" t="s">
        <v>648</v>
      </c>
    </row>
    <row r="600" customFormat="false" ht="14.65" hidden="false" customHeight="true" outlineLevel="0" collapsed="false">
      <c r="A600" s="13" t="s">
        <v>649</v>
      </c>
    </row>
    <row r="601" customFormat="false" ht="14.65" hidden="false" customHeight="true" outlineLevel="0" collapsed="false">
      <c r="A601" s="13" t="s">
        <v>650</v>
      </c>
    </row>
    <row r="602" customFormat="false" ht="14.65" hidden="false" customHeight="true" outlineLevel="0" collapsed="false">
      <c r="A602" s="13" t="s">
        <v>651</v>
      </c>
    </row>
    <row r="603" customFormat="false" ht="14.65" hidden="false" customHeight="true" outlineLevel="0" collapsed="false">
      <c r="A603" s="13" t="s">
        <v>652</v>
      </c>
    </row>
    <row r="604" customFormat="false" ht="14.65" hidden="false" customHeight="true" outlineLevel="0" collapsed="false">
      <c r="A604" s="13" t="s">
        <v>653</v>
      </c>
    </row>
    <row r="605" customFormat="false" ht="14.65" hidden="false" customHeight="true" outlineLevel="0" collapsed="false">
      <c r="A605" s="13" t="s">
        <v>654</v>
      </c>
    </row>
    <row r="606" customFormat="false" ht="14.65" hidden="false" customHeight="true" outlineLevel="0" collapsed="false">
      <c r="A606" s="13" t="s">
        <v>655</v>
      </c>
    </row>
    <row r="607" customFormat="false" ht="14.65" hidden="false" customHeight="true" outlineLevel="0" collapsed="false">
      <c r="A607" s="13" t="s">
        <v>656</v>
      </c>
    </row>
    <row r="608" customFormat="false" ht="14.65" hidden="false" customHeight="true" outlineLevel="0" collapsed="false">
      <c r="A608" s="13" t="s">
        <v>657</v>
      </c>
    </row>
    <row r="609" customFormat="false" ht="14.65" hidden="false" customHeight="true" outlineLevel="0" collapsed="false">
      <c r="A609" s="13" t="s">
        <v>658</v>
      </c>
    </row>
    <row r="610" customFormat="false" ht="14.65" hidden="false" customHeight="true" outlineLevel="0" collapsed="false">
      <c r="A610" s="13" t="s">
        <v>659</v>
      </c>
    </row>
    <row r="611" customFormat="false" ht="14.65" hidden="false" customHeight="true" outlineLevel="0" collapsed="false">
      <c r="A611" s="13" t="s">
        <v>660</v>
      </c>
    </row>
    <row r="612" customFormat="false" ht="14.65" hidden="false" customHeight="true" outlineLevel="0" collapsed="false">
      <c r="A612" s="13" t="s">
        <v>661</v>
      </c>
    </row>
    <row r="613" customFormat="false" ht="14.65" hidden="false" customHeight="true" outlineLevel="0" collapsed="false">
      <c r="A613" s="13" t="s">
        <v>662</v>
      </c>
    </row>
    <row r="614" customFormat="false" ht="14.65" hidden="false" customHeight="true" outlineLevel="0" collapsed="false">
      <c r="A614" s="13" t="s">
        <v>663</v>
      </c>
    </row>
    <row r="615" customFormat="false" ht="14.65" hidden="false" customHeight="true" outlineLevel="0" collapsed="false">
      <c r="A615" s="13" t="s">
        <v>664</v>
      </c>
    </row>
    <row r="616" customFormat="false" ht="14.65" hidden="false" customHeight="true" outlineLevel="0" collapsed="false">
      <c r="A616" s="13" t="s">
        <v>665</v>
      </c>
    </row>
    <row r="617" customFormat="false" ht="14.65" hidden="false" customHeight="true" outlineLevel="0" collapsed="false">
      <c r="A617" s="13" t="s">
        <v>666</v>
      </c>
    </row>
    <row r="618" customFormat="false" ht="14.65" hidden="false" customHeight="true" outlineLevel="0" collapsed="false">
      <c r="A618" s="13" t="s">
        <v>667</v>
      </c>
    </row>
    <row r="619" customFormat="false" ht="14.65" hidden="false" customHeight="true" outlineLevel="0" collapsed="false">
      <c r="A619" s="13" t="s">
        <v>668</v>
      </c>
    </row>
    <row r="620" customFormat="false" ht="14.65" hidden="false" customHeight="true" outlineLevel="0" collapsed="false">
      <c r="A620" s="13" t="s">
        <v>669</v>
      </c>
    </row>
    <row r="621" customFormat="false" ht="14.65" hidden="false" customHeight="true" outlineLevel="0" collapsed="false">
      <c r="A621" s="13" t="s">
        <v>670</v>
      </c>
    </row>
    <row r="622" customFormat="false" ht="14.65" hidden="false" customHeight="true" outlineLevel="0" collapsed="false">
      <c r="A622" s="13" t="s">
        <v>671</v>
      </c>
    </row>
    <row r="623" customFormat="false" ht="14.65" hidden="false" customHeight="true" outlineLevel="0" collapsed="false">
      <c r="A623" s="13" t="s">
        <v>672</v>
      </c>
    </row>
    <row r="624" customFormat="false" ht="14.65" hidden="false" customHeight="true" outlineLevel="0" collapsed="false">
      <c r="A624" s="13" t="s">
        <v>673</v>
      </c>
    </row>
    <row r="625" customFormat="false" ht="14.65" hidden="false" customHeight="true" outlineLevel="0" collapsed="false">
      <c r="A625" s="13" t="s">
        <v>674</v>
      </c>
    </row>
    <row r="626" customFormat="false" ht="14.65" hidden="false" customHeight="true" outlineLevel="0" collapsed="false">
      <c r="A626" s="13" t="s">
        <v>675</v>
      </c>
    </row>
    <row r="627" customFormat="false" ht="14.65" hidden="false" customHeight="true" outlineLevel="0" collapsed="false">
      <c r="A627" s="13" t="s">
        <v>676</v>
      </c>
    </row>
    <row r="628" customFormat="false" ht="14.65" hidden="false" customHeight="true" outlineLevel="0" collapsed="false">
      <c r="A628" s="13" t="s">
        <v>677</v>
      </c>
    </row>
    <row r="629" customFormat="false" ht="14.65" hidden="false" customHeight="true" outlineLevel="0" collapsed="false">
      <c r="A629" s="13" t="s">
        <v>678</v>
      </c>
    </row>
    <row r="630" customFormat="false" ht="14.65" hidden="false" customHeight="true" outlineLevel="0" collapsed="false">
      <c r="A630" s="13" t="s">
        <v>679</v>
      </c>
    </row>
    <row r="631" customFormat="false" ht="14.65" hidden="false" customHeight="true" outlineLevel="0" collapsed="false">
      <c r="A631" s="13" t="s">
        <v>680</v>
      </c>
    </row>
    <row r="632" customFormat="false" ht="14.65" hidden="false" customHeight="true" outlineLevel="0" collapsed="false">
      <c r="A632" s="13" t="s">
        <v>681</v>
      </c>
    </row>
    <row r="633" customFormat="false" ht="14.65" hidden="false" customHeight="true" outlineLevel="0" collapsed="false">
      <c r="A633" s="13" t="s">
        <v>682</v>
      </c>
    </row>
    <row r="634" customFormat="false" ht="14.65" hidden="false" customHeight="true" outlineLevel="0" collapsed="false">
      <c r="A634" s="13" t="s">
        <v>683</v>
      </c>
    </row>
    <row r="635" customFormat="false" ht="14.65" hidden="false" customHeight="true" outlineLevel="0" collapsed="false">
      <c r="A635" s="13" t="s">
        <v>684</v>
      </c>
    </row>
    <row r="636" customFormat="false" ht="14.65" hidden="false" customHeight="true" outlineLevel="0" collapsed="false">
      <c r="A636" s="13" t="s">
        <v>685</v>
      </c>
    </row>
    <row r="637" customFormat="false" ht="14.65" hidden="false" customHeight="true" outlineLevel="0" collapsed="false">
      <c r="A637" s="13" t="s">
        <v>686</v>
      </c>
    </row>
    <row r="638" customFormat="false" ht="14.65" hidden="false" customHeight="true" outlineLevel="0" collapsed="false">
      <c r="A638" s="13" t="s">
        <v>687</v>
      </c>
    </row>
    <row r="639" customFormat="false" ht="14.65" hidden="false" customHeight="true" outlineLevel="0" collapsed="false">
      <c r="A639" s="13" t="s">
        <v>688</v>
      </c>
    </row>
    <row r="640" customFormat="false" ht="14.65" hidden="false" customHeight="true" outlineLevel="0" collapsed="false">
      <c r="A640" s="13" t="s">
        <v>689</v>
      </c>
    </row>
    <row r="641" customFormat="false" ht="14.65" hidden="false" customHeight="true" outlineLevel="0" collapsed="false">
      <c r="A641" s="13" t="s">
        <v>690</v>
      </c>
    </row>
    <row r="642" customFormat="false" ht="14.65" hidden="false" customHeight="true" outlineLevel="0" collapsed="false">
      <c r="A642" s="13" t="s">
        <v>691</v>
      </c>
    </row>
    <row r="643" customFormat="false" ht="14.65" hidden="false" customHeight="true" outlineLevel="0" collapsed="false">
      <c r="A643" s="13" t="s">
        <v>692</v>
      </c>
    </row>
    <row r="644" customFormat="false" ht="14.65" hidden="false" customHeight="true" outlineLevel="0" collapsed="false">
      <c r="A644" s="13" t="s">
        <v>693</v>
      </c>
    </row>
    <row r="645" customFormat="false" ht="14.65" hidden="false" customHeight="true" outlineLevel="0" collapsed="false">
      <c r="A645" s="13" t="s">
        <v>694</v>
      </c>
    </row>
    <row r="646" customFormat="false" ht="14.65" hidden="false" customHeight="true" outlineLevel="0" collapsed="false">
      <c r="A646" s="13" t="s">
        <v>695</v>
      </c>
    </row>
    <row r="647" customFormat="false" ht="14.65" hidden="false" customHeight="true" outlineLevel="0" collapsed="false">
      <c r="A647" s="13" t="s">
        <v>696</v>
      </c>
    </row>
    <row r="648" customFormat="false" ht="14.65" hidden="false" customHeight="true" outlineLevel="0" collapsed="false">
      <c r="A648" s="13" t="s">
        <v>697</v>
      </c>
    </row>
    <row r="649" customFormat="false" ht="14.65" hidden="false" customHeight="true" outlineLevel="0" collapsed="false">
      <c r="A649" s="13" t="s">
        <v>698</v>
      </c>
    </row>
    <row r="650" customFormat="false" ht="14.65" hidden="false" customHeight="true" outlineLevel="0" collapsed="false">
      <c r="A650" s="13" t="s">
        <v>699</v>
      </c>
    </row>
    <row r="651" customFormat="false" ht="14.65" hidden="false" customHeight="true" outlineLevel="0" collapsed="false">
      <c r="A651" s="13" t="s">
        <v>700</v>
      </c>
    </row>
    <row r="652" customFormat="false" ht="14.65" hidden="false" customHeight="true" outlineLevel="0" collapsed="false">
      <c r="A652" s="13" t="s">
        <v>701</v>
      </c>
    </row>
    <row r="653" customFormat="false" ht="14.65" hidden="false" customHeight="true" outlineLevel="0" collapsed="false">
      <c r="A653" s="13" t="s">
        <v>702</v>
      </c>
    </row>
    <row r="654" customFormat="false" ht="14.65" hidden="false" customHeight="true" outlineLevel="0" collapsed="false">
      <c r="A654" s="13" t="s">
        <v>703</v>
      </c>
    </row>
    <row r="655" customFormat="false" ht="14.65" hidden="false" customHeight="true" outlineLevel="0" collapsed="false">
      <c r="A655" s="13" t="s">
        <v>704</v>
      </c>
    </row>
    <row r="656" customFormat="false" ht="14.65" hidden="false" customHeight="true" outlineLevel="0" collapsed="false">
      <c r="A656" s="13" t="s">
        <v>705</v>
      </c>
    </row>
    <row r="657" customFormat="false" ht="14.65" hidden="false" customHeight="true" outlineLevel="0" collapsed="false">
      <c r="A657" s="13" t="s">
        <v>706</v>
      </c>
    </row>
    <row r="658" customFormat="false" ht="14.65" hidden="false" customHeight="true" outlineLevel="0" collapsed="false">
      <c r="A658" s="13" t="s">
        <v>707</v>
      </c>
    </row>
    <row r="659" customFormat="false" ht="14.65" hidden="false" customHeight="true" outlineLevel="0" collapsed="false">
      <c r="A659" s="13" t="s">
        <v>708</v>
      </c>
    </row>
    <row r="660" customFormat="false" ht="14.65" hidden="false" customHeight="true" outlineLevel="0" collapsed="false">
      <c r="A660" s="13" t="s">
        <v>709</v>
      </c>
    </row>
    <row r="661" customFormat="false" ht="14.65" hidden="false" customHeight="true" outlineLevel="0" collapsed="false">
      <c r="A661" s="13" t="s">
        <v>710</v>
      </c>
    </row>
    <row r="662" customFormat="false" ht="14.65" hidden="false" customHeight="true" outlineLevel="0" collapsed="false">
      <c r="A662" s="13" t="s">
        <v>711</v>
      </c>
    </row>
    <row r="663" customFormat="false" ht="14.65" hidden="false" customHeight="true" outlineLevel="0" collapsed="false">
      <c r="A663" s="13" t="s">
        <v>712</v>
      </c>
    </row>
    <row r="664" customFormat="false" ht="14.65" hidden="false" customHeight="true" outlineLevel="0" collapsed="false">
      <c r="A664" s="13" t="s">
        <v>713</v>
      </c>
    </row>
    <row r="665" customFormat="false" ht="14.65" hidden="false" customHeight="true" outlineLevel="0" collapsed="false">
      <c r="A665" s="13" t="s">
        <v>714</v>
      </c>
    </row>
    <row r="666" customFormat="false" ht="14.65" hidden="false" customHeight="true" outlineLevel="0" collapsed="false">
      <c r="A666" s="13" t="s">
        <v>715</v>
      </c>
    </row>
    <row r="667" customFormat="false" ht="14.65" hidden="false" customHeight="true" outlineLevel="0" collapsed="false">
      <c r="A667" s="13" t="s">
        <v>716</v>
      </c>
    </row>
    <row r="668" customFormat="false" ht="14.65" hidden="false" customHeight="true" outlineLevel="0" collapsed="false">
      <c r="A668" s="13" t="s">
        <v>717</v>
      </c>
    </row>
    <row r="669" customFormat="false" ht="14.65" hidden="false" customHeight="true" outlineLevel="0" collapsed="false">
      <c r="A669" s="13" t="s">
        <v>718</v>
      </c>
    </row>
    <row r="670" customFormat="false" ht="14.65" hidden="false" customHeight="true" outlineLevel="0" collapsed="false">
      <c r="A670" s="13" t="s">
        <v>719</v>
      </c>
    </row>
    <row r="671" customFormat="false" ht="14.65" hidden="false" customHeight="true" outlineLevel="0" collapsed="false">
      <c r="A671" s="13" t="s">
        <v>720</v>
      </c>
    </row>
    <row r="672" customFormat="false" ht="14.65" hidden="false" customHeight="true" outlineLevel="0" collapsed="false">
      <c r="A672" s="13" t="s">
        <v>721</v>
      </c>
    </row>
    <row r="673" customFormat="false" ht="14.65" hidden="false" customHeight="true" outlineLevel="0" collapsed="false">
      <c r="A673" s="13" t="s">
        <v>722</v>
      </c>
    </row>
    <row r="674" customFormat="false" ht="14.65" hidden="false" customHeight="true" outlineLevel="0" collapsed="false">
      <c r="A674" s="13" t="s">
        <v>723</v>
      </c>
    </row>
    <row r="675" customFormat="false" ht="14.65" hidden="false" customHeight="true" outlineLevel="0" collapsed="false">
      <c r="A675" s="13" t="s">
        <v>724</v>
      </c>
    </row>
    <row r="676" customFormat="false" ht="14.65" hidden="false" customHeight="true" outlineLevel="0" collapsed="false">
      <c r="A676" s="13" t="s">
        <v>725</v>
      </c>
    </row>
    <row r="677" customFormat="false" ht="14.65" hidden="false" customHeight="true" outlineLevel="0" collapsed="false">
      <c r="A677" s="13" t="s">
        <v>726</v>
      </c>
    </row>
    <row r="678" customFormat="false" ht="14.65" hidden="false" customHeight="true" outlineLevel="0" collapsed="false">
      <c r="A678" s="13" t="s">
        <v>727</v>
      </c>
    </row>
    <row r="679" customFormat="false" ht="14.65" hidden="false" customHeight="true" outlineLevel="0" collapsed="false">
      <c r="A679" s="13" t="s">
        <v>728</v>
      </c>
    </row>
    <row r="680" customFormat="false" ht="14.65" hidden="false" customHeight="true" outlineLevel="0" collapsed="false">
      <c r="A680" s="13" t="s">
        <v>729</v>
      </c>
    </row>
    <row r="681" customFormat="false" ht="14.65" hidden="false" customHeight="true" outlineLevel="0" collapsed="false">
      <c r="A681" s="13" t="s">
        <v>730</v>
      </c>
    </row>
    <row r="682" customFormat="false" ht="14.65" hidden="false" customHeight="true" outlineLevel="0" collapsed="false">
      <c r="A682" s="13" t="s">
        <v>731</v>
      </c>
    </row>
    <row r="683" customFormat="false" ht="14.65" hidden="false" customHeight="true" outlineLevel="0" collapsed="false">
      <c r="A683" s="13" t="s">
        <v>732</v>
      </c>
    </row>
    <row r="684" customFormat="false" ht="14.65" hidden="false" customHeight="true" outlineLevel="0" collapsed="false">
      <c r="A684" s="13" t="s">
        <v>733</v>
      </c>
    </row>
    <row r="685" customFormat="false" ht="14.65" hidden="false" customHeight="true" outlineLevel="0" collapsed="false">
      <c r="A685" s="13" t="s">
        <v>734</v>
      </c>
    </row>
    <row r="686" customFormat="false" ht="14.65" hidden="false" customHeight="true" outlineLevel="0" collapsed="false">
      <c r="A686" s="13" t="s">
        <v>735</v>
      </c>
    </row>
    <row r="687" customFormat="false" ht="14.65" hidden="false" customHeight="true" outlineLevel="0" collapsed="false">
      <c r="A687" s="13" t="s">
        <v>736</v>
      </c>
    </row>
    <row r="688" customFormat="false" ht="14.65" hidden="false" customHeight="true" outlineLevel="0" collapsed="false">
      <c r="A688" s="13" t="s">
        <v>737</v>
      </c>
    </row>
    <row r="689" customFormat="false" ht="14.65" hidden="false" customHeight="true" outlineLevel="0" collapsed="false">
      <c r="A689" s="13" t="s">
        <v>738</v>
      </c>
    </row>
    <row r="690" customFormat="false" ht="14.65" hidden="false" customHeight="true" outlineLevel="0" collapsed="false">
      <c r="A690" s="13" t="s">
        <v>739</v>
      </c>
    </row>
    <row r="691" customFormat="false" ht="14.65" hidden="false" customHeight="true" outlineLevel="0" collapsed="false">
      <c r="A691" s="13" t="s">
        <v>740</v>
      </c>
    </row>
    <row r="692" customFormat="false" ht="14.65" hidden="false" customHeight="true" outlineLevel="0" collapsed="false">
      <c r="A692" s="13" t="s">
        <v>741</v>
      </c>
    </row>
    <row r="693" customFormat="false" ht="14.65" hidden="false" customHeight="true" outlineLevel="0" collapsed="false">
      <c r="A693" s="13" t="s">
        <v>742</v>
      </c>
    </row>
    <row r="694" customFormat="false" ht="14.65" hidden="false" customHeight="true" outlineLevel="0" collapsed="false">
      <c r="A694" s="13" t="s">
        <v>743</v>
      </c>
    </row>
    <row r="695" customFormat="false" ht="14.65" hidden="false" customHeight="true" outlineLevel="0" collapsed="false">
      <c r="A695" s="13" t="s">
        <v>744</v>
      </c>
    </row>
    <row r="696" customFormat="false" ht="14.65" hidden="false" customHeight="true" outlineLevel="0" collapsed="false">
      <c r="A696" s="13" t="s">
        <v>745</v>
      </c>
    </row>
    <row r="697" customFormat="false" ht="14.65" hidden="false" customHeight="true" outlineLevel="0" collapsed="false">
      <c r="A697" s="13" t="s">
        <v>746</v>
      </c>
    </row>
    <row r="698" customFormat="false" ht="14.65" hidden="false" customHeight="true" outlineLevel="0" collapsed="false">
      <c r="A698" s="13" t="s">
        <v>747</v>
      </c>
    </row>
    <row r="699" customFormat="false" ht="14.65" hidden="false" customHeight="true" outlineLevel="0" collapsed="false">
      <c r="A699" s="13" t="s">
        <v>748</v>
      </c>
    </row>
    <row r="700" customFormat="false" ht="14.65" hidden="false" customHeight="true" outlineLevel="0" collapsed="false">
      <c r="A700" s="13" t="s">
        <v>749</v>
      </c>
    </row>
    <row r="701" customFormat="false" ht="14.65" hidden="false" customHeight="true" outlineLevel="0" collapsed="false">
      <c r="A701" s="13" t="s">
        <v>750</v>
      </c>
    </row>
    <row r="702" customFormat="false" ht="14.65" hidden="false" customHeight="true" outlineLevel="0" collapsed="false">
      <c r="A702" s="13" t="s">
        <v>751</v>
      </c>
    </row>
    <row r="703" customFormat="false" ht="14.65" hidden="false" customHeight="true" outlineLevel="0" collapsed="false">
      <c r="A703" s="13" t="s">
        <v>752</v>
      </c>
    </row>
    <row r="704" customFormat="false" ht="14.65" hidden="false" customHeight="true" outlineLevel="0" collapsed="false">
      <c r="A704" s="13" t="s">
        <v>753</v>
      </c>
    </row>
    <row r="705" customFormat="false" ht="14.65" hidden="false" customHeight="true" outlineLevel="0" collapsed="false">
      <c r="A705" s="13" t="s">
        <v>754</v>
      </c>
    </row>
    <row r="706" customFormat="false" ht="14.65" hidden="false" customHeight="true" outlineLevel="0" collapsed="false">
      <c r="A706" s="13" t="s">
        <v>755</v>
      </c>
    </row>
    <row r="707" customFormat="false" ht="14.65" hidden="false" customHeight="true" outlineLevel="0" collapsed="false">
      <c r="A707" s="13" t="s">
        <v>756</v>
      </c>
    </row>
    <row r="708" customFormat="false" ht="14.65" hidden="false" customHeight="true" outlineLevel="0" collapsed="false">
      <c r="A708" s="13"/>
    </row>
    <row r="709" customFormat="false" ht="14.65" hidden="false" customHeight="true" outlineLevel="0" collapsed="false">
      <c r="A709" s="13"/>
    </row>
    <row r="710" customFormat="false" ht="14.65" hidden="false" customHeight="true" outlineLevel="0" collapsed="false">
      <c r="A710" s="13"/>
    </row>
    <row r="711" customFormat="false" ht="14.65" hidden="false" customHeight="true" outlineLevel="0" collapsed="false">
      <c r="A711" s="13"/>
    </row>
    <row r="712" customFormat="false" ht="14.65" hidden="false" customHeight="true" outlineLevel="0" collapsed="false">
      <c r="A712" s="13"/>
    </row>
    <row r="713" customFormat="false" ht="14.65" hidden="false" customHeight="true" outlineLevel="0" collapsed="false">
      <c r="A713" s="13"/>
    </row>
    <row r="714" customFormat="false" ht="14.65" hidden="false" customHeight="true" outlineLevel="0" collapsed="false">
      <c r="A714" s="13"/>
    </row>
    <row r="715" customFormat="false" ht="14.65" hidden="false" customHeight="true" outlineLevel="0" collapsed="false">
      <c r="A715" s="13"/>
    </row>
    <row r="716" customFormat="false" ht="14.65" hidden="false" customHeight="true" outlineLevel="0" collapsed="false">
      <c r="A716" s="13"/>
    </row>
    <row r="717" customFormat="false" ht="14.65" hidden="false" customHeight="true" outlineLevel="0" collapsed="false">
      <c r="A717" s="13"/>
    </row>
    <row r="718" customFormat="false" ht="14.65" hidden="false" customHeight="true" outlineLevel="0" collapsed="false">
      <c r="A718" s="13"/>
    </row>
    <row r="719" customFormat="false" ht="14.65" hidden="false" customHeight="true" outlineLevel="0" collapsed="false">
      <c r="A719" s="13"/>
    </row>
    <row r="720" customFormat="false" ht="14.65" hidden="false" customHeight="true" outlineLevel="0" collapsed="false">
      <c r="A720" s="13"/>
    </row>
    <row r="721" customFormat="false" ht="14.65" hidden="false" customHeight="true" outlineLevel="0" collapsed="false">
      <c r="A721" s="13"/>
    </row>
    <row r="722" customFormat="false" ht="14.65" hidden="false" customHeight="true" outlineLevel="0" collapsed="false">
      <c r="A722" s="13"/>
    </row>
    <row r="723" customFormat="false" ht="14.65" hidden="false" customHeight="true" outlineLevel="0" collapsed="false">
      <c r="A723" s="13"/>
    </row>
    <row r="724" customFormat="false" ht="14.65" hidden="false" customHeight="true" outlineLevel="0" collapsed="false">
      <c r="A724" s="13"/>
    </row>
    <row r="725" customFormat="false" ht="14.65" hidden="false" customHeight="true" outlineLevel="0" collapsed="false">
      <c r="A725" s="13"/>
    </row>
    <row r="726" customFormat="false" ht="14.65" hidden="false" customHeight="true" outlineLevel="0" collapsed="false">
      <c r="A726" s="13"/>
    </row>
    <row r="727" customFormat="false" ht="14.65" hidden="false" customHeight="true" outlineLevel="0" collapsed="false">
      <c r="A727" s="13"/>
    </row>
    <row r="728" customFormat="false" ht="14.65" hidden="false" customHeight="true" outlineLevel="0" collapsed="false">
      <c r="A728" s="13"/>
    </row>
    <row r="729" customFormat="false" ht="14.65" hidden="false" customHeight="true" outlineLevel="0" collapsed="false">
      <c r="A729" s="13"/>
    </row>
    <row r="730" customFormat="false" ht="14.65" hidden="false" customHeight="true" outlineLevel="0" collapsed="false">
      <c r="A730" s="13"/>
    </row>
    <row r="731" customFormat="false" ht="14.65" hidden="false" customHeight="true" outlineLevel="0" collapsed="false">
      <c r="A731" s="13"/>
    </row>
    <row r="732" customFormat="false" ht="14.65" hidden="false" customHeight="true" outlineLevel="0" collapsed="false">
      <c r="A732" s="13"/>
    </row>
    <row r="733" customFormat="false" ht="14.65" hidden="false" customHeight="true" outlineLevel="0" collapsed="false">
      <c r="A733" s="13"/>
    </row>
    <row r="734" customFormat="false" ht="14.65" hidden="false" customHeight="true" outlineLevel="0" collapsed="false">
      <c r="A734" s="13"/>
    </row>
    <row r="735" customFormat="false" ht="14.65" hidden="false" customHeight="true" outlineLevel="0" collapsed="false">
      <c r="A735" s="13"/>
    </row>
    <row r="736" customFormat="false" ht="14.65" hidden="false" customHeight="true" outlineLevel="0" collapsed="false">
      <c r="A736" s="13"/>
    </row>
    <row r="737" customFormat="false" ht="14.65" hidden="false" customHeight="true" outlineLevel="0" collapsed="false">
      <c r="A737" s="13"/>
    </row>
    <row r="738" customFormat="false" ht="14.65" hidden="false" customHeight="true" outlineLevel="0" collapsed="false">
      <c r="A738" s="13"/>
    </row>
    <row r="739" customFormat="false" ht="14.65" hidden="false" customHeight="true" outlineLevel="0" collapsed="false">
      <c r="A739" s="13"/>
    </row>
    <row r="740" customFormat="false" ht="14.65" hidden="false" customHeight="true" outlineLevel="0" collapsed="false">
      <c r="A740" s="13"/>
    </row>
    <row r="741" customFormat="false" ht="14.65" hidden="false" customHeight="true" outlineLevel="0" collapsed="false">
      <c r="A741" s="1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T70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9.0546875" defaultRowHeight="12.5" customHeight="true" zeroHeight="false" outlineLevelRow="0" outlineLevelCol="0"/>
  <cols>
    <col collapsed="false" customWidth="true" hidden="false" outlineLevel="0" max="1" min="1" style="0" width="12.26"/>
    <col collapsed="false" customWidth="true" hidden="false" outlineLevel="0" max="4" min="4" style="0" width="23.44"/>
    <col collapsed="false" customWidth="true" hidden="false" outlineLevel="0" max="5" min="5" style="0" width="2.99"/>
  </cols>
  <sheetData>
    <row r="2" customFormat="false" ht="12.5" hidden="false" customHeight="true" outlineLevel="0" collapsed="false">
      <c r="A2" s="0" t="s">
        <v>757</v>
      </c>
      <c r="B2" s="0" t="s">
        <v>758</v>
      </c>
      <c r="D2" s="0" t="s">
        <v>759</v>
      </c>
      <c r="F2" s="19" t="s">
        <v>758</v>
      </c>
    </row>
    <row r="3" customFormat="false" ht="12.5" hidden="false" customHeight="true" outlineLevel="0" collapsed="false">
      <c r="A3" s="0" t="n">
        <v>0</v>
      </c>
      <c r="B3" s="0" t="n">
        <v>0</v>
      </c>
      <c r="D3" s="0" t="n">
        <v>0</v>
      </c>
      <c r="E3" s="0" t="n">
        <v>9</v>
      </c>
      <c r="F3" s="0" t="n">
        <v>11</v>
      </c>
    </row>
    <row r="4" customFormat="false" ht="12.5" hidden="false" customHeight="true" outlineLevel="0" collapsed="false">
      <c r="A4" s="0" t="n">
        <v>10</v>
      </c>
      <c r="B4" s="0" t="n">
        <v>0.5</v>
      </c>
      <c r="D4" s="0" t="n">
        <v>10</v>
      </c>
      <c r="E4" s="0" t="n">
        <v>14</v>
      </c>
      <c r="F4" s="0" t="n">
        <v>12</v>
      </c>
    </row>
    <row r="5" customFormat="false" ht="12.5" hidden="false" customHeight="true" outlineLevel="0" collapsed="false">
      <c r="A5" s="0" t="n">
        <v>15</v>
      </c>
      <c r="B5" s="0" t="n">
        <v>1</v>
      </c>
      <c r="D5" s="0" t="n">
        <v>15</v>
      </c>
      <c r="E5" s="0" t="n">
        <v>17</v>
      </c>
      <c r="F5" s="0" t="n">
        <v>13</v>
      </c>
    </row>
    <row r="6" customFormat="false" ht="12.5" hidden="false" customHeight="true" outlineLevel="0" collapsed="false">
      <c r="A6" s="0" t="n">
        <v>20</v>
      </c>
      <c r="B6" s="0" t="n">
        <v>2</v>
      </c>
      <c r="D6" s="0" t="n">
        <v>18</v>
      </c>
      <c r="E6" s="0" t="n">
        <v>20</v>
      </c>
      <c r="F6" s="0" t="n">
        <v>14</v>
      </c>
    </row>
    <row r="7" customFormat="false" ht="12.5" hidden="false" customHeight="true" outlineLevel="0" collapsed="false">
      <c r="A7" s="0" t="n">
        <v>25</v>
      </c>
      <c r="B7" s="0" t="n">
        <v>3</v>
      </c>
      <c r="D7" s="0" t="n">
        <v>21</v>
      </c>
      <c r="E7" s="0" t="n">
        <v>22</v>
      </c>
      <c r="F7" s="0" t="n">
        <v>15</v>
      </c>
    </row>
    <row r="8" customFormat="false" ht="12.5" hidden="false" customHeight="true" outlineLevel="0" collapsed="false">
      <c r="A8" s="0" t="n">
        <v>30</v>
      </c>
      <c r="B8" s="0" t="n">
        <v>4</v>
      </c>
      <c r="D8" s="0" t="n">
        <v>23</v>
      </c>
      <c r="E8" s="0" t="n">
        <v>25</v>
      </c>
      <c r="F8" s="0" t="n">
        <v>16</v>
      </c>
    </row>
    <row r="9" customFormat="false" ht="12.5" hidden="false" customHeight="true" outlineLevel="0" collapsed="false">
      <c r="A9" s="0" t="n">
        <v>35</v>
      </c>
      <c r="B9" s="0" t="n">
        <v>4</v>
      </c>
      <c r="D9" s="0" t="n">
        <v>26</v>
      </c>
      <c r="E9" s="0" t="n">
        <v>27</v>
      </c>
      <c r="F9" s="0" t="n">
        <v>17</v>
      </c>
    </row>
    <row r="10" customFormat="false" ht="12.5" hidden="false" customHeight="true" outlineLevel="0" collapsed="false">
      <c r="A10" s="0" t="n">
        <v>40</v>
      </c>
      <c r="B10" s="0" t="n">
        <v>5</v>
      </c>
      <c r="D10" s="0" t="n">
        <v>28</v>
      </c>
      <c r="E10" s="0" t="n">
        <v>29</v>
      </c>
      <c r="F10" s="0" t="n">
        <v>18</v>
      </c>
    </row>
    <row r="11" customFormat="false" ht="12.5" hidden="false" customHeight="true" outlineLevel="0" collapsed="false">
      <c r="A11" s="0" t="n">
        <v>45</v>
      </c>
      <c r="B11" s="0" t="n">
        <v>6</v>
      </c>
      <c r="D11" s="0" t="n">
        <v>30</v>
      </c>
      <c r="E11" s="0" t="n">
        <v>32</v>
      </c>
      <c r="F11" s="0" t="n">
        <v>19</v>
      </c>
    </row>
    <row r="12" customFormat="false" ht="12.5" hidden="false" customHeight="true" outlineLevel="0" collapsed="false">
      <c r="A12" s="0" t="n">
        <v>50</v>
      </c>
      <c r="B12" s="0" t="n">
        <v>6</v>
      </c>
      <c r="D12" s="0" t="n">
        <v>33</v>
      </c>
      <c r="E12" s="0" t="n">
        <v>34</v>
      </c>
      <c r="F12" s="0" t="n">
        <v>20</v>
      </c>
    </row>
    <row r="13" customFormat="false" ht="12.5" hidden="false" customHeight="true" outlineLevel="0" collapsed="false">
      <c r="A13" s="0" t="n">
        <v>55</v>
      </c>
      <c r="B13" s="0" t="n">
        <v>6</v>
      </c>
      <c r="D13" s="0" t="n">
        <v>35</v>
      </c>
      <c r="E13" s="0" t="n">
        <v>36</v>
      </c>
      <c r="F13" s="0" t="n">
        <v>21</v>
      </c>
    </row>
    <row r="14" customFormat="false" ht="12.5" hidden="false" customHeight="true" outlineLevel="0" collapsed="false">
      <c r="A14" s="0" t="n">
        <v>60</v>
      </c>
      <c r="B14" s="0" t="n">
        <v>7</v>
      </c>
      <c r="D14" s="0" t="n">
        <v>37</v>
      </c>
      <c r="E14" s="0" t="n">
        <v>40</v>
      </c>
      <c r="F14" s="0" t="n">
        <v>22</v>
      </c>
    </row>
    <row r="15" customFormat="false" ht="12.5" hidden="false" customHeight="true" outlineLevel="0" collapsed="false">
      <c r="A15" s="0" t="n">
        <v>65</v>
      </c>
      <c r="B15" s="0" t="n">
        <v>7</v>
      </c>
      <c r="D15" s="0" t="n">
        <v>41</v>
      </c>
      <c r="E15" s="0" t="n">
        <v>44</v>
      </c>
      <c r="F15" s="0" t="n">
        <v>23</v>
      </c>
    </row>
    <row r="16" customFormat="false" ht="12.5" hidden="false" customHeight="true" outlineLevel="0" collapsed="false">
      <c r="A16" s="0" t="n">
        <v>70</v>
      </c>
      <c r="B16" s="0" t="n">
        <v>8</v>
      </c>
      <c r="D16" s="0" t="s">
        <v>760</v>
      </c>
      <c r="F16" s="0" t="n">
        <v>24</v>
      </c>
    </row>
    <row r="17" customFormat="false" ht="12.5" hidden="false" customHeight="true" outlineLevel="0" collapsed="false">
      <c r="A17" s="0" t="n">
        <v>75</v>
      </c>
      <c r="B17" s="0" t="n">
        <v>8</v>
      </c>
      <c r="D17" s="0" t="s">
        <v>761</v>
      </c>
      <c r="F17" s="0" t="n">
        <v>25</v>
      </c>
    </row>
    <row r="18" customFormat="false" ht="12.5" hidden="false" customHeight="true" outlineLevel="0" collapsed="false">
      <c r="A18" s="0" t="n">
        <v>80</v>
      </c>
      <c r="B18" s="0" t="n">
        <v>9</v>
      </c>
      <c r="D18" s="0" t="s">
        <v>762</v>
      </c>
      <c r="F18" s="0" t="n">
        <v>26</v>
      </c>
    </row>
    <row r="19" customFormat="false" ht="12.5" hidden="false" customHeight="true" outlineLevel="0" collapsed="false">
      <c r="A19" s="0" t="n">
        <v>85</v>
      </c>
      <c r="B19" s="0" t="n">
        <v>10</v>
      </c>
    </row>
    <row r="20" customFormat="false" ht="12.5" hidden="false" customHeight="true" outlineLevel="0" collapsed="false">
      <c r="A20" s="0" t="n">
        <v>90</v>
      </c>
      <c r="B20" s="0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3"/>
  <sheetViews>
    <sheetView showFormulas="false" showGridLines="true" showRowColHeaders="true" showZeros="true" rightToLeft="false" tabSelected="false" showOutlineSymbols="true" defaultGridColor="true" view="normal" topLeftCell="A292" colorId="64" zoomScale="100" zoomScaleNormal="100" zoomScalePageLayoutView="100" workbookViewId="0">
      <selection pane="topLeft" activeCell="C240" activeCellId="0" sqref="C240"/>
    </sheetView>
  </sheetViews>
  <sheetFormatPr defaultColWidth="9.0546875" defaultRowHeight="12.5" customHeight="true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23.99"/>
    <col collapsed="false" customWidth="true" hidden="false" outlineLevel="0" max="4" min="4" style="0" width="18.26"/>
  </cols>
  <sheetData>
    <row r="1" customFormat="false" ht="12.5" hidden="false" customHeight="true" outlineLevel="0" collapsed="false">
      <c r="A1" s="20" t="s">
        <v>763</v>
      </c>
      <c r="B1" s="20" t="s">
        <v>764</v>
      </c>
      <c r="C1" s="20" t="s">
        <v>765</v>
      </c>
    </row>
    <row r="2" customFormat="false" ht="13" hidden="false" customHeight="true" outlineLevel="0" collapsed="false">
      <c r="A2" s="21" t="s">
        <v>766</v>
      </c>
      <c r="B2" s="22" t="s">
        <v>767</v>
      </c>
      <c r="C2" s="22" t="s">
        <v>768</v>
      </c>
    </row>
    <row r="3" customFormat="false" ht="13" hidden="false" customHeight="true" outlineLevel="0" collapsed="false">
      <c r="A3" s="23" t="s">
        <v>769</v>
      </c>
      <c r="B3" s="22" t="s">
        <v>770</v>
      </c>
      <c r="C3" s="22" t="s">
        <v>771</v>
      </c>
    </row>
    <row r="4" customFormat="false" ht="13" hidden="false" customHeight="true" outlineLevel="0" collapsed="false">
      <c r="A4" s="21" t="s">
        <v>772</v>
      </c>
      <c r="B4" s="22" t="s">
        <v>773</v>
      </c>
      <c r="C4" s="0" t="s">
        <v>774</v>
      </c>
    </row>
    <row r="5" customFormat="false" ht="13" hidden="false" customHeight="true" outlineLevel="0" collapsed="false">
      <c r="A5" s="21" t="s">
        <v>775</v>
      </c>
      <c r="B5" s="22" t="s">
        <v>776</v>
      </c>
      <c r="C5" s="22" t="s">
        <v>777</v>
      </c>
    </row>
    <row r="6" customFormat="false" ht="12.5" hidden="false" customHeight="true" outlineLevel="0" collapsed="false">
      <c r="A6" s="24" t="s">
        <v>778</v>
      </c>
      <c r="B6" s="24" t="s">
        <v>779</v>
      </c>
      <c r="C6" s="24" t="s">
        <v>780</v>
      </c>
    </row>
    <row r="7" customFormat="false" ht="13" hidden="false" customHeight="true" outlineLevel="0" collapsed="false">
      <c r="A7" s="21" t="s">
        <v>781</v>
      </c>
      <c r="B7" s="22" t="s">
        <v>782</v>
      </c>
      <c r="C7" s="22" t="s">
        <v>783</v>
      </c>
    </row>
    <row r="8" customFormat="false" ht="13" hidden="false" customHeight="true" outlineLevel="0" collapsed="false">
      <c r="A8" s="21" t="s">
        <v>784</v>
      </c>
      <c r="B8" s="22" t="s">
        <v>785</v>
      </c>
      <c r="C8" s="22" t="s">
        <v>786</v>
      </c>
    </row>
    <row r="9" customFormat="false" ht="13" hidden="false" customHeight="true" outlineLevel="0" collapsed="false">
      <c r="A9" s="21" t="s">
        <v>787</v>
      </c>
      <c r="B9" s="22" t="s">
        <v>788</v>
      </c>
      <c r="C9" s="22" t="s">
        <v>789</v>
      </c>
    </row>
    <row r="10" customFormat="false" ht="13" hidden="false" customHeight="true" outlineLevel="0" collapsed="false">
      <c r="A10" s="25" t="s">
        <v>790</v>
      </c>
      <c r="B10" s="22" t="s">
        <v>791</v>
      </c>
      <c r="C10" s="22" t="s">
        <v>792</v>
      </c>
    </row>
    <row r="11" customFormat="false" ht="13" hidden="false" customHeight="true" outlineLevel="0" collapsed="false">
      <c r="A11" s="21" t="s">
        <v>793</v>
      </c>
      <c r="B11" s="22" t="s">
        <v>794</v>
      </c>
      <c r="C11" s="22" t="s">
        <v>795</v>
      </c>
    </row>
    <row r="12" customFormat="false" ht="13" hidden="false" customHeight="true" outlineLevel="0" collapsed="false">
      <c r="A12" s="21" t="s">
        <v>796</v>
      </c>
      <c r="B12" s="22" t="s">
        <v>797</v>
      </c>
      <c r="C12" s="22" t="s">
        <v>798</v>
      </c>
    </row>
    <row r="13" customFormat="false" ht="13" hidden="false" customHeight="true" outlineLevel="0" collapsed="false">
      <c r="A13" s="21" t="s">
        <v>799</v>
      </c>
      <c r="B13" s="22" t="s">
        <v>800</v>
      </c>
      <c r="C13" s="22" t="s">
        <v>801</v>
      </c>
    </row>
    <row r="14" customFormat="false" ht="13" hidden="false" customHeight="true" outlineLevel="0" collapsed="false">
      <c r="A14" s="21" t="s">
        <v>802</v>
      </c>
      <c r="B14" s="22" t="s">
        <v>803</v>
      </c>
      <c r="C14" s="22" t="s">
        <v>804</v>
      </c>
    </row>
    <row r="15" customFormat="false" ht="13" hidden="false" customHeight="true" outlineLevel="0" collapsed="false">
      <c r="A15" s="21" t="s">
        <v>805</v>
      </c>
      <c r="B15" s="22" t="s">
        <v>806</v>
      </c>
      <c r="C15" s="22" t="s">
        <v>807</v>
      </c>
    </row>
    <row r="16" customFormat="false" ht="13" hidden="false" customHeight="true" outlineLevel="0" collapsed="false">
      <c r="A16" s="21" t="s">
        <v>808</v>
      </c>
      <c r="B16" s="22" t="s">
        <v>809</v>
      </c>
      <c r="C16" s="22" t="s">
        <v>810</v>
      </c>
    </row>
    <row r="17" customFormat="false" ht="13" hidden="false" customHeight="true" outlineLevel="0" collapsed="false">
      <c r="A17" s="21" t="s">
        <v>811</v>
      </c>
      <c r="B17" s="22" t="s">
        <v>812</v>
      </c>
      <c r="C17" s="22" t="s">
        <v>813</v>
      </c>
    </row>
    <row r="18" customFormat="false" ht="13" hidden="false" customHeight="true" outlineLevel="0" collapsed="false">
      <c r="A18" s="21" t="s">
        <v>814</v>
      </c>
      <c r="B18" s="22" t="s">
        <v>815</v>
      </c>
      <c r="C18" s="22" t="s">
        <v>816</v>
      </c>
    </row>
    <row r="19" customFormat="false" ht="13" hidden="false" customHeight="true" outlineLevel="0" collapsed="false">
      <c r="A19" s="21" t="s">
        <v>817</v>
      </c>
      <c r="B19" s="22" t="s">
        <v>818</v>
      </c>
      <c r="C19" s="22" t="s">
        <v>819</v>
      </c>
    </row>
    <row r="20" customFormat="false" ht="13" hidden="false" customHeight="true" outlineLevel="0" collapsed="false">
      <c r="A20" s="21" t="s">
        <v>820</v>
      </c>
      <c r="B20" s="22" t="s">
        <v>821</v>
      </c>
      <c r="C20" s="26" t="s">
        <v>822</v>
      </c>
    </row>
    <row r="21" customFormat="false" ht="13" hidden="false" customHeight="true" outlineLevel="0" collapsed="false">
      <c r="A21" s="27" t="s">
        <v>823</v>
      </c>
      <c r="B21" s="28" t="s">
        <v>824</v>
      </c>
      <c r="C21" s="27" t="s">
        <v>825</v>
      </c>
    </row>
    <row r="22" customFormat="false" ht="13" hidden="false" customHeight="true" outlineLevel="0" collapsed="false">
      <c r="A22" s="27" t="s">
        <v>826</v>
      </c>
      <c r="B22" s="28" t="s">
        <v>827</v>
      </c>
      <c r="C22" s="28" t="s">
        <v>828</v>
      </c>
    </row>
    <row r="23" customFormat="false" ht="13" hidden="false" customHeight="true" outlineLevel="0" collapsed="false">
      <c r="A23" s="21" t="s">
        <v>829</v>
      </c>
      <c r="B23" s="22" t="s">
        <v>830</v>
      </c>
      <c r="C23" s="22" t="s">
        <v>831</v>
      </c>
    </row>
    <row r="24" customFormat="false" ht="13" hidden="false" customHeight="true" outlineLevel="0" collapsed="false">
      <c r="A24" s="21" t="s">
        <v>832</v>
      </c>
      <c r="B24" s="22" t="s">
        <v>833</v>
      </c>
      <c r="C24" s="22" t="s">
        <v>834</v>
      </c>
    </row>
    <row r="25" customFormat="false" ht="13" hidden="false" customHeight="true" outlineLevel="0" collapsed="false">
      <c r="A25" s="21" t="s">
        <v>835</v>
      </c>
      <c r="B25" s="22" t="s">
        <v>836</v>
      </c>
      <c r="C25" s="22" t="s">
        <v>837</v>
      </c>
    </row>
    <row r="26" customFormat="false" ht="13" hidden="false" customHeight="true" outlineLevel="0" collapsed="false">
      <c r="A26" s="27" t="s">
        <v>838</v>
      </c>
      <c r="B26" s="28" t="s">
        <v>839</v>
      </c>
      <c r="C26" s="27" t="s">
        <v>840</v>
      </c>
    </row>
    <row r="27" customFormat="false" ht="13" hidden="false" customHeight="true" outlineLevel="0" collapsed="false">
      <c r="A27" s="21" t="s">
        <v>841</v>
      </c>
      <c r="B27" s="22" t="s">
        <v>842</v>
      </c>
      <c r="C27" s="22" t="s">
        <v>843</v>
      </c>
    </row>
    <row r="28" customFormat="false" ht="13" hidden="false" customHeight="true" outlineLevel="0" collapsed="false">
      <c r="A28" s="21" t="s">
        <v>844</v>
      </c>
      <c r="B28" s="22" t="s">
        <v>845</v>
      </c>
      <c r="C28" s="22" t="s">
        <v>846</v>
      </c>
    </row>
    <row r="29" customFormat="false" ht="13" hidden="false" customHeight="true" outlineLevel="0" collapsed="false">
      <c r="A29" s="21" t="s">
        <v>847</v>
      </c>
      <c r="B29" s="22" t="s">
        <v>848</v>
      </c>
      <c r="C29" s="22" t="s">
        <v>849</v>
      </c>
    </row>
    <row r="30" customFormat="false" ht="13" hidden="false" customHeight="true" outlineLevel="0" collapsed="false">
      <c r="A30" s="21" t="s">
        <v>850</v>
      </c>
      <c r="B30" s="22" t="s">
        <v>851</v>
      </c>
      <c r="C30" s="22" t="s">
        <v>852</v>
      </c>
    </row>
    <row r="31" customFormat="false" ht="13" hidden="false" customHeight="true" outlineLevel="0" collapsed="false">
      <c r="A31" s="21" t="s">
        <v>853</v>
      </c>
      <c r="B31" s="22" t="s">
        <v>854</v>
      </c>
      <c r="C31" s="22" t="s">
        <v>855</v>
      </c>
    </row>
    <row r="32" customFormat="false" ht="13" hidden="false" customHeight="true" outlineLevel="0" collapsed="false">
      <c r="A32" s="21" t="s">
        <v>856</v>
      </c>
      <c r="B32" s="22" t="s">
        <v>857</v>
      </c>
      <c r="C32" s="22" t="s">
        <v>858</v>
      </c>
    </row>
    <row r="33" customFormat="false" ht="13" hidden="false" customHeight="true" outlineLevel="0" collapsed="false">
      <c r="A33" s="21" t="s">
        <v>859</v>
      </c>
      <c r="B33" s="22" t="s">
        <v>860</v>
      </c>
      <c r="C33" s="22" t="s">
        <v>861</v>
      </c>
    </row>
    <row r="34" customFormat="false" ht="13" hidden="false" customHeight="true" outlineLevel="0" collapsed="false">
      <c r="A34" s="21" t="s">
        <v>862</v>
      </c>
      <c r="B34" s="22" t="s">
        <v>863</v>
      </c>
      <c r="C34" s="22" t="s">
        <v>864</v>
      </c>
    </row>
    <row r="35" customFormat="false" ht="13" hidden="false" customHeight="true" outlineLevel="0" collapsed="false">
      <c r="A35" s="21" t="s">
        <v>865</v>
      </c>
      <c r="B35" s="22" t="s">
        <v>866</v>
      </c>
      <c r="C35" s="22" t="s">
        <v>867</v>
      </c>
    </row>
    <row r="36" customFormat="false" ht="13" hidden="false" customHeight="true" outlineLevel="0" collapsed="false">
      <c r="A36" s="21" t="s">
        <v>868</v>
      </c>
      <c r="B36" s="22" t="s">
        <v>869</v>
      </c>
      <c r="C36" s="22" t="s">
        <v>870</v>
      </c>
    </row>
    <row r="37" customFormat="false" ht="13" hidden="false" customHeight="true" outlineLevel="0" collapsed="false">
      <c r="A37" s="21" t="s">
        <v>871</v>
      </c>
      <c r="B37" s="22" t="s">
        <v>872</v>
      </c>
      <c r="C37" s="22" t="s">
        <v>873</v>
      </c>
    </row>
    <row r="38" customFormat="false" ht="13" hidden="false" customHeight="true" outlineLevel="0" collapsed="false">
      <c r="A38" s="21" t="s">
        <v>874</v>
      </c>
      <c r="B38" s="22" t="s">
        <v>875</v>
      </c>
      <c r="C38" s="22" t="s">
        <v>876</v>
      </c>
    </row>
    <row r="39" customFormat="false" ht="13" hidden="false" customHeight="true" outlineLevel="0" collapsed="false">
      <c r="A39" s="21" t="s">
        <v>877</v>
      </c>
      <c r="B39" s="22" t="s">
        <v>878</v>
      </c>
      <c r="C39" s="22" t="s">
        <v>879</v>
      </c>
    </row>
    <row r="40" customFormat="false" ht="13" hidden="false" customHeight="true" outlineLevel="0" collapsed="false">
      <c r="A40" s="21" t="s">
        <v>880</v>
      </c>
      <c r="B40" s="22" t="s">
        <v>881</v>
      </c>
      <c r="C40" s="22" t="s">
        <v>882</v>
      </c>
    </row>
    <row r="41" customFormat="false" ht="13" hidden="false" customHeight="true" outlineLevel="0" collapsed="false">
      <c r="A41" s="21" t="s">
        <v>883</v>
      </c>
      <c r="B41" s="22" t="s">
        <v>884</v>
      </c>
      <c r="C41" s="22" t="s">
        <v>885</v>
      </c>
    </row>
    <row r="42" customFormat="false" ht="13" hidden="false" customHeight="true" outlineLevel="0" collapsed="false">
      <c r="A42" s="21" t="s">
        <v>886</v>
      </c>
      <c r="B42" s="22" t="s">
        <v>887</v>
      </c>
      <c r="C42" s="22" t="s">
        <v>888</v>
      </c>
    </row>
    <row r="43" customFormat="false" ht="13" hidden="false" customHeight="true" outlineLevel="0" collapsed="false">
      <c r="A43" s="21" t="s">
        <v>889</v>
      </c>
      <c r="B43" s="22" t="s">
        <v>890</v>
      </c>
      <c r="C43" s="26" t="s">
        <v>891</v>
      </c>
    </row>
    <row r="44" customFormat="false" ht="13" hidden="false" customHeight="true" outlineLevel="0" collapsed="false">
      <c r="A44" s="21" t="s">
        <v>892</v>
      </c>
      <c r="B44" s="22" t="s">
        <v>893</v>
      </c>
      <c r="C44" s="26" t="s">
        <v>894</v>
      </c>
    </row>
    <row r="45" customFormat="false" ht="13" hidden="false" customHeight="true" outlineLevel="0" collapsed="false">
      <c r="A45" s="21" t="s">
        <v>895</v>
      </c>
      <c r="B45" s="22" t="s">
        <v>896</v>
      </c>
      <c r="C45" s="26" t="s">
        <v>897</v>
      </c>
    </row>
    <row r="46" customFormat="false" ht="13" hidden="false" customHeight="true" outlineLevel="0" collapsed="false">
      <c r="A46" s="21" t="s">
        <v>898</v>
      </c>
      <c r="B46" s="22" t="s">
        <v>899</v>
      </c>
      <c r="C46" s="26" t="s">
        <v>900</v>
      </c>
    </row>
    <row r="47" customFormat="false" ht="13" hidden="false" customHeight="true" outlineLevel="0" collapsed="false">
      <c r="A47" s="21" t="s">
        <v>901</v>
      </c>
      <c r="B47" s="22" t="s">
        <v>902</v>
      </c>
      <c r="C47" s="26" t="s">
        <v>903</v>
      </c>
    </row>
    <row r="48" customFormat="false" ht="13" hidden="false" customHeight="true" outlineLevel="0" collapsed="false">
      <c r="A48" s="27" t="s">
        <v>904</v>
      </c>
      <c r="B48" s="28" t="s">
        <v>905</v>
      </c>
      <c r="C48" s="27" t="s">
        <v>906</v>
      </c>
    </row>
    <row r="49" customFormat="false" ht="13" hidden="false" customHeight="true" outlineLevel="0" collapsed="false">
      <c r="A49" s="21" t="s">
        <v>907</v>
      </c>
      <c r="B49" s="22" t="s">
        <v>908</v>
      </c>
      <c r="C49" s="26" t="s">
        <v>909</v>
      </c>
    </row>
    <row r="50" customFormat="false" ht="13" hidden="false" customHeight="true" outlineLevel="0" collapsed="false">
      <c r="A50" s="21" t="s">
        <v>910</v>
      </c>
      <c r="B50" s="22" t="s">
        <v>911</v>
      </c>
      <c r="C50" s="26" t="s">
        <v>912</v>
      </c>
    </row>
    <row r="51" customFormat="false" ht="13" hidden="false" customHeight="true" outlineLevel="0" collapsed="false">
      <c r="A51" s="21" t="s">
        <v>913</v>
      </c>
      <c r="B51" s="22" t="s">
        <v>914</v>
      </c>
      <c r="C51" s="26" t="s">
        <v>915</v>
      </c>
    </row>
    <row r="52" customFormat="false" ht="13" hidden="false" customHeight="true" outlineLevel="0" collapsed="false">
      <c r="A52" s="21" t="s">
        <v>916</v>
      </c>
      <c r="B52" s="22" t="s">
        <v>917</v>
      </c>
      <c r="C52" s="26" t="s">
        <v>918</v>
      </c>
    </row>
    <row r="53" customFormat="false" ht="13" hidden="false" customHeight="true" outlineLevel="0" collapsed="false">
      <c r="A53" s="21" t="s">
        <v>919</v>
      </c>
      <c r="B53" s="22" t="s">
        <v>920</v>
      </c>
      <c r="C53" s="26" t="s">
        <v>921</v>
      </c>
    </row>
    <row r="54" customFormat="false" ht="13" hidden="false" customHeight="true" outlineLevel="0" collapsed="false">
      <c r="A54" s="21" t="s">
        <v>922</v>
      </c>
      <c r="B54" s="22" t="s">
        <v>923</v>
      </c>
      <c r="C54" s="26" t="s">
        <v>924</v>
      </c>
    </row>
    <row r="55" customFormat="false" ht="13" hidden="false" customHeight="true" outlineLevel="0" collapsed="false">
      <c r="A55" s="21" t="s">
        <v>925</v>
      </c>
      <c r="B55" s="22" t="s">
        <v>926</v>
      </c>
      <c r="C55" s="26" t="s">
        <v>927</v>
      </c>
    </row>
    <row r="56" customFormat="false" ht="13" hidden="false" customHeight="true" outlineLevel="0" collapsed="false">
      <c r="A56" s="21" t="s">
        <v>928</v>
      </c>
      <c r="B56" s="22" t="s">
        <v>929</v>
      </c>
      <c r="C56" s="26" t="s">
        <v>930</v>
      </c>
    </row>
    <row r="57" customFormat="false" ht="13" hidden="false" customHeight="true" outlineLevel="0" collapsed="false">
      <c r="A57" s="21" t="s">
        <v>931</v>
      </c>
      <c r="B57" s="22" t="s">
        <v>932</v>
      </c>
      <c r="C57" s="26" t="s">
        <v>933</v>
      </c>
    </row>
    <row r="58" customFormat="false" ht="13" hidden="false" customHeight="true" outlineLevel="0" collapsed="false">
      <c r="A58" s="21" t="s">
        <v>934</v>
      </c>
      <c r="B58" s="22" t="s">
        <v>935</v>
      </c>
      <c r="C58" s="26" t="s">
        <v>936</v>
      </c>
    </row>
    <row r="59" customFormat="false" ht="13" hidden="false" customHeight="true" outlineLevel="0" collapsed="false">
      <c r="A59" s="21" t="s">
        <v>937</v>
      </c>
      <c r="B59" s="22" t="s">
        <v>938</v>
      </c>
      <c r="C59" s="26" t="s">
        <v>939</v>
      </c>
    </row>
    <row r="60" customFormat="false" ht="13" hidden="false" customHeight="true" outlineLevel="0" collapsed="false">
      <c r="A60" s="21" t="s">
        <v>940</v>
      </c>
      <c r="B60" s="22" t="s">
        <v>941</v>
      </c>
      <c r="C60" s="26" t="s">
        <v>942</v>
      </c>
    </row>
    <row r="61" customFormat="false" ht="13" hidden="false" customHeight="true" outlineLevel="0" collapsed="false">
      <c r="A61" s="21" t="s">
        <v>943</v>
      </c>
      <c r="B61" s="22" t="s">
        <v>944</v>
      </c>
      <c r="C61" s="26" t="s">
        <v>945</v>
      </c>
    </row>
    <row r="62" customFormat="false" ht="13" hidden="false" customHeight="true" outlineLevel="0" collapsed="false">
      <c r="A62" s="21" t="s">
        <v>946</v>
      </c>
      <c r="B62" s="22" t="s">
        <v>947</v>
      </c>
      <c r="C62" s="26" t="s">
        <v>948</v>
      </c>
    </row>
    <row r="63" customFormat="false" ht="13" hidden="false" customHeight="true" outlineLevel="0" collapsed="false">
      <c r="A63" s="21" t="s">
        <v>949</v>
      </c>
      <c r="B63" s="22" t="s">
        <v>950</v>
      </c>
      <c r="C63" s="26" t="s">
        <v>951</v>
      </c>
    </row>
    <row r="64" customFormat="false" ht="13" hidden="false" customHeight="true" outlineLevel="0" collapsed="false">
      <c r="A64" s="21" t="s">
        <v>952</v>
      </c>
      <c r="B64" s="22" t="s">
        <v>953</v>
      </c>
      <c r="C64" s="26" t="s">
        <v>954</v>
      </c>
    </row>
    <row r="65" customFormat="false" ht="13" hidden="false" customHeight="true" outlineLevel="0" collapsed="false">
      <c r="A65" s="21" t="s">
        <v>955</v>
      </c>
      <c r="B65" s="22" t="s">
        <v>956</v>
      </c>
      <c r="C65" s="26" t="s">
        <v>957</v>
      </c>
    </row>
    <row r="66" customFormat="false" ht="13" hidden="false" customHeight="true" outlineLevel="0" collapsed="false">
      <c r="A66" s="21" t="s">
        <v>958</v>
      </c>
      <c r="B66" s="22" t="s">
        <v>959</v>
      </c>
      <c r="C66" s="26" t="s">
        <v>960</v>
      </c>
    </row>
    <row r="67" customFormat="false" ht="13" hidden="false" customHeight="true" outlineLevel="0" collapsed="false">
      <c r="A67" s="21" t="s">
        <v>961</v>
      </c>
      <c r="B67" s="22" t="s">
        <v>962</v>
      </c>
      <c r="C67" s="26" t="s">
        <v>963</v>
      </c>
    </row>
    <row r="68" customFormat="false" ht="13" hidden="false" customHeight="true" outlineLevel="0" collapsed="false">
      <c r="A68" s="21" t="s">
        <v>964</v>
      </c>
      <c r="B68" s="22" t="s">
        <v>965</v>
      </c>
      <c r="C68" s="26" t="s">
        <v>966</v>
      </c>
    </row>
    <row r="69" customFormat="false" ht="13" hidden="false" customHeight="true" outlineLevel="0" collapsed="false">
      <c r="A69" s="21" t="s">
        <v>967</v>
      </c>
      <c r="B69" s="22" t="s">
        <v>968</v>
      </c>
      <c r="C69" s="26" t="s">
        <v>969</v>
      </c>
    </row>
    <row r="70" customFormat="false" ht="13" hidden="false" customHeight="true" outlineLevel="0" collapsed="false">
      <c r="A70" s="21" t="s">
        <v>970</v>
      </c>
      <c r="B70" s="22" t="s">
        <v>971</v>
      </c>
      <c r="C70" s="26" t="s">
        <v>972</v>
      </c>
    </row>
    <row r="71" customFormat="false" ht="13" hidden="false" customHeight="true" outlineLevel="0" collapsed="false">
      <c r="A71" s="21" t="s">
        <v>973</v>
      </c>
      <c r="B71" s="22" t="s">
        <v>974</v>
      </c>
      <c r="C71" s="26" t="s">
        <v>975</v>
      </c>
    </row>
    <row r="72" customFormat="false" ht="13" hidden="false" customHeight="true" outlineLevel="0" collapsed="false">
      <c r="A72" s="21" t="s">
        <v>976</v>
      </c>
      <c r="B72" s="22" t="s">
        <v>977</v>
      </c>
      <c r="C72" s="22" t="s">
        <v>978</v>
      </c>
    </row>
    <row r="73" customFormat="false" ht="13" hidden="false" customHeight="true" outlineLevel="0" collapsed="false">
      <c r="A73" s="21" t="s">
        <v>979</v>
      </c>
      <c r="B73" s="22" t="s">
        <v>980</v>
      </c>
      <c r="C73" s="26" t="s">
        <v>981</v>
      </c>
    </row>
    <row r="74" customFormat="false" ht="13" hidden="false" customHeight="true" outlineLevel="0" collapsed="false">
      <c r="A74" s="21" t="s">
        <v>982</v>
      </c>
      <c r="B74" s="22" t="s">
        <v>983</v>
      </c>
      <c r="C74" s="26" t="s">
        <v>984</v>
      </c>
    </row>
    <row r="75" customFormat="false" ht="13" hidden="false" customHeight="true" outlineLevel="0" collapsed="false">
      <c r="A75" s="21" t="s">
        <v>985</v>
      </c>
      <c r="B75" s="22" t="s">
        <v>986</v>
      </c>
      <c r="C75" s="26" t="s">
        <v>987</v>
      </c>
    </row>
    <row r="76" customFormat="false" ht="13" hidden="false" customHeight="true" outlineLevel="0" collapsed="false">
      <c r="A76" s="27" t="s">
        <v>988</v>
      </c>
      <c r="B76" s="28" t="s">
        <v>989</v>
      </c>
      <c r="C76" s="24" t="s">
        <v>990</v>
      </c>
    </row>
    <row r="77" customFormat="false" ht="13" hidden="false" customHeight="true" outlineLevel="0" collapsed="false">
      <c r="A77" s="21" t="s">
        <v>991</v>
      </c>
      <c r="B77" s="22" t="s">
        <v>992</v>
      </c>
      <c r="C77" s="26" t="s">
        <v>993</v>
      </c>
    </row>
    <row r="78" customFormat="false" ht="13" hidden="false" customHeight="true" outlineLevel="0" collapsed="false">
      <c r="A78" s="21" t="s">
        <v>994</v>
      </c>
      <c r="B78" s="22" t="s">
        <v>995</v>
      </c>
      <c r="C78" s="26" t="s">
        <v>996</v>
      </c>
    </row>
    <row r="79" customFormat="false" ht="13" hidden="false" customHeight="true" outlineLevel="0" collapsed="false">
      <c r="A79" s="21" t="s">
        <v>997</v>
      </c>
      <c r="B79" s="22" t="s">
        <v>998</v>
      </c>
      <c r="C79" s="26" t="s">
        <v>999</v>
      </c>
    </row>
    <row r="80" customFormat="false" ht="13" hidden="false" customHeight="true" outlineLevel="0" collapsed="false">
      <c r="A80" s="21" t="s">
        <v>1000</v>
      </c>
      <c r="B80" s="22" t="s">
        <v>1001</v>
      </c>
      <c r="C80" s="26" t="s">
        <v>1002</v>
      </c>
    </row>
    <row r="81" customFormat="false" ht="13" hidden="false" customHeight="true" outlineLevel="0" collapsed="false">
      <c r="A81" s="21" t="s">
        <v>1003</v>
      </c>
      <c r="B81" s="22" t="s">
        <v>1004</v>
      </c>
      <c r="C81" s="26" t="s">
        <v>1005</v>
      </c>
    </row>
    <row r="82" customFormat="false" ht="13" hidden="false" customHeight="true" outlineLevel="0" collapsed="false">
      <c r="A82" s="21" t="s">
        <v>1006</v>
      </c>
      <c r="B82" s="22" t="s">
        <v>1007</v>
      </c>
      <c r="C82" s="26" t="s">
        <v>1008</v>
      </c>
    </row>
    <row r="83" customFormat="false" ht="13" hidden="false" customHeight="true" outlineLevel="0" collapsed="false">
      <c r="A83" s="27" t="s">
        <v>1009</v>
      </c>
      <c r="B83" s="28" t="s">
        <v>1010</v>
      </c>
      <c r="C83" s="24" t="s">
        <v>1011</v>
      </c>
    </row>
    <row r="84" customFormat="false" ht="13" hidden="false" customHeight="true" outlineLevel="0" collapsed="false">
      <c r="A84" s="21" t="s">
        <v>1012</v>
      </c>
      <c r="B84" s="22" t="s">
        <v>1013</v>
      </c>
      <c r="C84" s="26" t="s">
        <v>1014</v>
      </c>
    </row>
    <row r="85" customFormat="false" ht="13" hidden="false" customHeight="true" outlineLevel="0" collapsed="false">
      <c r="A85" s="21" t="s">
        <v>1015</v>
      </c>
      <c r="B85" s="22" t="s">
        <v>1016</v>
      </c>
      <c r="C85" s="26" t="s">
        <v>1017</v>
      </c>
    </row>
    <row r="86" customFormat="false" ht="12.5" hidden="false" customHeight="true" outlineLevel="0" collapsed="false">
      <c r="A86" s="24" t="s">
        <v>1018</v>
      </c>
      <c r="B86" s="24" t="s">
        <v>1019</v>
      </c>
      <c r="C86" s="24" t="s">
        <v>1020</v>
      </c>
    </row>
    <row r="87" customFormat="false" ht="13" hidden="false" customHeight="true" outlineLevel="0" collapsed="false">
      <c r="A87" s="21" t="s">
        <v>1021</v>
      </c>
      <c r="B87" s="22" t="s">
        <v>1022</v>
      </c>
      <c r="C87" s="21" t="s">
        <v>1023</v>
      </c>
    </row>
    <row r="88" customFormat="false" ht="12.5" hidden="false" customHeight="true" outlineLevel="0" collapsed="false">
      <c r="A88" s="29" t="s">
        <v>1024</v>
      </c>
      <c r="B88" s="29" t="s">
        <v>1025</v>
      </c>
      <c r="C88" s="29" t="s">
        <v>1026</v>
      </c>
    </row>
    <row r="89" customFormat="false" ht="13" hidden="false" customHeight="true" outlineLevel="0" collapsed="false">
      <c r="A89" s="21" t="s">
        <v>1027</v>
      </c>
      <c r="B89" s="22" t="s">
        <v>1028</v>
      </c>
      <c r="C89" s="26" t="s">
        <v>1029</v>
      </c>
    </row>
    <row r="90" customFormat="false" ht="13" hidden="false" customHeight="true" outlineLevel="0" collapsed="false">
      <c r="A90" s="21" t="s">
        <v>1030</v>
      </c>
      <c r="B90" s="22" t="s">
        <v>1031</v>
      </c>
      <c r="C90" s="26" t="s">
        <v>1032</v>
      </c>
    </row>
    <row r="91" customFormat="false" ht="13" hidden="false" customHeight="true" outlineLevel="0" collapsed="false">
      <c r="A91" s="21" t="s">
        <v>1033</v>
      </c>
      <c r="B91" s="22" t="s">
        <v>1034</v>
      </c>
      <c r="C91" s="26" t="s">
        <v>1035</v>
      </c>
    </row>
    <row r="92" customFormat="false" ht="13" hidden="false" customHeight="true" outlineLevel="0" collapsed="false">
      <c r="A92" s="21" t="s">
        <v>1036</v>
      </c>
      <c r="B92" s="22" t="s">
        <v>1037</v>
      </c>
      <c r="C92" s="26" t="s">
        <v>1038</v>
      </c>
    </row>
    <row r="93" customFormat="false" ht="13" hidden="false" customHeight="true" outlineLevel="0" collapsed="false">
      <c r="A93" s="21" t="s">
        <v>1039</v>
      </c>
      <c r="B93" s="22" t="s">
        <v>1040</v>
      </c>
      <c r="C93" s="26" t="s">
        <v>1041</v>
      </c>
    </row>
    <row r="94" customFormat="false" ht="12.5" hidden="false" customHeight="true" outlineLevel="0" collapsed="false">
      <c r="A94" s="24" t="s">
        <v>1042</v>
      </c>
      <c r="B94" s="24" t="s">
        <v>1043</v>
      </c>
      <c r="C94" s="24" t="s">
        <v>1044</v>
      </c>
    </row>
    <row r="95" customFormat="false" ht="13" hidden="false" customHeight="true" outlineLevel="0" collapsed="false">
      <c r="A95" s="21" t="s">
        <v>1045</v>
      </c>
      <c r="B95" s="22" t="s">
        <v>1046</v>
      </c>
      <c r="C95" s="26" t="s">
        <v>1047</v>
      </c>
    </row>
    <row r="96" customFormat="false" ht="13" hidden="false" customHeight="true" outlineLevel="0" collapsed="false">
      <c r="A96" s="21" t="s">
        <v>1048</v>
      </c>
      <c r="B96" s="22" t="s">
        <v>1049</v>
      </c>
      <c r="C96" s="26" t="s">
        <v>1050</v>
      </c>
    </row>
    <row r="97" customFormat="false" ht="13" hidden="false" customHeight="true" outlineLevel="0" collapsed="false">
      <c r="A97" s="21" t="s">
        <v>1051</v>
      </c>
      <c r="B97" s="22" t="s">
        <v>1052</v>
      </c>
      <c r="C97" s="26" t="s">
        <v>1053</v>
      </c>
    </row>
    <row r="98" customFormat="false" ht="13" hidden="false" customHeight="true" outlineLevel="0" collapsed="false">
      <c r="A98" s="21" t="s">
        <v>1054</v>
      </c>
      <c r="B98" s="22" t="s">
        <v>1055</v>
      </c>
      <c r="C98" s="30" t="s">
        <v>1056</v>
      </c>
    </row>
    <row r="99" customFormat="false" ht="13" hidden="false" customHeight="true" outlineLevel="0" collapsed="false">
      <c r="A99" s="21" t="s">
        <v>1057</v>
      </c>
      <c r="B99" s="22" t="s">
        <v>1058</v>
      </c>
      <c r="C99" s="26" t="s">
        <v>1059</v>
      </c>
    </row>
    <row r="100" customFormat="false" ht="13" hidden="false" customHeight="true" outlineLevel="0" collapsed="false">
      <c r="A100" s="21" t="s">
        <v>1060</v>
      </c>
      <c r="B100" s="22" t="s">
        <v>1061</v>
      </c>
      <c r="C100" s="26" t="s">
        <v>1062</v>
      </c>
    </row>
    <row r="101" customFormat="false" ht="13" hidden="false" customHeight="true" outlineLevel="0" collapsed="false">
      <c r="A101" s="21" t="s">
        <v>1063</v>
      </c>
      <c r="B101" s="22" t="s">
        <v>1064</v>
      </c>
      <c r="C101" s="26" t="s">
        <v>1065</v>
      </c>
    </row>
    <row r="102" customFormat="false" ht="13" hidden="false" customHeight="true" outlineLevel="0" collapsed="false">
      <c r="A102" s="21" t="s">
        <v>1066</v>
      </c>
      <c r="B102" s="22" t="s">
        <v>1067</v>
      </c>
      <c r="C102" s="26" t="s">
        <v>1068</v>
      </c>
    </row>
    <row r="103" customFormat="false" ht="13" hidden="false" customHeight="true" outlineLevel="0" collapsed="false">
      <c r="A103" s="21" t="s">
        <v>1069</v>
      </c>
      <c r="B103" s="22" t="s">
        <v>1070</v>
      </c>
      <c r="C103" s="26" t="s">
        <v>1071</v>
      </c>
    </row>
    <row r="104" customFormat="false" ht="13" hidden="false" customHeight="true" outlineLevel="0" collapsed="false">
      <c r="A104" s="21" t="s">
        <v>1072</v>
      </c>
      <c r="B104" s="22" t="s">
        <v>1073</v>
      </c>
      <c r="C104" s="26" t="s">
        <v>1074</v>
      </c>
    </row>
    <row r="105" customFormat="false" ht="13" hidden="false" customHeight="true" outlineLevel="0" collapsed="false">
      <c r="A105" s="21" t="s">
        <v>1075</v>
      </c>
      <c r="B105" s="22" t="s">
        <v>1076</v>
      </c>
      <c r="C105" s="26" t="s">
        <v>1077</v>
      </c>
    </row>
    <row r="106" customFormat="false" ht="13" hidden="false" customHeight="true" outlineLevel="0" collapsed="false">
      <c r="A106" s="21" t="s">
        <v>1078</v>
      </c>
      <c r="B106" s="22" t="s">
        <v>1079</v>
      </c>
      <c r="C106" s="26" t="s">
        <v>1080</v>
      </c>
    </row>
    <row r="107" customFormat="false" ht="13" hidden="false" customHeight="true" outlineLevel="0" collapsed="false">
      <c r="A107" s="21" t="s">
        <v>1081</v>
      </c>
      <c r="B107" s="22" t="s">
        <v>1082</v>
      </c>
      <c r="C107" s="26" t="s">
        <v>1083</v>
      </c>
    </row>
    <row r="108" customFormat="false" ht="13" hidden="false" customHeight="true" outlineLevel="0" collapsed="false">
      <c r="A108" s="21" t="s">
        <v>1084</v>
      </c>
      <c r="B108" s="22" t="s">
        <v>1085</v>
      </c>
      <c r="C108" s="26" t="s">
        <v>1086</v>
      </c>
    </row>
    <row r="109" customFormat="false" ht="13" hidden="false" customHeight="true" outlineLevel="0" collapsed="false">
      <c r="A109" s="21" t="s">
        <v>1087</v>
      </c>
      <c r="B109" s="22" t="s">
        <v>1088</v>
      </c>
      <c r="C109" s="26" t="s">
        <v>1089</v>
      </c>
    </row>
    <row r="110" customFormat="false" ht="13" hidden="false" customHeight="true" outlineLevel="0" collapsed="false">
      <c r="A110" s="21" t="s">
        <v>1090</v>
      </c>
      <c r="B110" s="22" t="s">
        <v>1091</v>
      </c>
      <c r="C110" s="26" t="s">
        <v>1092</v>
      </c>
    </row>
    <row r="111" customFormat="false" ht="13" hidden="false" customHeight="true" outlineLevel="0" collapsed="false">
      <c r="A111" s="21" t="s">
        <v>1093</v>
      </c>
      <c r="B111" s="22" t="s">
        <v>1094</v>
      </c>
      <c r="C111" s="26" t="s">
        <v>1095</v>
      </c>
    </row>
    <row r="112" customFormat="false" ht="13" hidden="false" customHeight="true" outlineLevel="0" collapsed="false">
      <c r="A112" s="21" t="s">
        <v>1096</v>
      </c>
      <c r="B112" s="22" t="s">
        <v>1097</v>
      </c>
      <c r="C112" s="26" t="s">
        <v>1098</v>
      </c>
    </row>
    <row r="113" customFormat="false" ht="13" hidden="false" customHeight="true" outlineLevel="0" collapsed="false">
      <c r="A113" s="21" t="s">
        <v>1099</v>
      </c>
      <c r="B113" s="22" t="s">
        <v>1100</v>
      </c>
      <c r="C113" s="26" t="s">
        <v>1101</v>
      </c>
    </row>
    <row r="114" customFormat="false" ht="13" hidden="false" customHeight="true" outlineLevel="0" collapsed="false">
      <c r="A114" s="21" t="s">
        <v>1102</v>
      </c>
      <c r="B114" s="22" t="s">
        <v>1103</v>
      </c>
      <c r="C114" s="26" t="s">
        <v>1104</v>
      </c>
    </row>
    <row r="115" customFormat="false" ht="13" hidden="false" customHeight="true" outlineLevel="0" collapsed="false">
      <c r="A115" s="21" t="s">
        <v>1105</v>
      </c>
      <c r="B115" s="22" t="s">
        <v>1106</v>
      </c>
      <c r="C115" s="26" t="s">
        <v>1107</v>
      </c>
    </row>
    <row r="116" customFormat="false" ht="13" hidden="false" customHeight="true" outlineLevel="0" collapsed="false">
      <c r="A116" s="21" t="s">
        <v>1108</v>
      </c>
      <c r="B116" s="22" t="s">
        <v>1109</v>
      </c>
      <c r="C116" s="26" t="s">
        <v>1110</v>
      </c>
    </row>
    <row r="117" customFormat="false" ht="13" hidden="false" customHeight="true" outlineLevel="0" collapsed="false">
      <c r="A117" s="21" t="s">
        <v>1111</v>
      </c>
      <c r="B117" s="22" t="s">
        <v>1112</v>
      </c>
      <c r="C117" s="26" t="s">
        <v>1113</v>
      </c>
    </row>
    <row r="118" customFormat="false" ht="13" hidden="false" customHeight="true" outlineLevel="0" collapsed="false">
      <c r="A118" s="21" t="s">
        <v>1114</v>
      </c>
      <c r="B118" s="22" t="s">
        <v>1115</v>
      </c>
      <c r="C118" s="26" t="s">
        <v>1116</v>
      </c>
    </row>
    <row r="119" customFormat="false" ht="13" hidden="false" customHeight="true" outlineLevel="0" collapsed="false">
      <c r="A119" s="21" t="s">
        <v>1117</v>
      </c>
      <c r="B119" s="22" t="s">
        <v>1118</v>
      </c>
      <c r="C119" s="26" t="s">
        <v>1119</v>
      </c>
    </row>
    <row r="120" customFormat="false" ht="13" hidden="false" customHeight="true" outlineLevel="0" collapsed="false">
      <c r="A120" s="21" t="s">
        <v>1120</v>
      </c>
      <c r="B120" s="22" t="s">
        <v>1121</v>
      </c>
      <c r="C120" s="26" t="s">
        <v>1122</v>
      </c>
    </row>
    <row r="121" customFormat="false" ht="13" hidden="false" customHeight="true" outlineLevel="0" collapsed="false">
      <c r="A121" s="21" t="s">
        <v>1123</v>
      </c>
      <c r="B121" s="22" t="s">
        <v>1124</v>
      </c>
      <c r="C121" s="26" t="s">
        <v>1125</v>
      </c>
    </row>
    <row r="122" customFormat="false" ht="13" hidden="false" customHeight="true" outlineLevel="0" collapsed="false">
      <c r="A122" s="21" t="s">
        <v>1126</v>
      </c>
      <c r="B122" s="22" t="s">
        <v>1127</v>
      </c>
      <c r="C122" s="26" t="s">
        <v>1128</v>
      </c>
    </row>
    <row r="123" customFormat="false" ht="13" hidden="false" customHeight="true" outlineLevel="0" collapsed="false">
      <c r="A123" s="21" t="s">
        <v>1129</v>
      </c>
      <c r="B123" s="22" t="s">
        <v>1130</v>
      </c>
      <c r="C123" s="26" t="s">
        <v>1131</v>
      </c>
    </row>
    <row r="124" customFormat="false" ht="13" hidden="false" customHeight="true" outlineLevel="0" collapsed="false">
      <c r="A124" s="21" t="s">
        <v>1132</v>
      </c>
      <c r="B124" s="22" t="s">
        <v>1133</v>
      </c>
      <c r="C124" s="26" t="s">
        <v>1134</v>
      </c>
    </row>
    <row r="125" customFormat="false" ht="13" hidden="false" customHeight="true" outlineLevel="0" collapsed="false">
      <c r="A125" s="21" t="s">
        <v>1135</v>
      </c>
      <c r="B125" s="22" t="s">
        <v>1136</v>
      </c>
      <c r="C125" s="26" t="s">
        <v>1137</v>
      </c>
    </row>
    <row r="126" customFormat="false" ht="13" hidden="false" customHeight="true" outlineLevel="0" collapsed="false">
      <c r="A126" s="21" t="s">
        <v>1138</v>
      </c>
      <c r="B126" s="22" t="s">
        <v>1139</v>
      </c>
      <c r="C126" s="26" t="s">
        <v>1140</v>
      </c>
    </row>
    <row r="127" customFormat="false" ht="13" hidden="false" customHeight="true" outlineLevel="0" collapsed="false">
      <c r="A127" s="21" t="s">
        <v>1141</v>
      </c>
      <c r="B127" s="22" t="s">
        <v>1142</v>
      </c>
      <c r="C127" s="26" t="s">
        <v>1143</v>
      </c>
    </row>
    <row r="128" customFormat="false" ht="13" hidden="false" customHeight="true" outlineLevel="0" collapsed="false">
      <c r="A128" s="21" t="s">
        <v>1144</v>
      </c>
      <c r="B128" s="22" t="s">
        <v>1145</v>
      </c>
      <c r="C128" s="26" t="s">
        <v>1146</v>
      </c>
    </row>
    <row r="129" customFormat="false" ht="13" hidden="false" customHeight="true" outlineLevel="0" collapsed="false">
      <c r="A129" s="21" t="s">
        <v>1147</v>
      </c>
      <c r="B129" s="22" t="s">
        <v>1148</v>
      </c>
      <c r="C129" s="26" t="s">
        <v>1149</v>
      </c>
    </row>
    <row r="130" customFormat="false" ht="13" hidden="false" customHeight="true" outlineLevel="0" collapsed="false">
      <c r="A130" s="21" t="s">
        <v>1150</v>
      </c>
      <c r="B130" s="22" t="s">
        <v>1151</v>
      </c>
      <c r="C130" s="26" t="s">
        <v>1152</v>
      </c>
    </row>
    <row r="131" customFormat="false" ht="13" hidden="false" customHeight="true" outlineLevel="0" collapsed="false">
      <c r="A131" s="21" t="s">
        <v>1153</v>
      </c>
      <c r="B131" s="22" t="s">
        <v>1154</v>
      </c>
      <c r="C131" s="26" t="s">
        <v>1155</v>
      </c>
    </row>
    <row r="132" customFormat="false" ht="13" hidden="false" customHeight="true" outlineLevel="0" collapsed="false">
      <c r="A132" s="21" t="s">
        <v>1156</v>
      </c>
      <c r="B132" s="22" t="s">
        <v>1157</v>
      </c>
      <c r="C132" s="26" t="s">
        <v>1158</v>
      </c>
    </row>
    <row r="133" customFormat="false" ht="13" hidden="false" customHeight="true" outlineLevel="0" collapsed="false">
      <c r="A133" s="21" t="s">
        <v>1159</v>
      </c>
      <c r="B133" s="22" t="s">
        <v>1160</v>
      </c>
      <c r="C133" s="26" t="s">
        <v>1161</v>
      </c>
    </row>
    <row r="134" customFormat="false" ht="13" hidden="false" customHeight="true" outlineLevel="0" collapsed="false">
      <c r="A134" s="21" t="s">
        <v>1162</v>
      </c>
      <c r="B134" s="22" t="s">
        <v>1163</v>
      </c>
      <c r="C134" s="26" t="s">
        <v>1164</v>
      </c>
    </row>
    <row r="135" customFormat="false" ht="13" hidden="false" customHeight="true" outlineLevel="0" collapsed="false">
      <c r="A135" s="21" t="s">
        <v>1165</v>
      </c>
      <c r="B135" s="22" t="s">
        <v>1166</v>
      </c>
      <c r="C135" s="26" t="s">
        <v>1167</v>
      </c>
    </row>
    <row r="136" customFormat="false" ht="13" hidden="false" customHeight="true" outlineLevel="0" collapsed="false">
      <c r="A136" s="31" t="s">
        <v>1168</v>
      </c>
      <c r="B136" s="32" t="s">
        <v>1169</v>
      </c>
      <c r="C136" s="29" t="s">
        <v>1170</v>
      </c>
    </row>
    <row r="137" customFormat="false" ht="13" hidden="false" customHeight="true" outlineLevel="0" collapsed="false">
      <c r="A137" s="21" t="s">
        <v>1171</v>
      </c>
      <c r="B137" s="22" t="s">
        <v>1172</v>
      </c>
      <c r="C137" s="26" t="s">
        <v>1173</v>
      </c>
    </row>
    <row r="138" customFormat="false" ht="13" hidden="false" customHeight="true" outlineLevel="0" collapsed="false">
      <c r="A138" s="21" t="s">
        <v>1174</v>
      </c>
      <c r="B138" s="22" t="s">
        <v>1175</v>
      </c>
      <c r="C138" s="26" t="s">
        <v>1176</v>
      </c>
    </row>
    <row r="139" customFormat="false" ht="13" hidden="false" customHeight="true" outlineLevel="0" collapsed="false">
      <c r="A139" s="21" t="s">
        <v>1177</v>
      </c>
      <c r="B139" s="22" t="s">
        <v>1178</v>
      </c>
      <c r="C139" s="26" t="s">
        <v>1179</v>
      </c>
    </row>
    <row r="140" customFormat="false" ht="13" hidden="false" customHeight="true" outlineLevel="0" collapsed="false">
      <c r="A140" s="21" t="s">
        <v>1180</v>
      </c>
      <c r="B140" s="22" t="s">
        <v>1181</v>
      </c>
      <c r="C140" s="26" t="s">
        <v>1182</v>
      </c>
    </row>
    <row r="141" customFormat="false" ht="13" hidden="false" customHeight="true" outlineLevel="0" collapsed="false">
      <c r="A141" s="21" t="s">
        <v>1183</v>
      </c>
      <c r="B141" s="22" t="s">
        <v>1184</v>
      </c>
      <c r="C141" s="26" t="s">
        <v>1185</v>
      </c>
    </row>
    <row r="142" customFormat="false" ht="13" hidden="false" customHeight="true" outlineLevel="0" collapsed="false">
      <c r="A142" s="21" t="s">
        <v>1186</v>
      </c>
      <c r="B142" s="22" t="s">
        <v>1187</v>
      </c>
      <c r="C142" s="26" t="s">
        <v>1188</v>
      </c>
    </row>
    <row r="143" customFormat="false" ht="13" hidden="false" customHeight="true" outlineLevel="0" collapsed="false">
      <c r="A143" s="21" t="s">
        <v>1189</v>
      </c>
      <c r="B143" s="22" t="s">
        <v>1190</v>
      </c>
      <c r="C143" s="26" t="s">
        <v>1191</v>
      </c>
    </row>
    <row r="144" customFormat="false" ht="13" hidden="false" customHeight="true" outlineLevel="0" collapsed="false">
      <c r="A144" s="21" t="s">
        <v>1192</v>
      </c>
      <c r="B144" s="33" t="s">
        <v>1193</v>
      </c>
      <c r="C144" s="22" t="s">
        <v>1194</v>
      </c>
    </row>
    <row r="145" customFormat="false" ht="13" hidden="false" customHeight="true" outlineLevel="0" collapsed="false">
      <c r="A145" s="21" t="s">
        <v>1195</v>
      </c>
      <c r="B145" s="22" t="s">
        <v>1196</v>
      </c>
      <c r="C145" s="26" t="s">
        <v>1197</v>
      </c>
    </row>
    <row r="146" customFormat="false" ht="13" hidden="false" customHeight="true" outlineLevel="0" collapsed="false">
      <c r="A146" s="21" t="s">
        <v>1198</v>
      </c>
      <c r="B146" s="22" t="s">
        <v>1199</v>
      </c>
      <c r="C146" s="26" t="s">
        <v>1200</v>
      </c>
    </row>
    <row r="147" customFormat="false" ht="13" hidden="false" customHeight="true" outlineLevel="0" collapsed="false">
      <c r="A147" s="21" t="s">
        <v>1201</v>
      </c>
      <c r="B147" s="22" t="s">
        <v>1202</v>
      </c>
      <c r="C147" s="26" t="s">
        <v>1203</v>
      </c>
    </row>
    <row r="148" customFormat="false" ht="13" hidden="false" customHeight="true" outlineLevel="0" collapsed="false">
      <c r="A148" s="21" t="s">
        <v>1204</v>
      </c>
      <c r="B148" s="22" t="s">
        <v>1205</v>
      </c>
      <c r="C148" s="26" t="s">
        <v>1206</v>
      </c>
    </row>
    <row r="149" customFormat="false" ht="13" hidden="false" customHeight="true" outlineLevel="0" collapsed="false">
      <c r="A149" s="21" t="s">
        <v>1207</v>
      </c>
      <c r="B149" s="22" t="s">
        <v>1208</v>
      </c>
      <c r="C149" s="26" t="s">
        <v>1209</v>
      </c>
    </row>
    <row r="150" customFormat="false" ht="13" hidden="false" customHeight="true" outlineLevel="0" collapsed="false">
      <c r="A150" s="21" t="s">
        <v>1210</v>
      </c>
      <c r="B150" s="22" t="s">
        <v>1211</v>
      </c>
      <c r="C150" s="26" t="s">
        <v>1212</v>
      </c>
    </row>
    <row r="151" customFormat="false" ht="13" hidden="false" customHeight="true" outlineLevel="0" collapsed="false">
      <c r="A151" s="21" t="s">
        <v>1213</v>
      </c>
      <c r="B151" s="22" t="s">
        <v>1214</v>
      </c>
      <c r="C151" s="26" t="s">
        <v>1215</v>
      </c>
    </row>
    <row r="152" customFormat="false" ht="13" hidden="false" customHeight="true" outlineLevel="0" collapsed="false">
      <c r="A152" s="21" t="s">
        <v>1216</v>
      </c>
      <c r="B152" s="22" t="s">
        <v>1217</v>
      </c>
      <c r="C152" s="26" t="s">
        <v>1218</v>
      </c>
    </row>
    <row r="153" customFormat="false" ht="13" hidden="false" customHeight="true" outlineLevel="0" collapsed="false">
      <c r="A153" s="21" t="s">
        <v>1219</v>
      </c>
      <c r="B153" s="22" t="s">
        <v>1220</v>
      </c>
      <c r="C153" s="26" t="s">
        <v>1221</v>
      </c>
    </row>
    <row r="154" customFormat="false" ht="13" hidden="false" customHeight="true" outlineLevel="0" collapsed="false">
      <c r="A154" s="21" t="s">
        <v>1222</v>
      </c>
      <c r="B154" s="22" t="s">
        <v>1223</v>
      </c>
      <c r="C154" s="26" t="s">
        <v>1224</v>
      </c>
    </row>
    <row r="155" customFormat="false" ht="13" hidden="false" customHeight="true" outlineLevel="0" collapsed="false">
      <c r="A155" s="31" t="s">
        <v>1225</v>
      </c>
      <c r="B155" s="32" t="s">
        <v>1226</v>
      </c>
      <c r="C155" s="31" t="s">
        <v>1227</v>
      </c>
    </row>
    <row r="156" customFormat="false" ht="13" hidden="false" customHeight="true" outlineLevel="0" collapsed="false">
      <c r="A156" s="21" t="s">
        <v>1228</v>
      </c>
      <c r="B156" s="22" t="s">
        <v>1229</v>
      </c>
      <c r="C156" s="26" t="s">
        <v>1230</v>
      </c>
    </row>
    <row r="157" customFormat="false" ht="13" hidden="false" customHeight="true" outlineLevel="0" collapsed="false">
      <c r="A157" s="21" t="s">
        <v>1231</v>
      </c>
      <c r="B157" s="22" t="s">
        <v>1232</v>
      </c>
      <c r="C157" s="26" t="s">
        <v>1233</v>
      </c>
    </row>
    <row r="158" customFormat="false" ht="13" hidden="false" customHeight="true" outlineLevel="0" collapsed="false">
      <c r="A158" s="21" t="s">
        <v>1234</v>
      </c>
      <c r="B158" s="22" t="s">
        <v>1235</v>
      </c>
      <c r="C158" s="26" t="s">
        <v>1236</v>
      </c>
    </row>
    <row r="159" customFormat="false" ht="13" hidden="false" customHeight="true" outlineLevel="0" collapsed="false">
      <c r="A159" s="21" t="s">
        <v>1237</v>
      </c>
      <c r="B159" s="22" t="s">
        <v>1238</v>
      </c>
      <c r="C159" s="26" t="s">
        <v>1239</v>
      </c>
    </row>
    <row r="160" customFormat="false" ht="13" hidden="false" customHeight="true" outlineLevel="0" collapsed="false">
      <c r="A160" s="21" t="s">
        <v>1240</v>
      </c>
      <c r="B160" s="22" t="s">
        <v>1241</v>
      </c>
      <c r="C160" s="26" t="s">
        <v>1242</v>
      </c>
    </row>
    <row r="161" customFormat="false" ht="13" hidden="false" customHeight="true" outlineLevel="0" collapsed="false">
      <c r="A161" s="21" t="s">
        <v>1243</v>
      </c>
      <c r="B161" s="22" t="s">
        <v>1244</v>
      </c>
      <c r="C161" s="26" t="s">
        <v>1245</v>
      </c>
    </row>
    <row r="162" customFormat="false" ht="13" hidden="false" customHeight="true" outlineLevel="0" collapsed="false">
      <c r="A162" s="21" t="s">
        <v>1246</v>
      </c>
      <c r="B162" s="22" t="s">
        <v>1247</v>
      </c>
      <c r="C162" s="26" t="s">
        <v>1248</v>
      </c>
    </row>
    <row r="163" customFormat="false" ht="13" hidden="false" customHeight="true" outlineLevel="0" collapsed="false">
      <c r="A163" s="21" t="s">
        <v>1249</v>
      </c>
      <c r="B163" s="22" t="s">
        <v>1250</v>
      </c>
      <c r="C163" s="26" t="s">
        <v>1251</v>
      </c>
    </row>
    <row r="164" customFormat="false" ht="13" hidden="false" customHeight="true" outlineLevel="0" collapsed="false">
      <c r="A164" s="21" t="s">
        <v>1252</v>
      </c>
      <c r="B164" s="22" t="s">
        <v>1253</v>
      </c>
      <c r="C164" s="26" t="s">
        <v>1254</v>
      </c>
    </row>
    <row r="165" customFormat="false" ht="13" hidden="false" customHeight="true" outlineLevel="0" collapsed="false">
      <c r="A165" s="21" t="s">
        <v>1255</v>
      </c>
      <c r="B165" s="22" t="s">
        <v>1256</v>
      </c>
      <c r="C165" s="26" t="s">
        <v>1257</v>
      </c>
    </row>
    <row r="166" customFormat="false" ht="13" hidden="false" customHeight="true" outlineLevel="0" collapsed="false">
      <c r="A166" s="21" t="s">
        <v>1258</v>
      </c>
      <c r="B166" s="22" t="s">
        <v>1259</v>
      </c>
      <c r="C166" s="26" t="s">
        <v>1260</v>
      </c>
    </row>
    <row r="167" customFormat="false" ht="13" hidden="false" customHeight="true" outlineLevel="0" collapsed="false">
      <c r="A167" s="21" t="s">
        <v>1261</v>
      </c>
      <c r="B167" s="22" t="s">
        <v>1262</v>
      </c>
      <c r="C167" s="26" t="s">
        <v>1263</v>
      </c>
    </row>
    <row r="168" customFormat="false" ht="13" hidden="false" customHeight="true" outlineLevel="0" collapsed="false">
      <c r="A168" s="21" t="s">
        <v>1264</v>
      </c>
      <c r="B168" s="22" t="s">
        <v>1265</v>
      </c>
      <c r="C168" s="26" t="s">
        <v>1266</v>
      </c>
    </row>
    <row r="169" customFormat="false" ht="13" hidden="false" customHeight="true" outlineLevel="0" collapsed="false">
      <c r="A169" s="21" t="s">
        <v>1267</v>
      </c>
      <c r="B169" s="22" t="s">
        <v>1268</v>
      </c>
      <c r="C169" s="26" t="s">
        <v>1269</v>
      </c>
    </row>
    <row r="170" customFormat="false" ht="13" hidden="false" customHeight="true" outlineLevel="0" collapsed="false">
      <c r="A170" s="31" t="s">
        <v>1270</v>
      </c>
      <c r="B170" s="32" t="s">
        <v>1271</v>
      </c>
      <c r="C170" s="29" t="s">
        <v>1272</v>
      </c>
    </row>
    <row r="171" customFormat="false" ht="13" hidden="false" customHeight="true" outlineLevel="0" collapsed="false">
      <c r="A171" s="21" t="s">
        <v>1273</v>
      </c>
      <c r="B171" s="22" t="s">
        <v>1274</v>
      </c>
      <c r="C171" s="26" t="s">
        <v>1275</v>
      </c>
    </row>
    <row r="172" customFormat="false" ht="13" hidden="false" customHeight="true" outlineLevel="0" collapsed="false">
      <c r="A172" s="21" t="s">
        <v>1276</v>
      </c>
      <c r="B172" s="22" t="s">
        <v>1277</v>
      </c>
      <c r="C172" s="26" t="s">
        <v>1278</v>
      </c>
    </row>
    <row r="173" customFormat="false" ht="13" hidden="false" customHeight="true" outlineLevel="0" collapsed="false">
      <c r="A173" s="21" t="s">
        <v>1279</v>
      </c>
      <c r="B173" s="22" t="s">
        <v>1280</v>
      </c>
      <c r="C173" s="26" t="s">
        <v>1281</v>
      </c>
    </row>
    <row r="174" customFormat="false" ht="13" hidden="false" customHeight="true" outlineLevel="0" collapsed="false">
      <c r="A174" s="21" t="s">
        <v>1282</v>
      </c>
      <c r="B174" s="22" t="s">
        <v>1283</v>
      </c>
      <c r="C174" s="26" t="s">
        <v>1284</v>
      </c>
    </row>
    <row r="175" customFormat="false" ht="13" hidden="false" customHeight="true" outlineLevel="0" collapsed="false">
      <c r="A175" s="21" t="s">
        <v>1285</v>
      </c>
      <c r="B175" s="22" t="s">
        <v>1286</v>
      </c>
      <c r="C175" s="26" t="s">
        <v>1287</v>
      </c>
    </row>
    <row r="176" customFormat="false" ht="13" hidden="false" customHeight="true" outlineLevel="0" collapsed="false">
      <c r="A176" s="21" t="s">
        <v>1288</v>
      </c>
      <c r="B176" s="22" t="s">
        <v>1289</v>
      </c>
      <c r="C176" s="26" t="s">
        <v>1290</v>
      </c>
    </row>
    <row r="177" customFormat="false" ht="13" hidden="false" customHeight="true" outlineLevel="0" collapsed="false">
      <c r="A177" s="21" t="s">
        <v>1291</v>
      </c>
      <c r="B177" s="22" t="s">
        <v>1292</v>
      </c>
      <c r="C177" s="26" t="s">
        <v>1293</v>
      </c>
    </row>
    <row r="178" customFormat="false" ht="13" hidden="false" customHeight="true" outlineLevel="0" collapsed="false">
      <c r="A178" s="21" t="s">
        <v>1294</v>
      </c>
      <c r="B178" s="22" t="s">
        <v>1295</v>
      </c>
      <c r="C178" s="26" t="s">
        <v>1296</v>
      </c>
    </row>
    <row r="179" customFormat="false" ht="13" hidden="false" customHeight="true" outlineLevel="0" collapsed="false">
      <c r="A179" s="21" t="s">
        <v>1297</v>
      </c>
      <c r="B179" s="22" t="s">
        <v>1298</v>
      </c>
      <c r="C179" s="26" t="s">
        <v>1299</v>
      </c>
    </row>
    <row r="180" customFormat="false" ht="13" hidden="false" customHeight="true" outlineLevel="0" collapsed="false">
      <c r="A180" s="21" t="s">
        <v>1300</v>
      </c>
      <c r="B180" s="22" t="s">
        <v>1301</v>
      </c>
      <c r="C180" s="26" t="s">
        <v>1302</v>
      </c>
    </row>
    <row r="181" customFormat="false" ht="13" hidden="false" customHeight="true" outlineLevel="0" collapsed="false">
      <c r="A181" s="21" t="s">
        <v>1303</v>
      </c>
      <c r="B181" s="22" t="s">
        <v>1304</v>
      </c>
      <c r="C181" s="26" t="s">
        <v>1305</v>
      </c>
    </row>
    <row r="182" customFormat="false" ht="13" hidden="false" customHeight="true" outlineLevel="0" collapsed="false">
      <c r="A182" s="21" t="s">
        <v>1306</v>
      </c>
      <c r="B182" s="22" t="s">
        <v>1307</v>
      </c>
      <c r="C182" s="26" t="s">
        <v>1308</v>
      </c>
    </row>
    <row r="183" customFormat="false" ht="13" hidden="false" customHeight="true" outlineLevel="0" collapsed="false">
      <c r="A183" s="21" t="s">
        <v>1309</v>
      </c>
      <c r="B183" s="22" t="s">
        <v>1310</v>
      </c>
      <c r="C183" s="26" t="s">
        <v>1311</v>
      </c>
    </row>
    <row r="184" customFormat="false" ht="13" hidden="false" customHeight="true" outlineLevel="0" collapsed="false">
      <c r="A184" s="21" t="s">
        <v>1312</v>
      </c>
      <c r="B184" s="22" t="s">
        <v>1313</v>
      </c>
      <c r="C184" s="26" t="s">
        <v>1314</v>
      </c>
    </row>
    <row r="185" customFormat="false" ht="13" hidden="false" customHeight="true" outlineLevel="0" collapsed="false">
      <c r="A185" s="21" t="s">
        <v>1315</v>
      </c>
      <c r="B185" s="22" t="s">
        <v>1316</v>
      </c>
      <c r="C185" s="26" t="s">
        <v>1317</v>
      </c>
    </row>
    <row r="186" customFormat="false" ht="13" hidden="false" customHeight="true" outlineLevel="0" collapsed="false">
      <c r="A186" s="21" t="s">
        <v>1318</v>
      </c>
      <c r="B186" s="22" t="s">
        <v>1319</v>
      </c>
      <c r="C186" s="26" t="s">
        <v>1320</v>
      </c>
    </row>
    <row r="187" customFormat="false" ht="13" hidden="false" customHeight="true" outlineLevel="0" collapsed="false">
      <c r="A187" s="21" t="s">
        <v>1321</v>
      </c>
      <c r="B187" s="22" t="s">
        <v>1322</v>
      </c>
      <c r="C187" s="26" t="s">
        <v>1323</v>
      </c>
    </row>
    <row r="188" customFormat="false" ht="13" hidden="false" customHeight="true" outlineLevel="0" collapsed="false">
      <c r="A188" s="21" t="s">
        <v>1324</v>
      </c>
      <c r="B188" s="22" t="s">
        <v>1325</v>
      </c>
      <c r="C188" s="26" t="s">
        <v>1326</v>
      </c>
    </row>
    <row r="189" customFormat="false" ht="13" hidden="false" customHeight="true" outlineLevel="0" collapsed="false">
      <c r="A189" s="21" t="s">
        <v>1327</v>
      </c>
      <c r="B189" s="22" t="s">
        <v>1328</v>
      </c>
      <c r="C189" s="26" t="s">
        <v>1329</v>
      </c>
    </row>
    <row r="190" customFormat="false" ht="13" hidden="false" customHeight="true" outlineLevel="0" collapsed="false">
      <c r="A190" s="21" t="s">
        <v>1330</v>
      </c>
      <c r="B190" s="22" t="s">
        <v>1331</v>
      </c>
      <c r="C190" s="26" t="s">
        <v>1332</v>
      </c>
    </row>
    <row r="191" customFormat="false" ht="13" hidden="false" customHeight="true" outlineLevel="0" collapsed="false">
      <c r="A191" s="21" t="s">
        <v>1333</v>
      </c>
      <c r="B191" s="22" t="s">
        <v>1334</v>
      </c>
      <c r="C191" s="26" t="s">
        <v>1335</v>
      </c>
    </row>
    <row r="192" customFormat="false" ht="13" hidden="false" customHeight="true" outlineLevel="0" collapsed="false">
      <c r="A192" s="21" t="s">
        <v>1336</v>
      </c>
      <c r="B192" s="22" t="s">
        <v>1337</v>
      </c>
      <c r="C192" s="26" t="s">
        <v>1338</v>
      </c>
    </row>
    <row r="193" customFormat="false" ht="13" hidden="false" customHeight="true" outlineLevel="0" collapsed="false">
      <c r="A193" s="21" t="s">
        <v>1339</v>
      </c>
      <c r="B193" s="22" t="s">
        <v>1340</v>
      </c>
      <c r="C193" s="26" t="s">
        <v>1341</v>
      </c>
    </row>
    <row r="194" customFormat="false" ht="13" hidden="false" customHeight="true" outlineLevel="0" collapsed="false">
      <c r="A194" s="21" t="s">
        <v>1342</v>
      </c>
      <c r="B194" s="22" t="s">
        <v>1343</v>
      </c>
      <c r="C194" s="26" t="s">
        <v>1344</v>
      </c>
    </row>
    <row r="195" customFormat="false" ht="13" hidden="false" customHeight="true" outlineLevel="0" collapsed="false">
      <c r="A195" s="21" t="s">
        <v>1345</v>
      </c>
      <c r="B195" s="22" t="s">
        <v>1346</v>
      </c>
      <c r="C195" s="21" t="s">
        <v>1347</v>
      </c>
    </row>
    <row r="196" customFormat="false" ht="13" hidden="false" customHeight="true" outlineLevel="0" collapsed="false">
      <c r="A196" s="21" t="s">
        <v>1348</v>
      </c>
      <c r="B196" s="22" t="s">
        <v>1349</v>
      </c>
      <c r="C196" s="26" t="s">
        <v>1350</v>
      </c>
    </row>
    <row r="197" customFormat="false" ht="13" hidden="false" customHeight="true" outlineLevel="0" collapsed="false">
      <c r="A197" s="21" t="s">
        <v>1351</v>
      </c>
      <c r="B197" s="22" t="s">
        <v>1352</v>
      </c>
      <c r="C197" s="26" t="s">
        <v>1353</v>
      </c>
    </row>
    <row r="198" customFormat="false" ht="13" hidden="false" customHeight="true" outlineLevel="0" collapsed="false">
      <c r="A198" s="21" t="s">
        <v>1354</v>
      </c>
      <c r="B198" s="22" t="s">
        <v>1355</v>
      </c>
      <c r="C198" s="26" t="s">
        <v>1356</v>
      </c>
    </row>
    <row r="199" customFormat="false" ht="13" hidden="false" customHeight="true" outlineLevel="0" collapsed="false">
      <c r="A199" s="21" t="s">
        <v>1357</v>
      </c>
      <c r="B199" s="22" t="s">
        <v>1358</v>
      </c>
      <c r="C199" s="26" t="s">
        <v>1359</v>
      </c>
    </row>
    <row r="200" customFormat="false" ht="13" hidden="false" customHeight="true" outlineLevel="0" collapsed="false">
      <c r="A200" s="21" t="s">
        <v>1360</v>
      </c>
      <c r="B200" s="22" t="s">
        <v>1361</v>
      </c>
      <c r="C200" s="26" t="s">
        <v>1362</v>
      </c>
    </row>
    <row r="201" customFormat="false" ht="13" hidden="false" customHeight="true" outlineLevel="0" collapsed="false">
      <c r="A201" s="21" t="s">
        <v>1363</v>
      </c>
      <c r="B201" s="22" t="s">
        <v>1364</v>
      </c>
      <c r="C201" s="26" t="s">
        <v>1365</v>
      </c>
    </row>
    <row r="202" customFormat="false" ht="13" hidden="false" customHeight="true" outlineLevel="0" collapsed="false">
      <c r="A202" s="21" t="s">
        <v>1366</v>
      </c>
      <c r="B202" s="22" t="s">
        <v>1367</v>
      </c>
      <c r="C202" s="26" t="s">
        <v>1368</v>
      </c>
    </row>
    <row r="203" customFormat="false" ht="13" hidden="false" customHeight="true" outlineLevel="0" collapsed="false">
      <c r="A203" s="21" t="s">
        <v>1369</v>
      </c>
      <c r="B203" s="22" t="s">
        <v>1370</v>
      </c>
      <c r="C203" s="26" t="s">
        <v>1371</v>
      </c>
    </row>
    <row r="204" customFormat="false" ht="13" hidden="false" customHeight="true" outlineLevel="0" collapsed="false">
      <c r="A204" s="21" t="s">
        <v>1372</v>
      </c>
      <c r="B204" s="22" t="s">
        <v>1373</v>
      </c>
      <c r="C204" s="26" t="s">
        <v>1374</v>
      </c>
    </row>
    <row r="205" customFormat="false" ht="13" hidden="false" customHeight="true" outlineLevel="0" collapsed="false">
      <c r="A205" s="21" t="s">
        <v>1375</v>
      </c>
      <c r="B205" s="22" t="s">
        <v>1376</v>
      </c>
      <c r="C205" s="26" t="s">
        <v>1377</v>
      </c>
    </row>
    <row r="206" customFormat="false" ht="13" hidden="false" customHeight="true" outlineLevel="0" collapsed="false">
      <c r="A206" s="21" t="s">
        <v>1378</v>
      </c>
      <c r="B206" s="22" t="s">
        <v>1379</v>
      </c>
      <c r="C206" s="26" t="s">
        <v>1380</v>
      </c>
    </row>
    <row r="207" customFormat="false" ht="13" hidden="false" customHeight="true" outlineLevel="0" collapsed="false">
      <c r="A207" s="21" t="s">
        <v>1381</v>
      </c>
      <c r="B207" s="22" t="s">
        <v>1382</v>
      </c>
      <c r="C207" s="26" t="s">
        <v>1383</v>
      </c>
    </row>
    <row r="208" customFormat="false" ht="13" hidden="false" customHeight="true" outlineLevel="0" collapsed="false">
      <c r="A208" s="21" t="s">
        <v>1384</v>
      </c>
      <c r="B208" s="22" t="s">
        <v>1385</v>
      </c>
      <c r="C208" s="26" t="s">
        <v>1386</v>
      </c>
    </row>
    <row r="209" customFormat="false" ht="13" hidden="false" customHeight="true" outlineLevel="0" collapsed="false">
      <c r="A209" s="21" t="s">
        <v>1387</v>
      </c>
      <c r="B209" s="22" t="s">
        <v>1388</v>
      </c>
      <c r="C209" s="26" t="s">
        <v>1389</v>
      </c>
    </row>
    <row r="210" customFormat="false" ht="13" hidden="false" customHeight="true" outlineLevel="0" collapsed="false">
      <c r="A210" s="21" t="s">
        <v>1390</v>
      </c>
      <c r="B210" s="22" t="s">
        <v>1391</v>
      </c>
      <c r="C210" s="26" t="s">
        <v>1392</v>
      </c>
    </row>
    <row r="211" customFormat="false" ht="13" hidden="false" customHeight="true" outlineLevel="0" collapsed="false">
      <c r="A211" s="21" t="s">
        <v>1393</v>
      </c>
      <c r="B211" s="22" t="s">
        <v>1394</v>
      </c>
      <c r="C211" s="26" t="s">
        <v>1395</v>
      </c>
    </row>
    <row r="212" customFormat="false" ht="13" hidden="false" customHeight="true" outlineLevel="0" collapsed="false">
      <c r="A212" s="21" t="s">
        <v>1396</v>
      </c>
      <c r="B212" s="22" t="s">
        <v>1397</v>
      </c>
      <c r="C212" s="26" t="s">
        <v>1398</v>
      </c>
    </row>
    <row r="213" customFormat="false" ht="13" hidden="false" customHeight="true" outlineLevel="0" collapsed="false">
      <c r="A213" s="21" t="s">
        <v>1399</v>
      </c>
      <c r="B213" s="22" t="s">
        <v>1400</v>
      </c>
      <c r="C213" s="26" t="s">
        <v>1401</v>
      </c>
    </row>
    <row r="214" customFormat="false" ht="13" hidden="false" customHeight="true" outlineLevel="0" collapsed="false">
      <c r="A214" s="21" t="s">
        <v>1402</v>
      </c>
      <c r="B214" s="22" t="s">
        <v>1403</v>
      </c>
      <c r="C214" s="26" t="s">
        <v>1404</v>
      </c>
    </row>
    <row r="215" customFormat="false" ht="13" hidden="false" customHeight="true" outlineLevel="0" collapsed="false">
      <c r="A215" s="21" t="s">
        <v>1405</v>
      </c>
      <c r="B215" s="22" t="s">
        <v>1406</v>
      </c>
      <c r="C215" s="26" t="s">
        <v>1407</v>
      </c>
    </row>
    <row r="216" customFormat="false" ht="13" hidden="false" customHeight="true" outlineLevel="0" collapsed="false">
      <c r="A216" s="21" t="s">
        <v>1408</v>
      </c>
      <c r="B216" s="22" t="s">
        <v>1409</v>
      </c>
      <c r="C216" s="26" t="s">
        <v>1410</v>
      </c>
    </row>
    <row r="217" customFormat="false" ht="13" hidden="false" customHeight="true" outlineLevel="0" collapsed="false">
      <c r="A217" s="21" t="s">
        <v>1411</v>
      </c>
      <c r="B217" s="22" t="s">
        <v>1412</v>
      </c>
      <c r="C217" s="26" t="s">
        <v>1413</v>
      </c>
    </row>
    <row r="218" customFormat="false" ht="13" hidden="false" customHeight="true" outlineLevel="0" collapsed="false">
      <c r="A218" s="21" t="s">
        <v>1414</v>
      </c>
      <c r="B218" s="22" t="s">
        <v>1415</v>
      </c>
      <c r="C218" s="26" t="s">
        <v>1416</v>
      </c>
    </row>
    <row r="219" customFormat="false" ht="13" hidden="false" customHeight="true" outlineLevel="0" collapsed="false">
      <c r="A219" s="21" t="s">
        <v>1417</v>
      </c>
      <c r="B219" s="22" t="s">
        <v>1418</v>
      </c>
      <c r="C219" s="26" t="s">
        <v>1419</v>
      </c>
    </row>
    <row r="220" customFormat="false" ht="13" hidden="false" customHeight="true" outlineLevel="0" collapsed="false">
      <c r="A220" s="21" t="s">
        <v>1420</v>
      </c>
      <c r="B220" s="22" t="s">
        <v>1421</v>
      </c>
      <c r="C220" s="26" t="s">
        <v>1422</v>
      </c>
    </row>
    <row r="221" customFormat="false" ht="13" hidden="false" customHeight="true" outlineLevel="0" collapsed="false">
      <c r="A221" s="21" t="s">
        <v>1423</v>
      </c>
      <c r="B221" s="22" t="s">
        <v>1424</v>
      </c>
      <c r="C221" s="26" t="s">
        <v>1425</v>
      </c>
    </row>
    <row r="222" customFormat="false" ht="13" hidden="false" customHeight="true" outlineLevel="0" collapsed="false">
      <c r="A222" s="21" t="s">
        <v>1426</v>
      </c>
      <c r="B222" s="22" t="s">
        <v>1427</v>
      </c>
      <c r="C222" s="26" t="s">
        <v>1428</v>
      </c>
    </row>
    <row r="223" customFormat="false" ht="13" hidden="false" customHeight="true" outlineLevel="0" collapsed="false">
      <c r="A223" s="21" t="s">
        <v>1429</v>
      </c>
      <c r="B223" s="22" t="s">
        <v>1430</v>
      </c>
      <c r="C223" s="26" t="s">
        <v>1431</v>
      </c>
    </row>
    <row r="224" customFormat="false" ht="13" hidden="false" customHeight="true" outlineLevel="0" collapsed="false">
      <c r="A224" s="21" t="s">
        <v>1432</v>
      </c>
      <c r="B224" s="22" t="s">
        <v>1433</v>
      </c>
      <c r="C224" s="26" t="s">
        <v>1434</v>
      </c>
    </row>
    <row r="225" customFormat="false" ht="13" hidden="false" customHeight="true" outlineLevel="0" collapsed="false">
      <c r="A225" s="21" t="s">
        <v>1435</v>
      </c>
      <c r="B225" s="22" t="s">
        <v>1436</v>
      </c>
      <c r="C225" s="26" t="s">
        <v>1437</v>
      </c>
    </row>
    <row r="226" customFormat="false" ht="13" hidden="false" customHeight="true" outlineLevel="0" collapsed="false">
      <c r="A226" s="21" t="s">
        <v>1438</v>
      </c>
      <c r="B226" s="22" t="s">
        <v>1439</v>
      </c>
      <c r="C226" s="26" t="s">
        <v>1440</v>
      </c>
    </row>
    <row r="227" customFormat="false" ht="13" hidden="false" customHeight="true" outlineLevel="0" collapsed="false">
      <c r="A227" s="21" t="s">
        <v>1441</v>
      </c>
      <c r="B227" s="22" t="s">
        <v>1442</v>
      </c>
      <c r="C227" s="26" t="s">
        <v>1443</v>
      </c>
    </row>
    <row r="228" customFormat="false" ht="13" hidden="false" customHeight="true" outlineLevel="0" collapsed="false">
      <c r="A228" s="21" t="s">
        <v>1444</v>
      </c>
      <c r="B228" s="22" t="s">
        <v>1445</v>
      </c>
      <c r="C228" s="26" t="s">
        <v>1446</v>
      </c>
    </row>
    <row r="229" customFormat="false" ht="13" hidden="false" customHeight="true" outlineLevel="0" collapsed="false">
      <c r="A229" s="21" t="s">
        <v>1447</v>
      </c>
      <c r="B229" s="22" t="s">
        <v>1448</v>
      </c>
      <c r="C229" s="26" t="s">
        <v>1449</v>
      </c>
    </row>
    <row r="230" customFormat="false" ht="13" hidden="false" customHeight="true" outlineLevel="0" collapsed="false">
      <c r="A230" s="21" t="s">
        <v>1450</v>
      </c>
      <c r="B230" s="22" t="s">
        <v>1451</v>
      </c>
      <c r="C230" s="26" t="s">
        <v>1452</v>
      </c>
    </row>
    <row r="231" customFormat="false" ht="13" hidden="false" customHeight="true" outlineLevel="0" collapsed="false">
      <c r="A231" s="21" t="s">
        <v>1453</v>
      </c>
      <c r="B231" s="22" t="s">
        <v>1454</v>
      </c>
      <c r="C231" s="26" t="s">
        <v>1455</v>
      </c>
    </row>
    <row r="232" customFormat="false" ht="13" hidden="false" customHeight="true" outlineLevel="0" collapsed="false">
      <c r="A232" s="21" t="s">
        <v>1456</v>
      </c>
      <c r="B232" s="22" t="s">
        <v>1457</v>
      </c>
      <c r="C232" s="26" t="s">
        <v>1458</v>
      </c>
    </row>
    <row r="233" customFormat="false" ht="13" hidden="false" customHeight="true" outlineLevel="0" collapsed="false">
      <c r="A233" s="21" t="s">
        <v>1459</v>
      </c>
      <c r="B233" s="22" t="s">
        <v>1460</v>
      </c>
      <c r="C233" s="26" t="s">
        <v>1461</v>
      </c>
    </row>
    <row r="234" customFormat="false" ht="13" hidden="false" customHeight="true" outlineLevel="0" collapsed="false">
      <c r="A234" s="21" t="s">
        <v>1462</v>
      </c>
      <c r="B234" s="22" t="s">
        <v>1463</v>
      </c>
      <c r="C234" s="26" t="s">
        <v>1464</v>
      </c>
    </row>
    <row r="235" customFormat="false" ht="13" hidden="false" customHeight="true" outlineLevel="0" collapsed="false">
      <c r="A235" s="21" t="s">
        <v>1465</v>
      </c>
      <c r="B235" s="22" t="s">
        <v>1466</v>
      </c>
      <c r="C235" s="26" t="s">
        <v>1467</v>
      </c>
    </row>
    <row r="236" customFormat="false" ht="13" hidden="false" customHeight="true" outlineLevel="0" collapsed="false">
      <c r="A236" s="21" t="s">
        <v>1468</v>
      </c>
      <c r="B236" s="22" t="s">
        <v>1469</v>
      </c>
      <c r="C236" s="26" t="s">
        <v>1470</v>
      </c>
    </row>
    <row r="237" customFormat="false" ht="13" hidden="false" customHeight="true" outlineLevel="0" collapsed="false">
      <c r="A237" s="21" t="s">
        <v>1471</v>
      </c>
      <c r="B237" s="22" t="s">
        <v>1472</v>
      </c>
      <c r="C237" s="26" t="s">
        <v>1473</v>
      </c>
    </row>
    <row r="238" customFormat="false" ht="13" hidden="false" customHeight="true" outlineLevel="0" collapsed="false">
      <c r="A238" s="21" t="s">
        <v>1474</v>
      </c>
      <c r="B238" s="22" t="s">
        <v>1475</v>
      </c>
      <c r="C238" s="26" t="s">
        <v>1476</v>
      </c>
    </row>
    <row r="239" customFormat="false" ht="13" hidden="false" customHeight="true" outlineLevel="0" collapsed="false">
      <c r="A239" s="21" t="s">
        <v>1477</v>
      </c>
      <c r="B239" s="22" t="s">
        <v>1478</v>
      </c>
      <c r="C239" s="26" t="s">
        <v>1479</v>
      </c>
    </row>
    <row r="240" customFormat="false" ht="13" hidden="false" customHeight="true" outlineLevel="0" collapsed="false">
      <c r="A240" s="21" t="s">
        <v>1480</v>
      </c>
      <c r="B240" s="22" t="s">
        <v>1481</v>
      </c>
      <c r="C240" s="26" t="s">
        <v>1482</v>
      </c>
    </row>
    <row r="241" customFormat="false" ht="13" hidden="false" customHeight="true" outlineLevel="0" collapsed="false">
      <c r="A241" s="21" t="s">
        <v>1483</v>
      </c>
      <c r="B241" s="22" t="s">
        <v>1484</v>
      </c>
      <c r="C241" s="26" t="s">
        <v>1485</v>
      </c>
    </row>
    <row r="242" customFormat="false" ht="13" hidden="false" customHeight="true" outlineLevel="0" collapsed="false">
      <c r="A242" s="21" t="s">
        <v>1486</v>
      </c>
      <c r="B242" s="22" t="s">
        <v>1487</v>
      </c>
      <c r="C242" s="26" t="s">
        <v>1488</v>
      </c>
    </row>
    <row r="243" customFormat="false" ht="13" hidden="false" customHeight="true" outlineLevel="0" collapsed="false">
      <c r="A243" s="21" t="s">
        <v>1489</v>
      </c>
      <c r="B243" s="22" t="s">
        <v>1490</v>
      </c>
      <c r="C243" s="26" t="s">
        <v>1491</v>
      </c>
    </row>
    <row r="244" customFormat="false" ht="13" hidden="false" customHeight="true" outlineLevel="0" collapsed="false">
      <c r="A244" s="21" t="s">
        <v>1492</v>
      </c>
      <c r="B244" s="22" t="s">
        <v>1493</v>
      </c>
      <c r="C244" s="26" t="s">
        <v>1494</v>
      </c>
    </row>
    <row r="245" customFormat="false" ht="13" hidden="false" customHeight="true" outlineLevel="0" collapsed="false">
      <c r="A245" s="21" t="s">
        <v>1495</v>
      </c>
      <c r="B245" s="22" t="s">
        <v>1496</v>
      </c>
      <c r="C245" s="26" t="s">
        <v>1497</v>
      </c>
    </row>
    <row r="246" customFormat="false" ht="13" hidden="false" customHeight="true" outlineLevel="0" collapsed="false">
      <c r="A246" s="21" t="s">
        <v>1498</v>
      </c>
      <c r="B246" s="22" t="s">
        <v>1499</v>
      </c>
      <c r="C246" s="26" t="s">
        <v>1500</v>
      </c>
    </row>
    <row r="247" customFormat="false" ht="13" hidden="false" customHeight="true" outlineLevel="0" collapsed="false">
      <c r="A247" s="21" t="s">
        <v>1501</v>
      </c>
      <c r="B247" s="22" t="s">
        <v>1502</v>
      </c>
      <c r="C247" s="26" t="s">
        <v>1503</v>
      </c>
    </row>
    <row r="248" customFormat="false" ht="13" hidden="false" customHeight="true" outlineLevel="0" collapsed="false">
      <c r="A248" s="21" t="s">
        <v>1504</v>
      </c>
      <c r="B248" s="22" t="s">
        <v>1505</v>
      </c>
      <c r="C248" s="26" t="s">
        <v>1506</v>
      </c>
    </row>
    <row r="249" customFormat="false" ht="13" hidden="false" customHeight="true" outlineLevel="0" collapsed="false">
      <c r="A249" s="21" t="s">
        <v>1507</v>
      </c>
      <c r="B249" s="22" t="s">
        <v>1508</v>
      </c>
      <c r="C249" s="26" t="s">
        <v>1509</v>
      </c>
    </row>
    <row r="250" customFormat="false" ht="13" hidden="false" customHeight="true" outlineLevel="0" collapsed="false">
      <c r="A250" s="21" t="s">
        <v>1510</v>
      </c>
      <c r="B250" s="22" t="s">
        <v>1511</v>
      </c>
      <c r="C250" s="26" t="s">
        <v>1512</v>
      </c>
    </row>
    <row r="251" customFormat="false" ht="13" hidden="false" customHeight="true" outlineLevel="0" collapsed="false">
      <c r="A251" s="21" t="s">
        <v>1513</v>
      </c>
      <c r="B251" s="22" t="s">
        <v>1514</v>
      </c>
      <c r="C251" s="26" t="s">
        <v>1515</v>
      </c>
    </row>
    <row r="252" customFormat="false" ht="13" hidden="false" customHeight="true" outlineLevel="0" collapsed="false">
      <c r="A252" s="21" t="s">
        <v>1516</v>
      </c>
      <c r="B252" s="22" t="s">
        <v>1517</v>
      </c>
      <c r="C252" s="26" t="s">
        <v>1518</v>
      </c>
    </row>
    <row r="253" customFormat="false" ht="13" hidden="false" customHeight="true" outlineLevel="0" collapsed="false">
      <c r="A253" s="21" t="s">
        <v>1519</v>
      </c>
      <c r="B253" s="22" t="s">
        <v>1520</v>
      </c>
      <c r="C253" s="26" t="s">
        <v>1521</v>
      </c>
    </row>
    <row r="254" customFormat="false" ht="13" hidden="false" customHeight="true" outlineLevel="0" collapsed="false">
      <c r="A254" s="21" t="s">
        <v>1522</v>
      </c>
      <c r="B254" s="22" t="s">
        <v>1523</v>
      </c>
      <c r="C254" s="26" t="s">
        <v>1524</v>
      </c>
    </row>
    <row r="255" customFormat="false" ht="13" hidden="false" customHeight="true" outlineLevel="0" collapsed="false">
      <c r="A255" s="21" t="s">
        <v>1525</v>
      </c>
      <c r="B255" s="22" t="s">
        <v>1526</v>
      </c>
      <c r="C255" s="26" t="s">
        <v>1527</v>
      </c>
    </row>
    <row r="256" customFormat="false" ht="13" hidden="false" customHeight="true" outlineLevel="0" collapsed="false">
      <c r="A256" s="21" t="s">
        <v>1528</v>
      </c>
      <c r="B256" s="22" t="s">
        <v>1529</v>
      </c>
      <c r="C256" s="26" t="s">
        <v>1530</v>
      </c>
    </row>
    <row r="257" customFormat="false" ht="13" hidden="false" customHeight="true" outlineLevel="0" collapsed="false">
      <c r="A257" s="21" t="s">
        <v>1531</v>
      </c>
      <c r="B257" s="22" t="s">
        <v>1532</v>
      </c>
      <c r="C257" s="26" t="s">
        <v>1533</v>
      </c>
    </row>
    <row r="258" customFormat="false" ht="13" hidden="false" customHeight="true" outlineLevel="0" collapsed="false">
      <c r="A258" s="21" t="s">
        <v>1534</v>
      </c>
      <c r="B258" s="22" t="s">
        <v>1535</v>
      </c>
      <c r="C258" s="26" t="s">
        <v>1536</v>
      </c>
    </row>
    <row r="259" customFormat="false" ht="13" hidden="false" customHeight="true" outlineLevel="0" collapsed="false">
      <c r="A259" s="21" t="s">
        <v>1537</v>
      </c>
      <c r="B259" s="22" t="s">
        <v>1538</v>
      </c>
      <c r="C259" s="26" t="s">
        <v>1539</v>
      </c>
    </row>
    <row r="260" customFormat="false" ht="13" hidden="false" customHeight="true" outlineLevel="0" collapsed="false">
      <c r="A260" s="21" t="s">
        <v>1540</v>
      </c>
      <c r="B260" s="22" t="s">
        <v>1541</v>
      </c>
      <c r="C260" s="26" t="s">
        <v>1542</v>
      </c>
    </row>
    <row r="261" customFormat="false" ht="13" hidden="false" customHeight="true" outlineLevel="0" collapsed="false">
      <c r="A261" s="21" t="s">
        <v>1543</v>
      </c>
      <c r="B261" s="22" t="s">
        <v>1544</v>
      </c>
      <c r="C261" s="26" t="s">
        <v>1545</v>
      </c>
    </row>
    <row r="262" customFormat="false" ht="13" hidden="false" customHeight="true" outlineLevel="0" collapsed="false">
      <c r="A262" s="21" t="s">
        <v>1546</v>
      </c>
      <c r="B262" s="22" t="s">
        <v>1547</v>
      </c>
      <c r="C262" s="26" t="s">
        <v>1548</v>
      </c>
    </row>
    <row r="263" customFormat="false" ht="13" hidden="false" customHeight="true" outlineLevel="0" collapsed="false">
      <c r="A263" s="21" t="s">
        <v>1549</v>
      </c>
      <c r="B263" s="22" t="s">
        <v>1550</v>
      </c>
      <c r="C263" s="26" t="s">
        <v>1551</v>
      </c>
    </row>
    <row r="264" customFormat="false" ht="13" hidden="false" customHeight="true" outlineLevel="0" collapsed="false">
      <c r="A264" s="21" t="s">
        <v>1552</v>
      </c>
      <c r="B264" s="22" t="s">
        <v>1553</v>
      </c>
      <c r="C264" s="26" t="s">
        <v>1554</v>
      </c>
    </row>
    <row r="265" customFormat="false" ht="13" hidden="false" customHeight="true" outlineLevel="0" collapsed="false">
      <c r="A265" s="21" t="s">
        <v>1555</v>
      </c>
      <c r="B265" s="22" t="s">
        <v>1556</v>
      </c>
      <c r="C265" s="26" t="s">
        <v>1557</v>
      </c>
    </row>
    <row r="266" customFormat="false" ht="13" hidden="false" customHeight="true" outlineLevel="0" collapsed="false">
      <c r="A266" s="21" t="s">
        <v>1558</v>
      </c>
      <c r="B266" s="22" t="s">
        <v>1559</v>
      </c>
      <c r="C266" s="26" t="s">
        <v>1560</v>
      </c>
    </row>
    <row r="267" customFormat="false" ht="13" hidden="false" customHeight="true" outlineLevel="0" collapsed="false">
      <c r="A267" s="21" t="s">
        <v>1561</v>
      </c>
      <c r="B267" s="22" t="s">
        <v>1562</v>
      </c>
      <c r="C267" s="26" t="s">
        <v>1563</v>
      </c>
    </row>
    <row r="268" customFormat="false" ht="13" hidden="false" customHeight="true" outlineLevel="0" collapsed="false">
      <c r="A268" s="21" t="s">
        <v>1564</v>
      </c>
      <c r="B268" s="22" t="s">
        <v>1565</v>
      </c>
      <c r="C268" s="26" t="s">
        <v>1566</v>
      </c>
    </row>
    <row r="269" customFormat="false" ht="13" hidden="false" customHeight="true" outlineLevel="0" collapsed="false">
      <c r="A269" s="21" t="s">
        <v>1567</v>
      </c>
      <c r="B269" s="22" t="s">
        <v>1568</v>
      </c>
      <c r="C269" s="26" t="s">
        <v>1569</v>
      </c>
    </row>
    <row r="270" customFormat="false" ht="13" hidden="false" customHeight="true" outlineLevel="0" collapsed="false">
      <c r="A270" s="21" t="s">
        <v>1570</v>
      </c>
      <c r="B270" s="22" t="s">
        <v>1571</v>
      </c>
      <c r="C270" s="26" t="s">
        <v>1572</v>
      </c>
    </row>
    <row r="271" customFormat="false" ht="13" hidden="false" customHeight="true" outlineLevel="0" collapsed="false">
      <c r="A271" s="21" t="s">
        <v>1573</v>
      </c>
      <c r="B271" s="22" t="s">
        <v>1574</v>
      </c>
      <c r="C271" s="26" t="s">
        <v>1575</v>
      </c>
    </row>
    <row r="272" customFormat="false" ht="13" hidden="false" customHeight="true" outlineLevel="0" collapsed="false">
      <c r="A272" s="21" t="s">
        <v>1576</v>
      </c>
      <c r="B272" s="22" t="s">
        <v>1577</v>
      </c>
      <c r="C272" s="26" t="s">
        <v>1578</v>
      </c>
    </row>
    <row r="273" customFormat="false" ht="13" hidden="false" customHeight="true" outlineLevel="0" collapsed="false">
      <c r="A273" s="21" t="s">
        <v>1579</v>
      </c>
      <c r="B273" s="22" t="s">
        <v>1580</v>
      </c>
      <c r="C273" s="26" t="s">
        <v>1581</v>
      </c>
    </row>
    <row r="274" customFormat="false" ht="13" hidden="false" customHeight="true" outlineLevel="0" collapsed="false">
      <c r="A274" s="21" t="s">
        <v>1582</v>
      </c>
      <c r="B274" s="22" t="s">
        <v>1583</v>
      </c>
      <c r="C274" s="26" t="s">
        <v>1584</v>
      </c>
    </row>
    <row r="275" customFormat="false" ht="13" hidden="false" customHeight="true" outlineLevel="0" collapsed="false">
      <c r="A275" s="21" t="s">
        <v>1585</v>
      </c>
      <c r="B275" s="22" t="s">
        <v>1586</v>
      </c>
      <c r="C275" s="26" t="s">
        <v>1587</v>
      </c>
    </row>
    <row r="276" customFormat="false" ht="13" hidden="false" customHeight="true" outlineLevel="0" collapsed="false">
      <c r="A276" s="21" t="s">
        <v>1588</v>
      </c>
      <c r="B276" s="22" t="s">
        <v>1589</v>
      </c>
      <c r="C276" s="26" t="s">
        <v>1590</v>
      </c>
    </row>
    <row r="277" customFormat="false" ht="13" hidden="false" customHeight="true" outlineLevel="0" collapsed="false">
      <c r="A277" s="21" t="s">
        <v>1591</v>
      </c>
      <c r="B277" s="22" t="s">
        <v>1592</v>
      </c>
      <c r="C277" s="26" t="s">
        <v>1593</v>
      </c>
    </row>
    <row r="278" customFormat="false" ht="13" hidden="false" customHeight="true" outlineLevel="0" collapsed="false">
      <c r="A278" s="21" t="s">
        <v>1594</v>
      </c>
      <c r="B278" s="22" t="s">
        <v>1595</v>
      </c>
      <c r="C278" s="26" t="s">
        <v>1596</v>
      </c>
    </row>
    <row r="279" customFormat="false" ht="13" hidden="false" customHeight="true" outlineLevel="0" collapsed="false">
      <c r="A279" s="21" t="s">
        <v>1597</v>
      </c>
      <c r="B279" s="22" t="s">
        <v>1598</v>
      </c>
      <c r="C279" s="26" t="s">
        <v>1599</v>
      </c>
    </row>
    <row r="280" customFormat="false" ht="13" hidden="false" customHeight="true" outlineLevel="0" collapsed="false">
      <c r="A280" s="21" t="s">
        <v>1600</v>
      </c>
      <c r="B280" s="22" t="s">
        <v>1601</v>
      </c>
      <c r="C280" s="26" t="s">
        <v>1602</v>
      </c>
    </row>
    <row r="281" customFormat="false" ht="13" hidden="false" customHeight="true" outlineLevel="0" collapsed="false">
      <c r="A281" s="21" t="s">
        <v>1603</v>
      </c>
      <c r="B281" s="22" t="s">
        <v>1604</v>
      </c>
      <c r="C281" s="26" t="s">
        <v>1605</v>
      </c>
    </row>
    <row r="282" customFormat="false" ht="13" hidden="false" customHeight="true" outlineLevel="0" collapsed="false">
      <c r="A282" s="21" t="s">
        <v>1606</v>
      </c>
      <c r="B282" s="22" t="s">
        <v>1607</v>
      </c>
      <c r="C282" s="26" t="s">
        <v>1608</v>
      </c>
    </row>
    <row r="283" customFormat="false" ht="13" hidden="false" customHeight="true" outlineLevel="0" collapsed="false">
      <c r="A283" s="21"/>
      <c r="B283" s="22"/>
      <c r="C283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2002-02-15T10:24:59Z</dcterms:created>
  <dc:creator>АСК</dc:creator>
  <dc:description/>
  <dc:language>ru-RU</dc:language>
  <cp:lastModifiedBy/>
  <cp:lastPrinted>2008-07-22T19:37:19Z</cp:lastPrinted>
  <dcterms:modified xsi:type="dcterms:W3CDTF">2026-01-06T13:38:32Z</dcterms:modified>
  <cp:revision>9</cp:revision>
  <dc:subject/>
  <dc:title/>
</cp:coreProperties>
</file>