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  <sheet name="Лист3" sheetId="2" state="visible" r:id="rId4"/>
    <sheet name="Лист2" sheetId="3" state="visible" r:id="rId5"/>
  </sheets>
  <definedNames>
    <definedName function="false" hidden="false" localSheetId="0" name="Excel_BuiltIn__FilterDatabase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<sst xmlns="http://schemas.openxmlformats.org/spreadsheetml/2006/main" count="3463" uniqueCount="1712">
  <si>
    <t xml:space="preserve">ID</t>
  </si>
  <si>
    <t xml:space="preserve">Date</t>
  </si>
  <si>
    <t xml:space="preserve">Region</t>
  </si>
  <si>
    <t xml:space="preserve">Place</t>
  </si>
  <si>
    <t xml:space="preserve">N_eggs</t>
  </si>
  <si>
    <t xml:space="preserve">Ed</t>
  </si>
  <si>
    <t xml:space="preserve">A1</t>
  </si>
  <si>
    <t xml:space="preserve">D1</t>
  </si>
  <si>
    <t xml:space="preserve">TA1</t>
  </si>
  <si>
    <t xml:space="preserve">TD1</t>
  </si>
  <si>
    <t xml:space="preserve">A2</t>
  </si>
  <si>
    <t xml:space="preserve">D2</t>
  </si>
  <si>
    <t xml:space="preserve">TA2</t>
  </si>
  <si>
    <t xml:space="preserve">TD2</t>
  </si>
  <si>
    <t xml:space="preserve">A3</t>
  </si>
  <si>
    <t xml:space="preserve">D3</t>
  </si>
  <si>
    <t xml:space="preserve">TA3</t>
  </si>
  <si>
    <t xml:space="preserve">TD3</t>
  </si>
  <si>
    <t xml:space="preserve">incubation_period</t>
  </si>
  <si>
    <t xml:space="preserve">Q</t>
  </si>
  <si>
    <t xml:space="preserve">2006_861</t>
  </si>
  <si>
    <t xml:space="preserve">Luvengsky arhipelag</t>
  </si>
  <si>
    <t xml:space="preserve">Vlasikha Bolshaya</t>
  </si>
  <si>
    <t xml:space="preserve">2006_1568</t>
  </si>
  <si>
    <t xml:space="preserve">Severny arhipelag</t>
  </si>
  <si>
    <t xml:space="preserve">Anisimov</t>
  </si>
  <si>
    <t xml:space="preserve">2006_1563</t>
  </si>
  <si>
    <t xml:space="preserve">накл</t>
  </si>
  <si>
    <t xml:space="preserve">2006_1569</t>
  </si>
  <si>
    <t xml:space="preserve">2006_1555</t>
  </si>
  <si>
    <t xml:space="preserve">2006_1560</t>
  </si>
  <si>
    <t xml:space="preserve">2006_1566</t>
  </si>
  <si>
    <t xml:space="preserve">2006_1556</t>
  </si>
  <si>
    <t xml:space="preserve">2006_1562</t>
  </si>
  <si>
    <t xml:space="preserve">2006_1573</t>
  </si>
  <si>
    <t xml:space="preserve">2006_1558</t>
  </si>
  <si>
    <t xml:space="preserve">2006_1574</t>
  </si>
  <si>
    <t xml:space="preserve">2006_1554</t>
  </si>
  <si>
    <t xml:space="preserve">пт</t>
  </si>
  <si>
    <t xml:space="preserve">2006_1561</t>
  </si>
  <si>
    <t xml:space="preserve">2006_1576</t>
  </si>
  <si>
    <t xml:space="preserve">2006_1577</t>
  </si>
  <si>
    <t xml:space="preserve">2006_1571</t>
  </si>
  <si>
    <t xml:space="preserve">2006_1567</t>
  </si>
  <si>
    <t xml:space="preserve">2006_1564</t>
  </si>
  <si>
    <t xml:space="preserve">2006_839</t>
  </si>
  <si>
    <t xml:space="preserve">Barzha</t>
  </si>
  <si>
    <t xml:space="preserve">прокл</t>
  </si>
  <si>
    <t xml:space="preserve">2006_841</t>
  </si>
  <si>
    <t xml:space="preserve">2006_842</t>
  </si>
  <si>
    <t xml:space="preserve">взв</t>
  </si>
  <si>
    <t xml:space="preserve">2006_813</t>
  </si>
  <si>
    <t xml:space="preserve">Bliznetc Maly</t>
  </si>
  <si>
    <t xml:space="preserve">2006_1689</t>
  </si>
  <si>
    <t xml:space="preserve">Bogomolikha Bolshaya</t>
  </si>
  <si>
    <t xml:space="preserve">2006_1714</t>
  </si>
  <si>
    <t xml:space="preserve">2006_1601</t>
  </si>
  <si>
    <t xml:space="preserve">2006_1617</t>
  </si>
  <si>
    <t xml:space="preserve">2006_1665</t>
  </si>
  <si>
    <t xml:space="preserve">2006_1700</t>
  </si>
  <si>
    <t xml:space="preserve">2006_1728</t>
  </si>
  <si>
    <t xml:space="preserve">2006_1594</t>
  </si>
  <si>
    <t xml:space="preserve">2006_1608</t>
  </si>
  <si>
    <t xml:space="preserve">2006_1616</t>
  </si>
  <si>
    <t xml:space="preserve">2006_1627</t>
  </si>
  <si>
    <t xml:space="preserve">2006_1635</t>
  </si>
  <si>
    <t xml:space="preserve">2006_1639</t>
  </si>
  <si>
    <t xml:space="preserve">2006_1688</t>
  </si>
  <si>
    <t xml:space="preserve">2006_1692</t>
  </si>
  <si>
    <t xml:space="preserve">2006_1710</t>
  </si>
  <si>
    <t xml:space="preserve">2006_1712</t>
  </si>
  <si>
    <t xml:space="preserve">2006_1730</t>
  </si>
  <si>
    <t xml:space="preserve">2006_1602</t>
  </si>
  <si>
    <t xml:space="preserve">2006_1643</t>
  </si>
  <si>
    <t xml:space="preserve">2006_1648</t>
  </si>
  <si>
    <t xml:space="preserve">2006_1668</t>
  </si>
  <si>
    <t xml:space="preserve">2006_1671</t>
  </si>
  <si>
    <t xml:space="preserve">2006_1672</t>
  </si>
  <si>
    <t xml:space="preserve">2006_1677</t>
  </si>
  <si>
    <t xml:space="preserve">2006_1693</t>
  </si>
  <si>
    <t xml:space="preserve">2006_1696</t>
  </si>
  <si>
    <t xml:space="preserve">2006_1704</t>
  </si>
  <si>
    <t xml:space="preserve">2006_1715</t>
  </si>
  <si>
    <t xml:space="preserve">2006_1600</t>
  </si>
  <si>
    <t xml:space="preserve">2006_1621</t>
  </si>
  <si>
    <t xml:space="preserve">2006_1638</t>
  </si>
  <si>
    <t xml:space="preserve">2006_1645</t>
  </si>
  <si>
    <t xml:space="preserve">2006_1659</t>
  </si>
  <si>
    <t xml:space="preserve">2006_1666</t>
  </si>
  <si>
    <t xml:space="preserve">2006_1669</t>
  </si>
  <si>
    <t xml:space="preserve">2006_1699</t>
  </si>
  <si>
    <t xml:space="preserve">2006_1702</t>
  </si>
  <si>
    <t xml:space="preserve">2006_1719</t>
  </si>
  <si>
    <t xml:space="preserve">2006_1599</t>
  </si>
  <si>
    <t xml:space="preserve">2006_1628</t>
  </si>
  <si>
    <t xml:space="preserve">2006_1649</t>
  </si>
  <si>
    <t xml:space="preserve">2006_1674</t>
  </si>
  <si>
    <t xml:space="preserve">?</t>
  </si>
  <si>
    <t xml:space="preserve">2006_1694</t>
  </si>
  <si>
    <t xml:space="preserve">2006_1727</t>
  </si>
  <si>
    <t xml:space="preserve">2006_1690</t>
  </si>
  <si>
    <t xml:space="preserve">2006_1726</t>
  </si>
  <si>
    <t xml:space="preserve">2006_1729</t>
  </si>
  <si>
    <t xml:space="preserve">2006_1603</t>
  </si>
  <si>
    <t xml:space="preserve">2006_1636</t>
  </si>
  <si>
    <t xml:space="preserve">2006_1721</t>
  </si>
  <si>
    <t xml:space="preserve">2006_1725</t>
  </si>
  <si>
    <t xml:space="preserve">2006_1609</t>
  </si>
  <si>
    <t xml:space="preserve">2006_1612</t>
  </si>
  <si>
    <t xml:space="preserve">2006_1683</t>
  </si>
  <si>
    <t xml:space="preserve">2006_1698</t>
  </si>
  <si>
    <t xml:space="preserve">2006_1720</t>
  </si>
  <si>
    <t xml:space="preserve">2006_1652</t>
  </si>
  <si>
    <t xml:space="preserve">2006_1673</t>
  </si>
  <si>
    <t xml:space="preserve">2006_1618</t>
  </si>
  <si>
    <t xml:space="preserve">2006_1707</t>
  </si>
  <si>
    <t xml:space="preserve">2006_1675</t>
  </si>
  <si>
    <t xml:space="preserve">2006_1678</t>
  </si>
  <si>
    <t xml:space="preserve">2006_1637</t>
  </si>
  <si>
    <t xml:space="preserve">2006_1640</t>
  </si>
  <si>
    <t xml:space="preserve">2006_1676</t>
  </si>
  <si>
    <t xml:space="preserve">2006_1709</t>
  </si>
  <si>
    <t xml:space="preserve">2006_1641</t>
  </si>
  <si>
    <t xml:space="preserve">2006_1593</t>
  </si>
  <si>
    <t xml:space="preserve">2006_1596</t>
  </si>
  <si>
    <t xml:space="preserve">2006_1597</t>
  </si>
  <si>
    <t xml:space="preserve">2006_1613</t>
  </si>
  <si>
    <t xml:space="preserve">2006_1614</t>
  </si>
  <si>
    <t xml:space="preserve">2006_1632</t>
  </si>
  <si>
    <t xml:space="preserve">2006_1646</t>
  </si>
  <si>
    <t xml:space="preserve">2006_1682</t>
  </si>
  <si>
    <t xml:space="preserve">2006_1687</t>
  </si>
  <si>
    <t xml:space="preserve">2006_1695</t>
  </si>
  <si>
    <t xml:space="preserve">2006_1701</t>
  </si>
  <si>
    <t xml:space="preserve">2006_1758</t>
  </si>
  <si>
    <t xml:space="preserve">Bogomolikha Malaya</t>
  </si>
  <si>
    <t xml:space="preserve">2006_1754</t>
  </si>
  <si>
    <t xml:space="preserve">2006_1764</t>
  </si>
  <si>
    <t xml:space="preserve">2006_1733</t>
  </si>
  <si>
    <t xml:space="preserve">2006_1743</t>
  </si>
  <si>
    <t xml:space="preserve">2006_1744</t>
  </si>
  <si>
    <t xml:space="preserve">2006_1747</t>
  </si>
  <si>
    <t xml:space="preserve">2006_1756</t>
  </si>
  <si>
    <t xml:space="preserve">2006_1761</t>
  </si>
  <si>
    <t xml:space="preserve">2006_1763</t>
  </si>
  <si>
    <t xml:space="preserve">2006_1736</t>
  </si>
  <si>
    <t xml:space="preserve">2006_1749</t>
  </si>
  <si>
    <t xml:space="preserve">2006_1751</t>
  </si>
  <si>
    <t xml:space="preserve">2006_1753</t>
  </si>
  <si>
    <t xml:space="preserve">2006_1759</t>
  </si>
  <si>
    <t xml:space="preserve">2006_1760</t>
  </si>
  <si>
    <t xml:space="preserve">2006_1765</t>
  </si>
  <si>
    <t xml:space="preserve">2006_1755</t>
  </si>
  <si>
    <t xml:space="preserve">2006_1740</t>
  </si>
  <si>
    <t xml:space="preserve">2006_1360</t>
  </si>
  <si>
    <t xml:space="preserve">Centralnaya</t>
  </si>
  <si>
    <t xml:space="preserve">2006_1390</t>
  </si>
  <si>
    <t xml:space="preserve">2006_1395</t>
  </si>
  <si>
    <t xml:space="preserve">2006_1410</t>
  </si>
  <si>
    <t xml:space="preserve">2006_1341</t>
  </si>
  <si>
    <t xml:space="preserve">2006_1358</t>
  </si>
  <si>
    <t xml:space="preserve">2006_1362</t>
  </si>
  <si>
    <t xml:space="preserve">2006_1380</t>
  </si>
  <si>
    <t xml:space="preserve">2006_1385</t>
  </si>
  <si>
    <t xml:space="preserve">2006_1399</t>
  </si>
  <si>
    <t xml:space="preserve">2006_1406</t>
  </si>
  <si>
    <t xml:space="preserve">2006_1407</t>
  </si>
  <si>
    <t xml:space="preserve">2006_1429</t>
  </si>
  <si>
    <t xml:space="preserve">2006_1431</t>
  </si>
  <si>
    <t xml:space="preserve">2006_1436</t>
  </si>
  <si>
    <t xml:space="preserve">2006_1348</t>
  </si>
  <si>
    <t xml:space="preserve">2006_1351</t>
  </si>
  <si>
    <t xml:space="preserve">2006_1352</t>
  </si>
  <si>
    <t xml:space="preserve">2006_1370</t>
  </si>
  <si>
    <t xml:space="preserve">2006_1373</t>
  </si>
  <si>
    <t xml:space="preserve">2006_1375</t>
  </si>
  <si>
    <t xml:space="preserve">2006_1378</t>
  </si>
  <si>
    <t xml:space="preserve">2006_1392</t>
  </si>
  <si>
    <t xml:space="preserve">2006_1394</t>
  </si>
  <si>
    <t xml:space="preserve">2006_1396</t>
  </si>
  <si>
    <t xml:space="preserve">2006_1423</t>
  </si>
  <si>
    <t xml:space="preserve">2006_1432</t>
  </si>
  <si>
    <t xml:space="preserve">2006_1340</t>
  </si>
  <si>
    <t xml:space="preserve">2006_1343</t>
  </si>
  <si>
    <t xml:space="preserve">2006_1347</t>
  </si>
  <si>
    <t xml:space="preserve">2006_1350</t>
  </si>
  <si>
    <t xml:space="preserve">2006_1363</t>
  </si>
  <si>
    <t xml:space="preserve">2006_1367</t>
  </si>
  <si>
    <t xml:space="preserve">2006_1435</t>
  </si>
  <si>
    <t xml:space="preserve">2006_1342</t>
  </si>
  <si>
    <t xml:space="preserve">2006_1353</t>
  </si>
  <si>
    <t xml:space="preserve">2006_1366</t>
  </si>
  <si>
    <t xml:space="preserve">2006_1377</t>
  </si>
  <si>
    <t xml:space="preserve">2006_1401</t>
  </si>
  <si>
    <t xml:space="preserve">2006_1412</t>
  </si>
  <si>
    <t xml:space="preserve">2006_1417</t>
  </si>
  <si>
    <t xml:space="preserve">2006_1425</t>
  </si>
  <si>
    <t xml:space="preserve">2006_1361</t>
  </si>
  <si>
    <t xml:space="preserve">2006_1371</t>
  </si>
  <si>
    <t xml:space="preserve">2006_1372</t>
  </si>
  <si>
    <t xml:space="preserve">2006_1376</t>
  </si>
  <si>
    <t xml:space="preserve">2006_1419</t>
  </si>
  <si>
    <t xml:space="preserve">2006_1368</t>
  </si>
  <si>
    <t xml:space="preserve">2006_1374</t>
  </si>
  <si>
    <t xml:space="preserve">2006_1393</t>
  </si>
  <si>
    <t xml:space="preserve">2006_1409</t>
  </si>
  <si>
    <t xml:space="preserve">2006_1415</t>
  </si>
  <si>
    <t xml:space="preserve">2006_1416</t>
  </si>
  <si>
    <t xml:space="preserve">2006_1418</t>
  </si>
  <si>
    <t xml:space="preserve">2006_1420</t>
  </si>
  <si>
    <t xml:space="preserve">2006_1421</t>
  </si>
  <si>
    <t xml:space="preserve">2006_1422</t>
  </si>
  <si>
    <t xml:space="preserve">2006_1355</t>
  </si>
  <si>
    <t xml:space="preserve">2006_1356</t>
  </si>
  <si>
    <t xml:space="preserve">2006_1369</t>
  </si>
  <si>
    <t xml:space="preserve">2006_1413</t>
  </si>
  <si>
    <t xml:space="preserve">2006_1364</t>
  </si>
  <si>
    <t xml:space="preserve">2006_1389</t>
  </si>
  <si>
    <t xml:space="preserve">2006_1414</t>
  </si>
  <si>
    <t xml:space="preserve">2006_1424</t>
  </si>
  <si>
    <t xml:space="preserve">2006_1339</t>
  </si>
  <si>
    <t xml:space="preserve">2006_1346</t>
  </si>
  <si>
    <t xml:space="preserve">2006_1379</t>
  </si>
  <si>
    <t xml:space="preserve">2006_1381</t>
  </si>
  <si>
    <t xml:space="preserve">2006_1388</t>
  </si>
  <si>
    <t xml:space="preserve">2006_1398</t>
  </si>
  <si>
    <t xml:space="preserve">2006_1433</t>
  </si>
  <si>
    <t xml:space="preserve">2006_294</t>
  </si>
  <si>
    <t xml:space="preserve">Oleny arhipelag</t>
  </si>
  <si>
    <t xml:space="preserve">Elovaya Severnaya</t>
  </si>
  <si>
    <t xml:space="preserve">2006_331</t>
  </si>
  <si>
    <t xml:space="preserve">2006_333</t>
  </si>
  <si>
    <t xml:space="preserve">2006_335</t>
  </si>
  <si>
    <t xml:space="preserve">2006_302</t>
  </si>
  <si>
    <t xml:space="preserve">2006_307</t>
  </si>
  <si>
    <t xml:space="preserve">2006_330</t>
  </si>
  <si>
    <t xml:space="preserve">2006_310</t>
  </si>
  <si>
    <t xml:space="preserve">2006_305</t>
  </si>
  <si>
    <t xml:space="preserve">2006_332</t>
  </si>
  <si>
    <t xml:space="preserve">2006_338</t>
  </si>
  <si>
    <t xml:space="preserve">2006_337</t>
  </si>
  <si>
    <t xml:space="preserve">2006_295</t>
  </si>
  <si>
    <t xml:space="preserve">2006_297</t>
  </si>
  <si>
    <t xml:space="preserve">2006_289</t>
  </si>
  <si>
    <t xml:space="preserve">Elovaya Vostochnaya</t>
  </si>
  <si>
    <t xml:space="preserve">2006_235</t>
  </si>
  <si>
    <t xml:space="preserve">2006_260</t>
  </si>
  <si>
    <t xml:space="preserve">2006_282</t>
  </si>
  <si>
    <t xml:space="preserve">2006_259</t>
  </si>
  <si>
    <t xml:space="preserve">2006_278</t>
  </si>
  <si>
    <t xml:space="preserve">2006_247</t>
  </si>
  <si>
    <t xml:space="preserve">2006_258</t>
  </si>
  <si>
    <t xml:space="preserve">2006_266</t>
  </si>
  <si>
    <t xml:space="preserve">2006_276</t>
  </si>
  <si>
    <t xml:space="preserve">52 на боку</t>
  </si>
  <si>
    <t xml:space="preserve">2006_277</t>
  </si>
  <si>
    <t xml:space="preserve">2006_284</t>
  </si>
  <si>
    <t xml:space="preserve">2006_287</t>
  </si>
  <si>
    <t xml:space="preserve">2006_230</t>
  </si>
  <si>
    <t xml:space="preserve">2006_233</t>
  </si>
  <si>
    <t xml:space="preserve">2006_241</t>
  </si>
  <si>
    <t xml:space="preserve">2006_243</t>
  </si>
  <si>
    <t xml:space="preserve">2006_244</t>
  </si>
  <si>
    <t xml:space="preserve">2006_252</t>
  </si>
  <si>
    <t xml:space="preserve">2006_263</t>
  </si>
  <si>
    <t xml:space="preserve">2006_264</t>
  </si>
  <si>
    <t xml:space="preserve">2006_270</t>
  </si>
  <si>
    <t xml:space="preserve">2006_245</t>
  </si>
  <si>
    <t xml:space="preserve">2006_246</t>
  </si>
  <si>
    <t xml:space="preserve">2006_251</t>
  </si>
  <si>
    <t xml:space="preserve">2006_268</t>
  </si>
  <si>
    <t xml:space="preserve">2006_271</t>
  </si>
  <si>
    <t xml:space="preserve">2006_273</t>
  </si>
  <si>
    <t xml:space="preserve">2006_274</t>
  </si>
  <si>
    <t xml:space="preserve">2006_281</t>
  </si>
  <si>
    <t xml:space="preserve">2006_285</t>
  </si>
  <si>
    <t xml:space="preserve">2006_231</t>
  </si>
  <si>
    <t xml:space="preserve">2006_232</t>
  </si>
  <si>
    <t xml:space="preserve">2006_236</t>
  </si>
  <si>
    <t xml:space="preserve">2006_272</t>
  </si>
  <si>
    <t xml:space="preserve">2006_239</t>
  </si>
  <si>
    <t xml:space="preserve">2006_254</t>
  </si>
  <si>
    <t xml:space="preserve">2006_255</t>
  </si>
  <si>
    <t xml:space="preserve">2006_256</t>
  </si>
  <si>
    <t xml:space="preserve">2006_265</t>
  </si>
  <si>
    <t xml:space="preserve">2006_229</t>
  </si>
  <si>
    <t xml:space="preserve">2006_321</t>
  </si>
  <si>
    <t xml:space="preserve">Elovy</t>
  </si>
  <si>
    <t xml:space="preserve">2006_318</t>
  </si>
  <si>
    <t xml:space="preserve">2006_323</t>
  </si>
  <si>
    <t xml:space="preserve">2006_311</t>
  </si>
  <si>
    <t xml:space="preserve">2006_316</t>
  </si>
  <si>
    <t xml:space="preserve">2006_317</t>
  </si>
  <si>
    <t xml:space="preserve">2006_225</t>
  </si>
  <si>
    <t xml:space="preserve">2006_291</t>
  </si>
  <si>
    <t xml:space="preserve">2006_1824</t>
  </si>
  <si>
    <t xml:space="preserve">Farvaternaya</t>
  </si>
  <si>
    <t xml:space="preserve">2006_1843</t>
  </si>
  <si>
    <t xml:space="preserve">2006_1851</t>
  </si>
  <si>
    <t xml:space="preserve">2006_1806</t>
  </si>
  <si>
    <t xml:space="preserve">2006_1831</t>
  </si>
  <si>
    <t xml:space="preserve">2006_1858</t>
  </si>
  <si>
    <t xml:space="preserve">2006_1813</t>
  </si>
  <si>
    <t xml:space="preserve">2006_1826</t>
  </si>
  <si>
    <t xml:space="preserve">2006_1833</t>
  </si>
  <si>
    <t xml:space="preserve">2006_1835</t>
  </si>
  <si>
    <t xml:space="preserve">2006_1861</t>
  </si>
  <si>
    <t xml:space="preserve">2006_1883</t>
  </si>
  <si>
    <t xml:space="preserve">2006_1804</t>
  </si>
  <si>
    <t xml:space="preserve">2006_1828</t>
  </si>
  <si>
    <t xml:space="preserve">2006_1845</t>
  </si>
  <si>
    <t xml:space="preserve">2006_1873</t>
  </si>
  <si>
    <t xml:space="preserve">2006_1821</t>
  </si>
  <si>
    <t xml:space="preserve">2006_1879</t>
  </si>
  <si>
    <t xml:space="preserve">2006_1837</t>
  </si>
  <si>
    <t xml:space="preserve">2006_1850</t>
  </si>
  <si>
    <t xml:space="preserve">2006_1856</t>
  </si>
  <si>
    <t xml:space="preserve">2006_1808</t>
  </si>
  <si>
    <t xml:space="preserve">2006_1810</t>
  </si>
  <si>
    <t xml:space="preserve">2006_1822</t>
  </si>
  <si>
    <t xml:space="preserve">2006_1838</t>
  </si>
  <si>
    <t xml:space="preserve">2006_1839</t>
  </si>
  <si>
    <t xml:space="preserve">2006_1846</t>
  </si>
  <si>
    <t xml:space="preserve">2006_1860</t>
  </si>
  <si>
    <t xml:space="preserve">2006_1872</t>
  </si>
  <si>
    <t xml:space="preserve">2006_1802</t>
  </si>
  <si>
    <t xml:space="preserve">2006_1805</t>
  </si>
  <si>
    <t xml:space="preserve">2006_1829</t>
  </si>
  <si>
    <t xml:space="preserve">2006_220</t>
  </si>
  <si>
    <t xml:space="preserve">Gnidinskaya</t>
  </si>
  <si>
    <t xml:space="preserve">2006_1995</t>
  </si>
  <si>
    <t xml:space="preserve">Golaya</t>
  </si>
  <si>
    <t xml:space="preserve">2006_1999</t>
  </si>
  <si>
    <t xml:space="preserve">2006_1987</t>
  </si>
  <si>
    <t xml:space="preserve">2006_1991</t>
  </si>
  <si>
    <t xml:space="preserve">2006_1998</t>
  </si>
  <si>
    <t xml:space="preserve">2006_1948</t>
  </si>
  <si>
    <t xml:space="preserve">2006_1959</t>
  </si>
  <si>
    <t xml:space="preserve">2006_1989</t>
  </si>
  <si>
    <t xml:space="preserve">2006_1997</t>
  </si>
  <si>
    <t xml:space="preserve">2006_1947</t>
  </si>
  <si>
    <t xml:space="preserve">2006_1954</t>
  </si>
  <si>
    <t xml:space="preserve">2006_1955</t>
  </si>
  <si>
    <t xml:space="preserve">2006_1962</t>
  </si>
  <si>
    <t xml:space="preserve">2006_1965</t>
  </si>
  <si>
    <t xml:space="preserve">2006_1973</t>
  </si>
  <si>
    <t xml:space="preserve">2006_1988</t>
  </si>
  <si>
    <t xml:space="preserve">2006_1990</t>
  </si>
  <si>
    <t xml:space="preserve">2006_1992</t>
  </si>
  <si>
    <t xml:space="preserve">2006_1994</t>
  </si>
  <si>
    <t xml:space="preserve">2006_1961</t>
  </si>
  <si>
    <t xml:space="preserve">2006_1983</t>
  </si>
  <si>
    <t xml:space="preserve">2006_1296</t>
  </si>
  <si>
    <t xml:space="preserve">Gorelaya</t>
  </si>
  <si>
    <t xml:space="preserve">2006_1307</t>
  </si>
  <si>
    <t xml:space="preserve">2006_1321</t>
  </si>
  <si>
    <t xml:space="preserve">2006_1266</t>
  </si>
  <si>
    <t xml:space="preserve">2006_1276</t>
  </si>
  <si>
    <t xml:space="preserve">2006_1277</t>
  </si>
  <si>
    <t xml:space="preserve">2006_1280</t>
  </si>
  <si>
    <t xml:space="preserve">2006_1282</t>
  </si>
  <si>
    <t xml:space="preserve">2006_1293</t>
  </si>
  <si>
    <t xml:space="preserve">2006_1299</t>
  </si>
  <si>
    <t xml:space="preserve">2006_1318</t>
  </si>
  <si>
    <t xml:space="preserve">2006_1324</t>
  </si>
  <si>
    <t xml:space="preserve">2006_1268</t>
  </si>
  <si>
    <t xml:space="preserve">2006_1291</t>
  </si>
  <si>
    <t xml:space="preserve">2006_1311</t>
  </si>
  <si>
    <t xml:space="preserve">2006_1278</t>
  </si>
  <si>
    <t xml:space="preserve">2006_1284</t>
  </si>
  <si>
    <t xml:space="preserve">2006_1312</t>
  </si>
  <si>
    <t xml:space="preserve">2006_1323</t>
  </si>
  <si>
    <t xml:space="preserve">2006_1337</t>
  </si>
  <si>
    <t xml:space="preserve">2006_1285</t>
  </si>
  <si>
    <t xml:space="preserve">2006_1292</t>
  </si>
  <si>
    <t xml:space="preserve">2006_1295</t>
  </si>
  <si>
    <t xml:space="preserve">2006_1317</t>
  </si>
  <si>
    <t xml:space="preserve">2006_1327</t>
  </si>
  <si>
    <t xml:space="preserve">2006_1335</t>
  </si>
  <si>
    <t xml:space="preserve">2006_1313</t>
  </si>
  <si>
    <t xml:space="preserve">2006_1326</t>
  </si>
  <si>
    <t xml:space="preserve">2006_1283</t>
  </si>
  <si>
    <t xml:space="preserve">2006_1270</t>
  </si>
  <si>
    <t xml:space="preserve">2006_1314</t>
  </si>
  <si>
    <t xml:space="preserve">2006_1320</t>
  </si>
  <si>
    <t xml:space="preserve">2006_1300</t>
  </si>
  <si>
    <t xml:space="preserve">2006_1269</t>
  </si>
  <si>
    <t xml:space="preserve">2006_1271</t>
  </si>
  <si>
    <t xml:space="preserve">2006_1305</t>
  </si>
  <si>
    <t xml:space="preserve">2006_1315</t>
  </si>
  <si>
    <t xml:space="preserve">2006_1316</t>
  </si>
  <si>
    <t xml:space="preserve">2006_1274</t>
  </si>
  <si>
    <t xml:space="preserve">2006_1275</t>
  </si>
  <si>
    <t xml:space="preserve">2006_1310</t>
  </si>
  <si>
    <t xml:space="preserve">2006_1286</t>
  </si>
  <si>
    <t xml:space="preserve">2006_1298</t>
  </si>
  <si>
    <t xml:space="preserve">2006_1301</t>
  </si>
  <si>
    <t xml:space="preserve">2006_1217</t>
  </si>
  <si>
    <t xml:space="preserve">Gorely</t>
  </si>
  <si>
    <t xml:space="preserve">2006_1228</t>
  </si>
  <si>
    <t xml:space="preserve">2006_1258</t>
  </si>
  <si>
    <t xml:space="preserve">2006_803</t>
  </si>
  <si>
    <t xml:space="preserve">2006_1202</t>
  </si>
  <si>
    <t xml:space="preserve">2006_1204</t>
  </si>
  <si>
    <t xml:space="preserve">2006_1219</t>
  </si>
  <si>
    <t xml:space="preserve">2006_1220</t>
  </si>
  <si>
    <t xml:space="preserve">2006_1223</t>
  </si>
  <si>
    <t xml:space="preserve">2006_1224</t>
  </si>
  <si>
    <t xml:space="preserve">2006_1225</t>
  </si>
  <si>
    <t xml:space="preserve">2006_1226</t>
  </si>
  <si>
    <t xml:space="preserve">2006_1246</t>
  </si>
  <si>
    <t xml:space="preserve">2006_1248</t>
  </si>
  <si>
    <t xml:space="preserve">2006_1250</t>
  </si>
  <si>
    <t xml:space="preserve">2006_1260</t>
  </si>
  <si>
    <t xml:space="preserve">2006_1186</t>
  </si>
  <si>
    <t xml:space="preserve">2006_1203</t>
  </si>
  <si>
    <t xml:space="preserve">2006_1214</t>
  </si>
  <si>
    <t xml:space="preserve">2006_1215</t>
  </si>
  <si>
    <t xml:space="preserve">2006_1216</t>
  </si>
  <si>
    <t xml:space="preserve">2006_1230</t>
  </si>
  <si>
    <t xml:space="preserve">2006_1245</t>
  </si>
  <si>
    <t xml:space="preserve">2006_1247</t>
  </si>
  <si>
    <t xml:space="preserve">2006_1249</t>
  </si>
  <si>
    <t xml:space="preserve">2006_1185</t>
  </si>
  <si>
    <t xml:space="preserve">2006_1207</t>
  </si>
  <si>
    <t xml:space="preserve">2006_1211</t>
  </si>
  <si>
    <t xml:space="preserve">2006_1221</t>
  </si>
  <si>
    <t xml:space="preserve">2006_1233</t>
  </si>
  <si>
    <t xml:space="preserve">2006_1239</t>
  </si>
  <si>
    <t xml:space="preserve">2006_1251</t>
  </si>
  <si>
    <t xml:space="preserve">2006_1259</t>
  </si>
  <si>
    <t xml:space="preserve">2006_1261</t>
  </si>
  <si>
    <t xml:space="preserve">2006_1208</t>
  </si>
  <si>
    <t xml:space="preserve">2006_1209</t>
  </si>
  <si>
    <t xml:space="preserve">2006_1210</t>
  </si>
  <si>
    <t xml:space="preserve">2006_1218</t>
  </si>
  <si>
    <t xml:space="preserve">2006_1222</t>
  </si>
  <si>
    <t xml:space="preserve">2006_1193</t>
  </si>
  <si>
    <t xml:space="preserve">2006_1206</t>
  </si>
  <si>
    <t xml:space="preserve">2006_1235</t>
  </si>
  <si>
    <t xml:space="preserve">2006_1236</t>
  </si>
  <si>
    <t xml:space="preserve">2006_1252</t>
  </si>
  <si>
    <t xml:space="preserve">2006_1256</t>
  </si>
  <si>
    <t xml:space="preserve">2006_1232</t>
  </si>
  <si>
    <t xml:space="preserve">2006_1200</t>
  </si>
  <si>
    <t xml:space="preserve">2006_1201</t>
  </si>
  <si>
    <t xml:space="preserve">2006_1241</t>
  </si>
  <si>
    <t xml:space="preserve">2006_1254</t>
  </si>
  <si>
    <t xml:space="preserve">2006_1243</t>
  </si>
  <si>
    <t xml:space="preserve">2006_801</t>
  </si>
  <si>
    <t xml:space="preserve">2006_802</t>
  </si>
  <si>
    <t xml:space="preserve">2006_1227</t>
  </si>
  <si>
    <t xml:space="preserve">2006_1238</t>
  </si>
  <si>
    <t xml:space="preserve">2006_1240</t>
  </si>
  <si>
    <t xml:space="preserve">2006_1485</t>
  </si>
  <si>
    <t xml:space="preserve">II Aphanaska</t>
  </si>
  <si>
    <t xml:space="preserve">2006_1502</t>
  </si>
  <si>
    <t xml:space="preserve">2006_1512</t>
  </si>
  <si>
    <t xml:space="preserve">2006_1539</t>
  </si>
  <si>
    <t xml:space="preserve">2006_1483</t>
  </si>
  <si>
    <t xml:space="preserve">2006_1490</t>
  </si>
  <si>
    <t xml:space="preserve">2006_1495</t>
  </si>
  <si>
    <t xml:space="preserve">2006_1500</t>
  </si>
  <si>
    <t xml:space="preserve">2006_1503</t>
  </si>
  <si>
    <t xml:space="preserve">2006_1509</t>
  </si>
  <si>
    <t xml:space="preserve">2006_1513</t>
  </si>
  <si>
    <t xml:space="preserve">2006_1540</t>
  </si>
  <si>
    <t xml:space="preserve">2006_1543</t>
  </si>
  <si>
    <t xml:space="preserve">2006_1550</t>
  </si>
  <si>
    <t xml:space="preserve">2006_1478</t>
  </si>
  <si>
    <t xml:space="preserve">2006_1482</t>
  </si>
  <si>
    <t xml:space="preserve">2006_1501</t>
  </si>
  <si>
    <t xml:space="preserve">2006_1508</t>
  </si>
  <si>
    <t xml:space="preserve">2006_1522</t>
  </si>
  <si>
    <t xml:space="preserve">2006_1524</t>
  </si>
  <si>
    <t xml:space="preserve">2006_1546</t>
  </si>
  <si>
    <t xml:space="preserve">2006_1549</t>
  </si>
  <si>
    <t xml:space="preserve">2006_1480</t>
  </si>
  <si>
    <t xml:space="preserve">2006_1481</t>
  </si>
  <si>
    <t xml:space="preserve">2006_1487</t>
  </si>
  <si>
    <t xml:space="preserve">2006_1505</t>
  </si>
  <si>
    <t xml:space="preserve">2006_1506</t>
  </si>
  <si>
    <t xml:space="preserve">2006_1507</t>
  </si>
  <si>
    <t xml:space="preserve">2006_1514</t>
  </si>
  <si>
    <t xml:space="preserve">2006_1521</t>
  </si>
  <si>
    <t xml:space="preserve">2006_1523</t>
  </si>
  <si>
    <t xml:space="preserve">2006_1491</t>
  </si>
  <si>
    <t xml:space="preserve">2006_1530</t>
  </si>
  <si>
    <t xml:space="preserve">2006_1535</t>
  </si>
  <si>
    <t xml:space="preserve">2006_1479</t>
  </si>
  <si>
    <t xml:space="preserve">2006_1526</t>
  </si>
  <si>
    <t xml:space="preserve">2006_1528</t>
  </si>
  <si>
    <t xml:space="preserve">2006_1496</t>
  </si>
  <si>
    <t xml:space="preserve">2006_1497</t>
  </si>
  <si>
    <t xml:space="preserve">2006_1529</t>
  </si>
  <si>
    <t xml:space="preserve">2006_1536</t>
  </si>
  <si>
    <t xml:space="preserve">2006_1484</t>
  </si>
  <si>
    <t xml:space="preserve">2006_1488</t>
  </si>
  <si>
    <t xml:space="preserve">2006_1489</t>
  </si>
  <si>
    <t xml:space="preserve">2006_1499</t>
  </si>
  <si>
    <t xml:space="preserve">2006_1515</t>
  </si>
  <si>
    <t xml:space="preserve">2006_1527</t>
  </si>
  <si>
    <t xml:space="preserve">2006_1531</t>
  </si>
  <si>
    <t xml:space="preserve">2006_1534</t>
  </si>
  <si>
    <t xml:space="preserve">2006_1537</t>
  </si>
  <si>
    <t xml:space="preserve">2006_1538</t>
  </si>
  <si>
    <t xml:space="preserve">2006_1541</t>
  </si>
  <si>
    <t xml:space="preserve">2006_1548</t>
  </si>
  <si>
    <t xml:space="preserve">2006_2090</t>
  </si>
  <si>
    <t xml:space="preserve">Irinka</t>
  </si>
  <si>
    <t xml:space="preserve">2006_2104</t>
  </si>
  <si>
    <t xml:space="preserve">2006_2102</t>
  </si>
  <si>
    <t xml:space="preserve">2006_2103</t>
  </si>
  <si>
    <t xml:space="preserve">2006_2082</t>
  </si>
  <si>
    <t xml:space="preserve">2006_2097</t>
  </si>
  <si>
    <t xml:space="preserve">2006_2105</t>
  </si>
  <si>
    <t xml:space="preserve">2006_036</t>
  </si>
  <si>
    <t xml:space="preserve">Klop Vostochny</t>
  </si>
  <si>
    <t xml:space="preserve">2006_798</t>
  </si>
  <si>
    <t xml:space="preserve">Kozhanikha</t>
  </si>
  <si>
    <t xml:space="preserve">2006_797</t>
  </si>
  <si>
    <t xml:space="preserve">2006_800</t>
  </si>
  <si>
    <t xml:space="preserve">2006_799</t>
  </si>
  <si>
    <t xml:space="preserve">2006_911</t>
  </si>
  <si>
    <t xml:space="preserve">Krasotka</t>
  </si>
  <si>
    <t xml:space="preserve">2006_892</t>
  </si>
  <si>
    <t xml:space="preserve">2006_895</t>
  </si>
  <si>
    <t xml:space="preserve">2006_899</t>
  </si>
  <si>
    <t xml:space="preserve">2006_900</t>
  </si>
  <si>
    <t xml:space="preserve">2006_909</t>
  </si>
  <si>
    <t xml:space="preserve">2006_912</t>
  </si>
  <si>
    <t xml:space="preserve">2006_916</t>
  </si>
  <si>
    <t xml:space="preserve">2006_923</t>
  </si>
  <si>
    <t xml:space="preserve">2006_891</t>
  </si>
  <si>
    <t xml:space="preserve">2006_901</t>
  </si>
  <si>
    <t xml:space="preserve">2006_915</t>
  </si>
  <si>
    <t xml:space="preserve">2006_898</t>
  </si>
  <si>
    <t xml:space="preserve">2006_894</t>
  </si>
  <si>
    <t xml:space="preserve">2006_908</t>
  </si>
  <si>
    <t xml:space="preserve">2006_906</t>
  </si>
  <si>
    <t xml:space="preserve">2006_893</t>
  </si>
  <si>
    <t xml:space="preserve">2006_905</t>
  </si>
  <si>
    <t xml:space="preserve">2006_922</t>
  </si>
  <si>
    <t xml:space="preserve">2006_903</t>
  </si>
  <si>
    <t xml:space="preserve">2006_913</t>
  </si>
  <si>
    <t xml:space="preserve">2006_917</t>
  </si>
  <si>
    <t xml:space="preserve">2006_918</t>
  </si>
  <si>
    <t xml:space="preserve">2006_877</t>
  </si>
  <si>
    <t xml:space="preserve">Krayushka</t>
  </si>
  <si>
    <t xml:space="preserve">2006_875</t>
  </si>
  <si>
    <t xml:space="preserve">2006_872</t>
  </si>
  <si>
    <t xml:space="preserve">2006_873</t>
  </si>
  <si>
    <t xml:space="preserve">2006_874</t>
  </si>
  <si>
    <t xml:space="preserve">2006_876</t>
  </si>
  <si>
    <t xml:space="preserve">2006_878</t>
  </si>
  <si>
    <t xml:space="preserve">2006_010</t>
  </si>
  <si>
    <t xml:space="preserve">Krestik Pribrezhny</t>
  </si>
  <si>
    <t xml:space="preserve">2006_199</t>
  </si>
  <si>
    <t xml:space="preserve">Krestovy Bolshoy</t>
  </si>
  <si>
    <t xml:space="preserve">2006_198</t>
  </si>
  <si>
    <t xml:space="preserve">2006_002</t>
  </si>
  <si>
    <t xml:space="preserve">Krestovy Maly</t>
  </si>
  <si>
    <t xml:space="preserve">2006_796</t>
  </si>
  <si>
    <t xml:space="preserve">Kurtyazhny Maly</t>
  </si>
  <si>
    <t xml:space="preserve">2006_1176</t>
  </si>
  <si>
    <t xml:space="preserve">Lozmanskaya</t>
  </si>
  <si>
    <t xml:space="preserve">2006_1166</t>
  </si>
  <si>
    <t xml:space="preserve">2006_1161</t>
  </si>
  <si>
    <t xml:space="preserve">2006_1175</t>
  </si>
  <si>
    <t xml:space="preserve">2006_1184</t>
  </si>
  <si>
    <t xml:space="preserve">2006_1158</t>
  </si>
  <si>
    <t xml:space="preserve">2006_1178</t>
  </si>
  <si>
    <t xml:space="preserve">2006_1182</t>
  </si>
  <si>
    <t xml:space="preserve">2006_1162</t>
  </si>
  <si>
    <t xml:space="preserve">2006_1163</t>
  </si>
  <si>
    <t xml:space="preserve">2006_1164</t>
  </si>
  <si>
    <t xml:space="preserve">2006_1165</t>
  </si>
  <si>
    <t xml:space="preserve">2006_1167</t>
  </si>
  <si>
    <t xml:space="preserve">2006_1169</t>
  </si>
  <si>
    <t xml:space="preserve">2006_1171</t>
  </si>
  <si>
    <t xml:space="preserve">2006_1172</t>
  </si>
  <si>
    <t xml:space="preserve">2006_1173</t>
  </si>
  <si>
    <t xml:space="preserve">2006_1174</t>
  </si>
  <si>
    <t xml:space="preserve">2006_1181</t>
  </si>
  <si>
    <t xml:space="preserve">2006_1772</t>
  </si>
  <si>
    <t xml:space="preserve">Lynnye</t>
  </si>
  <si>
    <t xml:space="preserve">2006_1791</t>
  </si>
  <si>
    <t xml:space="preserve">2006_1793</t>
  </si>
  <si>
    <t xml:space="preserve">2006_1789</t>
  </si>
  <si>
    <t xml:space="preserve">2006_1790</t>
  </si>
  <si>
    <t xml:space="preserve">2006_1776</t>
  </si>
  <si>
    <t xml:space="preserve">2006_1769</t>
  </si>
  <si>
    <t xml:space="preserve">2006_1792</t>
  </si>
  <si>
    <t xml:space="preserve">2006_1774</t>
  </si>
  <si>
    <t xml:space="preserve">2006_397</t>
  </si>
  <si>
    <t xml:space="preserve">Maly</t>
  </si>
  <si>
    <t xml:space="preserve">2006_371</t>
  </si>
  <si>
    <t xml:space="preserve">2006_374</t>
  </si>
  <si>
    <t xml:space="preserve">2006_387</t>
  </si>
  <si>
    <t xml:space="preserve">2006_395</t>
  </si>
  <si>
    <t xml:space="preserve">2006_396</t>
  </si>
  <si>
    <t xml:space="preserve">2006_474</t>
  </si>
  <si>
    <t xml:space="preserve">2006_496</t>
  </si>
  <si>
    <t xml:space="preserve">2006_559</t>
  </si>
  <si>
    <t xml:space="preserve">2006_582</t>
  </si>
  <si>
    <t xml:space="preserve">2006_583</t>
  </si>
  <si>
    <t xml:space="preserve">2006_615</t>
  </si>
  <si>
    <t xml:space="preserve">2006_475</t>
  </si>
  <si>
    <t xml:space="preserve">2006_491</t>
  </si>
  <si>
    <t xml:space="preserve">2006_472</t>
  </si>
  <si>
    <t xml:space="preserve">2006_542</t>
  </si>
  <si>
    <t xml:space="preserve">2006_415</t>
  </si>
  <si>
    <t xml:space="preserve">2006_527</t>
  </si>
  <si>
    <t xml:space="preserve">2006_413</t>
  </si>
  <si>
    <t xml:space="preserve">2006_383</t>
  </si>
  <si>
    <t xml:space="preserve">2006_386</t>
  </si>
  <si>
    <t xml:space="preserve">2006_471</t>
  </si>
  <si>
    <t xml:space="preserve">2006_488</t>
  </si>
  <si>
    <t xml:space="preserve">2006_399</t>
  </si>
  <si>
    <t xml:space="preserve">2006_886</t>
  </si>
  <si>
    <t xml:space="preserve">Moryanka</t>
  </si>
  <si>
    <t xml:space="preserve">2006_888</t>
  </si>
  <si>
    <t xml:space="preserve">2006_889</t>
  </si>
  <si>
    <t xml:space="preserve">2006_882</t>
  </si>
  <si>
    <t xml:space="preserve">2006_887</t>
  </si>
  <si>
    <t xml:space="preserve">2006_890</t>
  </si>
  <si>
    <t xml:space="preserve">2006_879</t>
  </si>
  <si>
    <t xml:space="preserve">2006_885</t>
  </si>
  <si>
    <t xml:space="preserve">2006_884</t>
  </si>
  <si>
    <t xml:space="preserve">2006_883</t>
  </si>
  <si>
    <t xml:space="preserve">2006_795</t>
  </si>
  <si>
    <t xml:space="preserve">Nataljina</t>
  </si>
  <si>
    <t xml:space="preserve">2006_017</t>
  </si>
  <si>
    <t xml:space="preserve">Olenyok Mohnaty</t>
  </si>
  <si>
    <t xml:space="preserve">2006_018</t>
  </si>
  <si>
    <t xml:space="preserve">2006_043</t>
  </si>
  <si>
    <t xml:space="preserve">Ovchinka</t>
  </si>
  <si>
    <t xml:space="preserve">2006_042</t>
  </si>
  <si>
    <t xml:space="preserve">2006_047</t>
  </si>
  <si>
    <t xml:space="preserve">2006_040</t>
  </si>
  <si>
    <t xml:space="preserve">2006_039</t>
  </si>
  <si>
    <t xml:space="preserve">2006_118</t>
  </si>
  <si>
    <t xml:space="preserve">Ovechka Bolshaya</t>
  </si>
  <si>
    <t xml:space="preserve">2006_128</t>
  </si>
  <si>
    <t xml:space="preserve">2006_120</t>
  </si>
  <si>
    <t xml:space="preserve">2006_122</t>
  </si>
  <si>
    <t xml:space="preserve">2006_130</t>
  </si>
  <si>
    <t xml:space="preserve">2006_117</t>
  </si>
  <si>
    <t xml:space="preserve">2006_131</t>
  </si>
  <si>
    <t xml:space="preserve">2006_121</t>
  </si>
  <si>
    <t xml:space="preserve">2006_125</t>
  </si>
  <si>
    <t xml:space="preserve">2006_133</t>
  </si>
  <si>
    <t xml:space="preserve">2006_126</t>
  </si>
  <si>
    <t xml:space="preserve">2006_025</t>
  </si>
  <si>
    <t xml:space="preserve">Ovechka Chumazaya</t>
  </si>
  <si>
    <t xml:space="preserve">2006_020</t>
  </si>
  <si>
    <t xml:space="preserve">2006_107</t>
  </si>
  <si>
    <t xml:space="preserve">Ovechka Kroshka</t>
  </si>
  <si>
    <t xml:space="preserve">2006_110</t>
  </si>
  <si>
    <t xml:space="preserve">2006_105</t>
  </si>
  <si>
    <t xml:space="preserve">2006_106</t>
  </si>
  <si>
    <t xml:space="preserve">2006_104</t>
  </si>
  <si>
    <t xml:space="preserve">2006_097</t>
  </si>
  <si>
    <t xml:space="preserve">Ovechka Srednyaya</t>
  </si>
  <si>
    <t xml:space="preserve">2006_096</t>
  </si>
  <si>
    <t xml:space="preserve">2006_100</t>
  </si>
  <si>
    <t xml:space="preserve">2006_099</t>
  </si>
  <si>
    <t xml:space="preserve">2006_098</t>
  </si>
  <si>
    <t xml:space="preserve">2006_101</t>
  </si>
  <si>
    <t xml:space="preserve">2006_165</t>
  </si>
  <si>
    <t xml:space="preserve">Ovechka Toschaya</t>
  </si>
  <si>
    <t xml:space="preserve">2006_149</t>
  </si>
  <si>
    <t xml:space="preserve">2006_162</t>
  </si>
  <si>
    <t xml:space="preserve">2006_155</t>
  </si>
  <si>
    <t xml:space="preserve">2006_139</t>
  </si>
  <si>
    <t xml:space="preserve">2006_141</t>
  </si>
  <si>
    <t xml:space="preserve">2006_150</t>
  </si>
  <si>
    <t xml:space="preserve">2006_153</t>
  </si>
  <si>
    <t xml:space="preserve">2006_163</t>
  </si>
  <si>
    <t xml:space="preserve">2006_138</t>
  </si>
  <si>
    <t xml:space="preserve">2006_143</t>
  </si>
  <si>
    <t xml:space="preserve">2006_152</t>
  </si>
  <si>
    <t xml:space="preserve">2006_164</t>
  </si>
  <si>
    <t xml:space="preserve">2006_156</t>
  </si>
  <si>
    <t xml:space="preserve">2006_159</t>
  </si>
  <si>
    <t xml:space="preserve">2006_142</t>
  </si>
  <si>
    <t xml:space="preserve">2006_157</t>
  </si>
  <si>
    <t xml:space="preserve">2006_147</t>
  </si>
  <si>
    <t xml:space="preserve">2006_151</t>
  </si>
  <si>
    <t xml:space="preserve">2006_146</t>
  </si>
  <si>
    <t xml:space="preserve">2006_160</t>
  </si>
  <si>
    <t xml:space="preserve">2006_161</t>
  </si>
  <si>
    <t xml:space="preserve">2006_145</t>
  </si>
  <si>
    <t xml:space="preserve">2006_154</t>
  </si>
  <si>
    <t xml:space="preserve">2006_341</t>
  </si>
  <si>
    <t xml:space="preserve">Ovechy</t>
  </si>
  <si>
    <t xml:space="preserve">2006_343</t>
  </si>
  <si>
    <t xml:space="preserve">2006_357</t>
  </si>
  <si>
    <t xml:space="preserve">2006_362</t>
  </si>
  <si>
    <t xml:space="preserve">2006_349</t>
  </si>
  <si>
    <t xml:space="preserve">2006_356</t>
  </si>
  <si>
    <t xml:space="preserve">2006_342</t>
  </si>
  <si>
    <t xml:space="preserve">2006_345</t>
  </si>
  <si>
    <t xml:space="preserve">2006_353</t>
  </si>
  <si>
    <t xml:space="preserve">2006_358</t>
  </si>
  <si>
    <t xml:space="preserve">2006_360</t>
  </si>
  <si>
    <t xml:space="preserve">2006_361</t>
  </si>
  <si>
    <t xml:space="preserve">2006_057</t>
  </si>
  <si>
    <t xml:space="preserve">Ovechy Baklysh</t>
  </si>
  <si>
    <t xml:space="preserve">2006_2112</t>
  </si>
  <si>
    <t xml:space="preserve">Peschanka</t>
  </si>
  <si>
    <t xml:space="preserve">2006_2122</t>
  </si>
  <si>
    <t xml:space="preserve">2006_2127</t>
  </si>
  <si>
    <t xml:space="preserve">2006_2162</t>
  </si>
  <si>
    <t xml:space="preserve">2006_2121</t>
  </si>
  <si>
    <t xml:space="preserve">2006_2124</t>
  </si>
  <si>
    <t xml:space="preserve">2006_2126</t>
  </si>
  <si>
    <t xml:space="preserve">2006_2128</t>
  </si>
  <si>
    <t xml:space="preserve">2006_2129</t>
  </si>
  <si>
    <t xml:space="preserve">2006_2137</t>
  </si>
  <si>
    <t xml:space="preserve">2006_2139</t>
  </si>
  <si>
    <t xml:space="preserve">2006_2147</t>
  </si>
  <si>
    <t xml:space="preserve">2006_2115</t>
  </si>
  <si>
    <t xml:space="preserve">2006_2146</t>
  </si>
  <si>
    <t xml:space="preserve">2006_2152</t>
  </si>
  <si>
    <t xml:space="preserve">2006_2153</t>
  </si>
  <si>
    <t xml:space="preserve">2006_2114</t>
  </si>
  <si>
    <t xml:space="preserve">2006_2138</t>
  </si>
  <si>
    <t xml:space="preserve">2006_2140</t>
  </si>
  <si>
    <t xml:space="preserve">2006_2143</t>
  </si>
  <si>
    <t xml:space="preserve">2006_2154</t>
  </si>
  <si>
    <t xml:space="preserve">2006_2144</t>
  </si>
  <si>
    <t xml:space="preserve">2006_2149</t>
  </si>
  <si>
    <t xml:space="preserve">2006_2160</t>
  </si>
  <si>
    <t xml:space="preserve">2006_077</t>
  </si>
  <si>
    <t xml:space="preserve">Sennaya Juzhnaya</t>
  </si>
  <si>
    <t xml:space="preserve">2006_079</t>
  </si>
  <si>
    <t xml:space="preserve">2006_084</t>
  </si>
  <si>
    <t xml:space="preserve">2006_071</t>
  </si>
  <si>
    <t xml:space="preserve">2006_194</t>
  </si>
  <si>
    <t xml:space="preserve">Sennaya Severnaya</t>
  </si>
  <si>
    <t xml:space="preserve">2006_1455</t>
  </si>
  <si>
    <t xml:space="preserve">Skalistaya</t>
  </si>
  <si>
    <t xml:space="preserve">2006_1443</t>
  </si>
  <si>
    <t xml:space="preserve">2006_1446</t>
  </si>
  <si>
    <t xml:space="preserve">2006_1463</t>
  </si>
  <si>
    <t xml:space="preserve">2006_1467</t>
  </si>
  <si>
    <t xml:space="preserve">2006_1441</t>
  </si>
  <si>
    <t xml:space="preserve">2006_1465</t>
  </si>
  <si>
    <t xml:space="preserve">2006_1468</t>
  </si>
  <si>
    <t xml:space="preserve">2006_1453</t>
  </si>
  <si>
    <t xml:space="preserve">2006_1459</t>
  </si>
  <si>
    <t xml:space="preserve">2006_1469</t>
  </si>
  <si>
    <t xml:space="preserve">2006_1460</t>
  </si>
  <si>
    <t xml:space="preserve">2006_1448</t>
  </si>
  <si>
    <t xml:space="preserve">2006_1452</t>
  </si>
  <si>
    <t xml:space="preserve">2006_1450</t>
  </si>
  <si>
    <t xml:space="preserve">2006_1456</t>
  </si>
  <si>
    <t xml:space="preserve">2006_1464</t>
  </si>
  <si>
    <t xml:space="preserve">2006_1466</t>
  </si>
  <si>
    <t xml:space="preserve">2006_1476</t>
  </si>
  <si>
    <t xml:space="preserve">Stolbovaya</t>
  </si>
  <si>
    <t xml:space="preserve">2006_1473</t>
  </si>
  <si>
    <t xml:space="preserve">2006_1475</t>
  </si>
  <si>
    <t xml:space="preserve">2006_1907</t>
  </si>
  <si>
    <t xml:space="preserve">Sumerechnaya Ploskaya</t>
  </si>
  <si>
    <t xml:space="preserve">2006_1894</t>
  </si>
  <si>
    <t xml:space="preserve">2006_1902</t>
  </si>
  <si>
    <t xml:space="preserve">2006_1912</t>
  </si>
  <si>
    <t xml:space="preserve">2006_1915</t>
  </si>
  <si>
    <t xml:space="preserve">2006_1886</t>
  </si>
  <si>
    <t xml:space="preserve">2006_1916</t>
  </si>
  <si>
    <t xml:space="preserve">2006_1928</t>
  </si>
  <si>
    <t xml:space="preserve">Sumerechnaya Skala</t>
  </si>
  <si>
    <t xml:space="preserve">2006_1927</t>
  </si>
  <si>
    <t xml:space="preserve">2006_1924</t>
  </si>
  <si>
    <t xml:space="preserve">2006_1923</t>
  </si>
  <si>
    <t xml:space="preserve">2006_1929</t>
  </si>
  <si>
    <t xml:space="preserve">2006_179</t>
  </si>
  <si>
    <t xml:space="preserve">Toloknyanka Juzhnaya</t>
  </si>
  <si>
    <t xml:space="preserve">2006_180</t>
  </si>
  <si>
    <t xml:space="preserve">2006_188</t>
  </si>
  <si>
    <t xml:space="preserve">Toloknyanka Severnaya</t>
  </si>
  <si>
    <t xml:space="preserve">2006_190</t>
  </si>
  <si>
    <t xml:space="preserve">2006_185</t>
  </si>
  <si>
    <t xml:space="preserve">2006_187</t>
  </si>
  <si>
    <t xml:space="preserve">2006_189</t>
  </si>
  <si>
    <t xml:space="preserve">2006_172</t>
  </si>
  <si>
    <t xml:space="preserve">Tolokonnica Bolshaya</t>
  </si>
  <si>
    <t xml:space="preserve">2006_176</t>
  </si>
  <si>
    <t xml:space="preserve">Tolokonnica Malaya</t>
  </si>
  <si>
    <t xml:space="preserve">2006_196</t>
  </si>
  <si>
    <t xml:space="preserve">Tonechka Severnaya</t>
  </si>
  <si>
    <t xml:space="preserve">2006_213</t>
  </si>
  <si>
    <t xml:space="preserve">Tonnaya</t>
  </si>
  <si>
    <t xml:space="preserve">2006_219</t>
  </si>
  <si>
    <t xml:space="preserve">2006_934</t>
  </si>
  <si>
    <t xml:space="preserve">Travyanaya  </t>
  </si>
  <si>
    <t xml:space="preserve">2006_928</t>
  </si>
  <si>
    <t xml:space="preserve">2006_931</t>
  </si>
  <si>
    <t xml:space="preserve">2006_932</t>
  </si>
  <si>
    <t xml:space="preserve">2006_933</t>
  </si>
  <si>
    <t xml:space="preserve">2006_927</t>
  </si>
  <si>
    <t xml:space="preserve">2006_924</t>
  </si>
  <si>
    <t xml:space="preserve">Travyanaya Litoralnaya</t>
  </si>
  <si>
    <t xml:space="preserve">2006_827</t>
  </si>
  <si>
    <t xml:space="preserve">Vlada</t>
  </si>
  <si>
    <t xml:space="preserve">2006_834</t>
  </si>
  <si>
    <t xml:space="preserve">2006_817</t>
  </si>
  <si>
    <t xml:space="preserve">2006_823</t>
  </si>
  <si>
    <t xml:space="preserve">2006_829</t>
  </si>
  <si>
    <t xml:space="preserve">2006_832</t>
  </si>
  <si>
    <t xml:space="preserve">2006_835</t>
  </si>
  <si>
    <t xml:space="preserve">2006_836</t>
  </si>
  <si>
    <t xml:space="preserve">2006_820</t>
  </si>
  <si>
    <t xml:space="preserve">2006_830</t>
  </si>
  <si>
    <t xml:space="preserve">2006_857</t>
  </si>
  <si>
    <t xml:space="preserve">Vlasikha Malaya</t>
  </si>
  <si>
    <t xml:space="preserve">2006_852</t>
  </si>
  <si>
    <t xml:space="preserve">2006_855</t>
  </si>
  <si>
    <t xml:space="preserve">2006_774</t>
  </si>
  <si>
    <t xml:space="preserve">Vlasov Krugly</t>
  </si>
  <si>
    <t xml:space="preserve">2006_2045</t>
  </si>
  <si>
    <t xml:space="preserve">Voronichnaya</t>
  </si>
  <si>
    <t xml:space="preserve">2006_2075</t>
  </si>
  <si>
    <t xml:space="preserve">2006_2078</t>
  </si>
  <si>
    <t xml:space="preserve">2006_2012</t>
  </si>
  <si>
    <t xml:space="preserve">2006_2080</t>
  </si>
  <si>
    <t xml:space="preserve">2006_2017</t>
  </si>
  <si>
    <t xml:space="preserve">2006_2038</t>
  </si>
  <si>
    <t xml:space="preserve">2006_2041</t>
  </si>
  <si>
    <t xml:space="preserve">2006_2056</t>
  </si>
  <si>
    <t xml:space="preserve">2006_2064</t>
  </si>
  <si>
    <t xml:space="preserve">2006_2068</t>
  </si>
  <si>
    <t xml:space="preserve">2006_2069</t>
  </si>
  <si>
    <t xml:space="preserve">2006_2030</t>
  </si>
  <si>
    <t xml:space="preserve">2006_2046</t>
  </si>
  <si>
    <t xml:space="preserve">2006_2048</t>
  </si>
  <si>
    <t xml:space="preserve">2006_2051</t>
  </si>
  <si>
    <t xml:space="preserve">2006_2050</t>
  </si>
  <si>
    <t xml:space="preserve">2006_2007</t>
  </si>
  <si>
    <t xml:space="preserve">2006_2047</t>
  </si>
  <si>
    <t xml:space="preserve">2006_2052</t>
  </si>
  <si>
    <t xml:space="preserve">2006_2062</t>
  </si>
  <si>
    <t xml:space="preserve">2006_212</t>
  </si>
  <si>
    <t xml:space="preserve">Voronichnica Bolshaya</t>
  </si>
  <si>
    <t xml:space="preserve">2006_007</t>
  </si>
  <si>
    <t xml:space="preserve">Voronichnik Vostochny</t>
  </si>
  <si>
    <t xml:space="preserve">2006_006</t>
  </si>
  <si>
    <t xml:space="preserve">2006_1578</t>
  </si>
  <si>
    <t xml:space="preserve">Vorony Baklysh</t>
  </si>
  <si>
    <t xml:space="preserve">2006_1579</t>
  </si>
  <si>
    <t xml:space="preserve">2006_1582</t>
  </si>
  <si>
    <t xml:space="preserve">2006_1585</t>
  </si>
  <si>
    <t xml:space="preserve">2006_1583</t>
  </si>
  <si>
    <t xml:space="preserve">2006_1588</t>
  </si>
  <si>
    <t xml:space="preserve">2006_845</t>
  </si>
  <si>
    <t xml:space="preserve">Vyskochka</t>
  </si>
  <si>
    <t xml:space="preserve">2006_851</t>
  </si>
  <si>
    <t xml:space="preserve">2006_844</t>
  </si>
  <si>
    <t xml:space="preserve">Угол наклона</t>
  </si>
  <si>
    <t xml:space="preserve">дни</t>
  </si>
  <si>
    <t xml:space="preserve">Диаметр надводной части</t>
  </si>
  <si>
    <t xml:space="preserve">звездочка</t>
  </si>
  <si>
    <t xml:space="preserve">проклев</t>
  </si>
  <si>
    <t xml:space="preserve">вылупление</t>
  </si>
  <si>
    <t xml:space="preserve">ОтнИндексBида</t>
  </si>
  <si>
    <t xml:space="preserve">ЛатНазвВида</t>
  </si>
  <si>
    <t xml:space="preserve">РусНазвВида</t>
  </si>
  <si>
    <t xml:space="preserve">AVE-01-001</t>
  </si>
  <si>
    <t xml:space="preserve">Gavia stellata </t>
  </si>
  <si>
    <t xml:space="preserve">Краснозобая гагара</t>
  </si>
  <si>
    <t xml:space="preserve">AVE-01-002</t>
  </si>
  <si>
    <t xml:space="preserve">Gavia arctica </t>
  </si>
  <si>
    <t xml:space="preserve">Чернозобая гагара</t>
  </si>
  <si>
    <t xml:space="preserve">AVE-01-004</t>
  </si>
  <si>
    <t xml:space="preserve">Gavia immer </t>
  </si>
  <si>
    <t xml:space="preserve">Черноклювая гагара</t>
  </si>
  <si>
    <t xml:space="preserve">AVE-01-005</t>
  </si>
  <si>
    <t xml:space="preserve">Gavia adamsii </t>
  </si>
  <si>
    <t xml:space="preserve">Белоклювая  гагара</t>
  </si>
  <si>
    <t xml:space="preserve">AVE-02-007</t>
  </si>
  <si>
    <t xml:space="preserve">Podiceps nigricollis</t>
  </si>
  <si>
    <t xml:space="preserve">Черношейная поганка</t>
  </si>
  <si>
    <t xml:space="preserve">AVE-02-008</t>
  </si>
  <si>
    <t xml:space="preserve">Podiceps auritus </t>
  </si>
  <si>
    <t xml:space="preserve">Красношейная поганка</t>
  </si>
  <si>
    <t xml:space="preserve">AVE-02-009</t>
  </si>
  <si>
    <t xml:space="preserve">Podiceps grisegena </t>
  </si>
  <si>
    <t xml:space="preserve">Серощекая поганка</t>
  </si>
  <si>
    <t xml:space="preserve">AVE-02-010</t>
  </si>
  <si>
    <t xml:space="preserve">Podiceps cristatus </t>
  </si>
  <si>
    <t xml:space="preserve">Большая поганка</t>
  </si>
  <si>
    <t xml:space="preserve">AVE-03-014</t>
  </si>
  <si>
    <t xml:space="preserve">Fulmarus glacialis </t>
  </si>
  <si>
    <t xml:space="preserve">Глупыш</t>
  </si>
  <si>
    <t xml:space="preserve">AVE-03-019</t>
  </si>
  <si>
    <t xml:space="preserve">Puffinus puffinus </t>
  </si>
  <si>
    <t xml:space="preserve">Малый буревестник</t>
  </si>
  <si>
    <t xml:space="preserve">AVE-03-021</t>
  </si>
  <si>
    <t xml:space="preserve">Puffinus griseus (Gmelin, 1789) СЕРЫЙ БУРЕВЕСТНИК</t>
  </si>
  <si>
    <t xml:space="preserve">Серый буревестник</t>
  </si>
  <si>
    <t xml:space="preserve">AVE-03-024</t>
  </si>
  <si>
    <t xml:space="preserve">Hydrobates pelagicus (L., 1758) ПРЯМОХВОСТАЯ КАЧУРКА</t>
  </si>
  <si>
    <t xml:space="preserve"> Прямохвостая качурка</t>
  </si>
  <si>
    <t xml:space="preserve">AVE-03-025</t>
  </si>
  <si>
    <t xml:space="preserve">Oceanodroma leucorhoa</t>
  </si>
  <si>
    <t xml:space="preserve">Северная качурка</t>
  </si>
  <si>
    <t xml:space="preserve">AVE-04-02N</t>
  </si>
  <si>
    <t xml:space="preserve">Fregata magnificens</t>
  </si>
  <si>
    <t xml:space="preserve">Великолепный фрегат</t>
  </si>
  <si>
    <t xml:space="preserve">AVE-04-032</t>
  </si>
  <si>
    <t xml:space="preserve">Sula bassana </t>
  </si>
  <si>
    <t xml:space="preserve">Северная  олуша</t>
  </si>
  <si>
    <t xml:space="preserve">AVE-04-034</t>
  </si>
  <si>
    <t xml:space="preserve">Phalocrocorax carbo</t>
  </si>
  <si>
    <t xml:space="preserve">Большой баклан</t>
  </si>
  <si>
    <t xml:space="preserve">AVE-04-039</t>
  </si>
  <si>
    <t xml:space="preserve">Phalocrocorax aristotelis</t>
  </si>
  <si>
    <t xml:space="preserve">Хохлатый баклан</t>
  </si>
  <si>
    <t xml:space="preserve">AVE-05-051</t>
  </si>
  <si>
    <t xml:space="preserve">Egretta alba</t>
  </si>
  <si>
    <t xml:space="preserve">Большая белая цапля</t>
  </si>
  <si>
    <t xml:space="preserve">AVE-05-055</t>
  </si>
  <si>
    <t xml:space="preserve">Ardea cinerea</t>
  </si>
  <si>
    <t xml:space="preserve">Серая цапля </t>
  </si>
  <si>
    <t xml:space="preserve">AVE-05-058</t>
  </si>
  <si>
    <t xml:space="preserve">Plegadis falcinellus</t>
  </si>
  <si>
    <t xml:space="preserve">Каравайка</t>
  </si>
  <si>
    <t xml:space="preserve">AVE-05-062</t>
  </si>
  <si>
    <t xml:space="preserve">Ciconia ciconia</t>
  </si>
  <si>
    <t xml:space="preserve">Белый аист</t>
  </si>
  <si>
    <t xml:space="preserve">AVE-07-066</t>
  </si>
  <si>
    <t xml:space="preserve">Branta canadensis</t>
  </si>
  <si>
    <t xml:space="preserve">Канадская казарка</t>
  </si>
  <si>
    <t xml:space="preserve">AVE-07-067</t>
  </si>
  <si>
    <t xml:space="preserve">Branta leucopsis</t>
  </si>
  <si>
    <t xml:space="preserve">Белощекая кaзарка</t>
  </si>
  <si>
    <t xml:space="preserve">AVE-07-068</t>
  </si>
  <si>
    <t xml:space="preserve">Branta bernicla</t>
  </si>
  <si>
    <t xml:space="preserve">Черная казарка</t>
  </si>
  <si>
    <t xml:space="preserve">AVE-07-070</t>
  </si>
  <si>
    <t xml:space="preserve">Rufibrenta ruficollis</t>
  </si>
  <si>
    <t xml:space="preserve">Краснозобая казарка</t>
  </si>
  <si>
    <t xml:space="preserve">AVE-07-071</t>
  </si>
  <si>
    <t xml:space="preserve">Anser anser</t>
  </si>
  <si>
    <t xml:space="preserve">Серый гусь</t>
  </si>
  <si>
    <t xml:space="preserve">AVE-07-072</t>
  </si>
  <si>
    <t xml:space="preserve">Anser albifrons</t>
  </si>
  <si>
    <t xml:space="preserve">Белолобый гусь</t>
  </si>
  <si>
    <t xml:space="preserve">AVE-07-073</t>
  </si>
  <si>
    <t xml:space="preserve">Anser erythropus</t>
  </si>
  <si>
    <t xml:space="preserve">Пискулька</t>
  </si>
  <si>
    <t xml:space="preserve">AVE-07-074</t>
  </si>
  <si>
    <t xml:space="preserve">Anser fabalis</t>
  </si>
  <si>
    <t xml:space="preserve">Гуменник</t>
  </si>
  <si>
    <t xml:space="preserve">AVE-07-075</t>
  </si>
  <si>
    <t xml:space="preserve">Chen caerulescens</t>
  </si>
  <si>
    <t xml:space="preserve">Белый гусь</t>
  </si>
  <si>
    <t xml:space="preserve">AVE-07-077</t>
  </si>
  <si>
    <t xml:space="preserve">Eulabeia indica</t>
  </si>
  <si>
    <t xml:space="preserve">Горный гусь</t>
  </si>
  <si>
    <t xml:space="preserve">AVE-07-079</t>
  </si>
  <si>
    <t xml:space="preserve">Cygnus olor</t>
  </si>
  <si>
    <t xml:space="preserve">Лебедь-шипун</t>
  </si>
  <si>
    <t xml:space="preserve">AVE-07-080</t>
  </si>
  <si>
    <t xml:space="preserve">Cygnus cygnus</t>
  </si>
  <si>
    <t xml:space="preserve">Лебедь-кликун</t>
  </si>
  <si>
    <t xml:space="preserve">AVE-07-081</t>
  </si>
  <si>
    <t xml:space="preserve">Cygnus bewiickii </t>
  </si>
  <si>
    <t xml:space="preserve">Малый лебедь</t>
  </si>
  <si>
    <t xml:space="preserve">AVE-07-083</t>
  </si>
  <si>
    <t xml:space="preserve">Tadorna ferruginea</t>
  </si>
  <si>
    <t xml:space="preserve">Огарь</t>
  </si>
  <si>
    <t xml:space="preserve">AVE-07-084</t>
  </si>
  <si>
    <t xml:space="preserve">Tadorna tadorna</t>
  </si>
  <si>
    <t xml:space="preserve">Пеганка</t>
  </si>
  <si>
    <t xml:space="preserve">AVE-07-086</t>
  </si>
  <si>
    <t xml:space="preserve">Anas plathyrhynchos</t>
  </si>
  <si>
    <t xml:space="preserve">Кряква</t>
  </si>
  <si>
    <t xml:space="preserve">AVE-07-088</t>
  </si>
  <si>
    <t xml:space="preserve">Anas crecca</t>
  </si>
  <si>
    <t xml:space="preserve">Чирок-свистунок</t>
  </si>
  <si>
    <t xml:space="preserve">AVE-07-091</t>
  </si>
  <si>
    <t xml:space="preserve">Anas strepera</t>
  </si>
  <si>
    <t xml:space="preserve">Серая утка</t>
  </si>
  <si>
    <t xml:space="preserve">AVE-07-092</t>
  </si>
  <si>
    <t xml:space="preserve">Anas penelope</t>
  </si>
  <si>
    <t xml:space="preserve">Свиязь</t>
  </si>
  <si>
    <t xml:space="preserve">AVE-07-094</t>
  </si>
  <si>
    <t xml:space="preserve">Anas acuta</t>
  </si>
  <si>
    <t xml:space="preserve">Шилохвость </t>
  </si>
  <si>
    <t xml:space="preserve">AVE-07-095</t>
  </si>
  <si>
    <t xml:space="preserve">Anas querquedula</t>
  </si>
  <si>
    <t xml:space="preserve">Чирок-трескунок</t>
  </si>
  <si>
    <t xml:space="preserve">AVE-07-096</t>
  </si>
  <si>
    <t xml:space="preserve">Anas clypeata</t>
  </si>
  <si>
    <t xml:space="preserve">Широконоска</t>
  </si>
  <si>
    <t xml:space="preserve">AVE-07-101</t>
  </si>
  <si>
    <t xml:space="preserve">Aythya ferina</t>
  </si>
  <si>
    <t xml:space="preserve">Красноголовая чернеть</t>
  </si>
  <si>
    <t xml:space="preserve">AVE-07-104</t>
  </si>
  <si>
    <t xml:space="preserve">Aythya fuligula</t>
  </si>
  <si>
    <t xml:space="preserve">Хохлатая чернеть</t>
  </si>
  <si>
    <t xml:space="preserve">AVE-07-105</t>
  </si>
  <si>
    <t xml:space="preserve">Aythya marila</t>
  </si>
  <si>
    <t xml:space="preserve">Морская чернеть</t>
  </si>
  <si>
    <t xml:space="preserve">AVE-07-106</t>
  </si>
  <si>
    <t xml:space="preserve">Histrionicus histrionicus</t>
  </si>
  <si>
    <t xml:space="preserve">Каменушка</t>
  </si>
  <si>
    <t xml:space="preserve">AVE-07-107</t>
  </si>
  <si>
    <t xml:space="preserve">Clangula hyemalis</t>
  </si>
  <si>
    <t xml:space="preserve">Морянка</t>
  </si>
  <si>
    <t xml:space="preserve">AVE-07-108</t>
  </si>
  <si>
    <t xml:space="preserve">Bucephala clangula</t>
  </si>
  <si>
    <t xml:space="preserve">Обыкновенный гоголь</t>
  </si>
  <si>
    <t xml:space="preserve">AVE-07-109</t>
  </si>
  <si>
    <t xml:space="preserve">Bucephala islandica</t>
  </si>
  <si>
    <t xml:space="preserve">Исландский  гоголь</t>
  </si>
  <si>
    <t xml:space="preserve">AVE-07-111</t>
  </si>
  <si>
    <t xml:space="preserve">Somateria mollissima</t>
  </si>
  <si>
    <t xml:space="preserve">Обыкновенная гага</t>
  </si>
  <si>
    <t xml:space="preserve">AVE-07-112</t>
  </si>
  <si>
    <t xml:space="preserve">Somateria spectabilis</t>
  </si>
  <si>
    <t xml:space="preserve">Гага-гребенушка</t>
  </si>
  <si>
    <t xml:space="preserve">AVE-07-113</t>
  </si>
  <si>
    <t xml:space="preserve">Somateria fischeri</t>
  </si>
  <si>
    <t xml:space="preserve">Очковая гага</t>
  </si>
  <si>
    <t xml:space="preserve">AVE-07-114</t>
  </si>
  <si>
    <t xml:space="preserve">Polysticta stelleri </t>
  </si>
  <si>
    <t xml:space="preserve">Сибирская гага</t>
  </si>
  <si>
    <t xml:space="preserve">AVE-07-115</t>
  </si>
  <si>
    <t xml:space="preserve">Melanitta nigra</t>
  </si>
  <si>
    <t xml:space="preserve">Синьга</t>
  </si>
  <si>
    <t xml:space="preserve">AVE-07-117</t>
  </si>
  <si>
    <t xml:space="preserve">Melanitta perspicillata</t>
  </si>
  <si>
    <t xml:space="preserve">Пестроносый турпан</t>
  </si>
  <si>
    <t xml:space="preserve">AVE-07-119</t>
  </si>
  <si>
    <t xml:space="preserve">Melanitta fusca</t>
  </si>
  <si>
    <t xml:space="preserve">Обыкновенный турпан</t>
  </si>
  <si>
    <t xml:space="preserve">AVE-07-121</t>
  </si>
  <si>
    <t xml:space="preserve">Mergus albellus</t>
  </si>
  <si>
    <t xml:space="preserve">Луток</t>
  </si>
  <si>
    <t xml:space="preserve">AVE-07-122</t>
  </si>
  <si>
    <t xml:space="preserve">Mergus serrator</t>
  </si>
  <si>
    <t xml:space="preserve">Длинноносый крохаль</t>
  </si>
  <si>
    <t xml:space="preserve">AVE-07-124</t>
  </si>
  <si>
    <t xml:space="preserve">Mergus merganser</t>
  </si>
  <si>
    <t xml:space="preserve">Большой крохаль</t>
  </si>
  <si>
    <t xml:space="preserve">AVE-08-125</t>
  </si>
  <si>
    <t xml:space="preserve">Pandion haliaetus</t>
  </si>
  <si>
    <t xml:space="preserve">Скопа </t>
  </si>
  <si>
    <t xml:space="preserve">AVE-08-127</t>
  </si>
  <si>
    <t xml:space="preserve">Pernis apivorus</t>
  </si>
  <si>
    <t xml:space="preserve">Обыкновенный  осоед</t>
  </si>
  <si>
    <t xml:space="preserve">AVE-08-130</t>
  </si>
  <si>
    <t xml:space="preserve">Milvus migrans</t>
  </si>
  <si>
    <t xml:space="preserve">Черный коршун</t>
  </si>
  <si>
    <t xml:space="preserve">AVE-08-131</t>
  </si>
  <si>
    <t xml:space="preserve">Circus cyaneus</t>
  </si>
  <si>
    <t xml:space="preserve">Полевой лунь</t>
  </si>
  <si>
    <t xml:space="preserve">AVE-08-136</t>
  </si>
  <si>
    <t xml:space="preserve">Accipiter gentilis</t>
  </si>
  <si>
    <t xml:space="preserve">Тетеревятник</t>
  </si>
  <si>
    <t xml:space="preserve">AVE-08-137</t>
  </si>
  <si>
    <t xml:space="preserve">Accipiter nisus</t>
  </si>
  <si>
    <t xml:space="preserve">Перепелятник </t>
  </si>
  <si>
    <t xml:space="preserve">AVE-08-142</t>
  </si>
  <si>
    <t xml:space="preserve">Buteo lagopus</t>
  </si>
  <si>
    <t xml:space="preserve">Зимняк</t>
  </si>
  <si>
    <t xml:space="preserve">AVE-08-145</t>
  </si>
  <si>
    <t xml:space="preserve">Buteo buteo</t>
  </si>
  <si>
    <t xml:space="preserve">Обыкновенный канюк</t>
  </si>
  <si>
    <t xml:space="preserve">AVE-08-155</t>
  </si>
  <si>
    <t xml:space="preserve">Aquila chrysaetos</t>
  </si>
  <si>
    <t xml:space="preserve">Беркут</t>
  </si>
  <si>
    <t xml:space="preserve">AVE-08-157</t>
  </si>
  <si>
    <t xml:space="preserve">Haliaeetus albicilla</t>
  </si>
  <si>
    <t xml:space="preserve">Орлан-белохвост</t>
  </si>
  <si>
    <t xml:space="preserve">AVE-08-167</t>
  </si>
  <si>
    <t xml:space="preserve">Falco rusticolus</t>
  </si>
  <si>
    <t xml:space="preserve">Кречет</t>
  </si>
  <si>
    <t xml:space="preserve">AVE-08-172</t>
  </si>
  <si>
    <t xml:space="preserve">Falco peregrinus</t>
  </si>
  <si>
    <t xml:space="preserve">Сапсан</t>
  </si>
  <si>
    <t xml:space="preserve">AVE-08-173</t>
  </si>
  <si>
    <t xml:space="preserve">Falco subbuteo</t>
  </si>
  <si>
    <t xml:space="preserve">Чеглок </t>
  </si>
  <si>
    <t xml:space="preserve">AVE-08-174</t>
  </si>
  <si>
    <t xml:space="preserve">Falco columbarius</t>
  </si>
  <si>
    <t xml:space="preserve">Дербник</t>
  </si>
  <si>
    <t xml:space="preserve">AVE-08-175</t>
  </si>
  <si>
    <t xml:space="preserve">Falco vespertinus</t>
  </si>
  <si>
    <t xml:space="preserve">Кобчик</t>
  </si>
  <si>
    <t xml:space="preserve">AVE-08-178</t>
  </si>
  <si>
    <t xml:space="preserve">Falco tinnunculus</t>
  </si>
  <si>
    <t xml:space="preserve">Обыкновенная пустельга</t>
  </si>
  <si>
    <t xml:space="preserve">AVE-09-180</t>
  </si>
  <si>
    <t xml:space="preserve">Lagopus lagopus</t>
  </si>
  <si>
    <t xml:space="preserve">Белая куропатка</t>
  </si>
  <si>
    <t xml:space="preserve">AVE-09-181</t>
  </si>
  <si>
    <t xml:space="preserve">Lagopus mutus</t>
  </si>
  <si>
    <t xml:space="preserve">Тундряная куропатка</t>
  </si>
  <si>
    <t xml:space="preserve">AVE-09-182</t>
  </si>
  <si>
    <t xml:space="preserve">Lururus tetrix</t>
  </si>
  <si>
    <t xml:space="preserve">Тетерев</t>
  </si>
  <si>
    <t xml:space="preserve">AVE-09-184</t>
  </si>
  <si>
    <t xml:space="preserve">Tetrao urogallus</t>
  </si>
  <si>
    <t xml:space="preserve">Глухарь</t>
  </si>
  <si>
    <t xml:space="preserve">AVE-09-187</t>
  </si>
  <si>
    <t xml:space="preserve">Tetrastes bonasia</t>
  </si>
  <si>
    <t xml:space="preserve">Рябчик</t>
  </si>
  <si>
    <t xml:space="preserve">AVE-09-196</t>
  </si>
  <si>
    <t xml:space="preserve">Perdix perdix</t>
  </si>
  <si>
    <t xml:space="preserve">Серая куропатка</t>
  </si>
  <si>
    <t xml:space="preserve">AVE-10-203</t>
  </si>
  <si>
    <t xml:space="preserve">Grus grus</t>
  </si>
  <si>
    <t xml:space="preserve">Серый журавль</t>
  </si>
  <si>
    <t xml:space="preserve">AVE-10-209</t>
  </si>
  <si>
    <t xml:space="preserve">Porzana porzana </t>
  </si>
  <si>
    <t xml:space="preserve">Погоныш</t>
  </si>
  <si>
    <t xml:space="preserve">AVE-10-20N</t>
  </si>
  <si>
    <t xml:space="preserve">Porzana carolina</t>
  </si>
  <si>
    <t xml:space="preserve">Каролинский погоныш</t>
  </si>
  <si>
    <t xml:space="preserve">AVE-10-215</t>
  </si>
  <si>
    <t xml:space="preserve">Crex crex</t>
  </si>
  <si>
    <t xml:space="preserve">Коростель</t>
  </si>
  <si>
    <t xml:space="preserve">AVE-10-216</t>
  </si>
  <si>
    <t xml:space="preserve">Gallinula chloropus</t>
  </si>
  <si>
    <t xml:space="preserve">Камышница</t>
  </si>
  <si>
    <t xml:space="preserve">AVE-10-219</t>
  </si>
  <si>
    <t xml:space="preserve">Fulica atra </t>
  </si>
  <si>
    <t xml:space="preserve">Лысуха</t>
  </si>
  <si>
    <t xml:space="preserve">AVE-11(1)226</t>
  </si>
  <si>
    <t xml:space="preserve">Pluvialis squatarola</t>
  </si>
  <si>
    <t xml:space="preserve">Тулес</t>
  </si>
  <si>
    <t xml:space="preserve">AVE-11(1)-227</t>
  </si>
  <si>
    <t xml:space="preserve">Pluvialis apricaria</t>
  </si>
  <si>
    <t xml:space="preserve">Золотистая ржанка </t>
  </si>
  <si>
    <t xml:space="preserve">AVE-11(1)-228</t>
  </si>
  <si>
    <t xml:space="preserve">Charadrius hiaticula</t>
  </si>
  <si>
    <t xml:space="preserve">Галстучник</t>
  </si>
  <si>
    <t xml:space="preserve">AVE-11(1)-231</t>
  </si>
  <si>
    <t xml:space="preserve">Charadrius dubius </t>
  </si>
  <si>
    <t xml:space="preserve">Малый  зуек </t>
  </si>
  <si>
    <t xml:space="preserve">AVE-11(1)-23N</t>
  </si>
  <si>
    <t xml:space="preserve">Charadrius vociferus</t>
  </si>
  <si>
    <t xml:space="preserve">Крикливый зуек</t>
  </si>
  <si>
    <t xml:space="preserve">AVE-11(1)-238</t>
  </si>
  <si>
    <t xml:space="preserve">Eudromias morinellus</t>
  </si>
  <si>
    <t xml:space="preserve">Хрустан</t>
  </si>
  <si>
    <t xml:space="preserve">AVE-11(1)-240</t>
  </si>
  <si>
    <t xml:space="preserve">Vanellus vanellus</t>
  </si>
  <si>
    <t xml:space="preserve">Чибис</t>
  </si>
  <si>
    <t xml:space="preserve">AVE-11(1)-245</t>
  </si>
  <si>
    <t xml:space="preserve">Arenaria interpres</t>
  </si>
  <si>
    <t xml:space="preserve">Камнешарка</t>
  </si>
  <si>
    <t xml:space="preserve">AVE-11(1)-249</t>
  </si>
  <si>
    <t xml:space="preserve">Haematopus ostralegus</t>
  </si>
  <si>
    <t xml:space="preserve">Кулик-сорока</t>
  </si>
  <si>
    <t xml:space="preserve">AVE-11(1)-251</t>
  </si>
  <si>
    <t xml:space="preserve">Tringa ochropus</t>
  </si>
  <si>
    <t xml:space="preserve">Черныш</t>
  </si>
  <si>
    <t xml:space="preserve">AVE-11(1)-252</t>
  </si>
  <si>
    <t xml:space="preserve">Tringa glareola</t>
  </si>
  <si>
    <t xml:space="preserve">Фифи</t>
  </si>
  <si>
    <t xml:space="preserve">AVE-11(1)-253</t>
  </si>
  <si>
    <t xml:space="preserve">Tringa nebularia</t>
  </si>
  <si>
    <t xml:space="preserve">Большой улит</t>
  </si>
  <si>
    <t xml:space="preserve">AVE-11(1)-255</t>
  </si>
  <si>
    <t xml:space="preserve">Tringa totanus</t>
  </si>
  <si>
    <t xml:space="preserve">Травник</t>
  </si>
  <si>
    <t xml:space="preserve">AVE-11(1)-256</t>
  </si>
  <si>
    <t xml:space="preserve">Tringa erythropus</t>
  </si>
  <si>
    <t xml:space="preserve">Щеголь</t>
  </si>
  <si>
    <t xml:space="preserve">AVE-11(1)-257</t>
  </si>
  <si>
    <t xml:space="preserve">Tringa stagnatilis</t>
  </si>
  <si>
    <t xml:space="preserve">Поручейник</t>
  </si>
  <si>
    <t xml:space="preserve">AVE-11(1)-260</t>
  </si>
  <si>
    <t xml:space="preserve">Actitis hypoleucos</t>
  </si>
  <si>
    <t xml:space="preserve">Перевозчик</t>
  </si>
  <si>
    <t xml:space="preserve">AVE-11(1)-261</t>
  </si>
  <si>
    <t xml:space="preserve">Xenus cinereus</t>
  </si>
  <si>
    <t xml:space="preserve">Мородунка</t>
  </si>
  <si>
    <t xml:space="preserve">AVE-11(1)-262</t>
  </si>
  <si>
    <t xml:space="preserve">Phalaropus fulicarius</t>
  </si>
  <si>
    <t xml:space="preserve">Плосконосый плавунчик</t>
  </si>
  <si>
    <t xml:space="preserve">AVE-11(1)-264</t>
  </si>
  <si>
    <t xml:space="preserve">Phalaropus lobatus</t>
  </si>
  <si>
    <t xml:space="preserve">Круглоносый плавунчик</t>
  </si>
  <si>
    <t xml:space="preserve">AVE-11(1)-265</t>
  </si>
  <si>
    <t xml:space="preserve">Phylomachus pugnax</t>
  </si>
  <si>
    <t xml:space="preserve">Турухтан</t>
  </si>
  <si>
    <t xml:space="preserve">AVE-11(1)-267</t>
  </si>
  <si>
    <t xml:space="preserve">Calidris minuta</t>
  </si>
  <si>
    <t xml:space="preserve">Кулик-воробей</t>
  </si>
  <si>
    <t xml:space="preserve">AVE-11(1)-270</t>
  </si>
  <si>
    <t xml:space="preserve">Calidris temminckii</t>
  </si>
  <si>
    <t xml:space="preserve">Белохвостый песочник</t>
  </si>
  <si>
    <t xml:space="preserve">AVE-11(1)-273</t>
  </si>
  <si>
    <t xml:space="preserve">Calidris ferruginea</t>
  </si>
  <si>
    <t xml:space="preserve">Краснозобик</t>
  </si>
  <si>
    <t xml:space="preserve">AVE-11(1)-274</t>
  </si>
  <si>
    <t xml:space="preserve">Calidris alpina</t>
  </si>
  <si>
    <t xml:space="preserve">Чернозобик </t>
  </si>
  <si>
    <t xml:space="preserve">AVE-11(1)-275</t>
  </si>
  <si>
    <t xml:space="preserve">Calidris maritima</t>
  </si>
  <si>
    <t xml:space="preserve">Морской песочник</t>
  </si>
  <si>
    <t xml:space="preserve">AVE-11(1)-278</t>
  </si>
  <si>
    <t xml:space="preserve">Calidris melanotos</t>
  </si>
  <si>
    <t xml:space="preserve">Дутыш</t>
  </si>
  <si>
    <t xml:space="preserve">AVE-11(1)-280</t>
  </si>
  <si>
    <t xml:space="preserve">Calidris canutus</t>
  </si>
  <si>
    <t xml:space="preserve">Исландский песочник</t>
  </si>
  <si>
    <t xml:space="preserve">AVE-11(1)-282</t>
  </si>
  <si>
    <t xml:space="preserve">Calidris alba</t>
  </si>
  <si>
    <t xml:space="preserve">Песчанка</t>
  </si>
  <si>
    <t xml:space="preserve">AVE-11(1)-284</t>
  </si>
  <si>
    <t xml:space="preserve">Limicola falcinellus</t>
  </si>
  <si>
    <t xml:space="preserve">Грязовик</t>
  </si>
  <si>
    <t xml:space="preserve">AVE-11(1)-285</t>
  </si>
  <si>
    <t xml:space="preserve">Lymnocryptes minimus</t>
  </si>
  <si>
    <t xml:space="preserve">Гаршнеп</t>
  </si>
  <si>
    <t xml:space="preserve">AVE-11(1)-286</t>
  </si>
  <si>
    <t xml:space="preserve">Gallinago gallinago</t>
  </si>
  <si>
    <t xml:space="preserve">Бекас</t>
  </si>
  <si>
    <t xml:space="preserve">AVE-11(1)-291</t>
  </si>
  <si>
    <t xml:space="preserve">Gallinago media</t>
  </si>
  <si>
    <t xml:space="preserve">Дупель</t>
  </si>
  <si>
    <t xml:space="preserve">AVE-11(1)-292</t>
  </si>
  <si>
    <t xml:space="preserve">Scolopax rusticola</t>
  </si>
  <si>
    <t xml:space="preserve">Вальдшнеп</t>
  </si>
  <si>
    <t xml:space="preserve">AVE-11(1)-296</t>
  </si>
  <si>
    <t xml:space="preserve">Numenius arquata</t>
  </si>
  <si>
    <t xml:space="preserve">Большой кроншнеп</t>
  </si>
  <si>
    <t xml:space="preserve">AVE-11(1)-298</t>
  </si>
  <si>
    <t xml:space="preserve">Numenius phaeopus</t>
  </si>
  <si>
    <t xml:space="preserve">Средний  кроншнеп</t>
  </si>
  <si>
    <t xml:space="preserve">AVE-11(1)-299</t>
  </si>
  <si>
    <t xml:space="preserve">Limosa limosa</t>
  </si>
  <si>
    <t xml:space="preserve">Большой веретенник</t>
  </si>
  <si>
    <t xml:space="preserve">AVE-11(1)-300</t>
  </si>
  <si>
    <t xml:space="preserve">Limosa lapponica</t>
  </si>
  <si>
    <t xml:space="preserve">Малый веретенник</t>
  </si>
  <si>
    <t xml:space="preserve">AVE-11(2)-307</t>
  </si>
  <si>
    <t xml:space="preserve">Stercorarius skua</t>
  </si>
  <si>
    <t xml:space="preserve">Большой поморник</t>
  </si>
  <si>
    <t xml:space="preserve">AVE-11(2)-308</t>
  </si>
  <si>
    <t xml:space="preserve">Stercorarius pomarinus</t>
  </si>
  <si>
    <t xml:space="preserve">Средний поморник</t>
  </si>
  <si>
    <t xml:space="preserve">AVE-11(2)-309</t>
  </si>
  <si>
    <t xml:space="preserve">Stercorarius parasiticus</t>
  </si>
  <si>
    <t xml:space="preserve">Короткохвостый  поморник</t>
  </si>
  <si>
    <t xml:space="preserve">AVE-11(2)-310</t>
  </si>
  <si>
    <t xml:space="preserve">Stercorarius longicaudus</t>
  </si>
  <si>
    <t xml:space="preserve">Длиннохвостый поморник</t>
  </si>
  <si>
    <t xml:space="preserve">AVE-11(2)-314</t>
  </si>
  <si>
    <t xml:space="preserve">Larus minutus</t>
  </si>
  <si>
    <t xml:space="preserve">Малая  чайка</t>
  </si>
  <si>
    <t xml:space="preserve">AVE-11(2)-315</t>
  </si>
  <si>
    <t xml:space="preserve">Larus ridibundus</t>
  </si>
  <si>
    <t xml:space="preserve">Озерная чайка</t>
  </si>
  <si>
    <t xml:space="preserve">AVE-11(2)-318</t>
  </si>
  <si>
    <t xml:space="preserve">Larus fuscus</t>
  </si>
  <si>
    <t xml:space="preserve">Клуша</t>
  </si>
  <si>
    <t xml:space="preserve">AVE-11(2)-319</t>
  </si>
  <si>
    <t xml:space="preserve">Larus argentatus</t>
  </si>
  <si>
    <t xml:space="preserve">Серебристая чайка</t>
  </si>
  <si>
    <t xml:space="preserve">AVE-11(2)-319a</t>
  </si>
  <si>
    <t xml:space="preserve">Larus heuglini </t>
  </si>
  <si>
    <t xml:space="preserve">Восточная клуша</t>
  </si>
  <si>
    <t xml:space="preserve">AVE-11(2)-322</t>
  </si>
  <si>
    <t xml:space="preserve">Larus glaucoides</t>
  </si>
  <si>
    <t xml:space="preserve">Полярная чайка</t>
  </si>
  <si>
    <t xml:space="preserve">AVE-11(2)-323</t>
  </si>
  <si>
    <t xml:space="preserve">Larus hyperboreus</t>
  </si>
  <si>
    <t xml:space="preserve">Бургомистр</t>
  </si>
  <si>
    <t xml:space="preserve">AVE-11(2)-324</t>
  </si>
  <si>
    <t xml:space="preserve">Larus marinus</t>
  </si>
  <si>
    <t xml:space="preserve">Морская чайка</t>
  </si>
  <si>
    <t xml:space="preserve">AVE-11(2)-325</t>
  </si>
  <si>
    <t xml:space="preserve">Larus canus</t>
  </si>
  <si>
    <t xml:space="preserve">Сизая чайка</t>
  </si>
  <si>
    <t xml:space="preserve">AVE-11(2)-329</t>
  </si>
  <si>
    <t xml:space="preserve">Rissa tridactyla</t>
  </si>
  <si>
    <t xml:space="preserve">Моевка</t>
  </si>
  <si>
    <t xml:space="preserve">AVE-11(2)-332</t>
  </si>
  <si>
    <t xml:space="preserve">Pagophila eburnea</t>
  </si>
  <si>
    <t xml:space="preserve">Белая чайка</t>
  </si>
  <si>
    <t xml:space="preserve">AVE-11(2)-333</t>
  </si>
  <si>
    <t xml:space="preserve">Chlidonias niger</t>
  </si>
  <si>
    <t xml:space="preserve">Черная  крачка</t>
  </si>
  <si>
    <t xml:space="preserve">AVE-11(2)-337</t>
  </si>
  <si>
    <t xml:space="preserve">Hydroprogne caspia</t>
  </si>
  <si>
    <t xml:space="preserve">Чеграва</t>
  </si>
  <si>
    <t xml:space="preserve">AVE-11(2)-338</t>
  </si>
  <si>
    <t xml:space="preserve">Thalasseus sandvicensis</t>
  </si>
  <si>
    <t xml:space="preserve">Пестроносая  крачка</t>
  </si>
  <si>
    <t xml:space="preserve">AVE-11(2)-339</t>
  </si>
  <si>
    <t xml:space="preserve">Sterna hirundo</t>
  </si>
  <si>
    <t xml:space="preserve">Речная крачка</t>
  </si>
  <si>
    <t xml:space="preserve">AVE-11(2)-340</t>
  </si>
  <si>
    <t xml:space="preserve">Sterna paradisaea</t>
  </si>
  <si>
    <t xml:space="preserve">Полярная крачка</t>
  </si>
  <si>
    <t xml:space="preserve">AVE-11(2)-342</t>
  </si>
  <si>
    <t xml:space="preserve">Sterna albifrons</t>
  </si>
  <si>
    <t xml:space="preserve">Малая крачка</t>
  </si>
  <si>
    <t xml:space="preserve">AVE-11(3)-343</t>
  </si>
  <si>
    <t xml:space="preserve">Alle alle</t>
  </si>
  <si>
    <t xml:space="preserve">Люрик</t>
  </si>
  <si>
    <t xml:space="preserve">AVE-11(3)-344</t>
  </si>
  <si>
    <t xml:space="preserve">Alca torda</t>
  </si>
  <si>
    <t xml:space="preserve">Гагарка</t>
  </si>
  <si>
    <t xml:space="preserve">AVE-11(3)-345</t>
  </si>
  <si>
    <t xml:space="preserve">Uria aalge</t>
  </si>
  <si>
    <t xml:space="preserve">Тонкоклювая кайра</t>
  </si>
  <si>
    <t xml:space="preserve">AVE-11(3)-346</t>
  </si>
  <si>
    <t xml:space="preserve">Uria lomvia</t>
  </si>
  <si>
    <t xml:space="preserve">Толстоклювая кайра</t>
  </si>
  <si>
    <t xml:space="preserve">AVE-11(3)-347</t>
  </si>
  <si>
    <t xml:space="preserve">Cepphus grylle</t>
  </si>
  <si>
    <t xml:space="preserve">Чистик</t>
  </si>
  <si>
    <t xml:space="preserve">AVE-11(3)-360</t>
  </si>
  <si>
    <t xml:space="preserve">Fratercula arctica</t>
  </si>
  <si>
    <t xml:space="preserve">Тупик</t>
  </si>
  <si>
    <t xml:space="preserve">AVE-12-367</t>
  </si>
  <si>
    <t xml:space="preserve">Columba palumbus </t>
  </si>
  <si>
    <t xml:space="preserve">Вяхирь</t>
  </si>
  <si>
    <t xml:space="preserve">AVE-12-368</t>
  </si>
  <si>
    <t xml:space="preserve">Columba oenas</t>
  </si>
  <si>
    <t xml:space="preserve">Клинтух</t>
  </si>
  <si>
    <t xml:space="preserve">AVE-12-369</t>
  </si>
  <si>
    <t xml:space="preserve">Columba livia</t>
  </si>
  <si>
    <t xml:space="preserve">Сизый  голубь</t>
  </si>
  <si>
    <t xml:space="preserve">AVE-12-374</t>
  </si>
  <si>
    <t xml:space="preserve">Streptopelia decaocto</t>
  </si>
  <si>
    <t xml:space="preserve">Кольчатая горлица</t>
  </si>
  <si>
    <t xml:space="preserve">AVE-12-376</t>
  </si>
  <si>
    <t xml:space="preserve">Streptopelia turtur</t>
  </si>
  <si>
    <t xml:space="preserve">Обыкновенная  горлица</t>
  </si>
  <si>
    <t xml:space="preserve">AVE-13-381</t>
  </si>
  <si>
    <t xml:space="preserve">Cuculus canorus</t>
  </si>
  <si>
    <t xml:space="preserve">Обыкновенная кукушка</t>
  </si>
  <si>
    <t xml:space="preserve">AVE-14-385</t>
  </si>
  <si>
    <t xml:space="preserve">Nyctea scandiaca</t>
  </si>
  <si>
    <t xml:space="preserve">Белая сова</t>
  </si>
  <si>
    <t xml:space="preserve">AVE-14-386</t>
  </si>
  <si>
    <t xml:space="preserve">Bubo bubo</t>
  </si>
  <si>
    <t xml:space="preserve">Филин</t>
  </si>
  <si>
    <t xml:space="preserve">AVE-14-388</t>
  </si>
  <si>
    <t xml:space="preserve">Asio otus</t>
  </si>
  <si>
    <t xml:space="preserve">Ушастая  сова</t>
  </si>
  <si>
    <t xml:space="preserve">AVE-14-389</t>
  </si>
  <si>
    <t xml:space="preserve">Asio flammeus</t>
  </si>
  <si>
    <t xml:space="preserve">Болотная  сова</t>
  </si>
  <si>
    <t xml:space="preserve">AVE-14-394</t>
  </si>
  <si>
    <t xml:space="preserve">Aegolius funereus</t>
  </si>
  <si>
    <t xml:space="preserve">Мохноногий сыч</t>
  </si>
  <si>
    <t xml:space="preserve">AVE-14-396</t>
  </si>
  <si>
    <t xml:space="preserve">Glaucidium passerinum</t>
  </si>
  <si>
    <t xml:space="preserve">Воробьиный сыч</t>
  </si>
  <si>
    <t xml:space="preserve">AVE-14-397</t>
  </si>
  <si>
    <t xml:space="preserve">Surnia ulula</t>
  </si>
  <si>
    <t xml:space="preserve">Ястребиная сова</t>
  </si>
  <si>
    <t xml:space="preserve">AVE-14-400</t>
  </si>
  <si>
    <t xml:space="preserve">Strix uralensis</t>
  </si>
  <si>
    <t xml:space="preserve">Длиннохвостая неясыть</t>
  </si>
  <si>
    <t xml:space="preserve">AVE-14-401</t>
  </si>
  <si>
    <t xml:space="preserve">Strix nebulosa</t>
  </si>
  <si>
    <t xml:space="preserve">Бородатая неясыть</t>
  </si>
  <si>
    <t xml:space="preserve">AVE-16-408</t>
  </si>
  <si>
    <t xml:space="preserve">Apus apus</t>
  </si>
  <si>
    <t xml:space="preserve">Черный стриж</t>
  </si>
  <si>
    <t xml:space="preserve">AVE-17-411</t>
  </si>
  <si>
    <t xml:space="preserve">Coracias garrulus</t>
  </si>
  <si>
    <t xml:space="preserve">Сизоворонка</t>
  </si>
  <si>
    <t xml:space="preserve">AVE-17-419</t>
  </si>
  <si>
    <t xml:space="preserve">Merops apiaster</t>
  </si>
  <si>
    <t xml:space="preserve">Золотистая щурка</t>
  </si>
  <si>
    <t xml:space="preserve">AVE-17-421</t>
  </si>
  <si>
    <t xml:space="preserve">Upupa epops</t>
  </si>
  <si>
    <t xml:space="preserve">Удод</t>
  </si>
  <si>
    <t xml:space="preserve">AVE-18-422</t>
  </si>
  <si>
    <t xml:space="preserve">Junx torquilla</t>
  </si>
  <si>
    <t xml:space="preserve">Вертишейка</t>
  </si>
  <si>
    <t xml:space="preserve">AVE-18-425</t>
  </si>
  <si>
    <t xml:space="preserve">Picus canus</t>
  </si>
  <si>
    <t xml:space="preserve">Седой дятел</t>
  </si>
  <si>
    <t xml:space="preserve">AVE-18-426</t>
  </si>
  <si>
    <t xml:space="preserve">Dryocopus martius</t>
  </si>
  <si>
    <t xml:space="preserve">Желна</t>
  </si>
  <si>
    <t xml:space="preserve">AVE-18-427</t>
  </si>
  <si>
    <t xml:space="preserve">Dendrocopos major</t>
  </si>
  <si>
    <t xml:space="preserve">Пестрый дятел</t>
  </si>
  <si>
    <t xml:space="preserve">AVE-18-431</t>
  </si>
  <si>
    <t xml:space="preserve">Dendrocopos leucotos</t>
  </si>
  <si>
    <t xml:space="preserve">Белоспинный дятел</t>
  </si>
  <si>
    <t xml:space="preserve">AVE-18-433</t>
  </si>
  <si>
    <t xml:space="preserve">Dendrocopos minor</t>
  </si>
  <si>
    <t xml:space="preserve">Малый дятел</t>
  </si>
  <si>
    <t xml:space="preserve">AVE-18-436</t>
  </si>
  <si>
    <t xml:space="preserve">Picoides tridactylus</t>
  </si>
  <si>
    <t xml:space="preserve">Трехпалый дятел</t>
  </si>
  <si>
    <t xml:space="preserve">AVE-19-002</t>
  </si>
  <si>
    <t xml:space="preserve">Riparia riparia</t>
  </si>
  <si>
    <t xml:space="preserve">Береговая ласточка</t>
  </si>
  <si>
    <t xml:space="preserve">AVE-19-005</t>
  </si>
  <si>
    <t xml:space="preserve">Hirundo rustica</t>
  </si>
  <si>
    <t xml:space="preserve">Деревенская ласточка</t>
  </si>
  <si>
    <t xml:space="preserve">AVE-19-009</t>
  </si>
  <si>
    <t xml:space="preserve">Delichon urbica</t>
  </si>
  <si>
    <t xml:space="preserve">Воронок - Delichon urbica</t>
  </si>
  <si>
    <t xml:space="preserve">AVE-19-011</t>
  </si>
  <si>
    <t xml:space="preserve">Galerida cristata</t>
  </si>
  <si>
    <t xml:space="preserve">Хохлатый жаворонок</t>
  </si>
  <si>
    <t xml:space="preserve">AVE-19-021</t>
  </si>
  <si>
    <t xml:space="preserve">Eremophila alpestris</t>
  </si>
  <si>
    <t xml:space="preserve">Рогатый жаворонок</t>
  </si>
  <si>
    <t xml:space="preserve">AVE-19-022</t>
  </si>
  <si>
    <t xml:space="preserve">Lullula arborea</t>
  </si>
  <si>
    <t xml:space="preserve">Лесной жаворонок</t>
  </si>
  <si>
    <t xml:space="preserve">AVE-19-023</t>
  </si>
  <si>
    <t xml:space="preserve">Alauda arvensis</t>
  </si>
  <si>
    <t xml:space="preserve">Полевой жаворонок</t>
  </si>
  <si>
    <t xml:space="preserve">AVE-19-028</t>
  </si>
  <si>
    <t xml:space="preserve">Anthus campestris</t>
  </si>
  <si>
    <t xml:space="preserve">Полевой конек</t>
  </si>
  <si>
    <t xml:space="preserve">AVE-19-029</t>
  </si>
  <si>
    <t xml:space="preserve">Anthus trivialis</t>
  </si>
  <si>
    <t xml:space="preserve">Лесной конек</t>
  </si>
  <si>
    <t xml:space="preserve">AVE-19-031</t>
  </si>
  <si>
    <t xml:space="preserve">Anthus gustavi</t>
  </si>
  <si>
    <t xml:space="preserve">Сибирский конек</t>
  </si>
  <si>
    <t xml:space="preserve">AVE-19-032</t>
  </si>
  <si>
    <t xml:space="preserve">Anthus pratensis</t>
  </si>
  <si>
    <t xml:space="preserve">Луговой конек</t>
  </si>
  <si>
    <t xml:space="preserve">AVE-19-033</t>
  </si>
  <si>
    <t xml:space="preserve">Anthus cervinus</t>
  </si>
  <si>
    <t xml:space="preserve">Краснозобый конек</t>
  </si>
  <si>
    <t xml:space="preserve">AVE-19-035</t>
  </si>
  <si>
    <t xml:space="preserve">Anthus spinoletta</t>
  </si>
  <si>
    <t xml:space="preserve">Горный конек</t>
  </si>
  <si>
    <t xml:space="preserve">AVE-19-036</t>
  </si>
  <si>
    <t xml:space="preserve">Motacilla flava</t>
  </si>
  <si>
    <t xml:space="preserve">Желтая трясогузка</t>
  </si>
  <si>
    <t xml:space="preserve">AVE-19-040</t>
  </si>
  <si>
    <t xml:space="preserve">Motacilla citreola</t>
  </si>
  <si>
    <t xml:space="preserve">Желтоголовая трясогузка</t>
  </si>
  <si>
    <t xml:space="preserve">AVE-19-041</t>
  </si>
  <si>
    <t xml:space="preserve">Motacilla cinerea</t>
  </si>
  <si>
    <t xml:space="preserve">Горная трясогузка</t>
  </si>
  <si>
    <t xml:space="preserve">AVE-19-042</t>
  </si>
  <si>
    <t xml:space="preserve">Motacilla alba</t>
  </si>
  <si>
    <t xml:space="preserve">Белая трясогузка</t>
  </si>
  <si>
    <t xml:space="preserve">AVE-19-051</t>
  </si>
  <si>
    <t xml:space="preserve">Lanius collurio</t>
  </si>
  <si>
    <t xml:space="preserve">Обыкновенный жулан</t>
  </si>
  <si>
    <t xml:space="preserve">AVE-19-057</t>
  </si>
  <si>
    <t xml:space="preserve">Lanius excubitor</t>
  </si>
  <si>
    <t xml:space="preserve">Серый сорокопут</t>
  </si>
  <si>
    <t xml:space="preserve">AVE-19-068</t>
  </si>
  <si>
    <t xml:space="preserve">Sturnus vulgaris</t>
  </si>
  <si>
    <t xml:space="preserve">Обыкновенный скворец</t>
  </si>
  <si>
    <t xml:space="preserve">AVE-19-071</t>
  </si>
  <si>
    <t xml:space="preserve">Perisoreus infaustus</t>
  </si>
  <si>
    <t xml:space="preserve">Кукша</t>
  </si>
  <si>
    <t xml:space="preserve">AVE-19-072</t>
  </si>
  <si>
    <t xml:space="preserve">Garrulus glandarius</t>
  </si>
  <si>
    <t xml:space="preserve">Сойка</t>
  </si>
  <si>
    <t xml:space="preserve">AVE-19-074</t>
  </si>
  <si>
    <t xml:space="preserve">Pica pica</t>
  </si>
  <si>
    <t xml:space="preserve">Сорока</t>
  </si>
  <si>
    <t xml:space="preserve">AVE-19-077</t>
  </si>
  <si>
    <t xml:space="preserve">Nucifraga cariocatactes</t>
  </si>
  <si>
    <t xml:space="preserve">Кедровка</t>
  </si>
  <si>
    <t xml:space="preserve">AVE-19-080</t>
  </si>
  <si>
    <t xml:space="preserve">Covus monedula</t>
  </si>
  <si>
    <t xml:space="preserve">Галка</t>
  </si>
  <si>
    <t xml:space="preserve">AVE-19-082</t>
  </si>
  <si>
    <t xml:space="preserve">Corvus frugilegus</t>
  </si>
  <si>
    <t xml:space="preserve">Грач</t>
  </si>
  <si>
    <t xml:space="preserve">AVE-19-084</t>
  </si>
  <si>
    <t xml:space="preserve">Corvus corone</t>
  </si>
  <si>
    <t xml:space="preserve">Черная ворона</t>
  </si>
  <si>
    <t xml:space="preserve">AVE-19-085</t>
  </si>
  <si>
    <t xml:space="preserve">Corvus cornix</t>
  </si>
  <si>
    <t xml:space="preserve">Серая ворона</t>
  </si>
  <si>
    <t xml:space="preserve">AVE-19-087</t>
  </si>
  <si>
    <t xml:space="preserve">Corvus corax</t>
  </si>
  <si>
    <t xml:space="preserve">Ворон</t>
  </si>
  <si>
    <t xml:space="preserve">AVE-19-088</t>
  </si>
  <si>
    <t xml:space="preserve">Bombicilla garrulus</t>
  </si>
  <si>
    <t xml:space="preserve">Свиристель</t>
  </si>
  <si>
    <t xml:space="preserve">AVE-19-094</t>
  </si>
  <si>
    <t xml:space="preserve">Cinclus cinclus</t>
  </si>
  <si>
    <t xml:space="preserve">Оляпка</t>
  </si>
  <si>
    <t xml:space="preserve">AVE-19-096</t>
  </si>
  <si>
    <t xml:space="preserve">Troglodytes troglodytes</t>
  </si>
  <si>
    <t xml:space="preserve">Крапивник</t>
  </si>
  <si>
    <t xml:space="preserve">AVE-19-103</t>
  </si>
  <si>
    <t xml:space="preserve">Prunella modularis</t>
  </si>
  <si>
    <t xml:space="preserve">Лесная завирушка</t>
  </si>
  <si>
    <t xml:space="preserve">AVE-19-115</t>
  </si>
  <si>
    <t xml:space="preserve">Locustella fluviatilis</t>
  </si>
  <si>
    <t xml:space="preserve">Речной сверчок</t>
  </si>
  <si>
    <t xml:space="preserve">AVE-19-122</t>
  </si>
  <si>
    <t xml:space="preserve">Acrocephalus schoenobaenus </t>
  </si>
  <si>
    <t xml:space="preserve">Камышевка-барсучок</t>
  </si>
  <si>
    <t xml:space="preserve">AVE-19-125</t>
  </si>
  <si>
    <t xml:space="preserve">Acrocephalus dumetorum</t>
  </si>
  <si>
    <t xml:space="preserve">Садовая камышевка</t>
  </si>
  <si>
    <t xml:space="preserve">AVE-19-127</t>
  </si>
  <si>
    <t xml:space="preserve">Acrocephalus scirpaceus </t>
  </si>
  <si>
    <t xml:space="preserve">Тростниковая камышевка</t>
  </si>
  <si>
    <t xml:space="preserve">AVE-19-139</t>
  </si>
  <si>
    <t xml:space="preserve">Sylvia atricapilla</t>
  </si>
  <si>
    <t xml:space="preserve">Черноголовая славка</t>
  </si>
  <si>
    <t xml:space="preserve">AVE-19-140</t>
  </si>
  <si>
    <t xml:space="preserve">Sylvia borin</t>
  </si>
  <si>
    <t xml:space="preserve">Садовая славка</t>
  </si>
  <si>
    <t xml:space="preserve">AVE-19-141</t>
  </si>
  <si>
    <t xml:space="preserve">Sylvia communis</t>
  </si>
  <si>
    <t xml:space="preserve">Серая славка</t>
  </si>
  <si>
    <t xml:space="preserve">AVE-19-142</t>
  </si>
  <si>
    <t xml:space="preserve">Sylvia curruca</t>
  </si>
  <si>
    <t xml:space="preserve">Славка-завирушка</t>
  </si>
  <si>
    <t xml:space="preserve">AVE-19-146</t>
  </si>
  <si>
    <t xml:space="preserve">Phylloscopus trochilus</t>
  </si>
  <si>
    <t xml:space="preserve">Пеночка-весничка</t>
  </si>
  <si>
    <t xml:space="preserve">AVE-19-147</t>
  </si>
  <si>
    <t xml:space="preserve">Phylloscopus collybita</t>
  </si>
  <si>
    <t xml:space="preserve">Пеночка-теньковка</t>
  </si>
  <si>
    <t xml:space="preserve">AVE-19-151</t>
  </si>
  <si>
    <t xml:space="preserve">Phylloscopus sibilatrix</t>
  </si>
  <si>
    <t xml:space="preserve">Пеночка-трещотка</t>
  </si>
  <si>
    <t xml:space="preserve">AVE-19-152</t>
  </si>
  <si>
    <t xml:space="preserve">Phylloscopus borealis</t>
  </si>
  <si>
    <t xml:space="preserve">Пеночка-таловка</t>
  </si>
  <si>
    <t xml:space="preserve">AVE-19-153</t>
  </si>
  <si>
    <t xml:space="preserve">Phylloscopus trochiloides</t>
  </si>
  <si>
    <t xml:space="preserve">Зеленая пеночка</t>
  </si>
  <si>
    <t xml:space="preserve">AVE-19-165</t>
  </si>
  <si>
    <t xml:space="preserve">Regulus regulus</t>
  </si>
  <si>
    <t xml:space="preserve">Желтоголовый королек</t>
  </si>
  <si>
    <t xml:space="preserve">AVE-19-170</t>
  </si>
  <si>
    <t xml:space="preserve">Ficedula hypoleuca</t>
  </si>
  <si>
    <t xml:space="preserve">Мухоловка-пеструшка</t>
  </si>
  <si>
    <t xml:space="preserve">AVE-19-175</t>
  </si>
  <si>
    <t xml:space="preserve">Ficedula parva</t>
  </si>
  <si>
    <t xml:space="preserve">Малая мухоловка</t>
  </si>
  <si>
    <t xml:space="preserve">AVE-19-177</t>
  </si>
  <si>
    <t xml:space="preserve">Muscicapa striata</t>
  </si>
  <si>
    <t xml:space="preserve">Серая мухоловка</t>
  </si>
  <si>
    <t xml:space="preserve">AVE-19-182</t>
  </si>
  <si>
    <t xml:space="preserve">Saxicola rubetra</t>
  </si>
  <si>
    <t xml:space="preserve">Луговой чекан</t>
  </si>
  <si>
    <t xml:space="preserve">AVE-19-183</t>
  </si>
  <si>
    <t xml:space="preserve">Saxicola torquata</t>
  </si>
  <si>
    <t xml:space="preserve">Черноголовый чекан</t>
  </si>
  <si>
    <t xml:space="preserve">AVE-19-186</t>
  </si>
  <si>
    <t xml:space="preserve">Oenanthe oenanthe</t>
  </si>
  <si>
    <t xml:space="preserve">Обыкновенная каменка</t>
  </si>
  <si>
    <t xml:space="preserve">AVE-19-199</t>
  </si>
  <si>
    <t xml:space="preserve">Phoenicurus phoenicurus</t>
  </si>
  <si>
    <t xml:space="preserve">Обыкновенная горихвостка</t>
  </si>
  <si>
    <t xml:space="preserve">AVE-19-200</t>
  </si>
  <si>
    <t xml:space="preserve">Phoenicurus ochruros</t>
  </si>
  <si>
    <t xml:space="preserve">Горихвостка-чернушка</t>
  </si>
  <si>
    <t xml:space="preserve">AVE-19-206</t>
  </si>
  <si>
    <t xml:space="preserve">Erithacus rubecula</t>
  </si>
  <si>
    <t xml:space="preserve">Зарянка</t>
  </si>
  <si>
    <t xml:space="preserve">AVE-19-209</t>
  </si>
  <si>
    <t xml:space="preserve">Luscinia luscinia</t>
  </si>
  <si>
    <t xml:space="preserve">Обыкновенный соловей</t>
  </si>
  <si>
    <t xml:space="preserve">AVE-19-212</t>
  </si>
  <si>
    <t xml:space="preserve">Luscinia svecica</t>
  </si>
  <si>
    <t xml:space="preserve">Варакушка</t>
  </si>
  <si>
    <t xml:space="preserve">AVE-19-215</t>
  </si>
  <si>
    <t xml:space="preserve">Tarsiger cyanurus (Pallas, 1773) СИНЕХВОСТКА</t>
  </si>
  <si>
    <t xml:space="preserve">Синехвостка - Tarsiger cyanurus (Pallas, 1773)</t>
  </si>
  <si>
    <t xml:space="preserve">AVE-19-223</t>
  </si>
  <si>
    <t xml:space="preserve">Turdus ruficollis</t>
  </si>
  <si>
    <t xml:space="preserve">Краснозобый дрозд - Turdus ruficollis  Pallas, 1776</t>
  </si>
  <si>
    <t xml:space="preserve">AVE-19-227</t>
  </si>
  <si>
    <t xml:space="preserve">Turdus pilaris</t>
  </si>
  <si>
    <t xml:space="preserve">Рябинник</t>
  </si>
  <si>
    <t xml:space="preserve">AVE-19-228</t>
  </si>
  <si>
    <t xml:space="preserve">Turdus torquatus</t>
  </si>
  <si>
    <t xml:space="preserve">Белозобый дрозд</t>
  </si>
  <si>
    <t xml:space="preserve">AVE-19-229</t>
  </si>
  <si>
    <t xml:space="preserve">Turdus merula</t>
  </si>
  <si>
    <t xml:space="preserve">Черный дрозд</t>
  </si>
  <si>
    <t xml:space="preserve">AVE-19-232</t>
  </si>
  <si>
    <t xml:space="preserve">Turdus iliacus</t>
  </si>
  <si>
    <t xml:space="preserve">Белобровик</t>
  </si>
  <si>
    <t xml:space="preserve">AVE-19-233</t>
  </si>
  <si>
    <t xml:space="preserve">Turdus philomelos</t>
  </si>
  <si>
    <t xml:space="preserve">Певчий дрозд</t>
  </si>
  <si>
    <t xml:space="preserve">AVE-19-234</t>
  </si>
  <si>
    <t xml:space="preserve">Turdus viscivorus </t>
  </si>
  <si>
    <t xml:space="preserve">Деряба</t>
  </si>
  <si>
    <t xml:space="preserve">AVE-19-242</t>
  </si>
  <si>
    <t xml:space="preserve">Aegithalos caudatus</t>
  </si>
  <si>
    <t xml:space="preserve">Длиннохвостая синица</t>
  </si>
  <si>
    <t xml:space="preserve">AVE-19-246</t>
  </si>
  <si>
    <t xml:space="preserve">Parus montanus</t>
  </si>
  <si>
    <t xml:space="preserve">Буроголовая гаичка</t>
  </si>
  <si>
    <t xml:space="preserve">AVE-19-249</t>
  </si>
  <si>
    <t xml:space="preserve">Parus cinctus</t>
  </si>
  <si>
    <t xml:space="preserve">Сероголовая гаичка</t>
  </si>
  <si>
    <t xml:space="preserve">AVE-19-250</t>
  </si>
  <si>
    <t xml:space="preserve">Parus cristatus</t>
  </si>
  <si>
    <t xml:space="preserve">Хохлатая синица</t>
  </si>
  <si>
    <t xml:space="preserve">AVE-19-251</t>
  </si>
  <si>
    <t xml:space="preserve">Parus ater</t>
  </si>
  <si>
    <t xml:space="preserve">Московка</t>
  </si>
  <si>
    <t xml:space="preserve">AVE-19-254</t>
  </si>
  <si>
    <t xml:space="preserve">Parus caeruleus</t>
  </si>
  <si>
    <t xml:space="preserve">Обыкновенная лазоревка</t>
  </si>
  <si>
    <t xml:space="preserve">AVE-19-257</t>
  </si>
  <si>
    <t xml:space="preserve">Parus major</t>
  </si>
  <si>
    <t xml:space="preserve">Большая синица</t>
  </si>
  <si>
    <t xml:space="preserve">AVE-19-261</t>
  </si>
  <si>
    <t xml:space="preserve">Sitta europea</t>
  </si>
  <si>
    <t xml:space="preserve">Обыкновенный поползень</t>
  </si>
  <si>
    <t xml:space="preserve">AVE-19-267</t>
  </si>
  <si>
    <t xml:space="preserve">Certhia familiaris</t>
  </si>
  <si>
    <t xml:space="preserve">Обыкновенная пищуха</t>
  </si>
  <si>
    <t xml:space="preserve">AVE-19-274</t>
  </si>
  <si>
    <t xml:space="preserve">Passer domesticus</t>
  </si>
  <si>
    <t xml:space="preserve"> Домовой воробей</t>
  </si>
  <si>
    <t xml:space="preserve">AVE-19-278</t>
  </si>
  <si>
    <t xml:space="preserve">Passer montanus</t>
  </si>
  <si>
    <t xml:space="preserve">Полевой воробей</t>
  </si>
  <si>
    <t xml:space="preserve">AVE-19-287</t>
  </si>
  <si>
    <t xml:space="preserve">Fringilla coelebs</t>
  </si>
  <si>
    <t xml:space="preserve">Зяблик</t>
  </si>
  <si>
    <t xml:space="preserve">AVE-19-288</t>
  </si>
  <si>
    <t xml:space="preserve">Fringilla montifringilla</t>
  </si>
  <si>
    <t xml:space="preserve">Вьюрок</t>
  </si>
  <si>
    <t xml:space="preserve">AVE-19-291</t>
  </si>
  <si>
    <t xml:space="preserve">Chloris chloris</t>
  </si>
  <si>
    <t xml:space="preserve">Обыкновенная зеленушка</t>
  </si>
  <si>
    <t xml:space="preserve">AVE-19-293</t>
  </si>
  <si>
    <t xml:space="preserve">Spinus spinus</t>
  </si>
  <si>
    <t xml:space="preserve">Чиж - Spinus spinus</t>
  </si>
  <si>
    <t xml:space="preserve">AVE-19-294</t>
  </si>
  <si>
    <t xml:space="preserve">Carduelis carduelis</t>
  </si>
  <si>
    <t xml:space="preserve">Черноголовый щегол</t>
  </si>
  <si>
    <t xml:space="preserve">AVE-19-296</t>
  </si>
  <si>
    <t xml:space="preserve">Acanthis cannabina</t>
  </si>
  <si>
    <t xml:space="preserve">Коноплянка</t>
  </si>
  <si>
    <t xml:space="preserve">AVE-19-297</t>
  </si>
  <si>
    <t xml:space="preserve">Acanthis flavirostris</t>
  </si>
  <si>
    <t xml:space="preserve">Горная чечетка</t>
  </si>
  <si>
    <t xml:space="preserve">AVE-19-298</t>
  </si>
  <si>
    <t xml:space="preserve">Acanthis flammea</t>
  </si>
  <si>
    <t xml:space="preserve">Обыкновенная чечетка</t>
  </si>
  <si>
    <t xml:space="preserve">AVE-19-299</t>
  </si>
  <si>
    <t xml:space="preserve">Acanthis hornemanni</t>
  </si>
  <si>
    <t xml:space="preserve">Пепельная чечетка</t>
  </si>
  <si>
    <t xml:space="preserve">AVE-19-306</t>
  </si>
  <si>
    <t xml:space="preserve">Bucanetes mongolicus</t>
  </si>
  <si>
    <t xml:space="preserve">Монгольский снегирь</t>
  </si>
  <si>
    <t xml:space="preserve">AVE-19-308</t>
  </si>
  <si>
    <t xml:space="preserve">Caprodacus erythrinus</t>
  </si>
  <si>
    <t xml:space="preserve">Обыкновенная чечевица</t>
  </si>
  <si>
    <t xml:space="preserve">AVE-19-315</t>
  </si>
  <si>
    <t xml:space="preserve">Pinicola enucleator</t>
  </si>
  <si>
    <t xml:space="preserve">Щур</t>
  </si>
  <si>
    <t xml:space="preserve">AVE-19-316</t>
  </si>
  <si>
    <t xml:space="preserve">Loxia pytyopsittacus</t>
  </si>
  <si>
    <t xml:space="preserve">Клест-сосновик</t>
  </si>
  <si>
    <t xml:space="preserve">AVE-19-317</t>
  </si>
  <si>
    <t xml:space="preserve">Loxia curvirostra L., 1758 ОБЫКНОВЕННЫЙ КЛЕСТ (ЕЛОВИК)</t>
  </si>
  <si>
    <t xml:space="preserve">Обыкновенный клест</t>
  </si>
  <si>
    <t xml:space="preserve">AVE-19-318</t>
  </si>
  <si>
    <t xml:space="preserve">Loxia leucoptera</t>
  </si>
  <si>
    <t xml:space="preserve">Белокрылый клест</t>
  </si>
  <si>
    <t xml:space="preserve">AVE-19-319</t>
  </si>
  <si>
    <t xml:space="preserve">Pyrrhula pyrrhula</t>
  </si>
  <si>
    <t xml:space="preserve">Обыкновенный снегирь</t>
  </si>
  <si>
    <t xml:space="preserve">AVE-19-324</t>
  </si>
  <si>
    <t xml:space="preserve">Coccothraustes coccothraustes</t>
  </si>
  <si>
    <t xml:space="preserve">Обыкновенный дубонос</t>
  </si>
  <si>
    <t xml:space="preserve">AVE-19-331</t>
  </si>
  <si>
    <t xml:space="preserve">Emberiza calandra</t>
  </si>
  <si>
    <t xml:space="preserve">Просянка</t>
  </si>
  <si>
    <t xml:space="preserve">AVE-19-333</t>
  </si>
  <si>
    <t xml:space="preserve">Emberiza citrinella</t>
  </si>
  <si>
    <t xml:space="preserve">Обыкновенная овсянка</t>
  </si>
  <si>
    <t xml:space="preserve">AVE-19-342</t>
  </si>
  <si>
    <t xml:space="preserve">Emberiza schoeniclus (L., 1758) ТРОСТНИКОВАЯ ОВСЯНКА</t>
  </si>
  <si>
    <t xml:space="preserve">Тростниковая овсянка</t>
  </si>
  <si>
    <t xml:space="preserve">AVE-19-348</t>
  </si>
  <si>
    <t xml:space="preserve">Emberiza rustica</t>
  </si>
  <si>
    <t xml:space="preserve">Овсянка-ремез</t>
  </si>
  <si>
    <t xml:space="preserve">AVE-19-349</t>
  </si>
  <si>
    <t xml:space="preserve">Emberiza pusilla</t>
  </si>
  <si>
    <t xml:space="preserve">Овсянка-крошка</t>
  </si>
  <si>
    <t xml:space="preserve">AVE-19-351</t>
  </si>
  <si>
    <t xml:space="preserve">Emberiza aureola</t>
  </si>
  <si>
    <t xml:space="preserve">Дубровник</t>
  </si>
  <si>
    <t xml:space="preserve">AVE-19-353</t>
  </si>
  <si>
    <t xml:space="preserve">Emberiza hortulana</t>
  </si>
  <si>
    <t xml:space="preserve">Садовая овсянка</t>
  </si>
  <si>
    <t xml:space="preserve">AVE-19-358</t>
  </si>
  <si>
    <t xml:space="preserve">Calcarius lapponicus</t>
  </si>
  <si>
    <t xml:space="preserve">Подорожник</t>
  </si>
  <si>
    <t xml:space="preserve">AVE-19-359</t>
  </si>
  <si>
    <t xml:space="preserve">Plectrophenax nivalis</t>
  </si>
  <si>
    <t xml:space="preserve">Пуночка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</si>
</sst>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\ mmmm&quot;, &quot;yyyy"/>
    <numFmt numFmtId="166" formatCode="0.0"/>
    <numFmt numFmtId="167" formatCode="dd/mm/yy"/>
    <numFmt numFmtId="168" formatCode="0.00"/>
    <numFmt numFmtId="169" formatCode="dd/mm/yyyy"/>
  </numFmts>
  <fonts count="15">
    <font>
      <sz val="10"/>
      <name val="Arial Cyr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color rgb="FF000000"/>
      <name val="MS Sans Serif"/>
      <family val="0"/>
      <charset val="204"/>
    </font>
    <font>
      <sz val="10"/>
      <name val="Times New Roman"/>
      <family val="1"/>
      <charset val="204"/>
    </font>
    <font>
      <b val="true"/>
      <sz val="10"/>
      <name val="Times New Roman"/>
      <family val="1"/>
      <charset val="204"/>
    </font>
    <font>
      <b val="true"/>
      <sz val="8"/>
      <name val="Times New Roman"/>
      <family val="1"/>
      <charset val="204"/>
    </font>
    <font>
      <sz val="10"/>
      <color rgb="FF000000"/>
      <name val="Arial Cyr"/>
      <family val="0"/>
      <charset val="204"/>
    </font>
    <font>
      <sz val="10"/>
      <color rgb="FF3366FF"/>
      <name val="Arial Cyr"/>
      <family val="2"/>
      <charset val="204"/>
    </font>
    <font>
      <sz val="10"/>
      <name val="Arial Cyr"/>
      <family val="2"/>
      <charset val="204"/>
    </font>
    <font>
      <sz val="10"/>
      <color rgb="FF3366FF"/>
      <name val="Times New Roman"/>
      <family val="1"/>
      <charset val="204"/>
    </font>
    <font>
      <sz val="10"/>
      <color rgb="FF0000FF"/>
      <name val="Arial Cyr"/>
      <family val="2"/>
      <charset val="204"/>
    </font>
    <font>
      <sz val="10"/>
      <color rgb="FF0000FF"/>
      <name val="Times New Roman"/>
      <family val="1"/>
      <charset val="204"/>
    </font>
    <font>
      <sz val="10"/>
      <color rgb="FFFF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B4C7DC"/>
      </patternFill>
    </fill>
    <fill>
      <patternFill patternType="solid">
        <fgColor rgb="FFFFFF00"/>
        <bgColor rgb="FFFFFF00"/>
      </patternFill>
    </fill>
    <fill>
      <patternFill patternType="solid">
        <fgColor rgb="FFB4C7DC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3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2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justify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2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_Лист1" xfId="20"/>
  </cellStyles>
  <dxfs count="4">
    <dxf>
      <fill>
        <patternFill patternType="solid">
          <fgColor rgb="FFC0C0C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B4C7DC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4C7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M1048576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2" ySplit="1" topLeftCell="C2" activePane="bottomRight" state="frozen"/>
      <selection pane="topLeft" activeCell="A1" activeCellId="0" sqref="A1"/>
      <selection pane="topRight" activeCell="C1" activeCellId="0" sqref="C1"/>
      <selection pane="bottomLeft" activeCell="A2" activeCellId="0" sqref="A2"/>
      <selection pane="bottomRight" activeCell="C2" activeCellId="0" sqref="C2"/>
    </sheetView>
  </sheetViews>
  <sheetFormatPr defaultColWidth="8.8125" defaultRowHeight="14.65" customHeight="true" zeroHeight="false" outlineLevelRow="0" outlineLevelCol="0"/>
  <cols>
    <col collapsed="false" customWidth="true" hidden="false" outlineLevel="0" max="1" min="1" style="1" width="10.13"/>
    <col collapsed="false" customWidth="true" hidden="false" outlineLevel="0" max="2" min="2" style="2" width="12.45"/>
    <col collapsed="false" customWidth="true" hidden="false" outlineLevel="0" max="3" min="3" style="3" width="19.92"/>
    <col collapsed="false" customWidth="true" hidden="false" outlineLevel="0" max="4" min="4" style="4" width="20.25"/>
    <col collapsed="false" customWidth="false" hidden="false" outlineLevel="0" max="5" min="5" style="3" width="8.81"/>
    <col collapsed="false" customWidth="true" hidden="false" outlineLevel="0" max="6" min="6" style="3" width="7.11"/>
    <col collapsed="false" customWidth="false" hidden="false" outlineLevel="0" max="9" min="7" style="3" width="8.81"/>
    <col collapsed="false" customWidth="true" hidden="false" outlineLevel="0" max="10" min="10" style="3" width="8.72"/>
    <col collapsed="false" customWidth="false" hidden="false" outlineLevel="0" max="13" min="11" style="3" width="8.81"/>
    <col collapsed="false" customWidth="true" hidden="false" outlineLevel="0" max="14" min="14" style="3" width="8.72"/>
    <col collapsed="false" customWidth="false" hidden="false" outlineLevel="0" max="17" min="15" style="3" width="8.81"/>
    <col collapsed="false" customWidth="true" hidden="false" outlineLevel="0" max="18" min="18" style="3" width="8.72"/>
    <col collapsed="false" customWidth="false" hidden="false" outlineLevel="0" max="143" min="19" style="3" width="8.81"/>
    <col collapsed="false" customWidth="true" hidden="false" outlineLevel="0" max="16384" min="16271" style="0" width="11.53"/>
  </cols>
  <sheetData>
    <row r="1" customFormat="false" ht="37.6" hidden="false" customHeight="true" outlineLevel="0" collapsed="false">
      <c r="A1" s="5" t="s">
        <v>0</v>
      </c>
      <c r="B1" s="6" t="s">
        <v>1</v>
      </c>
      <c r="C1" s="6" t="s">
        <v>2</v>
      </c>
      <c r="D1" s="5" t="s">
        <v>3</v>
      </c>
      <c r="E1" s="6" t="s">
        <v>4</v>
      </c>
      <c r="F1" s="7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9" t="s">
        <v>18</v>
      </c>
      <c r="T1" s="10" t="s">
        <v>19</v>
      </c>
      <c r="U1" s="0"/>
      <c r="V1" s="10"/>
      <c r="W1" s="10"/>
      <c r="X1" s="10"/>
      <c r="Y1" s="10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</row>
    <row r="2" customFormat="false" ht="14.65" hidden="false" customHeight="true" outlineLevel="0" collapsed="false">
      <c r="A2" s="12" t="s">
        <v>20</v>
      </c>
      <c r="B2" s="13" t="n">
        <v>38878</v>
      </c>
      <c r="C2" s="3" t="s">
        <v>21</v>
      </c>
      <c r="D2" s="4" t="s">
        <v>22</v>
      </c>
      <c r="E2" s="3" t="n">
        <v>3</v>
      </c>
      <c r="F2" s="3" t="n">
        <v>9</v>
      </c>
      <c r="G2" s="3" t="n">
        <v>60</v>
      </c>
      <c r="I2" s="3" t="n">
        <f aca="false">_xlfn.IFS(G2="взв",11,G2="накл",24,G2="прокл",25,G2="пт",26,G2=90,10,G2=85,10,G2=80,9,G2=75,8,G2=70,8,G2=65,7,G2=60,7,G2=55,6,G2=50,6,G2=45,6,G2=40,5,G2=35,4,G2=30,4,G2=25,3,G2=20,2,G2=15,1,G2=10,1,G2=0,0)</f>
        <v>7</v>
      </c>
      <c r="J2" s="3" t="n">
        <f aca="false">IF(H2&lt;=1,0,IF(H2&lt;=10,11,IF(H2&lt;=14,12,IF(H2&lt;=17,13,IF(H2&lt;=20,14,IF(H2&lt;=22,15,IF(H2&lt;=25,16,IF(H2&lt;=27,17,IF(H2&lt;=29,18,IF(H2&lt;=32,19,IF(H2&lt;=34,20,IF(H2&lt;=36,21,IF(H2&lt;=40,22,24)))))))))))))</f>
        <v>0</v>
      </c>
      <c r="K2" s="3" t="n">
        <v>45</v>
      </c>
      <c r="M2" s="3" t="n">
        <f aca="false">_xlfn.IFS(K2="взв",11,K2="накл",24,K2="прокл",25,K2="пт",26,K2=90,10,K2=85,10,K2=80,9,K2=75,8,K2=70,8,K2=65,7,K2=60,7,K2=55,6,K2=50,6,K2=45,6,K2=40,5,K2=35,4,K2=30,4,K2=25,3,K2=20,2,K2=15,1,K2=10,1,K2=0,0)</f>
        <v>6</v>
      </c>
      <c r="N2" s="3" t="n">
        <f aca="false">IF(L2&lt;=1,0,IF(L2&lt;=10,11,IF(L2&lt;=14,12,IF(L2&lt;=17,13,IF(L2&lt;=20,14,IF(L2&lt;=22,15,IF(L2&lt;=25,16,IF(L2&lt;=27,17,IF(L2&lt;=29,18,IF(L2&lt;=32,19,IF(L2&lt;=34,20,IF(L2&lt;=36,21,IF(L2&lt;=40,22,24)))))))))))))</f>
        <v>0</v>
      </c>
      <c r="O2" s="3" t="n">
        <v>30</v>
      </c>
      <c r="Q2" s="3" t="n">
        <f aca="false">_xlfn.IFS(O2="взв",11,O2="накл",24,O2="прокл",25,O2="пт",26,O2=90,10,O2=85,10,O2=80,9,O2=75,8,O2=70,8,O2=65,7,O2=60,7,O2=55,6,O2=50,6,O2=45,6,O2=40,5,O2=35,4,O2=30,4,O2=25,3,O2=20,2,O2=15,1,O2=10,1,O2=0,0)</f>
        <v>4</v>
      </c>
      <c r="R2" s="3" t="n">
        <f aca="false">IF(P2&lt;=1,0,IF(P2&lt;=10,11,IF(P2&lt;=14,12,IF(P2&lt;=17,13,IF(P2&lt;=20,14,IF(P2&lt;=22,15,IF(P2&lt;=25,16,IF(P2&lt;=27,17,IF(P2&lt;=29,18,IF(P2&lt;=32,19,IF(P2&lt;=34,20,IF(P2&lt;=36,21,IF(P2&lt;=40,22,24)))))))))))))</f>
        <v>0</v>
      </c>
      <c r="S2" s="14" t="n">
        <f aca="false">ROUND((Q2+R2+I2+J2+M2+N2)/3,0)</f>
        <v>6</v>
      </c>
      <c r="T2" s="15" t="n">
        <f aca="false">F2*LOG10(S2+2)</f>
        <v>8.12780988292749</v>
      </c>
    </row>
    <row r="3" customFormat="false" ht="14.65" hidden="false" customHeight="true" outlineLevel="0" collapsed="false">
      <c r="A3" s="12" t="s">
        <v>23</v>
      </c>
      <c r="B3" s="13" t="n">
        <v>38881</v>
      </c>
      <c r="C3" s="3" t="s">
        <v>24</v>
      </c>
      <c r="D3" s="4" t="s">
        <v>25</v>
      </c>
      <c r="E3" s="3" t="n">
        <v>6</v>
      </c>
      <c r="F3" s="3" t="n">
        <v>1</v>
      </c>
      <c r="H3" s="3" t="n">
        <v>25</v>
      </c>
      <c r="I3" s="3" t="n">
        <f aca="false">_xlfn.IFS(G3="взв",11,G3="накл",24,G3="прокл",25,G3="пт",26,G3=90,10,G3=85,10,G3=80,9,G3=75,8,G3=70,8,G3=65,7,G3=60,7,G3=55,6,G3=50,6,G3=45,6,G3=40,5,G3=35,4,G3=30,4,G3=25,3,G3=20,2,G3=15,1,G3=10,1,G3=0,0)</f>
        <v>0</v>
      </c>
      <c r="J3" s="3" t="n">
        <f aca="false">IF(H3&lt;=1,0,IF(H3&lt;=10,11,IF(H3&lt;=14,12,IF(H3&lt;=17,13,IF(H3&lt;=20,14,IF(H3&lt;=22,15,IF(H3&lt;=25,16,IF(H3&lt;=27,17,IF(H3&lt;=29,18,IF(H3&lt;=32,19,IF(H3&lt;=34,20,IF(H3&lt;=36,21,IF(H3&lt;=40,22,24)))))))))))))</f>
        <v>16</v>
      </c>
      <c r="L3" s="3" t="n">
        <v>29</v>
      </c>
      <c r="M3" s="3" t="n">
        <f aca="false">_xlfn.IFS(K3="взв",11,K3="накл",24,K3="прокл",25,K3="пт",26,K3=90,10,K3=85,10,K3=80,9,K3=75,8,K3=70,8,K3=65,7,K3=60,7,K3=55,6,K3=50,6,K3=45,6,K3=40,5,K3=35,4,K3=30,4,K3=25,3,K3=20,2,K3=15,1,K3=10,1,K3=0,0)</f>
        <v>0</v>
      </c>
      <c r="N3" s="3" t="n">
        <f aca="false">IF(L3&lt;=1,0,IF(L3&lt;=10,11,IF(L3&lt;=14,12,IF(L3&lt;=17,13,IF(L3&lt;=20,14,IF(L3&lt;=22,15,IF(L3&lt;=25,16,IF(L3&lt;=27,17,IF(L3&lt;=29,18,IF(L3&lt;=32,19,IF(L3&lt;=34,20,IF(L3&lt;=36,21,IF(L3&lt;=40,22,24)))))))))))))</f>
        <v>18</v>
      </c>
      <c r="P3" s="3" t="n">
        <v>30</v>
      </c>
      <c r="Q3" s="3" t="n">
        <f aca="false">_xlfn.IFS(O3="взв",11,O3="накл",24,O3="прокл",25,O3="пт",26,O3=90,10,O3=85,10,O3=80,9,O3=75,8,O3=70,8,O3=65,7,O3=60,7,O3=55,6,O3=50,6,O3=45,6,O3=40,5,O3=35,4,O3=30,4,O3=25,3,O3=20,2,O3=15,1,O3=10,1,O3=0,0)</f>
        <v>0</v>
      </c>
      <c r="R3" s="3" t="n">
        <f aca="false">IF(P3&lt;=1,0,IF(P3&lt;=10,11,IF(P3&lt;=14,12,IF(P3&lt;=17,13,IF(P3&lt;=20,14,IF(P3&lt;=22,15,IF(P3&lt;=25,16,IF(P3&lt;=27,17,IF(P3&lt;=29,18,IF(P3&lt;=32,19,IF(P3&lt;=34,20,IF(P3&lt;=36,21,IF(P3&lt;=40,22,24)))))))))))))</f>
        <v>19</v>
      </c>
      <c r="S3" s="14" t="n">
        <f aca="false">ROUND((Q3+R3+I3+J3+M3+N3)/3,0)</f>
        <v>18</v>
      </c>
      <c r="T3" s="15" t="n">
        <f aca="false">F3*LOG10(S3+2)</f>
        <v>1.30102999566398</v>
      </c>
    </row>
    <row r="4" customFormat="false" ht="14.65" hidden="false" customHeight="true" outlineLevel="0" collapsed="false">
      <c r="A4" s="12" t="s">
        <v>26</v>
      </c>
      <c r="B4" s="13" t="n">
        <v>38881</v>
      </c>
      <c r="C4" s="3" t="s">
        <v>24</v>
      </c>
      <c r="D4" s="4" t="s">
        <v>25</v>
      </c>
      <c r="E4" s="3" t="n">
        <v>6</v>
      </c>
      <c r="F4" s="3" t="n">
        <v>2</v>
      </c>
      <c r="G4" s="3" t="s">
        <v>27</v>
      </c>
      <c r="I4" s="3" t="n">
        <f aca="false">_xlfn.IFS(G4="взв",11,G4="накл",24,G4="прокл",25,G4="пт",26,G4=90,10,G4=85,10,G4=80,9,G4=75,8,G4=70,8,G4=65,7,G4=60,7,G4=55,6,G4=50,6,G4=45,6,G4=40,5,G4=35,4,G4=30,4,G4=25,3,G4=20,2,G4=15,1,G4=10,1,G4=0,0)</f>
        <v>24</v>
      </c>
      <c r="J4" s="3" t="n">
        <f aca="false">IF(H4&lt;=1,0,IF(H4&lt;=10,11,IF(H4&lt;=14,12,IF(H4&lt;=17,13,IF(H4&lt;=20,14,IF(H4&lt;=22,15,IF(H4&lt;=25,16,IF(H4&lt;=27,17,IF(H4&lt;=29,18,IF(H4&lt;=32,19,IF(H4&lt;=34,20,IF(H4&lt;=36,21,IF(H4&lt;=40,22,24)))))))))))))</f>
        <v>0</v>
      </c>
      <c r="K4" s="3" t="s">
        <v>27</v>
      </c>
      <c r="M4" s="3" t="n">
        <f aca="false">_xlfn.IFS(K4="взв",11,K4="накл",24,K4="прокл",25,K4="пт",26,K4=90,10,K4=85,10,K4=80,9,K4=75,8,K4=70,8,K4=65,7,K4=60,7,K4=55,6,K4=50,6,K4=45,6,K4=40,5,K4=35,4,K4=30,4,K4=25,3,K4=20,2,K4=15,1,K4=10,1,K4=0,0)</f>
        <v>24</v>
      </c>
      <c r="N4" s="3" t="n">
        <f aca="false">IF(L4&lt;=1,0,IF(L4&lt;=10,11,IF(L4&lt;=14,12,IF(L4&lt;=17,13,IF(L4&lt;=20,14,IF(L4&lt;=22,15,IF(L4&lt;=25,16,IF(L4&lt;=27,17,IF(L4&lt;=29,18,IF(L4&lt;=32,19,IF(L4&lt;=34,20,IF(L4&lt;=36,21,IF(L4&lt;=40,22,24)))))))))))))</f>
        <v>0</v>
      </c>
      <c r="O4" s="3" t="s">
        <v>27</v>
      </c>
      <c r="P4" s="0"/>
      <c r="Q4" s="3" t="n">
        <f aca="false">_xlfn.IFS(O4="взв",11,O4="накл",24,O4="прокл",25,O4="пт",26,O4=90,10,O4=85,10,O4=80,9,O4=75,8,O4=70,8,O4=65,7,O4=60,7,O4=55,6,O4=50,6,O4=45,6,O4=40,5,O4=35,4,O4=30,4,O4=25,3,O4=20,2,O4=15,1,O4=10,1,O4=0,0)</f>
        <v>24</v>
      </c>
      <c r="R4" s="3" t="n">
        <f aca="false">IF(P4&lt;=1,0,IF(P4&lt;=10,11,IF(P4&lt;=14,12,IF(P4&lt;=17,13,IF(P4&lt;=20,14,IF(P4&lt;=22,15,IF(P4&lt;=25,16,IF(P4&lt;=27,17,IF(P4&lt;=29,18,IF(P4&lt;=32,19,IF(P4&lt;=34,20,IF(P4&lt;=36,21,IF(P4&lt;=40,22,24)))))))))))))</f>
        <v>0</v>
      </c>
      <c r="S4" s="14" t="n">
        <f aca="false">ROUND((Q4+R4+I4+J4+M4+N4)/3,0)</f>
        <v>24</v>
      </c>
      <c r="T4" s="15" t="n">
        <f aca="false">F4*LOG10(S4+2)</f>
        <v>2.82994669594164</v>
      </c>
    </row>
    <row r="5" customFormat="false" ht="14.65" hidden="false" customHeight="true" outlineLevel="0" collapsed="false">
      <c r="A5" s="12" t="s">
        <v>28</v>
      </c>
      <c r="B5" s="13" t="n">
        <v>38881</v>
      </c>
      <c r="C5" s="3" t="s">
        <v>24</v>
      </c>
      <c r="D5" s="4" t="s">
        <v>25</v>
      </c>
      <c r="E5" s="3" t="n">
        <v>6</v>
      </c>
      <c r="F5" s="3" t="n">
        <v>2</v>
      </c>
      <c r="H5" s="3" t="n">
        <v>28</v>
      </c>
      <c r="I5" s="3" t="n">
        <f aca="false">_xlfn.IFS(G5="взв",11,G5="накл",24,G5="прокл",25,G5="пт",26,G5=90,10,G5=85,10,G5=80,9,G5=75,8,G5=70,8,G5=65,7,G5=60,7,G5=55,6,G5=50,6,G5=45,6,G5=40,5,G5=35,4,G5=30,4,G5=25,3,G5=20,2,G5=15,1,G5=10,1,G5=0,0)</f>
        <v>0</v>
      </c>
      <c r="J5" s="3" t="n">
        <f aca="false">IF(H5&lt;=1,0,IF(H5&lt;=10,11,IF(H5&lt;=14,12,IF(H5&lt;=17,13,IF(H5&lt;=20,14,IF(H5&lt;=22,15,IF(H5&lt;=25,16,IF(H5&lt;=27,17,IF(H5&lt;=29,18,IF(H5&lt;=32,19,IF(H5&lt;=34,20,IF(H5&lt;=36,21,IF(H5&lt;=40,22,24)))))))))))))</f>
        <v>18</v>
      </c>
      <c r="L5" s="3" t="n">
        <v>30</v>
      </c>
      <c r="M5" s="3" t="n">
        <f aca="false">_xlfn.IFS(K5="взв",11,K5="накл",24,K5="прокл",25,K5="пт",26,K5=90,10,K5=85,10,K5=80,9,K5=75,8,K5=70,8,K5=65,7,K5=60,7,K5=55,6,K5=50,6,K5=45,6,K5=40,5,K5=35,4,K5=30,4,K5=25,3,K5=20,2,K5=15,1,K5=10,1,K5=0,0)</f>
        <v>0</v>
      </c>
      <c r="N5" s="3" t="n">
        <f aca="false">IF(L5&lt;=1,0,IF(L5&lt;=10,11,IF(L5&lt;=14,12,IF(L5&lt;=17,13,IF(L5&lt;=20,14,IF(L5&lt;=22,15,IF(L5&lt;=25,16,IF(L5&lt;=27,17,IF(L5&lt;=29,18,IF(L5&lt;=32,19,IF(L5&lt;=34,20,IF(L5&lt;=36,21,IF(L5&lt;=40,22,24)))))))))))))</f>
        <v>19</v>
      </c>
      <c r="P5" s="3" t="n">
        <v>28</v>
      </c>
      <c r="Q5" s="3" t="n">
        <f aca="false">_xlfn.IFS(O5="взв",11,O5="накл",24,O5="прокл",25,O5="пт",26,O5=90,10,O5=85,10,O5=80,9,O5=75,8,O5=70,8,O5=65,7,O5=60,7,O5=55,6,O5=50,6,O5=45,6,O5=40,5,O5=35,4,O5=30,4,O5=25,3,O5=20,2,O5=15,1,O5=10,1,O5=0,0)</f>
        <v>0</v>
      </c>
      <c r="R5" s="3" t="n">
        <f aca="false">IF(P5&lt;=1,0,IF(P5&lt;=10,11,IF(P5&lt;=14,12,IF(P5&lt;=17,13,IF(P5&lt;=20,14,IF(P5&lt;=22,15,IF(P5&lt;=25,16,IF(P5&lt;=27,17,IF(P5&lt;=29,18,IF(P5&lt;=32,19,IF(P5&lt;=34,20,IF(P5&lt;=36,21,IF(P5&lt;=40,22,24)))))))))))))</f>
        <v>18</v>
      </c>
      <c r="S5" s="14" t="n">
        <f aca="false">ROUND((Q5+R5+I5+J5+M5+N5)/3,0)</f>
        <v>18</v>
      </c>
      <c r="T5" s="15" t="n">
        <f aca="false">F5*LOG10(S5+2)</f>
        <v>2.60205999132796</v>
      </c>
    </row>
    <row r="6" customFormat="false" ht="14.65" hidden="false" customHeight="true" outlineLevel="0" collapsed="false">
      <c r="A6" s="12" t="s">
        <v>29</v>
      </c>
      <c r="B6" s="13" t="n">
        <v>38881</v>
      </c>
      <c r="C6" s="3" t="s">
        <v>24</v>
      </c>
      <c r="D6" s="4" t="s">
        <v>25</v>
      </c>
      <c r="E6" s="3" t="n">
        <v>6</v>
      </c>
      <c r="F6" s="3" t="n">
        <v>3</v>
      </c>
      <c r="H6" s="3" t="n">
        <v>23</v>
      </c>
      <c r="I6" s="3" t="n">
        <f aca="false">_xlfn.IFS(G6="взв",11,G6="накл",24,G6="прокл",25,G6="пт",26,G6=90,10,G6=85,10,G6=80,9,G6=75,8,G6=70,8,G6=65,7,G6=60,7,G6=55,6,G6=50,6,G6=45,6,G6=40,5,G6=35,4,G6=30,4,G6=25,3,G6=20,2,G6=15,1,G6=10,1,G6=0,0)</f>
        <v>0</v>
      </c>
      <c r="J6" s="3" t="n">
        <f aca="false">IF(H6&lt;=1,0,IF(H6&lt;=10,11,IF(H6&lt;=14,12,IF(H6&lt;=17,13,IF(H6&lt;=20,14,IF(H6&lt;=22,15,IF(H6&lt;=25,16,IF(H6&lt;=27,17,IF(H6&lt;=29,18,IF(H6&lt;=32,19,IF(H6&lt;=34,20,IF(H6&lt;=36,21,IF(H6&lt;=40,22,24)))))))))))))</f>
        <v>16</v>
      </c>
      <c r="L6" s="3" t="n">
        <v>21</v>
      </c>
      <c r="M6" s="3" t="n">
        <f aca="false">_xlfn.IFS(K6="взв",11,K6="накл",24,K6="прокл",25,K6="пт",26,K6=90,10,K6=85,10,K6=80,9,K6=75,8,K6=70,8,K6=65,7,K6=60,7,K6=55,6,K6=50,6,K6=45,6,K6=40,5,K6=35,4,K6=30,4,K6=25,3,K6=20,2,K6=15,1,K6=10,1,K6=0,0)</f>
        <v>0</v>
      </c>
      <c r="N6" s="3" t="n">
        <f aca="false">IF(L6&lt;=1,0,IF(L6&lt;=10,11,IF(L6&lt;=14,12,IF(L6&lt;=17,13,IF(L6&lt;=20,14,IF(L6&lt;=22,15,IF(L6&lt;=25,16,IF(L6&lt;=27,17,IF(L6&lt;=29,18,IF(L6&lt;=32,19,IF(L6&lt;=34,20,IF(L6&lt;=36,21,IF(L6&lt;=40,22,24)))))))))))))</f>
        <v>15</v>
      </c>
      <c r="P6" s="3" t="n">
        <v>25</v>
      </c>
      <c r="Q6" s="3" t="n">
        <f aca="false">_xlfn.IFS(O6="взв",11,O6="накл",24,O6="прокл",25,O6="пт",26,O6=90,10,O6=85,10,O6=80,9,O6=75,8,O6=70,8,O6=65,7,O6=60,7,O6=55,6,O6=50,6,O6=45,6,O6=40,5,O6=35,4,O6=30,4,O6=25,3,O6=20,2,O6=15,1,O6=10,1,O6=0,0)</f>
        <v>0</v>
      </c>
      <c r="R6" s="3" t="n">
        <f aca="false">IF(P6&lt;=1,0,IF(P6&lt;=10,11,IF(P6&lt;=14,12,IF(P6&lt;=17,13,IF(P6&lt;=20,14,IF(P6&lt;=22,15,IF(P6&lt;=25,16,IF(P6&lt;=27,17,IF(P6&lt;=29,18,IF(P6&lt;=32,19,IF(P6&lt;=34,20,IF(P6&lt;=36,21,IF(P6&lt;=40,22,24)))))))))))))</f>
        <v>16</v>
      </c>
      <c r="S6" s="14" t="n">
        <f aca="false">ROUND((Q6+R6+I6+J6+M6+N6)/3,0)</f>
        <v>16</v>
      </c>
      <c r="T6" s="15" t="n">
        <f aca="false">F6*LOG10(S6+2)</f>
        <v>3.76581751530992</v>
      </c>
    </row>
    <row r="7" customFormat="false" ht="14.65" hidden="false" customHeight="true" outlineLevel="0" collapsed="false">
      <c r="A7" s="12" t="s">
        <v>30</v>
      </c>
      <c r="B7" s="13" t="n">
        <v>38881</v>
      </c>
      <c r="C7" s="3" t="s">
        <v>24</v>
      </c>
      <c r="D7" s="4" t="s">
        <v>25</v>
      </c>
      <c r="E7" s="3" t="n">
        <v>5</v>
      </c>
      <c r="F7" s="3" t="n">
        <v>3</v>
      </c>
      <c r="G7" s="3" t="n">
        <v>90</v>
      </c>
      <c r="I7" s="3" t="n">
        <f aca="false">_xlfn.IFS(G7="взв",11,G7="накл",24,G7="прокл",25,G7="пт",26,G7=90,10,G7=85,10,G7=80,9,G7=75,8,G7=70,8,G7=65,7,G7=60,7,G7=55,6,G7=50,6,G7=45,6,G7=40,5,G7=35,4,G7=30,4,G7=25,3,G7=20,2,G7=15,1,G7=10,1,G7=0,0)</f>
        <v>10</v>
      </c>
      <c r="J7" s="3" t="n">
        <f aca="false">IF(H7&lt;=1,0,IF(H7&lt;=10,11,IF(H7&lt;=14,12,IF(H7&lt;=17,13,IF(H7&lt;=20,14,IF(H7&lt;=22,15,IF(H7&lt;=25,16,IF(H7&lt;=27,17,IF(H7&lt;=29,18,IF(H7&lt;=32,19,IF(H7&lt;=34,20,IF(H7&lt;=36,21,IF(H7&lt;=40,22,24)))))))))))))</f>
        <v>0</v>
      </c>
      <c r="K7" s="3" t="n">
        <v>90</v>
      </c>
      <c r="M7" s="3" t="n">
        <f aca="false">_xlfn.IFS(K7="взв",11,K7="накл",24,K7="прокл",25,K7="пт",26,K7=90,10,K7=85,10,K7=80,9,K7=75,8,K7=70,8,K7=65,7,K7=60,7,K7=55,6,K7=50,6,K7=45,6,K7=40,5,K7=35,4,K7=30,4,K7=25,3,K7=20,2,K7=15,1,K7=10,1,K7=0,0)</f>
        <v>10</v>
      </c>
      <c r="N7" s="3" t="n">
        <f aca="false">IF(L7&lt;=1,0,IF(L7&lt;=10,11,IF(L7&lt;=14,12,IF(L7&lt;=17,13,IF(L7&lt;=20,14,IF(L7&lt;=22,15,IF(L7&lt;=25,16,IF(L7&lt;=27,17,IF(L7&lt;=29,18,IF(L7&lt;=32,19,IF(L7&lt;=34,20,IF(L7&lt;=36,21,IF(L7&lt;=40,22,24)))))))))))))</f>
        <v>0</v>
      </c>
      <c r="O7" s="3" t="n">
        <v>90</v>
      </c>
      <c r="Q7" s="3" t="n">
        <f aca="false">_xlfn.IFS(O7="взв",11,O7="накл",24,O7="прокл",25,O7="пт",26,O7=90,10,O7=85,10,O7=80,9,O7=75,8,O7=70,8,O7=65,7,O7=60,7,O7=55,6,O7=50,6,O7=45,6,O7=40,5,O7=35,4,O7=30,4,O7=25,3,O7=20,2,O7=15,1,O7=10,1,O7=0,0)</f>
        <v>10</v>
      </c>
      <c r="R7" s="3" t="n">
        <f aca="false">IF(P7&lt;=1,0,IF(P7&lt;=10,11,IF(P7&lt;=14,12,IF(P7&lt;=17,13,IF(P7&lt;=20,14,IF(P7&lt;=22,15,IF(P7&lt;=25,16,IF(P7&lt;=27,17,IF(P7&lt;=29,18,IF(P7&lt;=32,19,IF(P7&lt;=34,20,IF(P7&lt;=36,21,IF(P7&lt;=40,22,24)))))))))))))</f>
        <v>0</v>
      </c>
      <c r="S7" s="14" t="n">
        <f aca="false">ROUND((Q7+R7+I7+J7+M7+N7)/3,0)</f>
        <v>10</v>
      </c>
      <c r="T7" s="15" t="n">
        <f aca="false">F7*LOG10(S7+2)</f>
        <v>3.23754373814287</v>
      </c>
    </row>
    <row r="8" customFormat="false" ht="14.65" hidden="false" customHeight="true" outlineLevel="0" collapsed="false">
      <c r="A8" s="12" t="s">
        <v>31</v>
      </c>
      <c r="B8" s="13" t="n">
        <v>38881</v>
      </c>
      <c r="C8" s="3" t="s">
        <v>24</v>
      </c>
      <c r="D8" s="4" t="s">
        <v>25</v>
      </c>
      <c r="E8" s="3" t="n">
        <v>4</v>
      </c>
      <c r="F8" s="3" t="n">
        <v>3</v>
      </c>
      <c r="H8" s="3" t="n">
        <v>26</v>
      </c>
      <c r="I8" s="3" t="n">
        <f aca="false">_xlfn.IFS(G8="взв",11,G8="накл",24,G8="прокл",25,G8="пт",26,G8=90,10,G8=85,10,G8=80,9,G8=75,8,G8=70,8,G8=65,7,G8=60,7,G8=55,6,G8=50,6,G8=45,6,G8=40,5,G8=35,4,G8=30,4,G8=25,3,G8=20,2,G8=15,1,G8=10,1,G8=0,0)</f>
        <v>0</v>
      </c>
      <c r="J8" s="3" t="n">
        <f aca="false">IF(H8&lt;=1,0,IF(H8&lt;=10,11,IF(H8&lt;=14,12,IF(H8&lt;=17,13,IF(H8&lt;=20,14,IF(H8&lt;=22,15,IF(H8&lt;=25,16,IF(H8&lt;=27,17,IF(H8&lt;=29,18,IF(H8&lt;=32,19,IF(H8&lt;=34,20,IF(H8&lt;=36,21,IF(H8&lt;=40,22,24)))))))))))))</f>
        <v>17</v>
      </c>
      <c r="L8" s="3" t="n">
        <v>26</v>
      </c>
      <c r="M8" s="3" t="n">
        <f aca="false">_xlfn.IFS(K8="взв",11,K8="накл",24,K8="прокл",25,K8="пт",26,K8=90,10,K8=85,10,K8=80,9,K8=75,8,K8=70,8,K8=65,7,K8=60,7,K8=55,6,K8=50,6,K8=45,6,K8=40,5,K8=35,4,K8=30,4,K8=25,3,K8=20,2,K8=15,1,K8=10,1,K8=0,0)</f>
        <v>0</v>
      </c>
      <c r="N8" s="3" t="n">
        <f aca="false">IF(L8&lt;=1,0,IF(L8&lt;=10,11,IF(L8&lt;=14,12,IF(L8&lt;=17,13,IF(L8&lt;=20,14,IF(L8&lt;=22,15,IF(L8&lt;=25,16,IF(L8&lt;=27,17,IF(L8&lt;=29,18,IF(L8&lt;=32,19,IF(L8&lt;=34,20,IF(L8&lt;=36,21,IF(L8&lt;=40,22,24)))))))))))))</f>
        <v>17</v>
      </c>
      <c r="P8" s="3" t="n">
        <v>29</v>
      </c>
      <c r="Q8" s="3" t="n">
        <f aca="false">_xlfn.IFS(O8="взв",11,O8="накл",24,O8="прокл",25,O8="пт",26,O8=90,10,O8=85,10,O8=80,9,O8=75,8,O8=70,8,O8=65,7,O8=60,7,O8=55,6,O8=50,6,O8=45,6,O8=40,5,O8=35,4,O8=30,4,O8=25,3,O8=20,2,O8=15,1,O8=10,1,O8=0,0)</f>
        <v>0</v>
      </c>
      <c r="R8" s="3" t="n">
        <f aca="false">IF(P8&lt;=1,0,IF(P8&lt;=10,11,IF(P8&lt;=14,12,IF(P8&lt;=17,13,IF(P8&lt;=20,14,IF(P8&lt;=22,15,IF(P8&lt;=25,16,IF(P8&lt;=27,17,IF(P8&lt;=29,18,IF(P8&lt;=32,19,IF(P8&lt;=34,20,IF(P8&lt;=36,21,IF(P8&lt;=40,22,24)))))))))))))</f>
        <v>18</v>
      </c>
      <c r="S8" s="14" t="n">
        <f aca="false">ROUND((Q8+R8+I8+J8+M8+N8)/3,0)</f>
        <v>17</v>
      </c>
      <c r="T8" s="15" t="n">
        <f aca="false">F8*LOG10(S8+2)</f>
        <v>3.83626080285849</v>
      </c>
    </row>
    <row r="9" customFormat="false" ht="14.65" hidden="false" customHeight="true" outlineLevel="0" collapsed="false">
      <c r="A9" s="12" t="s">
        <v>32</v>
      </c>
      <c r="B9" s="13" t="n">
        <v>38881</v>
      </c>
      <c r="C9" s="3" t="s">
        <v>24</v>
      </c>
      <c r="D9" s="4" t="s">
        <v>25</v>
      </c>
      <c r="E9" s="3" t="n">
        <v>7</v>
      </c>
      <c r="F9" s="3" t="n">
        <v>4</v>
      </c>
      <c r="H9" s="3" t="n">
        <v>35</v>
      </c>
      <c r="I9" s="3" t="n">
        <f aca="false">_xlfn.IFS(G9="взв",11,G9="накл",24,G9="прокл",25,G9="пт",26,G9=90,10,G9=85,10,G9=80,9,G9=75,8,G9=70,8,G9=65,7,G9=60,7,G9=55,6,G9=50,6,G9=45,6,G9=40,5,G9=35,4,G9=30,4,G9=25,3,G9=20,2,G9=15,1,G9=10,1,G9=0,0)</f>
        <v>0</v>
      </c>
      <c r="J9" s="3" t="n">
        <f aca="false">IF(H9&lt;=1,0,IF(H9&lt;=10,11,IF(H9&lt;=14,12,IF(H9&lt;=17,13,IF(H9&lt;=20,14,IF(H9&lt;=22,15,IF(H9&lt;=25,16,IF(H9&lt;=27,17,IF(H9&lt;=29,18,IF(H9&lt;=32,19,IF(H9&lt;=34,20,IF(H9&lt;=36,21,IF(H9&lt;=40,22,24)))))))))))))</f>
        <v>21</v>
      </c>
      <c r="L9" s="3" t="n">
        <v>38</v>
      </c>
      <c r="M9" s="3" t="n">
        <f aca="false">_xlfn.IFS(K9="взв",11,K9="накл",24,K9="прокл",25,K9="пт",26,K9=90,10,K9=85,10,K9=80,9,K9=75,8,K9=70,8,K9=65,7,K9=60,7,K9=55,6,K9=50,6,K9=45,6,K9=40,5,K9=35,4,K9=30,4,K9=25,3,K9=20,2,K9=15,1,K9=10,1,K9=0,0)</f>
        <v>0</v>
      </c>
      <c r="N9" s="3" t="n">
        <f aca="false">IF(L9&lt;=1,0,IF(L9&lt;=10,11,IF(L9&lt;=14,12,IF(L9&lt;=17,13,IF(L9&lt;=20,14,IF(L9&lt;=22,15,IF(L9&lt;=25,16,IF(L9&lt;=27,17,IF(L9&lt;=29,18,IF(L9&lt;=32,19,IF(L9&lt;=34,20,IF(L9&lt;=36,21,IF(L9&lt;=40,22,24)))))))))))))</f>
        <v>22</v>
      </c>
      <c r="P9" s="3" t="n">
        <v>37</v>
      </c>
      <c r="Q9" s="3" t="n">
        <f aca="false">_xlfn.IFS(O9="взв",11,O9="накл",24,O9="прокл",25,O9="пт",26,O9=90,10,O9=85,10,O9=80,9,O9=75,8,O9=70,8,O9=65,7,O9=60,7,O9=55,6,O9=50,6,O9=45,6,O9=40,5,O9=35,4,O9=30,4,O9=25,3,O9=20,2,O9=15,1,O9=10,1,O9=0,0)</f>
        <v>0</v>
      </c>
      <c r="R9" s="3" t="n">
        <f aca="false">IF(P9&lt;=1,0,IF(P9&lt;=10,11,IF(P9&lt;=14,12,IF(P9&lt;=17,13,IF(P9&lt;=20,14,IF(P9&lt;=22,15,IF(P9&lt;=25,16,IF(P9&lt;=27,17,IF(P9&lt;=29,18,IF(P9&lt;=32,19,IF(P9&lt;=34,20,IF(P9&lt;=36,21,IF(P9&lt;=40,22,24)))))))))))))</f>
        <v>22</v>
      </c>
      <c r="S9" s="14" t="n">
        <f aca="false">ROUND((Q9+R9+I9+J9+M9+N9)/3,0)</f>
        <v>22</v>
      </c>
      <c r="T9" s="15" t="n">
        <f aca="false">F9*LOG10(S9+2)</f>
        <v>5.52084496684642</v>
      </c>
    </row>
    <row r="10" customFormat="false" ht="14.65" hidden="false" customHeight="true" outlineLevel="0" collapsed="false">
      <c r="A10" s="12" t="s">
        <v>33</v>
      </c>
      <c r="B10" s="13" t="n">
        <v>38881</v>
      </c>
      <c r="C10" s="3" t="s">
        <v>24</v>
      </c>
      <c r="D10" s="4" t="s">
        <v>25</v>
      </c>
      <c r="E10" s="3" t="n">
        <v>6</v>
      </c>
      <c r="F10" s="3" t="n">
        <v>4</v>
      </c>
      <c r="H10" s="3" t="n">
        <v>39</v>
      </c>
      <c r="I10" s="3" t="n">
        <f aca="false">_xlfn.IFS(G10="взв",11,G10="накл",24,G10="прокл",25,G10="пт",26,G10=90,10,G10=85,10,G10=80,9,G10=75,8,G10=70,8,G10=65,7,G10=60,7,G10=55,6,G10=50,6,G10=45,6,G10=40,5,G10=35,4,G10=30,4,G10=25,3,G10=20,2,G10=15,1,G10=10,1,G10=0,0)</f>
        <v>0</v>
      </c>
      <c r="J10" s="3" t="n">
        <f aca="false">IF(H10&lt;=1,0,IF(H10&lt;=10,11,IF(H10&lt;=14,12,IF(H10&lt;=17,13,IF(H10&lt;=20,14,IF(H10&lt;=22,15,IF(H10&lt;=25,16,IF(H10&lt;=27,17,IF(H10&lt;=29,18,IF(H10&lt;=32,19,IF(H10&lt;=34,20,IF(H10&lt;=36,21,IF(H10&lt;=40,22,24)))))))))))))</f>
        <v>22</v>
      </c>
      <c r="L10" s="3" t="n">
        <v>42</v>
      </c>
      <c r="M10" s="3" t="n">
        <f aca="false">_xlfn.IFS(K10="взв",11,K10="накл",24,K10="прокл",25,K10="пт",26,K10=90,10,K10=85,10,K10=80,9,K10=75,8,K10=70,8,K10=65,7,K10=60,7,K10=55,6,K10=50,6,K10=45,6,K10=40,5,K10=35,4,K10=30,4,K10=25,3,K10=20,2,K10=15,1,K10=10,1,K10=0,0)</f>
        <v>0</v>
      </c>
      <c r="N10" s="3" t="n">
        <f aca="false">IF(L10&lt;=1,0,IF(L10&lt;=10,11,IF(L10&lt;=14,12,IF(L10&lt;=17,13,IF(L10&lt;=20,14,IF(L10&lt;=22,15,IF(L10&lt;=25,16,IF(L10&lt;=27,17,IF(L10&lt;=29,18,IF(L10&lt;=32,19,IF(L10&lt;=34,20,IF(L10&lt;=36,21,IF(L10&lt;=40,22,24)))))))))))))</f>
        <v>24</v>
      </c>
      <c r="Q10" s="3" t="n">
        <f aca="false">_xlfn.IFS(O10="взв",11,O10="накл",24,O10="прокл",25,O10="пт",26,O10=90,10,O10=85,10,O10=80,9,O10=75,8,O10=70,8,O10=65,7,O10=60,7,O10=55,6,O10=50,6,O10=45,6,O10=40,5,O10=35,4,O10=30,4,O10=25,3,O10=20,2,O10=15,1,O10=10,1,O10=0,0)</f>
        <v>0</v>
      </c>
      <c r="R10" s="3" t="n">
        <f aca="false">IF(P10&lt;=1,0,IF(P10&lt;=10,11,IF(P10&lt;=14,12,IF(P10&lt;=17,13,IF(P10&lt;=20,14,IF(P10&lt;=22,15,IF(P10&lt;=25,16,IF(P10&lt;=27,17,IF(P10&lt;=29,18,IF(P10&lt;=32,19,IF(P10&lt;=34,20,IF(P10&lt;=36,21,IF(P10&lt;=40,22,24)))))))))))))</f>
        <v>0</v>
      </c>
      <c r="S10" s="14" t="n">
        <f aca="false">ROUND((Q10+R10+I10+J10+M10+N10)/3,0)</f>
        <v>15</v>
      </c>
      <c r="T10" s="15" t="n">
        <f aca="false">F10*LOG10(S10+2)</f>
        <v>4.9217956855131</v>
      </c>
    </row>
    <row r="11" customFormat="false" ht="14.65" hidden="false" customHeight="true" outlineLevel="0" collapsed="false">
      <c r="A11" s="12" t="s">
        <v>34</v>
      </c>
      <c r="B11" s="13" t="n">
        <v>38881</v>
      </c>
      <c r="C11" s="3" t="s">
        <v>24</v>
      </c>
      <c r="D11" s="4" t="s">
        <v>25</v>
      </c>
      <c r="E11" s="3" t="n">
        <v>3</v>
      </c>
      <c r="F11" s="3" t="n">
        <v>4</v>
      </c>
      <c r="G11" s="3" t="n">
        <v>90</v>
      </c>
      <c r="I11" s="3" t="n">
        <f aca="false">_xlfn.IFS(G11="взв",11,G11="накл",24,G11="прокл",25,G11="пт",26,G11=90,10,G11=85,10,G11=80,9,G11=75,8,G11=70,8,G11=65,7,G11=60,7,G11=55,6,G11=50,6,G11=45,6,G11=40,5,G11=35,4,G11=30,4,G11=25,3,G11=20,2,G11=15,1,G11=10,1,G11=0,0)</f>
        <v>10</v>
      </c>
      <c r="J11" s="3" t="n">
        <f aca="false">IF(H11&lt;=1,0,IF(H11&lt;=10,11,IF(H11&lt;=14,12,IF(H11&lt;=17,13,IF(H11&lt;=20,14,IF(H11&lt;=22,15,IF(H11&lt;=25,16,IF(H11&lt;=27,17,IF(H11&lt;=29,18,IF(H11&lt;=32,19,IF(H11&lt;=34,20,IF(H11&lt;=36,21,IF(H11&lt;=40,22,24)))))))))))))</f>
        <v>0</v>
      </c>
      <c r="K11" s="3" t="n">
        <v>90</v>
      </c>
      <c r="M11" s="3" t="n">
        <f aca="false">_xlfn.IFS(K11="взв",11,K11="накл",24,K11="прокл",25,K11="пт",26,K11=90,10,K11=85,10,K11=80,9,K11=75,8,K11=70,8,K11=65,7,K11=60,7,K11=55,6,K11=50,6,K11=45,6,K11=40,5,K11=35,4,K11=30,4,K11=25,3,K11=20,2,K11=15,1,K11=10,1,K11=0,0)</f>
        <v>10</v>
      </c>
      <c r="N11" s="3" t="n">
        <f aca="false">IF(L11&lt;=1,0,IF(L11&lt;=10,11,IF(L11&lt;=14,12,IF(L11&lt;=17,13,IF(L11&lt;=20,14,IF(L11&lt;=22,15,IF(L11&lt;=25,16,IF(L11&lt;=27,17,IF(L11&lt;=29,18,IF(L11&lt;=32,19,IF(L11&lt;=34,20,IF(L11&lt;=36,21,IF(L11&lt;=40,22,24)))))))))))))</f>
        <v>0</v>
      </c>
      <c r="O11" s="3" t="n">
        <v>90</v>
      </c>
      <c r="Q11" s="3" t="n">
        <f aca="false">_xlfn.IFS(O11="взв",11,O11="накл",24,O11="прокл",25,O11="пт",26,O11=90,10,O11=85,10,O11=80,9,O11=75,8,O11=70,8,O11=65,7,O11=60,7,O11=55,6,O11=50,6,O11=45,6,O11=40,5,O11=35,4,O11=30,4,O11=25,3,O11=20,2,O11=15,1,O11=10,1,O11=0,0)</f>
        <v>10</v>
      </c>
      <c r="R11" s="3" t="n">
        <f aca="false">IF(P11&lt;=1,0,IF(P11&lt;=10,11,IF(P11&lt;=14,12,IF(P11&lt;=17,13,IF(P11&lt;=20,14,IF(P11&lt;=22,15,IF(P11&lt;=25,16,IF(P11&lt;=27,17,IF(P11&lt;=29,18,IF(P11&lt;=32,19,IF(P11&lt;=34,20,IF(P11&lt;=36,21,IF(P11&lt;=40,22,24)))))))))))))</f>
        <v>0</v>
      </c>
      <c r="S11" s="14" t="n">
        <f aca="false">ROUND((Q11+R11+I11+J11+M11+N11)/3,0)</f>
        <v>10</v>
      </c>
      <c r="T11" s="15" t="n">
        <f aca="false">F11*LOG10(S11+2)</f>
        <v>4.3167249841905</v>
      </c>
    </row>
    <row r="12" customFormat="false" ht="14.65" hidden="false" customHeight="true" outlineLevel="0" collapsed="false">
      <c r="A12" s="12" t="s">
        <v>35</v>
      </c>
      <c r="B12" s="13" t="n">
        <v>38881</v>
      </c>
      <c r="C12" s="3" t="s">
        <v>24</v>
      </c>
      <c r="D12" s="4" t="s">
        <v>25</v>
      </c>
      <c r="E12" s="3" t="n">
        <v>4</v>
      </c>
      <c r="F12" s="3" t="n">
        <v>5</v>
      </c>
      <c r="H12" s="3" t="n">
        <v>37</v>
      </c>
      <c r="I12" s="3" t="n">
        <f aca="false">_xlfn.IFS(G12="взв",11,G12="накл",24,G12="прокл",25,G12="пт",26,G12=90,10,G12=85,10,G12=80,9,G12=75,8,G12=70,8,G12=65,7,G12=60,7,G12=55,6,G12=50,6,G12=45,6,G12=40,5,G12=35,4,G12=30,4,G12=25,3,G12=20,2,G12=15,1,G12=10,1,G12=0,0)</f>
        <v>0</v>
      </c>
      <c r="J12" s="3" t="n">
        <f aca="false">IF(H12&lt;=1,0,IF(H12&lt;=10,11,IF(H12&lt;=14,12,IF(H12&lt;=17,13,IF(H12&lt;=20,14,IF(H12&lt;=22,15,IF(H12&lt;=25,16,IF(H12&lt;=27,17,IF(H12&lt;=29,18,IF(H12&lt;=32,19,IF(H12&lt;=34,20,IF(H12&lt;=36,21,IF(H12&lt;=40,22,24)))))))))))))</f>
        <v>22</v>
      </c>
      <c r="L12" s="3" t="n">
        <v>37</v>
      </c>
      <c r="M12" s="3" t="n">
        <f aca="false">_xlfn.IFS(K12="взв",11,K12="накл",24,K12="прокл",25,K12="пт",26,K12=90,10,K12=85,10,K12=80,9,K12=75,8,K12=70,8,K12=65,7,K12=60,7,K12=55,6,K12=50,6,K12=45,6,K12=40,5,K12=35,4,K12=30,4,K12=25,3,K12=20,2,K12=15,1,K12=10,1,K12=0,0)</f>
        <v>0</v>
      </c>
      <c r="N12" s="3" t="n">
        <f aca="false">IF(L12&lt;=1,0,IF(L12&lt;=10,11,IF(L12&lt;=14,12,IF(L12&lt;=17,13,IF(L12&lt;=20,14,IF(L12&lt;=22,15,IF(L12&lt;=25,16,IF(L12&lt;=27,17,IF(L12&lt;=29,18,IF(L12&lt;=32,19,IF(L12&lt;=34,20,IF(L12&lt;=36,21,IF(L12&lt;=40,22,24)))))))))))))</f>
        <v>22</v>
      </c>
      <c r="P12" s="3" t="n">
        <v>38</v>
      </c>
      <c r="Q12" s="3" t="n">
        <f aca="false">_xlfn.IFS(O12="взв",11,O12="накл",24,O12="прокл",25,O12="пт",26,O12=90,10,O12=85,10,O12=80,9,O12=75,8,O12=70,8,O12=65,7,O12=60,7,O12=55,6,O12=50,6,O12=45,6,O12=40,5,O12=35,4,O12=30,4,O12=25,3,O12=20,2,O12=15,1,O12=10,1,O12=0,0)</f>
        <v>0</v>
      </c>
      <c r="R12" s="3" t="n">
        <f aca="false">IF(P12&lt;=1,0,IF(P12&lt;=10,11,IF(P12&lt;=14,12,IF(P12&lt;=17,13,IF(P12&lt;=20,14,IF(P12&lt;=22,15,IF(P12&lt;=25,16,IF(P12&lt;=27,17,IF(P12&lt;=29,18,IF(P12&lt;=32,19,IF(P12&lt;=34,20,IF(P12&lt;=36,21,IF(P12&lt;=40,22,24)))))))))))))</f>
        <v>22</v>
      </c>
      <c r="S12" s="14" t="n">
        <f aca="false">ROUND((Q12+R12+I12+J12+M12+N12)/3,0)</f>
        <v>22</v>
      </c>
      <c r="T12" s="15" t="n">
        <f aca="false">F12*LOG10(S12+2)</f>
        <v>6.90105620855803</v>
      </c>
    </row>
    <row r="13" customFormat="false" ht="14.65" hidden="false" customHeight="true" outlineLevel="0" collapsed="false">
      <c r="A13" s="12" t="s">
        <v>36</v>
      </c>
      <c r="B13" s="13" t="n">
        <v>38881</v>
      </c>
      <c r="C13" s="3" t="s">
        <v>24</v>
      </c>
      <c r="D13" s="4" t="s">
        <v>25</v>
      </c>
      <c r="E13" s="3" t="n">
        <v>5</v>
      </c>
      <c r="F13" s="3" t="n">
        <v>5</v>
      </c>
      <c r="H13" s="3" t="n">
        <v>28</v>
      </c>
      <c r="I13" s="3" t="n">
        <f aca="false">_xlfn.IFS(G13="взв",11,G13="накл",24,G13="прокл",25,G13="пт",26,G13=90,10,G13=85,10,G13=80,9,G13=75,8,G13=70,8,G13=65,7,G13=60,7,G13=55,6,G13=50,6,G13=45,6,G13=40,5,G13=35,4,G13=30,4,G13=25,3,G13=20,2,G13=15,1,G13=10,1,G13=0,0)</f>
        <v>0</v>
      </c>
      <c r="J13" s="3" t="n">
        <f aca="false">IF(H13&lt;=1,0,IF(H13&lt;=10,11,IF(H13&lt;=14,12,IF(H13&lt;=17,13,IF(H13&lt;=20,14,IF(H13&lt;=22,15,IF(H13&lt;=25,16,IF(H13&lt;=27,17,IF(H13&lt;=29,18,IF(H13&lt;=32,19,IF(H13&lt;=34,20,IF(H13&lt;=36,21,IF(H13&lt;=40,22,24)))))))))))))</f>
        <v>18</v>
      </c>
      <c r="L13" s="3" t="n">
        <v>31</v>
      </c>
      <c r="M13" s="3" t="n">
        <f aca="false">_xlfn.IFS(K13="взв",11,K13="накл",24,K13="прокл",25,K13="пт",26,K13=90,10,K13=85,10,K13=80,9,K13=75,8,K13=70,8,K13=65,7,K13=60,7,K13=55,6,K13=50,6,K13=45,6,K13=40,5,K13=35,4,K13=30,4,K13=25,3,K13=20,2,K13=15,1,K13=10,1,K13=0,0)</f>
        <v>0</v>
      </c>
      <c r="N13" s="3" t="n">
        <f aca="false">IF(L13&lt;=1,0,IF(L13&lt;=10,11,IF(L13&lt;=14,12,IF(L13&lt;=17,13,IF(L13&lt;=20,14,IF(L13&lt;=22,15,IF(L13&lt;=25,16,IF(L13&lt;=27,17,IF(L13&lt;=29,18,IF(L13&lt;=32,19,IF(L13&lt;=34,20,IF(L13&lt;=36,21,IF(L13&lt;=40,22,24)))))))))))))</f>
        <v>19</v>
      </c>
      <c r="P13" s="3" t="n">
        <v>34</v>
      </c>
      <c r="Q13" s="3" t="n">
        <f aca="false">_xlfn.IFS(O13="взв",11,O13="накл",24,O13="прокл",25,O13="пт",26,O13=90,10,O13=85,10,O13=80,9,O13=75,8,O13=70,8,O13=65,7,O13=60,7,O13=55,6,O13=50,6,O13=45,6,O13=40,5,O13=35,4,O13=30,4,O13=25,3,O13=20,2,O13=15,1,O13=10,1,O13=0,0)</f>
        <v>0</v>
      </c>
      <c r="R13" s="3" t="n">
        <f aca="false">IF(P13&lt;=1,0,IF(P13&lt;=10,11,IF(P13&lt;=14,12,IF(P13&lt;=17,13,IF(P13&lt;=20,14,IF(P13&lt;=22,15,IF(P13&lt;=25,16,IF(P13&lt;=27,17,IF(P13&lt;=29,18,IF(P13&lt;=32,19,IF(P13&lt;=34,20,IF(P13&lt;=36,21,IF(P13&lt;=40,22,24)))))))))))))</f>
        <v>20</v>
      </c>
      <c r="S13" s="14" t="n">
        <f aca="false">ROUND((Q13+R13+I13+J13+M13+N13)/3,0)</f>
        <v>19</v>
      </c>
      <c r="T13" s="15" t="n">
        <f aca="false">F13*LOG10(S13+2)</f>
        <v>6.6110964736696</v>
      </c>
    </row>
    <row r="14" customFormat="false" ht="14.65" hidden="false" customHeight="true" outlineLevel="0" collapsed="false">
      <c r="A14" s="12" t="s">
        <v>37</v>
      </c>
      <c r="B14" s="13" t="n">
        <v>38881</v>
      </c>
      <c r="C14" s="3" t="s">
        <v>24</v>
      </c>
      <c r="D14" s="4" t="s">
        <v>25</v>
      </c>
      <c r="E14" s="3" t="n">
        <v>6</v>
      </c>
      <c r="F14" s="3" t="n">
        <v>6</v>
      </c>
      <c r="G14" s="3" t="s">
        <v>38</v>
      </c>
      <c r="I14" s="3" t="n">
        <f aca="false">_xlfn.IFS(G14="взв",11,G14="накл",24,G14="прокл",25,G14="пт",26,G14=90,10,G14=85,10,G14=80,9,G14=75,8,G14=70,8,G14=65,7,G14=60,7,G14=55,6,G14=50,6,G14=45,6,G14=40,5,G14=35,4,G14=30,4,G14=25,3,G14=20,2,G14=15,1,G14=10,1,G14=0,0)</f>
        <v>26</v>
      </c>
      <c r="J14" s="3" t="n">
        <f aca="false">IF(H14&lt;=1,0,IF(H14&lt;=10,11,IF(H14&lt;=14,12,IF(H14&lt;=17,13,IF(H14&lt;=20,14,IF(H14&lt;=22,15,IF(H14&lt;=25,16,IF(H14&lt;=27,17,IF(H14&lt;=29,18,IF(H14&lt;=32,19,IF(H14&lt;=34,20,IF(H14&lt;=36,21,IF(H14&lt;=40,22,24)))))))))))))</f>
        <v>0</v>
      </c>
      <c r="K14" s="3" t="s">
        <v>38</v>
      </c>
      <c r="M14" s="3" t="n">
        <f aca="false">_xlfn.IFS(K14="взв",11,K14="накл",24,K14="прокл",25,K14="пт",26,K14=90,10,K14=85,10,K14=80,9,K14=75,8,K14=70,8,K14=65,7,K14=60,7,K14=55,6,K14=50,6,K14=45,6,K14=40,5,K14=35,4,K14=30,4,K14=25,3,K14=20,2,K14=15,1,K14=10,1,K14=0,0)</f>
        <v>26</v>
      </c>
      <c r="N14" s="3" t="n">
        <f aca="false">IF(L14&lt;=1,0,IF(L14&lt;=10,11,IF(L14&lt;=14,12,IF(L14&lt;=17,13,IF(L14&lt;=20,14,IF(L14&lt;=22,15,IF(L14&lt;=25,16,IF(L14&lt;=27,17,IF(L14&lt;=29,18,IF(L14&lt;=32,19,IF(L14&lt;=34,20,IF(L14&lt;=36,21,IF(L14&lt;=40,22,24)))))))))))))</f>
        <v>0</v>
      </c>
      <c r="O14" s="3" t="s">
        <v>38</v>
      </c>
      <c r="Q14" s="3" t="n">
        <f aca="false">_xlfn.IFS(O14="взв",11,O14="накл",24,O14="прокл",25,O14="пт",26,O14=90,10,O14=85,10,O14=80,9,O14=75,8,O14=70,8,O14=65,7,O14=60,7,O14=55,6,O14=50,6,O14=45,6,O14=40,5,O14=35,4,O14=30,4,O14=25,3,O14=20,2,O14=15,1,O14=10,1,O14=0,0)</f>
        <v>26</v>
      </c>
      <c r="R14" s="3" t="n">
        <f aca="false">IF(P14&lt;=1,0,IF(P14&lt;=10,11,IF(P14&lt;=14,12,IF(P14&lt;=17,13,IF(P14&lt;=20,14,IF(P14&lt;=22,15,IF(P14&lt;=25,16,IF(P14&lt;=27,17,IF(P14&lt;=29,18,IF(P14&lt;=32,19,IF(P14&lt;=34,20,IF(P14&lt;=36,21,IF(P14&lt;=40,22,24)))))))))))))</f>
        <v>0</v>
      </c>
      <c r="S14" s="14" t="n">
        <f aca="false">ROUND((Q14+R14+I14+J14+M14+N14)/3,0)</f>
        <v>26</v>
      </c>
      <c r="T14" s="15" t="n">
        <f aca="false">F14*LOG10(S14+2)</f>
        <v>8.68294818805332</v>
      </c>
    </row>
    <row r="15" customFormat="false" ht="14.65" hidden="false" customHeight="true" outlineLevel="0" collapsed="false">
      <c r="A15" s="12" t="s">
        <v>39</v>
      </c>
      <c r="B15" s="13" t="n">
        <v>38881</v>
      </c>
      <c r="C15" s="3" t="s">
        <v>24</v>
      </c>
      <c r="D15" s="4" t="s">
        <v>25</v>
      </c>
      <c r="E15" s="3" t="n">
        <v>6</v>
      </c>
      <c r="F15" s="3" t="n">
        <v>7</v>
      </c>
      <c r="H15" s="3" t="n">
        <v>35</v>
      </c>
      <c r="I15" s="3" t="n">
        <f aca="false">_xlfn.IFS(G15="взв",11,G15="накл",24,G15="прокл",25,G15="пт",26,G15=90,10,G15=85,10,G15=80,9,G15=75,8,G15=70,8,G15=65,7,G15=60,7,G15=55,6,G15=50,6,G15=45,6,G15=40,5,G15=35,4,G15=30,4,G15=25,3,G15=20,2,G15=15,1,G15=10,1,G15=0,0)</f>
        <v>0</v>
      </c>
      <c r="J15" s="3" t="n">
        <f aca="false">IF(H15&lt;=1,0,IF(H15&lt;=10,11,IF(H15&lt;=14,12,IF(H15&lt;=17,13,IF(H15&lt;=20,14,IF(H15&lt;=22,15,IF(H15&lt;=25,16,IF(H15&lt;=27,17,IF(H15&lt;=29,18,IF(H15&lt;=32,19,IF(H15&lt;=34,20,IF(H15&lt;=36,21,IF(H15&lt;=40,22,24)))))))))))))</f>
        <v>21</v>
      </c>
      <c r="L15" s="3" t="n">
        <v>38</v>
      </c>
      <c r="M15" s="3" t="n">
        <f aca="false">_xlfn.IFS(K15="взв",11,K15="накл",24,K15="прокл",25,K15="пт",26,K15=90,10,K15=85,10,K15=80,9,K15=75,8,K15=70,8,K15=65,7,K15=60,7,K15=55,6,K15=50,6,K15=45,6,K15=40,5,K15=35,4,K15=30,4,K15=25,3,K15=20,2,K15=15,1,K15=10,1,K15=0,0)</f>
        <v>0</v>
      </c>
      <c r="N15" s="3" t="n">
        <f aca="false">IF(L15&lt;=1,0,IF(L15&lt;=10,11,IF(L15&lt;=14,12,IF(L15&lt;=17,13,IF(L15&lt;=20,14,IF(L15&lt;=22,15,IF(L15&lt;=25,16,IF(L15&lt;=27,17,IF(L15&lt;=29,18,IF(L15&lt;=32,19,IF(L15&lt;=34,20,IF(L15&lt;=36,21,IF(L15&lt;=40,22,24)))))))))))))</f>
        <v>22</v>
      </c>
      <c r="P15" s="3" t="n">
        <v>40</v>
      </c>
      <c r="Q15" s="3" t="n">
        <f aca="false">_xlfn.IFS(O15="взв",11,O15="накл",24,O15="прокл",25,O15="пт",26,O15=90,10,O15=85,10,O15=80,9,O15=75,8,O15=70,8,O15=65,7,O15=60,7,O15=55,6,O15=50,6,O15=45,6,O15=40,5,O15=35,4,O15=30,4,O15=25,3,O15=20,2,O15=15,1,O15=10,1,O15=0,0)</f>
        <v>0</v>
      </c>
      <c r="R15" s="3" t="n">
        <f aca="false">IF(P15&lt;=1,0,IF(P15&lt;=10,11,IF(P15&lt;=14,12,IF(P15&lt;=17,13,IF(P15&lt;=20,14,IF(P15&lt;=22,15,IF(P15&lt;=25,16,IF(P15&lt;=27,17,IF(P15&lt;=29,18,IF(P15&lt;=32,19,IF(P15&lt;=34,20,IF(P15&lt;=36,21,IF(P15&lt;=40,22,24)))))))))))))</f>
        <v>22</v>
      </c>
      <c r="S15" s="14" t="n">
        <f aca="false">ROUND((Q15+R15+I15+J15+M15+N15)/3,0)</f>
        <v>22</v>
      </c>
      <c r="T15" s="15" t="n">
        <f aca="false">F15*LOG10(S15+2)</f>
        <v>9.66147869198124</v>
      </c>
    </row>
    <row r="16" customFormat="false" ht="14.65" hidden="false" customHeight="true" outlineLevel="0" collapsed="false">
      <c r="A16" s="12" t="s">
        <v>40</v>
      </c>
      <c r="B16" s="13" t="n">
        <v>38881</v>
      </c>
      <c r="C16" s="3" t="s">
        <v>24</v>
      </c>
      <c r="D16" s="4" t="s">
        <v>25</v>
      </c>
      <c r="E16" s="3" t="n">
        <v>5</v>
      </c>
      <c r="F16" s="3" t="n">
        <v>7</v>
      </c>
      <c r="H16" s="3" t="n">
        <v>30</v>
      </c>
      <c r="I16" s="3" t="n">
        <f aca="false">_xlfn.IFS(G16="взв",11,G16="накл",24,G16="прокл",25,G16="пт",26,G16=90,10,G16=85,10,G16=80,9,G16=75,8,G16=70,8,G16=65,7,G16=60,7,G16=55,6,G16=50,6,G16=45,6,G16=40,5,G16=35,4,G16=30,4,G16=25,3,G16=20,2,G16=15,1,G16=10,1,G16=0,0)</f>
        <v>0</v>
      </c>
      <c r="J16" s="3" t="n">
        <f aca="false">IF(H16&lt;=1,0,IF(H16&lt;=10,11,IF(H16&lt;=14,12,IF(H16&lt;=17,13,IF(H16&lt;=20,14,IF(H16&lt;=22,15,IF(H16&lt;=25,16,IF(H16&lt;=27,17,IF(H16&lt;=29,18,IF(H16&lt;=32,19,IF(H16&lt;=34,20,IF(H16&lt;=36,21,IF(H16&lt;=40,22,24)))))))))))))</f>
        <v>19</v>
      </c>
      <c r="L16" s="3" t="n">
        <v>30</v>
      </c>
      <c r="M16" s="3" t="n">
        <f aca="false">_xlfn.IFS(K16="взв",11,K16="накл",24,K16="прокл",25,K16="пт",26,K16=90,10,K16=85,10,K16=80,9,K16=75,8,K16=70,8,K16=65,7,K16=60,7,K16=55,6,K16=50,6,K16=45,6,K16=40,5,K16=35,4,K16=30,4,K16=25,3,K16=20,2,K16=15,1,K16=10,1,K16=0,0)</f>
        <v>0</v>
      </c>
      <c r="N16" s="3" t="n">
        <f aca="false">IF(L16&lt;=1,0,IF(L16&lt;=10,11,IF(L16&lt;=14,12,IF(L16&lt;=17,13,IF(L16&lt;=20,14,IF(L16&lt;=22,15,IF(L16&lt;=25,16,IF(L16&lt;=27,17,IF(L16&lt;=29,18,IF(L16&lt;=32,19,IF(L16&lt;=34,20,IF(L16&lt;=36,21,IF(L16&lt;=40,22,24)))))))))))))</f>
        <v>19</v>
      </c>
      <c r="P16" s="3" t="n">
        <v>30</v>
      </c>
      <c r="Q16" s="3" t="n">
        <f aca="false">_xlfn.IFS(O16="взв",11,O16="накл",24,O16="прокл",25,O16="пт",26,O16=90,10,O16=85,10,O16=80,9,O16=75,8,O16=70,8,O16=65,7,O16=60,7,O16=55,6,O16=50,6,O16=45,6,O16=40,5,O16=35,4,O16=30,4,O16=25,3,O16=20,2,O16=15,1,O16=10,1,O16=0,0)</f>
        <v>0</v>
      </c>
      <c r="R16" s="3" t="n">
        <f aca="false">IF(P16&lt;=1,0,IF(P16&lt;=10,11,IF(P16&lt;=14,12,IF(P16&lt;=17,13,IF(P16&lt;=20,14,IF(P16&lt;=22,15,IF(P16&lt;=25,16,IF(P16&lt;=27,17,IF(P16&lt;=29,18,IF(P16&lt;=32,19,IF(P16&lt;=34,20,IF(P16&lt;=36,21,IF(P16&lt;=40,22,24)))))))))))))</f>
        <v>19</v>
      </c>
      <c r="S16" s="14" t="n">
        <f aca="false">ROUND((Q16+R16+I16+J16+M16+N16)/3,0)</f>
        <v>19</v>
      </c>
      <c r="T16" s="15" t="n">
        <f aca="false">F16*LOG10(S16+2)</f>
        <v>9.25553506313744</v>
      </c>
    </row>
    <row r="17" customFormat="false" ht="14.65" hidden="false" customHeight="true" outlineLevel="0" collapsed="false">
      <c r="A17" s="12" t="s">
        <v>41</v>
      </c>
      <c r="B17" s="13" t="n">
        <v>38881</v>
      </c>
      <c r="C17" s="3" t="s">
        <v>24</v>
      </c>
      <c r="D17" s="4" t="s">
        <v>25</v>
      </c>
      <c r="E17" s="3" t="n">
        <v>5</v>
      </c>
      <c r="F17" s="3" t="n">
        <v>7</v>
      </c>
      <c r="H17" s="3" t="n">
        <v>36</v>
      </c>
      <c r="I17" s="3" t="n">
        <f aca="false">_xlfn.IFS(G17="взв",11,G17="накл",24,G17="прокл",25,G17="пт",26,G17=90,10,G17=85,10,G17=80,9,G17=75,8,G17=70,8,G17=65,7,G17=60,7,G17=55,6,G17=50,6,G17=45,6,G17=40,5,G17=35,4,G17=30,4,G17=25,3,G17=20,2,G17=15,1,G17=10,1,G17=0,0)</f>
        <v>0</v>
      </c>
      <c r="J17" s="3" t="n">
        <f aca="false">IF(H17&lt;=1,0,IF(H17&lt;=10,11,IF(H17&lt;=14,12,IF(H17&lt;=17,13,IF(H17&lt;=20,14,IF(H17&lt;=22,15,IF(H17&lt;=25,16,IF(H17&lt;=27,17,IF(H17&lt;=29,18,IF(H17&lt;=32,19,IF(H17&lt;=34,20,IF(H17&lt;=36,21,IF(H17&lt;=40,22,24)))))))))))))</f>
        <v>21</v>
      </c>
      <c r="L17" s="3" t="n">
        <v>36</v>
      </c>
      <c r="M17" s="3" t="n">
        <f aca="false">_xlfn.IFS(K17="взв",11,K17="накл",24,K17="прокл",25,K17="пт",26,K17=90,10,K17=85,10,K17=80,9,K17=75,8,K17=70,8,K17=65,7,K17=60,7,K17=55,6,K17=50,6,K17=45,6,K17=40,5,K17=35,4,K17=30,4,K17=25,3,K17=20,2,K17=15,1,K17=10,1,K17=0,0)</f>
        <v>0</v>
      </c>
      <c r="N17" s="3" t="n">
        <f aca="false">IF(L17&lt;=1,0,IF(L17&lt;=10,11,IF(L17&lt;=14,12,IF(L17&lt;=17,13,IF(L17&lt;=20,14,IF(L17&lt;=22,15,IF(L17&lt;=25,16,IF(L17&lt;=27,17,IF(L17&lt;=29,18,IF(L17&lt;=32,19,IF(L17&lt;=34,20,IF(L17&lt;=36,21,IF(L17&lt;=40,22,24)))))))))))))</f>
        <v>21</v>
      </c>
      <c r="P17" s="3" t="n">
        <v>37</v>
      </c>
      <c r="Q17" s="3" t="n">
        <f aca="false">_xlfn.IFS(O17="взв",11,O17="накл",24,O17="прокл",25,O17="пт",26,O17=90,10,O17=85,10,O17=80,9,O17=75,8,O17=70,8,O17=65,7,O17=60,7,O17=55,6,O17=50,6,O17=45,6,O17=40,5,O17=35,4,O17=30,4,O17=25,3,O17=20,2,O17=15,1,O17=10,1,O17=0,0)</f>
        <v>0</v>
      </c>
      <c r="R17" s="3" t="n">
        <f aca="false">IF(P17&lt;=1,0,IF(P17&lt;=10,11,IF(P17&lt;=14,12,IF(P17&lt;=17,13,IF(P17&lt;=20,14,IF(P17&lt;=22,15,IF(P17&lt;=25,16,IF(P17&lt;=27,17,IF(P17&lt;=29,18,IF(P17&lt;=32,19,IF(P17&lt;=34,20,IF(P17&lt;=36,21,IF(P17&lt;=40,22,24)))))))))))))</f>
        <v>22</v>
      </c>
      <c r="S17" s="14" t="n">
        <f aca="false">ROUND((Q17+R17+I17+J17+M17+N17)/3,0)</f>
        <v>21</v>
      </c>
      <c r="T17" s="15" t="n">
        <f aca="false">F17*LOG10(S17+2)</f>
        <v>9.53209485212315</v>
      </c>
    </row>
    <row r="18" customFormat="false" ht="14.65" hidden="false" customHeight="true" outlineLevel="0" collapsed="false">
      <c r="A18" s="12" t="s">
        <v>42</v>
      </c>
      <c r="B18" s="13" t="n">
        <v>38881</v>
      </c>
      <c r="C18" s="3" t="s">
        <v>24</v>
      </c>
      <c r="D18" s="4" t="s">
        <v>25</v>
      </c>
      <c r="E18" s="3" t="n">
        <v>6</v>
      </c>
      <c r="F18" s="3" t="n">
        <v>8</v>
      </c>
      <c r="G18" s="3" t="n">
        <v>90</v>
      </c>
      <c r="I18" s="3" t="n">
        <f aca="false">_xlfn.IFS(G18="взв",11,G18="накл",24,G18="прокл",25,G18="пт",26,G18=90,10,G18=85,10,G18=80,9,G18=75,8,G18=70,8,G18=65,7,G18=60,7,G18=55,6,G18=50,6,G18=45,6,G18=40,5,G18=35,4,G18=30,4,G18=25,3,G18=20,2,G18=15,1,G18=10,1,G18=0,0)</f>
        <v>10</v>
      </c>
      <c r="J18" s="3" t="n">
        <f aca="false">IF(H18&lt;=1,0,IF(H18&lt;=10,11,IF(H18&lt;=14,12,IF(H18&lt;=17,13,IF(H18&lt;=20,14,IF(H18&lt;=22,15,IF(H18&lt;=25,16,IF(H18&lt;=27,17,IF(H18&lt;=29,18,IF(H18&lt;=32,19,IF(H18&lt;=34,20,IF(H18&lt;=36,21,IF(H18&lt;=40,22,24)))))))))))))</f>
        <v>0</v>
      </c>
      <c r="K18" s="3" t="n">
        <v>75</v>
      </c>
      <c r="M18" s="3" t="n">
        <f aca="false">_xlfn.IFS(K18="взв",11,K18="накл",24,K18="прокл",25,K18="пт",26,K18=90,10,K18=85,10,K18=80,9,K18=75,8,K18=70,8,K18=65,7,K18=60,7,K18=55,6,K18=50,6,K18=45,6,K18=40,5,K18=35,4,K18=30,4,K18=25,3,K18=20,2,K18=15,1,K18=10,1,K18=0,0)</f>
        <v>8</v>
      </c>
      <c r="N18" s="3" t="n">
        <f aca="false">IF(L18&lt;=1,0,IF(L18&lt;=10,11,IF(L18&lt;=14,12,IF(L18&lt;=17,13,IF(L18&lt;=20,14,IF(L18&lt;=22,15,IF(L18&lt;=25,16,IF(L18&lt;=27,17,IF(L18&lt;=29,18,IF(L18&lt;=32,19,IF(L18&lt;=34,20,IF(L18&lt;=36,21,IF(L18&lt;=40,22,24)))))))))))))</f>
        <v>0</v>
      </c>
      <c r="O18" s="3" t="n">
        <v>60</v>
      </c>
      <c r="Q18" s="3" t="n">
        <f aca="false">_xlfn.IFS(O18="взв",11,O18="накл",24,O18="прокл",25,O18="пт",26,O18=90,10,O18=85,10,O18=80,9,O18=75,8,O18=70,8,O18=65,7,O18=60,7,O18=55,6,O18=50,6,O18=45,6,O18=40,5,O18=35,4,O18=30,4,O18=25,3,O18=20,2,O18=15,1,O18=10,1,O18=0,0)</f>
        <v>7</v>
      </c>
      <c r="R18" s="3" t="n">
        <f aca="false">IF(P18&lt;=1,0,IF(P18&lt;=10,11,IF(P18&lt;=14,12,IF(P18&lt;=17,13,IF(P18&lt;=20,14,IF(P18&lt;=22,15,IF(P18&lt;=25,16,IF(P18&lt;=27,17,IF(P18&lt;=29,18,IF(P18&lt;=32,19,IF(P18&lt;=34,20,IF(P18&lt;=36,21,IF(P18&lt;=40,22,24)))))))))))))</f>
        <v>0</v>
      </c>
      <c r="S18" s="14" t="n">
        <f aca="false">ROUND((Q18+R18+I18+J18+M18+N18)/3,0)</f>
        <v>8</v>
      </c>
      <c r="T18" s="15" t="n">
        <f aca="false">F18*LOG10(S18+2)</f>
        <v>8</v>
      </c>
    </row>
    <row r="19" customFormat="false" ht="14.65" hidden="false" customHeight="true" outlineLevel="0" collapsed="false">
      <c r="A19" s="12" t="s">
        <v>43</v>
      </c>
      <c r="B19" s="13" t="n">
        <v>38881</v>
      </c>
      <c r="C19" s="3" t="s">
        <v>24</v>
      </c>
      <c r="D19" s="4" t="s">
        <v>25</v>
      </c>
      <c r="E19" s="3" t="n">
        <v>3</v>
      </c>
      <c r="F19" s="3" t="n">
        <v>10</v>
      </c>
      <c r="G19" s="3" t="n">
        <v>75</v>
      </c>
      <c r="I19" s="3" t="n">
        <f aca="false">_xlfn.IFS(G19="взв",11,G19="накл",24,G19="прокл",25,G19="пт",26,G19=90,10,G19=85,10,G19=80,9,G19=75,8,G19=70,8,G19=65,7,G19=60,7,G19=55,6,G19=50,6,G19=45,6,G19=40,5,G19=35,4,G19=30,4,G19=25,3,G19=20,2,G19=15,1,G19=10,1,G19=0,0)</f>
        <v>8</v>
      </c>
      <c r="J19" s="3" t="n">
        <f aca="false">IF(H19&lt;=1,0,IF(H19&lt;=10,11,IF(H19&lt;=14,12,IF(H19&lt;=17,13,IF(H19&lt;=20,14,IF(H19&lt;=22,15,IF(H19&lt;=25,16,IF(H19&lt;=27,17,IF(H19&lt;=29,18,IF(H19&lt;=32,19,IF(H19&lt;=34,20,IF(H19&lt;=36,21,IF(H19&lt;=40,22,24)))))))))))))</f>
        <v>0</v>
      </c>
      <c r="K19" s="3" t="n">
        <v>75</v>
      </c>
      <c r="M19" s="3" t="n">
        <f aca="false">_xlfn.IFS(K19="взв",11,K19="накл",24,K19="прокл",25,K19="пт",26,K19=90,10,K19=85,10,K19=80,9,K19=75,8,K19=70,8,K19=65,7,K19=60,7,K19=55,6,K19=50,6,K19=45,6,K19=40,5,K19=35,4,K19=30,4,K19=25,3,K19=20,2,K19=15,1,K19=10,1,K19=0,0)</f>
        <v>8</v>
      </c>
      <c r="N19" s="3" t="n">
        <f aca="false">IF(L19&lt;=1,0,IF(L19&lt;=10,11,IF(L19&lt;=14,12,IF(L19&lt;=17,13,IF(L19&lt;=20,14,IF(L19&lt;=22,15,IF(L19&lt;=25,16,IF(L19&lt;=27,17,IF(L19&lt;=29,18,IF(L19&lt;=32,19,IF(L19&lt;=34,20,IF(L19&lt;=36,21,IF(L19&lt;=40,22,24)))))))))))))</f>
        <v>0</v>
      </c>
      <c r="O19" s="3" t="n">
        <v>45</v>
      </c>
      <c r="Q19" s="3" t="n">
        <f aca="false">_xlfn.IFS(O19="взв",11,O19="накл",24,O19="прокл",25,O19="пт",26,O19=90,10,O19=85,10,O19=80,9,O19=75,8,O19=70,8,O19=65,7,O19=60,7,O19=55,6,O19=50,6,O19=45,6,O19=40,5,O19=35,4,O19=30,4,O19=25,3,O19=20,2,O19=15,1,O19=10,1,O19=0,0)</f>
        <v>6</v>
      </c>
      <c r="R19" s="3" t="n">
        <f aca="false">IF(P19&lt;=1,0,IF(P19&lt;=10,11,IF(P19&lt;=14,12,IF(P19&lt;=17,13,IF(P19&lt;=20,14,IF(P19&lt;=22,15,IF(P19&lt;=25,16,IF(P19&lt;=27,17,IF(P19&lt;=29,18,IF(P19&lt;=32,19,IF(P19&lt;=34,20,IF(P19&lt;=36,21,IF(P19&lt;=40,22,24)))))))))))))</f>
        <v>0</v>
      </c>
      <c r="S19" s="14" t="n">
        <f aca="false">ROUND((Q19+R19+I19+J19+M19+N19)/3,0)</f>
        <v>7</v>
      </c>
      <c r="T19" s="15" t="n">
        <f aca="false">F19*LOG10(S19+2)</f>
        <v>9.54242509439325</v>
      </c>
    </row>
    <row r="20" customFormat="false" ht="14.65" hidden="false" customHeight="true" outlineLevel="0" collapsed="false">
      <c r="A20" s="12" t="s">
        <v>44</v>
      </c>
      <c r="B20" s="13" t="n">
        <v>38881</v>
      </c>
      <c r="C20" s="3" t="s">
        <v>24</v>
      </c>
      <c r="D20" s="4" t="s">
        <v>25</v>
      </c>
      <c r="E20" s="3" t="n">
        <v>3</v>
      </c>
      <c r="F20" s="3" t="n">
        <v>20</v>
      </c>
      <c r="G20" s="3" t="n">
        <v>60</v>
      </c>
      <c r="I20" s="3" t="n">
        <f aca="false">_xlfn.IFS(G20="взв",11,G20="накл",24,G20="прокл",25,G20="пт",26,G20=90,10,G20=85,10,G20=80,9,G20=75,8,G20=70,8,G20=65,7,G20=60,7,G20=55,6,G20=50,6,G20=45,6,G20=40,5,G20=35,4,G20=30,4,G20=25,3,G20=20,2,G20=15,1,G20=10,1,G20=0,0)</f>
        <v>7</v>
      </c>
      <c r="J20" s="3" t="n">
        <f aca="false">IF(H20&lt;=1,0,IF(H20&lt;=10,11,IF(H20&lt;=14,12,IF(H20&lt;=17,13,IF(H20&lt;=20,14,IF(H20&lt;=22,15,IF(H20&lt;=25,16,IF(H20&lt;=27,17,IF(H20&lt;=29,18,IF(H20&lt;=32,19,IF(H20&lt;=34,20,IF(H20&lt;=36,21,IF(H20&lt;=40,22,24)))))))))))))</f>
        <v>0</v>
      </c>
      <c r="K20" s="3" t="n">
        <v>45</v>
      </c>
      <c r="M20" s="3" t="n">
        <f aca="false">_xlfn.IFS(K20="взв",11,K20="накл",24,K20="прокл",25,K20="пт",26,K20=90,10,K20=85,10,K20=80,9,K20=75,8,K20=70,8,K20=65,7,K20=60,7,K20=55,6,K20=50,6,K20=45,6,K20=40,5,K20=35,4,K20=30,4,K20=25,3,K20=20,2,K20=15,1,K20=10,1,K20=0,0)</f>
        <v>6</v>
      </c>
      <c r="N20" s="3" t="n">
        <f aca="false">IF(L20&lt;=1,0,IF(L20&lt;=10,11,IF(L20&lt;=14,12,IF(L20&lt;=17,13,IF(L20&lt;=20,14,IF(L20&lt;=22,15,IF(L20&lt;=25,16,IF(L20&lt;=27,17,IF(L20&lt;=29,18,IF(L20&lt;=32,19,IF(L20&lt;=34,20,IF(L20&lt;=36,21,IF(L20&lt;=40,22,24)))))))))))))</f>
        <v>0</v>
      </c>
      <c r="O20" s="3" t="n">
        <v>60</v>
      </c>
      <c r="Q20" s="3" t="n">
        <f aca="false">_xlfn.IFS(O20="взв",11,O20="накл",24,O20="прокл",25,O20="пт",26,O20=90,10,O20=85,10,O20=80,9,O20=75,8,O20=70,8,O20=65,7,O20=60,7,O20=55,6,O20=50,6,O20=45,6,O20=40,5,O20=35,4,O20=30,4,O20=25,3,O20=20,2,O20=15,1,O20=10,1,O20=0,0)</f>
        <v>7</v>
      </c>
      <c r="R20" s="3" t="n">
        <f aca="false">IF(P20&lt;=1,0,IF(P20&lt;=10,11,IF(P20&lt;=14,12,IF(P20&lt;=17,13,IF(P20&lt;=20,14,IF(P20&lt;=22,15,IF(P20&lt;=25,16,IF(P20&lt;=27,17,IF(P20&lt;=29,18,IF(P20&lt;=32,19,IF(P20&lt;=34,20,IF(P20&lt;=36,21,IF(P20&lt;=40,22,24)))))))))))))</f>
        <v>0</v>
      </c>
      <c r="S20" s="14" t="n">
        <f aca="false">ROUND((Q20+R20+I20+J20+M20+N20)/3,0)</f>
        <v>7</v>
      </c>
      <c r="T20" s="15" t="n">
        <f aca="false">F20*LOG10(S20+2)</f>
        <v>19.0848501887865</v>
      </c>
    </row>
    <row r="21" customFormat="false" ht="14.65" hidden="false" customHeight="true" outlineLevel="0" collapsed="false">
      <c r="A21" s="12" t="s">
        <v>45</v>
      </c>
      <c r="B21" s="13" t="n">
        <v>38878</v>
      </c>
      <c r="C21" s="3" t="s">
        <v>21</v>
      </c>
      <c r="D21" s="4" t="s">
        <v>46</v>
      </c>
      <c r="E21" s="3" t="n">
        <v>5</v>
      </c>
      <c r="F21" s="3" t="n">
        <v>2</v>
      </c>
      <c r="G21" s="3" t="s">
        <v>27</v>
      </c>
      <c r="I21" s="3" t="n">
        <f aca="false">_xlfn.IFS(G21="взв",11,G21="накл",24,G21="прокл",25,G21="пт",26,G21=90,10,G21=85,10,G21=80,9,G21=75,8,G21=70,8,G21=65,7,G21=60,7,G21=55,6,G21=50,6,G21=45,6,G21=40,5,G21=35,4,G21=30,4,G21=25,3,G21=20,2,G21=15,1,G21=10,1,G21=0,0)</f>
        <v>24</v>
      </c>
      <c r="J21" s="3" t="n">
        <f aca="false">IF(H21&lt;=1,0,IF(H21&lt;=10,11,IF(H21&lt;=14,12,IF(H21&lt;=17,13,IF(H21&lt;=20,14,IF(H21&lt;=22,15,IF(H21&lt;=25,16,IF(H21&lt;=27,17,IF(H21&lt;=29,18,IF(H21&lt;=32,19,IF(H21&lt;=34,20,IF(H21&lt;=36,21,IF(H21&lt;=40,22,24)))))))))))))</f>
        <v>0</v>
      </c>
      <c r="K21" s="3" t="s">
        <v>27</v>
      </c>
      <c r="M21" s="3" t="n">
        <f aca="false">_xlfn.IFS(K21="взв",11,K21="накл",24,K21="прокл",25,K21="пт",26,K21=90,10,K21=85,10,K21=80,9,K21=75,8,K21=70,8,K21=65,7,K21=60,7,K21=55,6,K21=50,6,K21=45,6,K21=40,5,K21=35,4,K21=30,4,K21=25,3,K21=20,2,K21=15,1,K21=10,1,K21=0,0)</f>
        <v>24</v>
      </c>
      <c r="N21" s="3" t="n">
        <f aca="false">IF(L21&lt;=1,0,IF(L21&lt;=10,11,IF(L21&lt;=14,12,IF(L21&lt;=17,13,IF(L21&lt;=20,14,IF(L21&lt;=22,15,IF(L21&lt;=25,16,IF(L21&lt;=27,17,IF(L21&lt;=29,18,IF(L21&lt;=32,19,IF(L21&lt;=34,20,IF(L21&lt;=36,21,IF(L21&lt;=40,22,24)))))))))))))</f>
        <v>0</v>
      </c>
      <c r="O21" s="3" t="s">
        <v>47</v>
      </c>
      <c r="P21" s="0"/>
      <c r="Q21" s="3" t="n">
        <f aca="false">_xlfn.IFS(O21="взв",11,O21="накл",24,O21="прокл",25,O21="пт",26,O21=90,10,O21=85,10,O21=80,9,O21=75,8,O21=70,8,O21=65,7,O21=60,7,O21=55,6,O21=50,6,O21=45,6,O21=40,5,O21=35,4,O21=30,4,O21=25,3,O21=20,2,O21=15,1,O21=10,1,O21=0,0)</f>
        <v>25</v>
      </c>
      <c r="R21" s="3" t="n">
        <f aca="false">IF(P21&lt;=1,0,IF(P21&lt;=10,11,IF(P21&lt;=14,12,IF(P21&lt;=17,13,IF(P21&lt;=20,14,IF(P21&lt;=22,15,IF(P21&lt;=25,16,IF(P21&lt;=27,17,IF(P21&lt;=29,18,IF(P21&lt;=32,19,IF(P21&lt;=34,20,IF(P21&lt;=36,21,IF(P21&lt;=40,22,24)))))))))))))</f>
        <v>0</v>
      </c>
      <c r="S21" s="14" t="n">
        <f aca="false">ROUND((Q21+R21+I21+J21+M21+N21)/3,0)</f>
        <v>24</v>
      </c>
      <c r="T21" s="15" t="n">
        <f aca="false">F21*LOG10(S21+2)</f>
        <v>2.82994669594164</v>
      </c>
    </row>
    <row r="22" customFormat="false" ht="14.65" hidden="false" customHeight="true" outlineLevel="0" collapsed="false">
      <c r="A22" s="12" t="s">
        <v>48</v>
      </c>
      <c r="B22" s="13" t="n">
        <v>38878</v>
      </c>
      <c r="C22" s="3" t="s">
        <v>21</v>
      </c>
      <c r="D22" s="4" t="s">
        <v>46</v>
      </c>
      <c r="E22" s="3" t="n">
        <v>5</v>
      </c>
      <c r="F22" s="3" t="n">
        <v>3</v>
      </c>
      <c r="G22" s="3" t="n">
        <v>45</v>
      </c>
      <c r="I22" s="3" t="n">
        <f aca="false">_xlfn.IFS(G22="взв",11,G22="накл",24,G22="прокл",25,G22="пт",26,G22=90,10,G22=85,10,G22=80,9,G22=75,8,G22=70,8,G22=65,7,G22=60,7,G22=55,6,G22=50,6,G22=45,6,G22=40,5,G22=35,4,G22=30,4,G22=25,3,G22=20,2,G22=15,1,G22=10,1,G22=0,0)</f>
        <v>6</v>
      </c>
      <c r="J22" s="3" t="n">
        <f aca="false">IF(H22&lt;=1,0,IF(H22&lt;=10,11,IF(H22&lt;=14,12,IF(H22&lt;=17,13,IF(H22&lt;=20,14,IF(H22&lt;=22,15,IF(H22&lt;=25,16,IF(H22&lt;=27,17,IF(H22&lt;=29,18,IF(H22&lt;=32,19,IF(H22&lt;=34,20,IF(H22&lt;=36,21,IF(H22&lt;=40,22,24)))))))))))))</f>
        <v>0</v>
      </c>
      <c r="K22" s="3" t="n">
        <v>30</v>
      </c>
      <c r="M22" s="3" t="n">
        <f aca="false">_xlfn.IFS(K22="взв",11,K22="накл",24,K22="прокл",25,K22="пт",26,K22=90,10,K22=85,10,K22=80,9,K22=75,8,K22=70,8,K22=65,7,K22=60,7,K22=55,6,K22=50,6,K22=45,6,K22=40,5,K22=35,4,K22=30,4,K22=25,3,K22=20,2,K22=15,1,K22=10,1,K22=0,0)</f>
        <v>4</v>
      </c>
      <c r="N22" s="3" t="n">
        <f aca="false">IF(L22&lt;=1,0,IF(L22&lt;=10,11,IF(L22&lt;=14,12,IF(L22&lt;=17,13,IF(L22&lt;=20,14,IF(L22&lt;=22,15,IF(L22&lt;=25,16,IF(L22&lt;=27,17,IF(L22&lt;=29,18,IF(L22&lt;=32,19,IF(L22&lt;=34,20,IF(L22&lt;=36,21,IF(L22&lt;=40,22,24)))))))))))))</f>
        <v>0</v>
      </c>
      <c r="O22" s="3" t="n">
        <v>15</v>
      </c>
      <c r="Q22" s="3" t="n">
        <f aca="false">_xlfn.IFS(O22="взв",11,O22="накл",24,O22="прокл",25,O22="пт",26,O22=90,10,O22=85,10,O22=80,9,O22=75,8,O22=70,8,O22=65,7,O22=60,7,O22=55,6,O22=50,6,O22=45,6,O22=40,5,O22=35,4,O22=30,4,O22=25,3,O22=20,2,O22=15,1,O22=10,1,O22=0,0)</f>
        <v>1</v>
      </c>
      <c r="R22" s="3" t="n">
        <f aca="false">IF(P22&lt;=1,0,IF(P22&lt;=10,11,IF(P22&lt;=14,12,IF(P22&lt;=17,13,IF(P22&lt;=20,14,IF(P22&lt;=22,15,IF(P22&lt;=25,16,IF(P22&lt;=27,17,IF(P22&lt;=29,18,IF(P22&lt;=32,19,IF(P22&lt;=34,20,IF(P22&lt;=36,21,IF(P22&lt;=40,22,24)))))))))))))</f>
        <v>0</v>
      </c>
      <c r="S22" s="14" t="n">
        <f aca="false">ROUND((Q22+R22+I22+J22+M22+N22)/3,0)</f>
        <v>4</v>
      </c>
      <c r="T22" s="15" t="n">
        <f aca="false">F22*LOG10(S22+2)</f>
        <v>2.33445375115093</v>
      </c>
    </row>
    <row r="23" customFormat="false" ht="14.65" hidden="false" customHeight="true" outlineLevel="0" collapsed="false">
      <c r="A23" s="12" t="s">
        <v>49</v>
      </c>
      <c r="B23" s="13" t="n">
        <v>38878</v>
      </c>
      <c r="C23" s="3" t="s">
        <v>21</v>
      </c>
      <c r="D23" s="4" t="s">
        <v>46</v>
      </c>
      <c r="E23" s="3" t="n">
        <v>4</v>
      </c>
      <c r="F23" s="3" t="n">
        <v>5</v>
      </c>
      <c r="G23" s="3" t="n">
        <v>90</v>
      </c>
      <c r="I23" s="3" t="n">
        <f aca="false">_xlfn.IFS(G23="взв",11,G23="накл",24,G23="прокл",25,G23="пт",26,G23=90,10,G23=85,10,G23=80,9,G23=75,8,G23=70,8,G23=65,7,G23=60,7,G23=55,6,G23=50,6,G23=45,6,G23=40,5,G23=35,4,G23=30,4,G23=25,3,G23=20,2,G23=15,1,G23=10,1,G23=0,0)</f>
        <v>10</v>
      </c>
      <c r="J23" s="3" t="n">
        <f aca="false">IF(H23&lt;=1,0,IF(H23&lt;=10,11,IF(H23&lt;=14,12,IF(H23&lt;=17,13,IF(H23&lt;=20,14,IF(H23&lt;=22,15,IF(H23&lt;=25,16,IF(H23&lt;=27,17,IF(H23&lt;=29,18,IF(H23&lt;=32,19,IF(H23&lt;=34,20,IF(H23&lt;=36,21,IF(H23&lt;=40,22,24)))))))))))))</f>
        <v>0</v>
      </c>
      <c r="K23" s="3" t="n">
        <v>75</v>
      </c>
      <c r="M23" s="3" t="n">
        <f aca="false">_xlfn.IFS(K23="взв",11,K23="накл",24,K23="прокл",25,K23="пт",26,K23=90,10,K23=85,10,K23=80,9,K23=75,8,K23=70,8,K23=65,7,K23=60,7,K23=55,6,K23=50,6,K23=45,6,K23=40,5,K23=35,4,K23=30,4,K23=25,3,K23=20,2,K23=15,1,K23=10,1,K23=0,0)</f>
        <v>8</v>
      </c>
      <c r="N23" s="3" t="n">
        <f aca="false">IF(L23&lt;=1,0,IF(L23&lt;=10,11,IF(L23&lt;=14,12,IF(L23&lt;=17,13,IF(L23&lt;=20,14,IF(L23&lt;=22,15,IF(L23&lt;=25,16,IF(L23&lt;=27,17,IF(L23&lt;=29,18,IF(L23&lt;=32,19,IF(L23&lt;=34,20,IF(L23&lt;=36,21,IF(L23&lt;=40,22,24)))))))))))))</f>
        <v>0</v>
      </c>
      <c r="O23" s="3" t="s">
        <v>50</v>
      </c>
      <c r="P23" s="0"/>
      <c r="Q23" s="3" t="n">
        <f aca="false">_xlfn.IFS(O23="взв",11,O23="накл",24,O23="прокл",25,O23="пт",26,O23=90,10,O23=85,10,O23=80,9,O23=75,8,O23=70,8,O23=65,7,O23=60,7,O23=55,6,O23=50,6,O23=45,6,O23=40,5,O23=35,4,O23=30,4,O23=25,3,O23=20,2,O23=15,1,O23=10,1,O23=0,0)</f>
        <v>11</v>
      </c>
      <c r="R23" s="3" t="n">
        <f aca="false">IF(P23&lt;=1,0,IF(P23&lt;=10,11,IF(P23&lt;=14,12,IF(P23&lt;=17,13,IF(P23&lt;=20,14,IF(P23&lt;=22,15,IF(P23&lt;=25,16,IF(P23&lt;=27,17,IF(P23&lt;=29,18,IF(P23&lt;=32,19,IF(P23&lt;=34,20,IF(P23&lt;=36,21,IF(P23&lt;=40,22,24)))))))))))))</f>
        <v>0</v>
      </c>
      <c r="S23" s="14" t="n">
        <f aca="false">ROUND((Q23+R23+I23+J23+M23+N23)/3,0)</f>
        <v>10</v>
      </c>
      <c r="T23" s="15" t="n">
        <f aca="false">F23*LOG10(S23+2)</f>
        <v>5.39590623023813</v>
      </c>
    </row>
    <row r="24" customFormat="false" ht="14.65" hidden="false" customHeight="true" outlineLevel="0" collapsed="false">
      <c r="A24" s="12" t="s">
        <v>51</v>
      </c>
      <c r="B24" s="13" t="n">
        <v>38893</v>
      </c>
      <c r="C24" s="3" t="s">
        <v>21</v>
      </c>
      <c r="D24" s="4" t="s">
        <v>52</v>
      </c>
      <c r="E24" s="3" t="n">
        <v>5</v>
      </c>
      <c r="F24" s="3" t="n">
        <v>0</v>
      </c>
      <c r="H24" s="3" t="n">
        <v>31</v>
      </c>
      <c r="I24" s="3" t="n">
        <f aca="false">_xlfn.IFS(G24="взв",11,G24="накл",24,G24="прокл",25,G24="пт",26,G24=90,10,G24=85,10,G24=80,9,G24=75,8,G24=70,8,G24=65,7,G24=60,7,G24=55,6,G24=50,6,G24=45,6,G24=40,5,G24=35,4,G24=30,4,G24=25,3,G24=20,2,G24=15,1,G24=10,1,G24=0,0)</f>
        <v>0</v>
      </c>
      <c r="J24" s="3" t="n">
        <f aca="false">IF(H24&lt;=1,0,IF(H24&lt;=10,11,IF(H24&lt;=14,12,IF(H24&lt;=17,13,IF(H24&lt;=20,14,IF(H24&lt;=22,15,IF(H24&lt;=25,16,IF(H24&lt;=27,17,IF(H24&lt;=29,18,IF(H24&lt;=32,19,IF(H24&lt;=34,20,IF(H24&lt;=36,21,IF(H24&lt;=40,22,24)))))))))))))</f>
        <v>19</v>
      </c>
      <c r="L24" s="3" t="n">
        <v>29</v>
      </c>
      <c r="M24" s="3" t="n">
        <f aca="false">_xlfn.IFS(K24="взв",11,K24="накл",24,K24="прокл",25,K24="пт",26,K24=90,10,K24=85,10,K24=80,9,K24=75,8,K24=70,8,K24=65,7,K24=60,7,K24=55,6,K24=50,6,K24=45,6,K24=40,5,K24=35,4,K24=30,4,K24=25,3,K24=20,2,K24=15,1,K24=10,1,K24=0,0)</f>
        <v>0</v>
      </c>
      <c r="N24" s="3" t="n">
        <f aca="false">IF(L24&lt;=1,0,IF(L24&lt;=10,11,IF(L24&lt;=14,12,IF(L24&lt;=17,13,IF(L24&lt;=20,14,IF(L24&lt;=22,15,IF(L24&lt;=25,16,IF(L24&lt;=27,17,IF(L24&lt;=29,18,IF(L24&lt;=32,19,IF(L24&lt;=34,20,IF(L24&lt;=36,21,IF(L24&lt;=40,22,24)))))))))))))</f>
        <v>18</v>
      </c>
      <c r="P24" s="3" t="n">
        <v>29</v>
      </c>
      <c r="Q24" s="3" t="n">
        <f aca="false">_xlfn.IFS(O24="взв",11,O24="накл",24,O24="прокл",25,O24="пт",26,O24=90,10,O24=85,10,O24=80,9,O24=75,8,O24=70,8,O24=65,7,O24=60,7,O24=55,6,O24=50,6,O24=45,6,O24=40,5,O24=35,4,O24=30,4,O24=25,3,O24=20,2,O24=15,1,O24=10,1,O24=0,0)</f>
        <v>0</v>
      </c>
      <c r="R24" s="3" t="n">
        <f aca="false">IF(P24&lt;=1,0,IF(P24&lt;=10,11,IF(P24&lt;=14,12,IF(P24&lt;=17,13,IF(P24&lt;=20,14,IF(P24&lt;=22,15,IF(P24&lt;=25,16,IF(P24&lt;=27,17,IF(P24&lt;=29,18,IF(P24&lt;=32,19,IF(P24&lt;=34,20,IF(P24&lt;=36,21,IF(P24&lt;=40,22,24)))))))))))))</f>
        <v>18</v>
      </c>
      <c r="S24" s="14" t="n">
        <f aca="false">ROUND((Q24+R24+I24+J24+M24+N24)/3,0)</f>
        <v>18</v>
      </c>
      <c r="T24" s="15" t="n">
        <f aca="false">F24*LOG10(S24+2)</f>
        <v>0</v>
      </c>
    </row>
    <row r="25" customFormat="false" ht="14.65" hidden="false" customHeight="true" outlineLevel="0" collapsed="false">
      <c r="A25" s="12" t="s">
        <v>53</v>
      </c>
      <c r="B25" s="16" t="n">
        <v>38886</v>
      </c>
      <c r="C25" s="3" t="s">
        <v>24</v>
      </c>
      <c r="D25" s="4" t="s">
        <v>54</v>
      </c>
      <c r="E25" s="3" t="n">
        <v>4</v>
      </c>
      <c r="F25" s="3" t="n">
        <v>0</v>
      </c>
      <c r="H25" s="3" t="n">
        <v>17</v>
      </c>
      <c r="I25" s="3" t="n">
        <f aca="false">_xlfn.IFS(G25="взв",11,G25="накл",24,G25="прокл",25,G25="пт",26,G25=90,10,G25=85,10,G25=80,9,G25=75,8,G25=70,8,G25=65,7,G25=60,7,G25=55,6,G25=50,6,G25=45,6,G25=40,5,G25=35,4,G25=30,4,G25=25,3,G25=20,2,G25=15,1,G25=10,1,G25=0,0)</f>
        <v>0</v>
      </c>
      <c r="J25" s="3" t="n">
        <f aca="false">IF(H25&lt;=1,0,IF(H25&lt;=10,11,IF(H25&lt;=14,12,IF(H25&lt;=17,13,IF(H25&lt;=20,14,IF(H25&lt;=22,15,IF(H25&lt;=25,16,IF(H25&lt;=27,17,IF(H25&lt;=29,18,IF(H25&lt;=32,19,IF(H25&lt;=34,20,IF(H25&lt;=36,21,IF(H25&lt;=40,22,24)))))))))))))</f>
        <v>13</v>
      </c>
      <c r="L25" s="3" t="n">
        <v>27</v>
      </c>
      <c r="M25" s="3" t="n">
        <f aca="false">_xlfn.IFS(K25="взв",11,K25="накл",24,K25="прокл",25,K25="пт",26,K25=90,10,K25=85,10,K25=80,9,K25=75,8,K25=70,8,K25=65,7,K25=60,7,K25=55,6,K25=50,6,K25=45,6,K25=40,5,K25=35,4,K25=30,4,K25=25,3,K25=20,2,K25=15,1,K25=10,1,K25=0,0)</f>
        <v>0</v>
      </c>
      <c r="N25" s="3" t="n">
        <f aca="false">IF(L25&lt;=1,0,IF(L25&lt;=10,11,IF(L25&lt;=14,12,IF(L25&lt;=17,13,IF(L25&lt;=20,14,IF(L25&lt;=22,15,IF(L25&lt;=25,16,IF(L25&lt;=27,17,IF(L25&lt;=29,18,IF(L25&lt;=32,19,IF(L25&lt;=34,20,IF(L25&lt;=36,21,IF(L25&lt;=40,22,24)))))))))))))</f>
        <v>17</v>
      </c>
      <c r="P25" s="3" t="n">
        <v>32</v>
      </c>
      <c r="Q25" s="3" t="n">
        <f aca="false">_xlfn.IFS(O25="взв",11,O25="накл",24,O25="прокл",25,O25="пт",26,O25=90,10,O25=85,10,O25=80,9,O25=75,8,O25=70,8,O25=65,7,O25=60,7,O25=55,6,O25=50,6,O25=45,6,O25=40,5,O25=35,4,O25=30,4,O25=25,3,O25=20,2,O25=15,1,O25=10,1,O25=0,0)</f>
        <v>0</v>
      </c>
      <c r="R25" s="3" t="n">
        <f aca="false">IF(P25&lt;=1,0,IF(P25&lt;=10,11,IF(P25&lt;=14,12,IF(P25&lt;=17,13,IF(P25&lt;=20,14,IF(P25&lt;=22,15,IF(P25&lt;=25,16,IF(P25&lt;=27,17,IF(P25&lt;=29,18,IF(P25&lt;=32,19,IF(P25&lt;=34,20,IF(P25&lt;=36,21,IF(P25&lt;=40,22,24)))))))))))))</f>
        <v>19</v>
      </c>
      <c r="S25" s="14" t="n">
        <f aca="false">ROUND((Q25+R25+I25+J25+M25+N25)/3,0)</f>
        <v>16</v>
      </c>
      <c r="T25" s="15" t="n">
        <f aca="false">F25*LOG10(S25+2)</f>
        <v>0</v>
      </c>
    </row>
    <row r="26" customFormat="false" ht="14.65" hidden="false" customHeight="true" outlineLevel="0" collapsed="false">
      <c r="A26" s="12" t="s">
        <v>55</v>
      </c>
      <c r="B26" s="16" t="n">
        <v>38886</v>
      </c>
      <c r="C26" s="3" t="s">
        <v>24</v>
      </c>
      <c r="D26" s="4" t="s">
        <v>54</v>
      </c>
      <c r="E26" s="3" t="n">
        <v>7</v>
      </c>
      <c r="F26" s="3" t="n">
        <v>0</v>
      </c>
      <c r="G26" s="3" t="s">
        <v>27</v>
      </c>
      <c r="I26" s="3" t="n">
        <f aca="false">_xlfn.IFS(G26="взв",11,G26="накл",24,G26="прокл",25,G26="пт",26,G26=90,10,G26=85,10,G26=80,9,G26=75,8,G26=70,8,G26=65,7,G26=60,7,G26=55,6,G26=50,6,G26=45,6,G26=40,5,G26=35,4,G26=30,4,G26=25,3,G26=20,2,G26=15,1,G26=10,1,G26=0,0)</f>
        <v>24</v>
      </c>
      <c r="J26" s="3" t="n">
        <f aca="false">IF(H26&lt;=1,0,IF(H26&lt;=10,11,IF(H26&lt;=14,12,IF(H26&lt;=17,13,IF(H26&lt;=20,14,IF(H26&lt;=22,15,IF(H26&lt;=25,16,IF(H26&lt;=27,17,IF(H26&lt;=29,18,IF(H26&lt;=32,19,IF(H26&lt;=34,20,IF(H26&lt;=36,21,IF(H26&lt;=40,22,24)))))))))))))</f>
        <v>0</v>
      </c>
      <c r="K26" s="3" t="s">
        <v>27</v>
      </c>
      <c r="M26" s="3" t="n">
        <f aca="false">_xlfn.IFS(K26="взв",11,K26="накл",24,K26="прокл",25,K26="пт",26,K26=90,10,K26=85,10,K26=80,9,K26=75,8,K26=70,8,K26=65,7,K26=60,7,K26=55,6,K26=50,6,K26=45,6,K26=40,5,K26=35,4,K26=30,4,K26=25,3,K26=20,2,K26=15,1,K26=10,1,K26=0,0)</f>
        <v>24</v>
      </c>
      <c r="N26" s="3" t="n">
        <f aca="false">IF(L26&lt;=1,0,IF(L26&lt;=10,11,IF(L26&lt;=14,12,IF(L26&lt;=17,13,IF(L26&lt;=20,14,IF(L26&lt;=22,15,IF(L26&lt;=25,16,IF(L26&lt;=27,17,IF(L26&lt;=29,18,IF(L26&lt;=32,19,IF(L26&lt;=34,20,IF(L26&lt;=36,21,IF(L26&lt;=40,22,24)))))))))))))</f>
        <v>0</v>
      </c>
      <c r="O26" s="3" t="s">
        <v>27</v>
      </c>
      <c r="P26" s="0"/>
      <c r="Q26" s="3" t="n">
        <f aca="false">_xlfn.IFS(O26="взв",11,O26="накл",24,O26="прокл",25,O26="пт",26,O26=90,10,O26=85,10,O26=80,9,O26=75,8,O26=70,8,O26=65,7,O26=60,7,O26=55,6,O26=50,6,O26=45,6,O26=40,5,O26=35,4,O26=30,4,O26=25,3,O26=20,2,O26=15,1,O26=10,1,O26=0,0)</f>
        <v>24</v>
      </c>
      <c r="R26" s="3" t="n">
        <f aca="false">IF(P26&lt;=1,0,IF(P26&lt;=10,11,IF(P26&lt;=14,12,IF(P26&lt;=17,13,IF(P26&lt;=20,14,IF(P26&lt;=22,15,IF(P26&lt;=25,16,IF(P26&lt;=27,17,IF(P26&lt;=29,18,IF(P26&lt;=32,19,IF(P26&lt;=34,20,IF(P26&lt;=36,21,IF(P26&lt;=40,22,24)))))))))))))</f>
        <v>0</v>
      </c>
      <c r="S26" s="14" t="n">
        <f aca="false">ROUND((Q26+R26+I26+J26+M26+N26)/3,0)</f>
        <v>24</v>
      </c>
      <c r="T26" s="15" t="n">
        <f aca="false">F26*LOG10(S26+2)</f>
        <v>0</v>
      </c>
    </row>
    <row r="27" customFormat="false" ht="14.65" hidden="false" customHeight="true" outlineLevel="0" collapsed="false">
      <c r="A27" s="12" t="s">
        <v>56</v>
      </c>
      <c r="B27" s="13" t="n">
        <v>38886</v>
      </c>
      <c r="C27" s="3" t="s">
        <v>24</v>
      </c>
      <c r="D27" s="4" t="s">
        <v>54</v>
      </c>
      <c r="E27" s="3" t="n">
        <v>3</v>
      </c>
      <c r="F27" s="3" t="n">
        <v>1</v>
      </c>
      <c r="G27" s="3" t="s">
        <v>38</v>
      </c>
      <c r="I27" s="3" t="n">
        <f aca="false">_xlfn.IFS(G27="взв",11,G27="накл",24,G27="прокл",25,G27="пт",26,G27=90,10,G27=85,10,G27=80,9,G27=75,8,G27=70,8,G27=65,7,G27=60,7,G27=55,6,G27=50,6,G27=45,6,G27=40,5,G27=35,4,G27=30,4,G27=25,3,G27=20,2,G27=15,1,G27=10,1,G27=0,0)</f>
        <v>26</v>
      </c>
      <c r="J27" s="3" t="n">
        <f aca="false">IF(H27&lt;=1,0,IF(H27&lt;=10,11,IF(H27&lt;=14,12,IF(H27&lt;=17,13,IF(H27&lt;=20,14,IF(H27&lt;=22,15,IF(H27&lt;=25,16,IF(H27&lt;=27,17,IF(H27&lt;=29,18,IF(H27&lt;=32,19,IF(H27&lt;=34,20,IF(H27&lt;=36,21,IF(H27&lt;=40,22,24)))))))))))))</f>
        <v>0</v>
      </c>
      <c r="M27" s="3" t="n">
        <f aca="false">_xlfn.IFS(K27="взв",11,K27="накл",24,K27="прокл",25,K27="пт",26,K27=90,10,K27=85,10,K27=80,9,K27=75,8,K27=70,8,K27=65,7,K27=60,7,K27=55,6,K27=50,6,K27=45,6,K27=40,5,K27=35,4,K27=30,4,K27=25,3,K27=20,2,K27=15,1,K27=10,1,K27=0,0)</f>
        <v>0</v>
      </c>
      <c r="N27" s="3" t="n">
        <f aca="false">IF(L27&lt;=1,0,IF(L27&lt;=10,11,IF(L27&lt;=14,12,IF(L27&lt;=17,13,IF(L27&lt;=20,14,IF(L27&lt;=22,15,IF(L27&lt;=25,16,IF(L27&lt;=27,17,IF(L27&lt;=29,18,IF(L27&lt;=32,19,IF(L27&lt;=34,20,IF(L27&lt;=36,21,IF(L27&lt;=40,22,24)))))))))))))</f>
        <v>0</v>
      </c>
      <c r="Q27" s="3" t="n">
        <f aca="false">_xlfn.IFS(O27="взв",11,O27="накл",24,O27="прокл",25,O27="пт",26,O27=90,10,O27=85,10,O27=80,9,O27=75,8,O27=70,8,O27=65,7,O27=60,7,O27=55,6,O27=50,6,O27=45,6,O27=40,5,O27=35,4,O27=30,4,O27=25,3,O27=20,2,O27=15,1,O27=10,1,O27=0,0)</f>
        <v>0</v>
      </c>
      <c r="R27" s="3" t="n">
        <f aca="false">IF(P27&lt;=1,0,IF(P27&lt;=10,11,IF(P27&lt;=14,12,IF(P27&lt;=17,13,IF(P27&lt;=20,14,IF(P27&lt;=22,15,IF(P27&lt;=25,16,IF(P27&lt;=27,17,IF(P27&lt;=29,18,IF(P27&lt;=32,19,IF(P27&lt;=34,20,IF(P27&lt;=36,21,IF(P27&lt;=40,22,24)))))))))))))</f>
        <v>0</v>
      </c>
      <c r="S27" s="14" t="n">
        <v>26</v>
      </c>
      <c r="T27" s="15" t="n">
        <f aca="false">F27*LOG10(S27+2)</f>
        <v>1.44715803134222</v>
      </c>
    </row>
    <row r="28" customFormat="false" ht="14.65" hidden="false" customHeight="true" outlineLevel="0" collapsed="false">
      <c r="A28" s="12" t="s">
        <v>57</v>
      </c>
      <c r="B28" s="13" t="n">
        <v>38886</v>
      </c>
      <c r="C28" s="3" t="s">
        <v>24</v>
      </c>
      <c r="D28" s="4" t="s">
        <v>54</v>
      </c>
      <c r="E28" s="3" t="n">
        <v>5</v>
      </c>
      <c r="F28" s="3" t="n">
        <v>1</v>
      </c>
      <c r="G28" s="3" t="s">
        <v>27</v>
      </c>
      <c r="I28" s="3" t="n">
        <f aca="false">_xlfn.IFS(G28="взв",11,G28="накл",24,G28="прокл",25,G28="пт",26,G28=90,10,G28=85,10,G28=80,9,G28=75,8,G28=70,8,G28=65,7,G28=60,7,G28=55,6,G28=50,6,G28=45,6,G28=40,5,G28=35,4,G28=30,4,G28=25,3,G28=20,2,G28=15,1,G28=10,1,G28=0,0)</f>
        <v>24</v>
      </c>
      <c r="J28" s="3" t="n">
        <f aca="false">IF(H28&lt;=1,0,IF(H28&lt;=10,11,IF(H28&lt;=14,12,IF(H28&lt;=17,13,IF(H28&lt;=20,14,IF(H28&lt;=22,15,IF(H28&lt;=25,16,IF(H28&lt;=27,17,IF(H28&lt;=29,18,IF(H28&lt;=32,19,IF(H28&lt;=34,20,IF(H28&lt;=36,21,IF(H28&lt;=40,22,24)))))))))))))</f>
        <v>0</v>
      </c>
      <c r="K28" s="3" t="s">
        <v>47</v>
      </c>
      <c r="M28" s="3" t="n">
        <f aca="false">_xlfn.IFS(K28="взв",11,K28="накл",24,K28="прокл",25,K28="пт",26,K28=90,10,K28=85,10,K28=80,9,K28=75,8,K28=70,8,K28=65,7,K28=60,7,K28=55,6,K28=50,6,K28=45,6,K28=40,5,K28=35,4,K28=30,4,K28=25,3,K28=20,2,K28=15,1,K28=10,1,K28=0,0)</f>
        <v>25</v>
      </c>
      <c r="N28" s="3" t="n">
        <f aca="false">IF(L28&lt;=1,0,IF(L28&lt;=10,11,IF(L28&lt;=14,12,IF(L28&lt;=17,13,IF(L28&lt;=20,14,IF(L28&lt;=22,15,IF(L28&lt;=25,16,IF(L28&lt;=27,17,IF(L28&lt;=29,18,IF(L28&lt;=32,19,IF(L28&lt;=34,20,IF(L28&lt;=36,21,IF(L28&lt;=40,22,24)))))))))))))</f>
        <v>0</v>
      </c>
      <c r="O28" s="3" t="s">
        <v>27</v>
      </c>
      <c r="P28" s="0"/>
      <c r="Q28" s="3" t="n">
        <f aca="false">_xlfn.IFS(O28="взв",11,O28="накл",24,O28="прокл",25,O28="пт",26,O28=90,10,O28=85,10,O28=80,9,O28=75,8,O28=70,8,O28=65,7,O28=60,7,O28=55,6,O28=50,6,O28=45,6,O28=40,5,O28=35,4,O28=30,4,O28=25,3,O28=20,2,O28=15,1,O28=10,1,O28=0,0)</f>
        <v>24</v>
      </c>
      <c r="R28" s="3" t="n">
        <f aca="false">IF(P28&lt;=1,0,IF(P28&lt;=10,11,IF(P28&lt;=14,12,IF(P28&lt;=17,13,IF(P28&lt;=20,14,IF(P28&lt;=22,15,IF(P28&lt;=25,16,IF(P28&lt;=27,17,IF(P28&lt;=29,18,IF(P28&lt;=32,19,IF(P28&lt;=34,20,IF(P28&lt;=36,21,IF(P28&lt;=40,22,24)))))))))))))</f>
        <v>0</v>
      </c>
      <c r="S28" s="14" t="n">
        <f aca="false">ROUND((Q28+R28+I28+J28+M28+N28)/3,0)</f>
        <v>24</v>
      </c>
      <c r="T28" s="15" t="n">
        <f aca="false">F28*LOG10(S28+2)</f>
        <v>1.41497334797082</v>
      </c>
    </row>
    <row r="29" customFormat="false" ht="14.65" hidden="false" customHeight="true" outlineLevel="0" collapsed="false">
      <c r="A29" s="12" t="s">
        <v>58</v>
      </c>
      <c r="B29" s="13" t="n">
        <v>38886</v>
      </c>
      <c r="C29" s="3" t="s">
        <v>24</v>
      </c>
      <c r="D29" s="4" t="s">
        <v>54</v>
      </c>
      <c r="E29" s="3" t="n">
        <v>5</v>
      </c>
      <c r="F29" s="3" t="n">
        <v>1</v>
      </c>
      <c r="H29" s="3" t="n">
        <v>27</v>
      </c>
      <c r="I29" s="3" t="n">
        <f aca="false">_xlfn.IFS(G29="взв",11,G29="накл",24,G29="прокл",25,G29="пт",26,G29=90,10,G29=85,10,G29=80,9,G29=75,8,G29=70,8,G29=65,7,G29=60,7,G29=55,6,G29=50,6,G29=45,6,G29=40,5,G29=35,4,G29=30,4,G29=25,3,G29=20,2,G29=15,1,G29=10,1,G29=0,0)</f>
        <v>0</v>
      </c>
      <c r="J29" s="3" t="n">
        <f aca="false">IF(H29&lt;=1,0,IF(H29&lt;=10,11,IF(H29&lt;=14,12,IF(H29&lt;=17,13,IF(H29&lt;=20,14,IF(H29&lt;=22,15,IF(H29&lt;=25,16,IF(H29&lt;=27,17,IF(H29&lt;=29,18,IF(H29&lt;=32,19,IF(H29&lt;=34,20,IF(H29&lt;=36,21,IF(H29&lt;=40,22,24)))))))))))))</f>
        <v>17</v>
      </c>
      <c r="L29" s="3" t="n">
        <v>22</v>
      </c>
      <c r="M29" s="3" t="n">
        <f aca="false">_xlfn.IFS(K29="взв",11,K29="накл",24,K29="прокл",25,K29="пт",26,K29=90,10,K29=85,10,K29=80,9,K29=75,8,K29=70,8,K29=65,7,K29=60,7,K29=55,6,K29=50,6,K29=45,6,K29=40,5,K29=35,4,K29=30,4,K29=25,3,K29=20,2,K29=15,1,K29=10,1,K29=0,0)</f>
        <v>0</v>
      </c>
      <c r="N29" s="3" t="n">
        <f aca="false">IF(L29&lt;=1,0,IF(L29&lt;=10,11,IF(L29&lt;=14,12,IF(L29&lt;=17,13,IF(L29&lt;=20,14,IF(L29&lt;=22,15,IF(L29&lt;=25,16,IF(L29&lt;=27,17,IF(L29&lt;=29,18,IF(L29&lt;=32,19,IF(L29&lt;=34,20,IF(L29&lt;=36,21,IF(L29&lt;=40,22,24)))))))))))))</f>
        <v>15</v>
      </c>
      <c r="O29" s="3" t="s">
        <v>50</v>
      </c>
      <c r="P29" s="0"/>
      <c r="Q29" s="3" t="n">
        <f aca="false">_xlfn.IFS(O29="взв",11,O29="накл",24,O29="прокл",25,O29="пт",26,O29=90,10,O29=85,10,O29=80,9,O29=75,8,O29=70,8,O29=65,7,O29=60,7,O29=55,6,O29=50,6,O29=45,6,O29=40,5,O29=35,4,O29=30,4,O29=25,3,O29=20,2,O29=15,1,O29=10,1,O29=0,0)</f>
        <v>11</v>
      </c>
      <c r="R29" s="3" t="n">
        <f aca="false">IF(P29&lt;=1,0,IF(P29&lt;=10,11,IF(P29&lt;=14,12,IF(P29&lt;=17,13,IF(P29&lt;=20,14,IF(P29&lt;=22,15,IF(P29&lt;=25,16,IF(P29&lt;=27,17,IF(P29&lt;=29,18,IF(P29&lt;=32,19,IF(P29&lt;=34,20,IF(P29&lt;=36,21,IF(P29&lt;=40,22,24)))))))))))))</f>
        <v>0</v>
      </c>
      <c r="S29" s="14" t="n">
        <f aca="false">ROUND((Q29+R29+I29+J29+M29+N29)/3,0)</f>
        <v>14</v>
      </c>
      <c r="T29" s="15" t="n">
        <f aca="false">F29*LOG10(S29+2)</f>
        <v>1.20411998265592</v>
      </c>
    </row>
    <row r="30" customFormat="false" ht="14.65" hidden="false" customHeight="true" outlineLevel="0" collapsed="false">
      <c r="A30" s="12" t="s">
        <v>59</v>
      </c>
      <c r="B30" s="13" t="n">
        <v>38886</v>
      </c>
      <c r="C30" s="3" t="s">
        <v>24</v>
      </c>
      <c r="D30" s="4" t="s">
        <v>54</v>
      </c>
      <c r="E30" s="3" t="n">
        <v>4</v>
      </c>
      <c r="F30" s="3" t="n">
        <v>1</v>
      </c>
      <c r="H30" s="3" t="n">
        <v>26</v>
      </c>
      <c r="I30" s="3" t="n">
        <f aca="false">_xlfn.IFS(G30="взв",11,G30="накл",24,G30="прокл",25,G30="пт",26,G30=90,10,G30=85,10,G30=80,9,G30=75,8,G30=70,8,G30=65,7,G30=60,7,G30=55,6,G30=50,6,G30=45,6,G30=40,5,G30=35,4,G30=30,4,G30=25,3,G30=20,2,G30=15,1,G30=10,1,G30=0,0)</f>
        <v>0</v>
      </c>
      <c r="J30" s="3" t="n">
        <f aca="false">IF(H30&lt;=1,0,IF(H30&lt;=10,11,IF(H30&lt;=14,12,IF(H30&lt;=17,13,IF(H30&lt;=20,14,IF(H30&lt;=22,15,IF(H30&lt;=25,16,IF(H30&lt;=27,17,IF(H30&lt;=29,18,IF(H30&lt;=32,19,IF(H30&lt;=34,20,IF(H30&lt;=36,21,IF(H30&lt;=40,22,24)))))))))))))</f>
        <v>17</v>
      </c>
      <c r="L30" s="3" t="n">
        <v>30</v>
      </c>
      <c r="M30" s="3" t="n">
        <f aca="false">_xlfn.IFS(K30="взв",11,K30="накл",24,K30="прокл",25,K30="пт",26,K30=90,10,K30=85,10,K30=80,9,K30=75,8,K30=70,8,K30=65,7,K30=60,7,K30=55,6,K30=50,6,K30=45,6,K30=40,5,K30=35,4,K30=30,4,K30=25,3,K30=20,2,K30=15,1,K30=10,1,K30=0,0)</f>
        <v>0</v>
      </c>
      <c r="N30" s="3" t="n">
        <f aca="false">IF(L30&lt;=1,0,IF(L30&lt;=10,11,IF(L30&lt;=14,12,IF(L30&lt;=17,13,IF(L30&lt;=20,14,IF(L30&lt;=22,15,IF(L30&lt;=25,16,IF(L30&lt;=27,17,IF(L30&lt;=29,18,IF(L30&lt;=32,19,IF(L30&lt;=34,20,IF(L30&lt;=36,21,IF(L30&lt;=40,22,24)))))))))))))</f>
        <v>19</v>
      </c>
      <c r="P30" s="3" t="n">
        <v>28</v>
      </c>
      <c r="Q30" s="3" t="n">
        <f aca="false">_xlfn.IFS(O30="взв",11,O30="накл",24,O30="прокл",25,O30="пт",26,O30=90,10,O30=85,10,O30=80,9,O30=75,8,O30=70,8,O30=65,7,O30=60,7,O30=55,6,O30=50,6,O30=45,6,O30=40,5,O30=35,4,O30=30,4,O30=25,3,O30=20,2,O30=15,1,O30=10,1,O30=0,0)</f>
        <v>0</v>
      </c>
      <c r="R30" s="3" t="n">
        <f aca="false">IF(P30&lt;=1,0,IF(P30&lt;=10,11,IF(P30&lt;=14,12,IF(P30&lt;=17,13,IF(P30&lt;=20,14,IF(P30&lt;=22,15,IF(P30&lt;=25,16,IF(P30&lt;=27,17,IF(P30&lt;=29,18,IF(P30&lt;=32,19,IF(P30&lt;=34,20,IF(P30&lt;=36,21,IF(P30&lt;=40,22,24)))))))))))))</f>
        <v>18</v>
      </c>
      <c r="S30" s="14" t="n">
        <f aca="false">ROUND((Q30+R30+I30+J30+M30+N30)/3,0)</f>
        <v>18</v>
      </c>
      <c r="T30" s="15" t="n">
        <f aca="false">F30*LOG10(S30+2)</f>
        <v>1.30102999566398</v>
      </c>
    </row>
    <row r="31" customFormat="false" ht="14.65" hidden="false" customHeight="true" outlineLevel="0" collapsed="false">
      <c r="A31" s="12" t="s">
        <v>60</v>
      </c>
      <c r="B31" s="13" t="n">
        <v>38886</v>
      </c>
      <c r="C31" s="3" t="s">
        <v>24</v>
      </c>
      <c r="D31" s="4" t="s">
        <v>54</v>
      </c>
      <c r="E31" s="3" t="n">
        <v>5</v>
      </c>
      <c r="F31" s="3" t="n">
        <v>1</v>
      </c>
      <c r="H31" s="3" t="n">
        <v>36</v>
      </c>
      <c r="I31" s="3" t="n">
        <f aca="false">_xlfn.IFS(G31="взв",11,G31="накл",24,G31="прокл",25,G31="пт",26,G31=90,10,G31=85,10,G31=80,9,G31=75,8,G31=70,8,G31=65,7,G31=60,7,G31=55,6,G31=50,6,G31=45,6,G31=40,5,G31=35,4,G31=30,4,G31=25,3,G31=20,2,G31=15,1,G31=10,1,G31=0,0)</f>
        <v>0</v>
      </c>
      <c r="J31" s="3" t="n">
        <f aca="false">IF(H31&lt;=1,0,IF(H31&lt;=10,11,IF(H31&lt;=14,12,IF(H31&lt;=17,13,IF(H31&lt;=20,14,IF(H31&lt;=22,15,IF(H31&lt;=25,16,IF(H31&lt;=27,17,IF(H31&lt;=29,18,IF(H31&lt;=32,19,IF(H31&lt;=34,20,IF(H31&lt;=36,21,IF(H31&lt;=40,22,24)))))))))))))</f>
        <v>21</v>
      </c>
      <c r="L31" s="3" t="n">
        <v>35</v>
      </c>
      <c r="M31" s="3" t="n">
        <f aca="false">_xlfn.IFS(K31="взв",11,K31="накл",24,K31="прокл",25,K31="пт",26,K31=90,10,K31=85,10,K31=80,9,K31=75,8,K31=70,8,K31=65,7,K31=60,7,K31=55,6,K31=50,6,K31=45,6,K31=40,5,K31=35,4,K31=30,4,K31=25,3,K31=20,2,K31=15,1,K31=10,1,K31=0,0)</f>
        <v>0</v>
      </c>
      <c r="N31" s="3" t="n">
        <f aca="false">IF(L31&lt;=1,0,IF(L31&lt;=10,11,IF(L31&lt;=14,12,IF(L31&lt;=17,13,IF(L31&lt;=20,14,IF(L31&lt;=22,15,IF(L31&lt;=25,16,IF(L31&lt;=27,17,IF(L31&lt;=29,18,IF(L31&lt;=32,19,IF(L31&lt;=34,20,IF(L31&lt;=36,21,IF(L31&lt;=40,22,24)))))))))))))</f>
        <v>21</v>
      </c>
      <c r="P31" s="3" t="n">
        <v>35</v>
      </c>
      <c r="Q31" s="3" t="n">
        <f aca="false">_xlfn.IFS(O31="взв",11,O31="накл",24,O31="прокл",25,O31="пт",26,O31=90,10,O31=85,10,O31=80,9,O31=75,8,O31=70,8,O31=65,7,O31=60,7,O31=55,6,O31=50,6,O31=45,6,O31=40,5,O31=35,4,O31=30,4,O31=25,3,O31=20,2,O31=15,1,O31=10,1,O31=0,0)</f>
        <v>0</v>
      </c>
      <c r="R31" s="3" t="n">
        <f aca="false">IF(P31&lt;=1,0,IF(P31&lt;=10,11,IF(P31&lt;=14,12,IF(P31&lt;=17,13,IF(P31&lt;=20,14,IF(P31&lt;=22,15,IF(P31&lt;=25,16,IF(P31&lt;=27,17,IF(P31&lt;=29,18,IF(P31&lt;=32,19,IF(P31&lt;=34,20,IF(P31&lt;=36,21,IF(P31&lt;=40,22,24)))))))))))))</f>
        <v>21</v>
      </c>
      <c r="S31" s="14" t="n">
        <f aca="false">ROUND((Q31+R31+I31+J31+M31+N31)/3,0)</f>
        <v>21</v>
      </c>
      <c r="T31" s="15" t="n">
        <f aca="false">F31*LOG10(S31+2)</f>
        <v>1.36172783601759</v>
      </c>
    </row>
    <row r="32" customFormat="false" ht="14.65" hidden="false" customHeight="true" outlineLevel="0" collapsed="false">
      <c r="A32" s="12" t="s">
        <v>61</v>
      </c>
      <c r="B32" s="13" t="n">
        <v>38886</v>
      </c>
      <c r="C32" s="3" t="s">
        <v>24</v>
      </c>
      <c r="D32" s="4" t="s">
        <v>54</v>
      </c>
      <c r="E32" s="3" t="n">
        <v>6</v>
      </c>
      <c r="F32" s="3" t="n">
        <v>2</v>
      </c>
      <c r="H32" s="3" t="n">
        <v>25</v>
      </c>
      <c r="I32" s="3" t="n">
        <f aca="false">_xlfn.IFS(G32="взв",11,G32="накл",24,G32="прокл",25,G32="пт",26,G32=90,10,G32=85,10,G32=80,9,G32=75,8,G32=70,8,G32=65,7,G32=60,7,G32=55,6,G32=50,6,G32=45,6,G32=40,5,G32=35,4,G32=30,4,G32=25,3,G32=20,2,G32=15,1,G32=10,1,G32=0,0)</f>
        <v>0</v>
      </c>
      <c r="J32" s="3" t="n">
        <f aca="false">IF(H32&lt;=1,0,IF(H32&lt;=10,11,IF(H32&lt;=14,12,IF(H32&lt;=17,13,IF(H32&lt;=20,14,IF(H32&lt;=22,15,IF(H32&lt;=25,16,IF(H32&lt;=27,17,IF(H32&lt;=29,18,IF(H32&lt;=32,19,IF(H32&lt;=34,20,IF(H32&lt;=36,21,IF(H32&lt;=40,22,24)))))))))))))</f>
        <v>16</v>
      </c>
      <c r="L32" s="3" t="n">
        <v>25</v>
      </c>
      <c r="M32" s="3" t="n">
        <f aca="false">_xlfn.IFS(K32="взв",11,K32="накл",24,K32="прокл",25,K32="пт",26,K32=90,10,K32=85,10,K32=80,9,K32=75,8,K32=70,8,K32=65,7,K32=60,7,K32=55,6,K32=50,6,K32=45,6,K32=40,5,K32=35,4,K32=30,4,K32=25,3,K32=20,2,K32=15,1,K32=10,1,K32=0,0)</f>
        <v>0</v>
      </c>
      <c r="N32" s="3" t="n">
        <f aca="false">IF(L32&lt;=1,0,IF(L32&lt;=10,11,IF(L32&lt;=14,12,IF(L32&lt;=17,13,IF(L32&lt;=20,14,IF(L32&lt;=22,15,IF(L32&lt;=25,16,IF(L32&lt;=27,17,IF(L32&lt;=29,18,IF(L32&lt;=32,19,IF(L32&lt;=34,20,IF(L32&lt;=36,21,IF(L32&lt;=40,22,24)))))))))))))</f>
        <v>16</v>
      </c>
      <c r="P32" s="3" t="n">
        <v>28</v>
      </c>
      <c r="Q32" s="3" t="n">
        <f aca="false">_xlfn.IFS(O32="взв",11,O32="накл",24,O32="прокл",25,O32="пт",26,O32=90,10,O32=85,10,O32=80,9,O32=75,8,O32=70,8,O32=65,7,O32=60,7,O32=55,6,O32=50,6,O32=45,6,O32=40,5,O32=35,4,O32=30,4,O32=25,3,O32=20,2,O32=15,1,O32=10,1,O32=0,0)</f>
        <v>0</v>
      </c>
      <c r="R32" s="3" t="n">
        <f aca="false">IF(P32&lt;=1,0,IF(P32&lt;=10,11,IF(P32&lt;=14,12,IF(P32&lt;=17,13,IF(P32&lt;=20,14,IF(P32&lt;=22,15,IF(P32&lt;=25,16,IF(P32&lt;=27,17,IF(P32&lt;=29,18,IF(P32&lt;=32,19,IF(P32&lt;=34,20,IF(P32&lt;=36,21,IF(P32&lt;=40,22,24)))))))))))))</f>
        <v>18</v>
      </c>
      <c r="S32" s="14" t="n">
        <f aca="false">ROUND((Q32+R32+I32+J32+M32+N32)/3,0)</f>
        <v>17</v>
      </c>
      <c r="T32" s="15" t="n">
        <f aca="false">F32*LOG10(S32+2)</f>
        <v>2.55750720190566</v>
      </c>
    </row>
    <row r="33" customFormat="false" ht="14.65" hidden="false" customHeight="true" outlineLevel="0" collapsed="false">
      <c r="A33" s="12" t="s">
        <v>62</v>
      </c>
      <c r="B33" s="13" t="n">
        <v>38886</v>
      </c>
      <c r="C33" s="3" t="s">
        <v>24</v>
      </c>
      <c r="D33" s="4" t="s">
        <v>54</v>
      </c>
      <c r="E33" s="3" t="n">
        <v>6</v>
      </c>
      <c r="F33" s="3" t="n">
        <v>2</v>
      </c>
      <c r="H33" s="3" t="n">
        <v>27</v>
      </c>
      <c r="I33" s="3" t="n">
        <f aca="false">_xlfn.IFS(G33="взв",11,G33="накл",24,G33="прокл",25,G33="пт",26,G33=90,10,G33=85,10,G33=80,9,G33=75,8,G33=70,8,G33=65,7,G33=60,7,G33=55,6,G33=50,6,G33=45,6,G33=40,5,G33=35,4,G33=30,4,G33=25,3,G33=20,2,G33=15,1,G33=10,1,G33=0,0)</f>
        <v>0</v>
      </c>
      <c r="J33" s="3" t="n">
        <f aca="false">IF(H33&lt;=1,0,IF(H33&lt;=10,11,IF(H33&lt;=14,12,IF(H33&lt;=17,13,IF(H33&lt;=20,14,IF(H33&lt;=22,15,IF(H33&lt;=25,16,IF(H33&lt;=27,17,IF(H33&lt;=29,18,IF(H33&lt;=32,19,IF(H33&lt;=34,20,IF(H33&lt;=36,21,IF(H33&lt;=40,22,24)))))))))))))</f>
        <v>17</v>
      </c>
      <c r="L33" s="3" t="n">
        <v>29</v>
      </c>
      <c r="M33" s="3" t="n">
        <f aca="false">_xlfn.IFS(K33="взв",11,K33="накл",24,K33="прокл",25,K33="пт",26,K33=90,10,K33=85,10,K33=80,9,K33=75,8,K33=70,8,K33=65,7,K33=60,7,K33=55,6,K33=50,6,K33=45,6,K33=40,5,K33=35,4,K33=30,4,K33=25,3,K33=20,2,K33=15,1,K33=10,1,K33=0,0)</f>
        <v>0</v>
      </c>
      <c r="N33" s="3" t="n">
        <f aca="false">IF(L33&lt;=1,0,IF(L33&lt;=10,11,IF(L33&lt;=14,12,IF(L33&lt;=17,13,IF(L33&lt;=20,14,IF(L33&lt;=22,15,IF(L33&lt;=25,16,IF(L33&lt;=27,17,IF(L33&lt;=29,18,IF(L33&lt;=32,19,IF(L33&lt;=34,20,IF(L33&lt;=36,21,IF(L33&lt;=40,22,24)))))))))))))</f>
        <v>18</v>
      </c>
      <c r="P33" s="3" t="n">
        <v>29</v>
      </c>
      <c r="Q33" s="3" t="n">
        <f aca="false">_xlfn.IFS(O33="взв",11,O33="накл",24,O33="прокл",25,O33="пт",26,O33=90,10,O33=85,10,O33=80,9,O33=75,8,O33=70,8,O33=65,7,O33=60,7,O33=55,6,O33=50,6,O33=45,6,O33=40,5,O33=35,4,O33=30,4,O33=25,3,O33=20,2,O33=15,1,O33=10,1,O33=0,0)</f>
        <v>0</v>
      </c>
      <c r="R33" s="3" t="n">
        <f aca="false">IF(P33&lt;=1,0,IF(P33&lt;=10,11,IF(P33&lt;=14,12,IF(P33&lt;=17,13,IF(P33&lt;=20,14,IF(P33&lt;=22,15,IF(P33&lt;=25,16,IF(P33&lt;=27,17,IF(P33&lt;=29,18,IF(P33&lt;=32,19,IF(P33&lt;=34,20,IF(P33&lt;=36,21,IF(P33&lt;=40,22,24)))))))))))))</f>
        <v>18</v>
      </c>
      <c r="S33" s="14" t="n">
        <f aca="false">ROUND((Q33+R33+I33+J33+M33+N33)/3,0)</f>
        <v>18</v>
      </c>
      <c r="T33" s="15" t="n">
        <f aca="false">F33*LOG10(S33+2)</f>
        <v>2.60205999132796</v>
      </c>
    </row>
    <row r="34" customFormat="false" ht="14.65" hidden="false" customHeight="true" outlineLevel="0" collapsed="false">
      <c r="A34" s="12" t="s">
        <v>63</v>
      </c>
      <c r="B34" s="13" t="n">
        <v>38886</v>
      </c>
      <c r="C34" s="3" t="s">
        <v>24</v>
      </c>
      <c r="D34" s="4" t="s">
        <v>54</v>
      </c>
      <c r="E34" s="3" t="n">
        <v>5</v>
      </c>
      <c r="F34" s="3" t="n">
        <v>2</v>
      </c>
      <c r="H34" s="3" t="n">
        <v>28</v>
      </c>
      <c r="I34" s="3" t="n">
        <f aca="false">_xlfn.IFS(G34="взв",11,G34="накл",24,G34="прокл",25,G34="пт",26,G34=90,10,G34=85,10,G34=80,9,G34=75,8,G34=70,8,G34=65,7,G34=60,7,G34=55,6,G34=50,6,G34=45,6,G34=40,5,G34=35,4,G34=30,4,G34=25,3,G34=20,2,G34=15,1,G34=10,1,G34=0,0)</f>
        <v>0</v>
      </c>
      <c r="J34" s="3" t="n">
        <f aca="false">IF(H34&lt;=1,0,IF(H34&lt;=10,11,IF(H34&lt;=14,12,IF(H34&lt;=17,13,IF(H34&lt;=20,14,IF(H34&lt;=22,15,IF(H34&lt;=25,16,IF(H34&lt;=27,17,IF(H34&lt;=29,18,IF(H34&lt;=32,19,IF(H34&lt;=34,20,IF(H34&lt;=36,21,IF(H34&lt;=40,22,24)))))))))))))</f>
        <v>18</v>
      </c>
      <c r="L34" s="3" t="n">
        <v>33</v>
      </c>
      <c r="M34" s="3" t="n">
        <f aca="false">_xlfn.IFS(K34="взв",11,K34="накл",24,K34="прокл",25,K34="пт",26,K34=90,10,K34=85,10,K34=80,9,K34=75,8,K34=70,8,K34=65,7,K34=60,7,K34=55,6,K34=50,6,K34=45,6,K34=40,5,K34=35,4,K34=30,4,K34=25,3,K34=20,2,K34=15,1,K34=10,1,K34=0,0)</f>
        <v>0</v>
      </c>
      <c r="N34" s="3" t="n">
        <f aca="false">IF(L34&lt;=1,0,IF(L34&lt;=10,11,IF(L34&lt;=14,12,IF(L34&lt;=17,13,IF(L34&lt;=20,14,IF(L34&lt;=22,15,IF(L34&lt;=25,16,IF(L34&lt;=27,17,IF(L34&lt;=29,18,IF(L34&lt;=32,19,IF(L34&lt;=34,20,IF(L34&lt;=36,21,IF(L34&lt;=40,22,24)))))))))))))</f>
        <v>20</v>
      </c>
      <c r="P34" s="3" t="n">
        <v>26</v>
      </c>
      <c r="Q34" s="3" t="n">
        <f aca="false">_xlfn.IFS(O34="взв",11,O34="накл",24,O34="прокл",25,O34="пт",26,O34=90,10,O34=85,10,O34=80,9,O34=75,8,O34=70,8,O34=65,7,O34=60,7,O34=55,6,O34=50,6,O34=45,6,O34=40,5,O34=35,4,O34=30,4,O34=25,3,O34=20,2,O34=15,1,O34=10,1,O34=0,0)</f>
        <v>0</v>
      </c>
      <c r="R34" s="3" t="n">
        <f aca="false">IF(P34&lt;=1,0,IF(P34&lt;=10,11,IF(P34&lt;=14,12,IF(P34&lt;=17,13,IF(P34&lt;=20,14,IF(P34&lt;=22,15,IF(P34&lt;=25,16,IF(P34&lt;=27,17,IF(P34&lt;=29,18,IF(P34&lt;=32,19,IF(P34&lt;=34,20,IF(P34&lt;=36,21,IF(P34&lt;=40,22,24)))))))))))))</f>
        <v>17</v>
      </c>
      <c r="S34" s="14" t="n">
        <f aca="false">ROUND((Q34+R34+I34+J34+M34+N34)/3,0)</f>
        <v>18</v>
      </c>
      <c r="T34" s="15" t="n">
        <f aca="false">F34*LOG10(S34+2)</f>
        <v>2.60205999132796</v>
      </c>
    </row>
    <row r="35" customFormat="false" ht="14.65" hidden="false" customHeight="true" outlineLevel="0" collapsed="false">
      <c r="A35" s="12" t="s">
        <v>64</v>
      </c>
      <c r="B35" s="13" t="n">
        <v>38886</v>
      </c>
      <c r="C35" s="3" t="s">
        <v>24</v>
      </c>
      <c r="D35" s="4" t="s">
        <v>54</v>
      </c>
      <c r="E35" s="3" t="n">
        <v>4</v>
      </c>
      <c r="F35" s="3" t="n">
        <v>2</v>
      </c>
      <c r="H35" s="3" t="n">
        <v>32</v>
      </c>
      <c r="I35" s="3" t="n">
        <f aca="false">_xlfn.IFS(G35="взв",11,G35="накл",24,G35="прокл",25,G35="пт",26,G35=90,10,G35=85,10,G35=80,9,G35=75,8,G35=70,8,G35=65,7,G35=60,7,G35=55,6,G35=50,6,G35=45,6,G35=40,5,G35=35,4,G35=30,4,G35=25,3,G35=20,2,G35=15,1,G35=10,1,G35=0,0)</f>
        <v>0</v>
      </c>
      <c r="J35" s="3" t="n">
        <f aca="false">IF(H35&lt;=1,0,IF(H35&lt;=10,11,IF(H35&lt;=14,12,IF(H35&lt;=17,13,IF(H35&lt;=20,14,IF(H35&lt;=22,15,IF(H35&lt;=25,16,IF(H35&lt;=27,17,IF(H35&lt;=29,18,IF(H35&lt;=32,19,IF(H35&lt;=34,20,IF(H35&lt;=36,21,IF(H35&lt;=40,22,24)))))))))))))</f>
        <v>19</v>
      </c>
      <c r="L35" s="3" t="n">
        <v>35</v>
      </c>
      <c r="M35" s="3" t="n">
        <f aca="false">_xlfn.IFS(K35="взв",11,K35="накл",24,K35="прокл",25,K35="пт",26,K35=90,10,K35=85,10,K35=80,9,K35=75,8,K35=70,8,K35=65,7,K35=60,7,K35=55,6,K35=50,6,K35=45,6,K35=40,5,K35=35,4,K35=30,4,K35=25,3,K35=20,2,K35=15,1,K35=10,1,K35=0,0)</f>
        <v>0</v>
      </c>
      <c r="N35" s="3" t="n">
        <f aca="false">IF(L35&lt;=1,0,IF(L35&lt;=10,11,IF(L35&lt;=14,12,IF(L35&lt;=17,13,IF(L35&lt;=20,14,IF(L35&lt;=22,15,IF(L35&lt;=25,16,IF(L35&lt;=27,17,IF(L35&lt;=29,18,IF(L35&lt;=32,19,IF(L35&lt;=34,20,IF(L35&lt;=36,21,IF(L35&lt;=40,22,24)))))))))))))</f>
        <v>21</v>
      </c>
      <c r="P35" s="3" t="n">
        <v>33</v>
      </c>
      <c r="Q35" s="3" t="n">
        <f aca="false">_xlfn.IFS(O35="взв",11,O35="накл",24,O35="прокл",25,O35="пт",26,O35=90,10,O35=85,10,O35=80,9,O35=75,8,O35=70,8,O35=65,7,O35=60,7,O35=55,6,O35=50,6,O35=45,6,O35=40,5,O35=35,4,O35=30,4,O35=25,3,O35=20,2,O35=15,1,O35=10,1,O35=0,0)</f>
        <v>0</v>
      </c>
      <c r="R35" s="3" t="n">
        <f aca="false">IF(P35&lt;=1,0,IF(P35&lt;=10,11,IF(P35&lt;=14,12,IF(P35&lt;=17,13,IF(P35&lt;=20,14,IF(P35&lt;=22,15,IF(P35&lt;=25,16,IF(P35&lt;=27,17,IF(P35&lt;=29,18,IF(P35&lt;=32,19,IF(P35&lt;=34,20,IF(P35&lt;=36,21,IF(P35&lt;=40,22,24)))))))))))))</f>
        <v>20</v>
      </c>
      <c r="S35" s="14" t="n">
        <f aca="false">ROUND((Q35+R35+I35+J35+M35+N35)/3,0)</f>
        <v>20</v>
      </c>
      <c r="T35" s="15" t="n">
        <f aca="false">F35*LOG10(S35+2)</f>
        <v>2.68484536164441</v>
      </c>
    </row>
    <row r="36" customFormat="false" ht="14.65" hidden="false" customHeight="true" outlineLevel="0" collapsed="false">
      <c r="A36" s="12" t="s">
        <v>65</v>
      </c>
      <c r="B36" s="13" t="n">
        <v>38886</v>
      </c>
      <c r="C36" s="3" t="s">
        <v>24</v>
      </c>
      <c r="D36" s="4" t="s">
        <v>54</v>
      </c>
      <c r="E36" s="3" t="n">
        <v>4</v>
      </c>
      <c r="F36" s="3" t="n">
        <v>2</v>
      </c>
      <c r="H36" s="3" t="n">
        <v>27</v>
      </c>
      <c r="I36" s="3" t="n">
        <f aca="false">_xlfn.IFS(G36="взв",11,G36="накл",24,G36="прокл",25,G36="пт",26,G36=90,10,G36=85,10,G36=80,9,G36=75,8,G36=70,8,G36=65,7,G36=60,7,G36=55,6,G36=50,6,G36=45,6,G36=40,5,G36=35,4,G36=30,4,G36=25,3,G36=20,2,G36=15,1,G36=10,1,G36=0,0)</f>
        <v>0</v>
      </c>
      <c r="J36" s="3" t="n">
        <f aca="false">IF(H36&lt;=1,0,IF(H36&lt;=10,11,IF(H36&lt;=14,12,IF(H36&lt;=17,13,IF(H36&lt;=20,14,IF(H36&lt;=22,15,IF(H36&lt;=25,16,IF(H36&lt;=27,17,IF(H36&lt;=29,18,IF(H36&lt;=32,19,IF(H36&lt;=34,20,IF(H36&lt;=36,21,IF(H36&lt;=40,22,24)))))))))))))</f>
        <v>17</v>
      </c>
      <c r="L36" s="3" t="n">
        <v>25</v>
      </c>
      <c r="M36" s="3" t="n">
        <f aca="false">_xlfn.IFS(K36="взв",11,K36="накл",24,K36="прокл",25,K36="пт",26,K36=90,10,K36=85,10,K36=80,9,K36=75,8,K36=70,8,K36=65,7,K36=60,7,K36=55,6,K36=50,6,K36=45,6,K36=40,5,K36=35,4,K36=30,4,K36=25,3,K36=20,2,K36=15,1,K36=10,1,K36=0,0)</f>
        <v>0</v>
      </c>
      <c r="N36" s="3" t="n">
        <f aca="false">IF(L36&lt;=1,0,IF(L36&lt;=10,11,IF(L36&lt;=14,12,IF(L36&lt;=17,13,IF(L36&lt;=20,14,IF(L36&lt;=22,15,IF(L36&lt;=25,16,IF(L36&lt;=27,17,IF(L36&lt;=29,18,IF(L36&lt;=32,19,IF(L36&lt;=34,20,IF(L36&lt;=36,21,IF(L36&lt;=40,22,24)))))))))))))</f>
        <v>16</v>
      </c>
      <c r="P36" s="3" t="n">
        <v>29</v>
      </c>
      <c r="Q36" s="3" t="n">
        <f aca="false">_xlfn.IFS(O36="взв",11,O36="накл",24,O36="прокл",25,O36="пт",26,O36=90,10,O36=85,10,O36=80,9,O36=75,8,O36=70,8,O36=65,7,O36=60,7,O36=55,6,O36=50,6,O36=45,6,O36=40,5,O36=35,4,O36=30,4,O36=25,3,O36=20,2,O36=15,1,O36=10,1,O36=0,0)</f>
        <v>0</v>
      </c>
      <c r="R36" s="3" t="n">
        <f aca="false">IF(P36&lt;=1,0,IF(P36&lt;=10,11,IF(P36&lt;=14,12,IF(P36&lt;=17,13,IF(P36&lt;=20,14,IF(P36&lt;=22,15,IF(P36&lt;=25,16,IF(P36&lt;=27,17,IF(P36&lt;=29,18,IF(P36&lt;=32,19,IF(P36&lt;=34,20,IF(P36&lt;=36,21,IF(P36&lt;=40,22,24)))))))))))))</f>
        <v>18</v>
      </c>
      <c r="S36" s="14" t="n">
        <f aca="false">ROUND((Q36+R36+I36+J36+M36+N36)/3,0)</f>
        <v>17</v>
      </c>
      <c r="T36" s="15" t="n">
        <f aca="false">F36*LOG10(S36+2)</f>
        <v>2.55750720190566</v>
      </c>
    </row>
    <row r="37" customFormat="false" ht="14.65" hidden="false" customHeight="true" outlineLevel="0" collapsed="false">
      <c r="A37" s="12" t="s">
        <v>66</v>
      </c>
      <c r="B37" s="13" t="n">
        <v>38886</v>
      </c>
      <c r="C37" s="3" t="s">
        <v>24</v>
      </c>
      <c r="D37" s="4" t="s">
        <v>54</v>
      </c>
      <c r="E37" s="3" t="n">
        <v>9</v>
      </c>
      <c r="F37" s="3" t="n">
        <v>2</v>
      </c>
      <c r="H37" s="3" t="n">
        <v>36</v>
      </c>
      <c r="I37" s="3" t="n">
        <f aca="false">_xlfn.IFS(G37="взв",11,G37="накл",24,G37="прокл",25,G37="пт",26,G37=90,10,G37=85,10,G37=80,9,G37=75,8,G37=70,8,G37=65,7,G37=60,7,G37=55,6,G37=50,6,G37=45,6,G37=40,5,G37=35,4,G37=30,4,G37=25,3,G37=20,2,G37=15,1,G37=10,1,G37=0,0)</f>
        <v>0</v>
      </c>
      <c r="J37" s="3" t="n">
        <f aca="false">IF(H37&lt;=1,0,IF(H37&lt;=10,11,IF(H37&lt;=14,12,IF(H37&lt;=17,13,IF(H37&lt;=20,14,IF(H37&lt;=22,15,IF(H37&lt;=25,16,IF(H37&lt;=27,17,IF(H37&lt;=29,18,IF(H37&lt;=32,19,IF(H37&lt;=34,20,IF(H37&lt;=36,21,IF(H37&lt;=40,22,24)))))))))))))</f>
        <v>21</v>
      </c>
      <c r="L37" s="3" t="n">
        <v>37</v>
      </c>
      <c r="M37" s="3" t="n">
        <f aca="false">_xlfn.IFS(K37="взв",11,K37="накл",24,K37="прокл",25,K37="пт",26,K37=90,10,K37=85,10,K37=80,9,K37=75,8,K37=70,8,K37=65,7,K37=60,7,K37=55,6,K37=50,6,K37=45,6,K37=40,5,K37=35,4,K37=30,4,K37=25,3,K37=20,2,K37=15,1,K37=10,1,K37=0,0)</f>
        <v>0</v>
      </c>
      <c r="N37" s="3" t="n">
        <f aca="false">IF(L37&lt;=1,0,IF(L37&lt;=10,11,IF(L37&lt;=14,12,IF(L37&lt;=17,13,IF(L37&lt;=20,14,IF(L37&lt;=22,15,IF(L37&lt;=25,16,IF(L37&lt;=27,17,IF(L37&lt;=29,18,IF(L37&lt;=32,19,IF(L37&lt;=34,20,IF(L37&lt;=36,21,IF(L37&lt;=40,22,24)))))))))))))</f>
        <v>22</v>
      </c>
      <c r="P37" s="3" t="n">
        <v>38</v>
      </c>
      <c r="Q37" s="3" t="n">
        <f aca="false">_xlfn.IFS(O37="взв",11,O37="накл",24,O37="прокл",25,O37="пт",26,O37=90,10,O37=85,10,O37=80,9,O37=75,8,O37=70,8,O37=65,7,O37=60,7,O37=55,6,O37=50,6,O37=45,6,O37=40,5,O37=35,4,O37=30,4,O37=25,3,O37=20,2,O37=15,1,O37=10,1,O37=0,0)</f>
        <v>0</v>
      </c>
      <c r="R37" s="3" t="n">
        <f aca="false">IF(P37&lt;=1,0,IF(P37&lt;=10,11,IF(P37&lt;=14,12,IF(P37&lt;=17,13,IF(P37&lt;=20,14,IF(P37&lt;=22,15,IF(P37&lt;=25,16,IF(P37&lt;=27,17,IF(P37&lt;=29,18,IF(P37&lt;=32,19,IF(P37&lt;=34,20,IF(P37&lt;=36,21,IF(P37&lt;=40,22,24)))))))))))))</f>
        <v>22</v>
      </c>
      <c r="S37" s="14" t="n">
        <f aca="false">ROUND((Q37+R37+I37+J37+M37+N37)/3,0)</f>
        <v>22</v>
      </c>
      <c r="T37" s="15" t="n">
        <f aca="false">F37*LOG10(S37+2)</f>
        <v>2.76042248342321</v>
      </c>
    </row>
    <row r="38" customFormat="false" ht="14.65" hidden="false" customHeight="true" outlineLevel="0" collapsed="false">
      <c r="A38" s="12" t="s">
        <v>67</v>
      </c>
      <c r="B38" s="13" t="n">
        <v>38886</v>
      </c>
      <c r="C38" s="3" t="s">
        <v>24</v>
      </c>
      <c r="D38" s="4" t="s">
        <v>54</v>
      </c>
      <c r="E38" s="3" t="n">
        <v>5</v>
      </c>
      <c r="F38" s="3" t="n">
        <v>2</v>
      </c>
      <c r="G38" s="3" t="s">
        <v>27</v>
      </c>
      <c r="I38" s="3" t="n">
        <f aca="false">_xlfn.IFS(G38="взв",11,G38="накл",24,G38="прокл",25,G38="пт",26,G38=90,10,G38=85,10,G38=80,9,G38=75,8,G38=70,8,G38=65,7,G38=60,7,G38=55,6,G38=50,6,G38=45,6,G38=40,5,G38=35,4,G38=30,4,G38=25,3,G38=20,2,G38=15,1,G38=10,1,G38=0,0)</f>
        <v>24</v>
      </c>
      <c r="J38" s="3" t="n">
        <f aca="false">IF(H38&lt;=1,0,IF(H38&lt;=10,11,IF(H38&lt;=14,12,IF(H38&lt;=17,13,IF(H38&lt;=20,14,IF(H38&lt;=22,15,IF(H38&lt;=25,16,IF(H38&lt;=27,17,IF(H38&lt;=29,18,IF(H38&lt;=32,19,IF(H38&lt;=34,20,IF(H38&lt;=36,21,IF(H38&lt;=40,22,24)))))))))))))</f>
        <v>0</v>
      </c>
      <c r="K38" s="3" t="s">
        <v>27</v>
      </c>
      <c r="L38" s="0"/>
      <c r="M38" s="3" t="n">
        <f aca="false">_xlfn.IFS(K38="взв",11,K38="накл",24,K38="прокл",25,K38="пт",26,K38=90,10,K38=85,10,K38=80,9,K38=75,8,K38=70,8,K38=65,7,K38=60,7,K38=55,6,K38=50,6,K38=45,6,K38=40,5,K38=35,4,K38=30,4,K38=25,3,K38=20,2,K38=15,1,K38=10,1,K38=0,0)</f>
        <v>24</v>
      </c>
      <c r="N38" s="3" t="n">
        <f aca="false">IF(L38&lt;=1,0,IF(L38&lt;=10,11,IF(L38&lt;=14,12,IF(L38&lt;=17,13,IF(L38&lt;=20,14,IF(L38&lt;=22,15,IF(L38&lt;=25,16,IF(L38&lt;=27,17,IF(L38&lt;=29,18,IF(L38&lt;=32,19,IF(L38&lt;=34,20,IF(L38&lt;=36,21,IF(L38&lt;=40,22,24)))))))))))))</f>
        <v>0</v>
      </c>
      <c r="Q38" s="3" t="n">
        <f aca="false">_xlfn.IFS(O38="взв",11,O38="накл",24,O38="прокл",25,O38="пт",26,O38=90,10,O38=85,10,O38=80,9,O38=75,8,O38=70,8,O38=65,7,O38=60,7,O38=55,6,O38=50,6,O38=45,6,O38=40,5,O38=35,4,O38=30,4,O38=25,3,O38=20,2,O38=15,1,O38=10,1,O38=0,0)</f>
        <v>0</v>
      </c>
      <c r="R38" s="3" t="n">
        <f aca="false">IF(P38&lt;=1,0,IF(P38&lt;=10,11,IF(P38&lt;=14,12,IF(P38&lt;=17,13,IF(P38&lt;=20,14,IF(P38&lt;=22,15,IF(P38&lt;=25,16,IF(P38&lt;=27,17,IF(P38&lt;=29,18,IF(P38&lt;=32,19,IF(P38&lt;=34,20,IF(P38&lt;=36,21,IF(P38&lt;=40,22,24)))))))))))))</f>
        <v>0</v>
      </c>
      <c r="S38" s="14" t="n">
        <v>24</v>
      </c>
      <c r="T38" s="15" t="n">
        <f aca="false">F38*LOG10(S38+2)</f>
        <v>2.82994669594164</v>
      </c>
    </row>
    <row r="39" customFormat="false" ht="14.65" hidden="false" customHeight="true" outlineLevel="0" collapsed="false">
      <c r="A39" s="12" t="s">
        <v>68</v>
      </c>
      <c r="B39" s="13" t="n">
        <v>38886</v>
      </c>
      <c r="C39" s="3" t="s">
        <v>24</v>
      </c>
      <c r="D39" s="4" t="s">
        <v>54</v>
      </c>
      <c r="E39" s="3" t="n">
        <v>5</v>
      </c>
      <c r="F39" s="3" t="n">
        <v>2</v>
      </c>
      <c r="H39" s="3" t="n">
        <v>35</v>
      </c>
      <c r="I39" s="3" t="n">
        <f aca="false">_xlfn.IFS(G39="взв",11,G39="накл",24,G39="прокл",25,G39="пт",26,G39=90,10,G39=85,10,G39=80,9,G39=75,8,G39=70,8,G39=65,7,G39=60,7,G39=55,6,G39=50,6,G39=45,6,G39=40,5,G39=35,4,G39=30,4,G39=25,3,G39=20,2,G39=15,1,G39=10,1,G39=0,0)</f>
        <v>0</v>
      </c>
      <c r="J39" s="3" t="n">
        <f aca="false">IF(H39&lt;=1,0,IF(H39&lt;=10,11,IF(H39&lt;=14,12,IF(H39&lt;=17,13,IF(H39&lt;=20,14,IF(H39&lt;=22,15,IF(H39&lt;=25,16,IF(H39&lt;=27,17,IF(H39&lt;=29,18,IF(H39&lt;=32,19,IF(H39&lt;=34,20,IF(H39&lt;=36,21,IF(H39&lt;=40,22,24)))))))))))))</f>
        <v>21</v>
      </c>
      <c r="L39" s="3" t="n">
        <v>30</v>
      </c>
      <c r="M39" s="3" t="n">
        <f aca="false">_xlfn.IFS(K39="взв",11,K39="накл",24,K39="прокл",25,K39="пт",26,K39=90,10,K39=85,10,K39=80,9,K39=75,8,K39=70,8,K39=65,7,K39=60,7,K39=55,6,K39=50,6,K39=45,6,K39=40,5,K39=35,4,K39=30,4,K39=25,3,K39=20,2,K39=15,1,K39=10,1,K39=0,0)</f>
        <v>0</v>
      </c>
      <c r="N39" s="3" t="n">
        <f aca="false">IF(L39&lt;=1,0,IF(L39&lt;=10,11,IF(L39&lt;=14,12,IF(L39&lt;=17,13,IF(L39&lt;=20,14,IF(L39&lt;=22,15,IF(L39&lt;=25,16,IF(L39&lt;=27,17,IF(L39&lt;=29,18,IF(L39&lt;=32,19,IF(L39&lt;=34,20,IF(L39&lt;=36,21,IF(L39&lt;=40,22,24)))))))))))))</f>
        <v>19</v>
      </c>
      <c r="P39" s="3" t="n">
        <v>33</v>
      </c>
      <c r="Q39" s="3" t="n">
        <f aca="false">_xlfn.IFS(O39="взв",11,O39="накл",24,O39="прокл",25,O39="пт",26,O39=90,10,O39=85,10,O39=80,9,O39=75,8,O39=70,8,O39=65,7,O39=60,7,O39=55,6,O39=50,6,O39=45,6,O39=40,5,O39=35,4,O39=30,4,O39=25,3,O39=20,2,O39=15,1,O39=10,1,O39=0,0)</f>
        <v>0</v>
      </c>
      <c r="R39" s="3" t="n">
        <f aca="false">IF(P39&lt;=1,0,IF(P39&lt;=10,11,IF(P39&lt;=14,12,IF(P39&lt;=17,13,IF(P39&lt;=20,14,IF(P39&lt;=22,15,IF(P39&lt;=25,16,IF(P39&lt;=27,17,IF(P39&lt;=29,18,IF(P39&lt;=32,19,IF(P39&lt;=34,20,IF(P39&lt;=36,21,IF(P39&lt;=40,22,24)))))))))))))</f>
        <v>20</v>
      </c>
      <c r="S39" s="14" t="n">
        <f aca="false">ROUND((Q39+R39+I39+J39+M39+N39)/3,0)</f>
        <v>20</v>
      </c>
      <c r="T39" s="15" t="n">
        <f aca="false">F39*LOG10(S39+2)</f>
        <v>2.68484536164441</v>
      </c>
    </row>
    <row r="40" customFormat="false" ht="14.65" hidden="false" customHeight="true" outlineLevel="0" collapsed="false">
      <c r="A40" s="12" t="s">
        <v>69</v>
      </c>
      <c r="B40" s="13" t="n">
        <v>38886</v>
      </c>
      <c r="C40" s="3" t="s">
        <v>24</v>
      </c>
      <c r="D40" s="4" t="s">
        <v>54</v>
      </c>
      <c r="E40" s="3" t="n">
        <v>6</v>
      </c>
      <c r="F40" s="3" t="n">
        <v>2</v>
      </c>
      <c r="H40" s="3" t="n">
        <v>31</v>
      </c>
      <c r="I40" s="3" t="n">
        <f aca="false">_xlfn.IFS(G40="взв",11,G40="накл",24,G40="прокл",25,G40="пт",26,G40=90,10,G40=85,10,G40=80,9,G40=75,8,G40=70,8,G40=65,7,G40=60,7,G40=55,6,G40=50,6,G40=45,6,G40=40,5,G40=35,4,G40=30,4,G40=25,3,G40=20,2,G40=15,1,G40=10,1,G40=0,0)</f>
        <v>0</v>
      </c>
      <c r="J40" s="3" t="n">
        <f aca="false">IF(H40&lt;=1,0,IF(H40&lt;=10,11,IF(H40&lt;=14,12,IF(H40&lt;=17,13,IF(H40&lt;=20,14,IF(H40&lt;=22,15,IF(H40&lt;=25,16,IF(H40&lt;=27,17,IF(H40&lt;=29,18,IF(H40&lt;=32,19,IF(H40&lt;=34,20,IF(H40&lt;=36,21,IF(H40&lt;=40,22,24)))))))))))))</f>
        <v>19</v>
      </c>
      <c r="L40" s="3" t="n">
        <v>19</v>
      </c>
      <c r="M40" s="3" t="n">
        <f aca="false">_xlfn.IFS(K40="взв",11,K40="накл",24,K40="прокл",25,K40="пт",26,K40=90,10,K40=85,10,K40=80,9,K40=75,8,K40=70,8,K40=65,7,K40=60,7,K40=55,6,K40=50,6,K40=45,6,K40=40,5,K40=35,4,K40=30,4,K40=25,3,K40=20,2,K40=15,1,K40=10,1,K40=0,0)</f>
        <v>0</v>
      </c>
      <c r="N40" s="3" t="n">
        <f aca="false">IF(L40&lt;=1,0,IF(L40&lt;=10,11,IF(L40&lt;=14,12,IF(L40&lt;=17,13,IF(L40&lt;=20,14,IF(L40&lt;=22,15,IF(L40&lt;=25,16,IF(L40&lt;=27,17,IF(L40&lt;=29,18,IF(L40&lt;=32,19,IF(L40&lt;=34,20,IF(L40&lt;=36,21,IF(L40&lt;=40,22,24)))))))))))))</f>
        <v>14</v>
      </c>
      <c r="P40" s="3" t="n">
        <v>30</v>
      </c>
      <c r="Q40" s="3" t="n">
        <f aca="false">_xlfn.IFS(O40="взв",11,O40="накл",24,O40="прокл",25,O40="пт",26,O40=90,10,O40=85,10,O40=80,9,O40=75,8,O40=70,8,O40=65,7,O40=60,7,O40=55,6,O40=50,6,O40=45,6,O40=40,5,O40=35,4,O40=30,4,O40=25,3,O40=20,2,O40=15,1,O40=10,1,O40=0,0)</f>
        <v>0</v>
      </c>
      <c r="R40" s="3" t="n">
        <f aca="false">IF(P40&lt;=1,0,IF(P40&lt;=10,11,IF(P40&lt;=14,12,IF(P40&lt;=17,13,IF(P40&lt;=20,14,IF(P40&lt;=22,15,IF(P40&lt;=25,16,IF(P40&lt;=27,17,IF(P40&lt;=29,18,IF(P40&lt;=32,19,IF(P40&lt;=34,20,IF(P40&lt;=36,21,IF(P40&lt;=40,22,24)))))))))))))</f>
        <v>19</v>
      </c>
      <c r="S40" s="14" t="n">
        <f aca="false">ROUND((Q40+R40+I40+J40+M40+N40)/3,0)</f>
        <v>17</v>
      </c>
      <c r="T40" s="15" t="n">
        <f aca="false">F40*LOG10(S40+2)</f>
        <v>2.55750720190566</v>
      </c>
    </row>
    <row r="41" customFormat="false" ht="14.65" hidden="false" customHeight="true" outlineLevel="0" collapsed="false">
      <c r="A41" s="12" t="s">
        <v>70</v>
      </c>
      <c r="B41" s="13" t="n">
        <v>38886</v>
      </c>
      <c r="C41" s="3" t="s">
        <v>24</v>
      </c>
      <c r="D41" s="4" t="s">
        <v>54</v>
      </c>
      <c r="E41" s="3" t="n">
        <v>5</v>
      </c>
      <c r="F41" s="3" t="n">
        <v>2</v>
      </c>
      <c r="H41" s="3" t="n">
        <v>23</v>
      </c>
      <c r="I41" s="3" t="n">
        <f aca="false">_xlfn.IFS(G41="взв",11,G41="накл",24,G41="прокл",25,G41="пт",26,G41=90,10,G41=85,10,G41=80,9,G41=75,8,G41=70,8,G41=65,7,G41=60,7,G41=55,6,G41=50,6,G41=45,6,G41=40,5,G41=35,4,G41=30,4,G41=25,3,G41=20,2,G41=15,1,G41=10,1,G41=0,0)</f>
        <v>0</v>
      </c>
      <c r="J41" s="3" t="n">
        <f aca="false">IF(H41&lt;=1,0,IF(H41&lt;=10,11,IF(H41&lt;=14,12,IF(H41&lt;=17,13,IF(H41&lt;=20,14,IF(H41&lt;=22,15,IF(H41&lt;=25,16,IF(H41&lt;=27,17,IF(H41&lt;=29,18,IF(H41&lt;=32,19,IF(H41&lt;=34,20,IF(H41&lt;=36,21,IF(H41&lt;=40,22,24)))))))))))))</f>
        <v>16</v>
      </c>
      <c r="L41" s="3" t="n">
        <v>33</v>
      </c>
      <c r="M41" s="3" t="n">
        <f aca="false">_xlfn.IFS(K41="взв",11,K41="накл",24,K41="прокл",25,K41="пт",26,K41=90,10,K41=85,10,K41=80,9,K41=75,8,K41=70,8,K41=65,7,K41=60,7,K41=55,6,K41=50,6,K41=45,6,K41=40,5,K41=35,4,K41=30,4,K41=25,3,K41=20,2,K41=15,1,K41=10,1,K41=0,0)</f>
        <v>0</v>
      </c>
      <c r="N41" s="3" t="n">
        <f aca="false">IF(L41&lt;=1,0,IF(L41&lt;=10,11,IF(L41&lt;=14,12,IF(L41&lt;=17,13,IF(L41&lt;=20,14,IF(L41&lt;=22,15,IF(L41&lt;=25,16,IF(L41&lt;=27,17,IF(L41&lt;=29,18,IF(L41&lt;=32,19,IF(L41&lt;=34,20,IF(L41&lt;=36,21,IF(L41&lt;=40,22,24)))))))))))))</f>
        <v>20</v>
      </c>
      <c r="P41" s="3" t="n">
        <v>35</v>
      </c>
      <c r="Q41" s="3" t="n">
        <f aca="false">_xlfn.IFS(O41="взв",11,O41="накл",24,O41="прокл",25,O41="пт",26,O41=90,10,O41=85,10,O41=80,9,O41=75,8,O41=70,8,O41=65,7,O41=60,7,O41=55,6,O41=50,6,O41=45,6,O41=40,5,O41=35,4,O41=30,4,O41=25,3,O41=20,2,O41=15,1,O41=10,1,O41=0,0)</f>
        <v>0</v>
      </c>
      <c r="R41" s="3" t="n">
        <f aca="false">IF(P41&lt;=1,0,IF(P41&lt;=10,11,IF(P41&lt;=14,12,IF(P41&lt;=17,13,IF(P41&lt;=20,14,IF(P41&lt;=22,15,IF(P41&lt;=25,16,IF(P41&lt;=27,17,IF(P41&lt;=29,18,IF(P41&lt;=32,19,IF(P41&lt;=34,20,IF(P41&lt;=36,21,IF(P41&lt;=40,22,24)))))))))))))</f>
        <v>21</v>
      </c>
      <c r="S41" s="14" t="n">
        <f aca="false">ROUND((Q41+R41+I41+J41+M41+N41)/3,0)</f>
        <v>19</v>
      </c>
      <c r="T41" s="15" t="n">
        <f aca="false">F41*LOG10(S41+2)</f>
        <v>2.64443858946784</v>
      </c>
    </row>
    <row r="42" customFormat="false" ht="14.65" hidden="false" customHeight="true" outlineLevel="0" collapsed="false">
      <c r="A42" s="12" t="s">
        <v>71</v>
      </c>
      <c r="B42" s="13" t="n">
        <v>38886</v>
      </c>
      <c r="C42" s="3" t="s">
        <v>24</v>
      </c>
      <c r="D42" s="4" t="s">
        <v>54</v>
      </c>
      <c r="E42" s="3" t="n">
        <v>5</v>
      </c>
      <c r="F42" s="3" t="n">
        <v>2</v>
      </c>
      <c r="H42" s="3" t="n">
        <v>22</v>
      </c>
      <c r="I42" s="3" t="n">
        <f aca="false">_xlfn.IFS(G42="взв",11,G42="накл",24,G42="прокл",25,G42="пт",26,G42=90,10,G42=85,10,G42=80,9,G42=75,8,G42=70,8,G42=65,7,G42=60,7,G42=55,6,G42=50,6,G42=45,6,G42=40,5,G42=35,4,G42=30,4,G42=25,3,G42=20,2,G42=15,1,G42=10,1,G42=0,0)</f>
        <v>0</v>
      </c>
      <c r="J42" s="3" t="n">
        <f aca="false">IF(H42&lt;=1,0,IF(H42&lt;=10,11,IF(H42&lt;=14,12,IF(H42&lt;=17,13,IF(H42&lt;=20,14,IF(H42&lt;=22,15,IF(H42&lt;=25,16,IF(H42&lt;=27,17,IF(H42&lt;=29,18,IF(H42&lt;=32,19,IF(H42&lt;=34,20,IF(H42&lt;=36,21,IF(H42&lt;=40,22,24)))))))))))))</f>
        <v>15</v>
      </c>
      <c r="L42" s="3" t="n">
        <v>22</v>
      </c>
      <c r="M42" s="3" t="n">
        <f aca="false">_xlfn.IFS(K42="взв",11,K42="накл",24,K42="прокл",25,K42="пт",26,K42=90,10,K42=85,10,K42=80,9,K42=75,8,K42=70,8,K42=65,7,K42=60,7,K42=55,6,K42=50,6,K42=45,6,K42=40,5,K42=35,4,K42=30,4,K42=25,3,K42=20,2,K42=15,1,K42=10,1,K42=0,0)</f>
        <v>0</v>
      </c>
      <c r="N42" s="3" t="n">
        <f aca="false">IF(L42&lt;=1,0,IF(L42&lt;=10,11,IF(L42&lt;=14,12,IF(L42&lt;=17,13,IF(L42&lt;=20,14,IF(L42&lt;=22,15,IF(L42&lt;=25,16,IF(L42&lt;=27,17,IF(L42&lt;=29,18,IF(L42&lt;=32,19,IF(L42&lt;=34,20,IF(L42&lt;=36,21,IF(L42&lt;=40,22,24)))))))))))))</f>
        <v>15</v>
      </c>
      <c r="P42" s="3" t="n">
        <v>22</v>
      </c>
      <c r="Q42" s="3" t="n">
        <f aca="false">_xlfn.IFS(O42="взв",11,O42="накл",24,O42="прокл",25,O42="пт",26,O42=90,10,O42=85,10,O42=80,9,O42=75,8,O42=70,8,O42=65,7,O42=60,7,O42=55,6,O42=50,6,O42=45,6,O42=40,5,O42=35,4,O42=30,4,O42=25,3,O42=20,2,O42=15,1,O42=10,1,O42=0,0)</f>
        <v>0</v>
      </c>
      <c r="R42" s="3" t="n">
        <f aca="false">IF(P42&lt;=1,0,IF(P42&lt;=10,11,IF(P42&lt;=14,12,IF(P42&lt;=17,13,IF(P42&lt;=20,14,IF(P42&lt;=22,15,IF(P42&lt;=25,16,IF(P42&lt;=27,17,IF(P42&lt;=29,18,IF(P42&lt;=32,19,IF(P42&lt;=34,20,IF(P42&lt;=36,21,IF(P42&lt;=40,22,24)))))))))))))</f>
        <v>15</v>
      </c>
      <c r="S42" s="14" t="n">
        <f aca="false">ROUND((Q42+R42+I42+J42+M42+N42)/3,0)</f>
        <v>15</v>
      </c>
      <c r="T42" s="15" t="n">
        <f aca="false">F42*LOG10(S42+2)</f>
        <v>2.46089784275655</v>
      </c>
    </row>
    <row r="43" customFormat="false" ht="14.65" hidden="false" customHeight="true" outlineLevel="0" collapsed="false">
      <c r="A43" s="12" t="s">
        <v>72</v>
      </c>
      <c r="B43" s="13" t="n">
        <v>38886</v>
      </c>
      <c r="C43" s="3" t="s">
        <v>24</v>
      </c>
      <c r="D43" s="4" t="s">
        <v>54</v>
      </c>
      <c r="E43" s="3" t="n">
        <v>5</v>
      </c>
      <c r="F43" s="3" t="n">
        <v>3</v>
      </c>
      <c r="H43" s="3" t="n">
        <v>33</v>
      </c>
      <c r="I43" s="3" t="n">
        <f aca="false">_xlfn.IFS(G43="взв",11,G43="накл",24,G43="прокл",25,G43="пт",26,G43=90,10,G43=85,10,G43=80,9,G43=75,8,G43=70,8,G43=65,7,G43=60,7,G43=55,6,G43=50,6,G43=45,6,G43=40,5,G43=35,4,G43=30,4,G43=25,3,G43=20,2,G43=15,1,G43=10,1,G43=0,0)</f>
        <v>0</v>
      </c>
      <c r="J43" s="3" t="n">
        <f aca="false">IF(H43&lt;=1,0,IF(H43&lt;=10,11,IF(H43&lt;=14,12,IF(H43&lt;=17,13,IF(H43&lt;=20,14,IF(H43&lt;=22,15,IF(H43&lt;=25,16,IF(H43&lt;=27,17,IF(H43&lt;=29,18,IF(H43&lt;=32,19,IF(H43&lt;=34,20,IF(H43&lt;=36,21,IF(H43&lt;=40,22,24)))))))))))))</f>
        <v>20</v>
      </c>
      <c r="L43" s="3" t="n">
        <v>33</v>
      </c>
      <c r="M43" s="3" t="n">
        <f aca="false">_xlfn.IFS(K43="взв",11,K43="накл",24,K43="прокл",25,K43="пт",26,K43=90,10,K43=85,10,K43=80,9,K43=75,8,K43=70,8,K43=65,7,K43=60,7,K43=55,6,K43=50,6,K43=45,6,K43=40,5,K43=35,4,K43=30,4,K43=25,3,K43=20,2,K43=15,1,K43=10,1,K43=0,0)</f>
        <v>0</v>
      </c>
      <c r="N43" s="3" t="n">
        <f aca="false">IF(L43&lt;=1,0,IF(L43&lt;=10,11,IF(L43&lt;=14,12,IF(L43&lt;=17,13,IF(L43&lt;=20,14,IF(L43&lt;=22,15,IF(L43&lt;=25,16,IF(L43&lt;=27,17,IF(L43&lt;=29,18,IF(L43&lt;=32,19,IF(L43&lt;=34,20,IF(L43&lt;=36,21,IF(L43&lt;=40,22,24)))))))))))))</f>
        <v>20</v>
      </c>
      <c r="P43" s="3" t="n">
        <v>31</v>
      </c>
      <c r="Q43" s="3" t="n">
        <f aca="false">_xlfn.IFS(O43="взв",11,O43="накл",24,O43="прокл",25,O43="пт",26,O43=90,10,O43=85,10,O43=80,9,O43=75,8,O43=70,8,O43=65,7,O43=60,7,O43=55,6,O43=50,6,O43=45,6,O43=40,5,O43=35,4,O43=30,4,O43=25,3,O43=20,2,O43=15,1,O43=10,1,O43=0,0)</f>
        <v>0</v>
      </c>
      <c r="R43" s="3" t="n">
        <f aca="false">IF(P43&lt;=1,0,IF(P43&lt;=10,11,IF(P43&lt;=14,12,IF(P43&lt;=17,13,IF(P43&lt;=20,14,IF(P43&lt;=22,15,IF(P43&lt;=25,16,IF(P43&lt;=27,17,IF(P43&lt;=29,18,IF(P43&lt;=32,19,IF(P43&lt;=34,20,IF(P43&lt;=36,21,IF(P43&lt;=40,22,24)))))))))))))</f>
        <v>19</v>
      </c>
      <c r="S43" s="14" t="n">
        <f aca="false">ROUND((Q43+R43+I43+J43+M43+N43)/3,0)</f>
        <v>20</v>
      </c>
      <c r="T43" s="15" t="n">
        <f aca="false">F43*LOG10(S43+2)</f>
        <v>4.02726804246662</v>
      </c>
    </row>
    <row r="44" customFormat="false" ht="14.65" hidden="false" customHeight="true" outlineLevel="0" collapsed="false">
      <c r="A44" s="12" t="s">
        <v>73</v>
      </c>
      <c r="B44" s="13" t="n">
        <v>38886</v>
      </c>
      <c r="C44" s="3" t="s">
        <v>24</v>
      </c>
      <c r="D44" s="4" t="s">
        <v>54</v>
      </c>
      <c r="E44" s="3" t="n">
        <v>4</v>
      </c>
      <c r="F44" s="3" t="n">
        <v>3</v>
      </c>
      <c r="H44" s="3" t="n">
        <v>16</v>
      </c>
      <c r="I44" s="3" t="n">
        <f aca="false">_xlfn.IFS(G44="взв",11,G44="накл",24,G44="прокл",25,G44="пт",26,G44=90,10,G44=85,10,G44=80,9,G44=75,8,G44=70,8,G44=65,7,G44=60,7,G44=55,6,G44=50,6,G44=45,6,G44=40,5,G44=35,4,G44=30,4,G44=25,3,G44=20,2,G44=15,1,G44=10,1,G44=0,0)</f>
        <v>0</v>
      </c>
      <c r="J44" s="3" t="n">
        <f aca="false">IF(H44&lt;=1,0,IF(H44&lt;=10,11,IF(H44&lt;=14,12,IF(H44&lt;=17,13,IF(H44&lt;=20,14,IF(H44&lt;=22,15,IF(H44&lt;=25,16,IF(H44&lt;=27,17,IF(H44&lt;=29,18,IF(H44&lt;=32,19,IF(H44&lt;=34,20,IF(H44&lt;=36,21,IF(H44&lt;=40,22,24)))))))))))))</f>
        <v>13</v>
      </c>
      <c r="L44" s="3" t="n">
        <v>20</v>
      </c>
      <c r="M44" s="3" t="n">
        <f aca="false">_xlfn.IFS(K44="взв",11,K44="накл",24,K44="прокл",25,K44="пт",26,K44=90,10,K44=85,10,K44=80,9,K44=75,8,K44=70,8,K44=65,7,K44=60,7,K44=55,6,K44=50,6,K44=45,6,K44=40,5,K44=35,4,K44=30,4,K44=25,3,K44=20,2,K44=15,1,K44=10,1,K44=0,0)</f>
        <v>0</v>
      </c>
      <c r="N44" s="3" t="n">
        <f aca="false">IF(L44&lt;=1,0,IF(L44&lt;=10,11,IF(L44&lt;=14,12,IF(L44&lt;=17,13,IF(L44&lt;=20,14,IF(L44&lt;=22,15,IF(L44&lt;=25,16,IF(L44&lt;=27,17,IF(L44&lt;=29,18,IF(L44&lt;=32,19,IF(L44&lt;=34,20,IF(L44&lt;=36,21,IF(L44&lt;=40,22,24)))))))))))))</f>
        <v>14</v>
      </c>
      <c r="P44" s="3" t="n">
        <v>20</v>
      </c>
      <c r="Q44" s="3" t="n">
        <f aca="false">_xlfn.IFS(O44="взв",11,O44="накл",24,O44="прокл",25,O44="пт",26,O44=90,10,O44=85,10,O44=80,9,O44=75,8,O44=70,8,O44=65,7,O44=60,7,O44=55,6,O44=50,6,O44=45,6,O44=40,5,O44=35,4,O44=30,4,O44=25,3,O44=20,2,O44=15,1,O44=10,1,O44=0,0)</f>
        <v>0</v>
      </c>
      <c r="R44" s="3" t="n">
        <f aca="false">IF(P44&lt;=1,0,IF(P44&lt;=10,11,IF(P44&lt;=14,12,IF(P44&lt;=17,13,IF(P44&lt;=20,14,IF(P44&lt;=22,15,IF(P44&lt;=25,16,IF(P44&lt;=27,17,IF(P44&lt;=29,18,IF(P44&lt;=32,19,IF(P44&lt;=34,20,IF(P44&lt;=36,21,IF(P44&lt;=40,22,24)))))))))))))</f>
        <v>14</v>
      </c>
      <c r="S44" s="14" t="n">
        <f aca="false">ROUND((Q44+R44+I44+J44+M44+N44)/3,0)</f>
        <v>14</v>
      </c>
      <c r="T44" s="15" t="n">
        <f aca="false">F44*LOG10(S44+2)</f>
        <v>3.61235994796777</v>
      </c>
    </row>
    <row r="45" customFormat="false" ht="14.65" hidden="false" customHeight="true" outlineLevel="0" collapsed="false">
      <c r="A45" s="12" t="s">
        <v>74</v>
      </c>
      <c r="B45" s="13" t="n">
        <v>38886</v>
      </c>
      <c r="C45" s="3" t="s">
        <v>24</v>
      </c>
      <c r="D45" s="4" t="s">
        <v>54</v>
      </c>
      <c r="E45" s="3" t="n">
        <v>3</v>
      </c>
      <c r="F45" s="3" t="n">
        <v>3</v>
      </c>
      <c r="G45" s="3" t="n">
        <v>45</v>
      </c>
      <c r="I45" s="3" t="n">
        <f aca="false">_xlfn.IFS(G45="взв",11,G45="накл",24,G45="прокл",25,G45="пт",26,G45=90,10,G45=85,10,G45=80,9,G45=75,8,G45=70,8,G45=65,7,G45=60,7,G45=55,6,G45=50,6,G45=45,6,G45=40,5,G45=35,4,G45=30,4,G45=25,3,G45=20,2,G45=15,1,G45=10,1,G45=0,0)</f>
        <v>6</v>
      </c>
      <c r="J45" s="3" t="n">
        <f aca="false">IF(H45&lt;=1,0,IF(H45&lt;=10,11,IF(H45&lt;=14,12,IF(H45&lt;=17,13,IF(H45&lt;=20,14,IF(H45&lt;=22,15,IF(H45&lt;=25,16,IF(H45&lt;=27,17,IF(H45&lt;=29,18,IF(H45&lt;=32,19,IF(H45&lt;=34,20,IF(H45&lt;=36,21,IF(H45&lt;=40,22,24)))))))))))))</f>
        <v>0</v>
      </c>
      <c r="K45" s="3" t="n">
        <v>45</v>
      </c>
      <c r="M45" s="3" t="n">
        <f aca="false">_xlfn.IFS(K45="взв",11,K45="накл",24,K45="прокл",25,K45="пт",26,K45=90,10,K45=85,10,K45=80,9,K45=75,8,K45=70,8,K45=65,7,K45=60,7,K45=55,6,K45=50,6,K45=45,6,K45=40,5,K45=35,4,K45=30,4,K45=25,3,K45=20,2,K45=15,1,K45=10,1,K45=0,0)</f>
        <v>6</v>
      </c>
      <c r="N45" s="3" t="n">
        <f aca="false">IF(L45&lt;=1,0,IF(L45&lt;=10,11,IF(L45&lt;=14,12,IF(L45&lt;=17,13,IF(L45&lt;=20,14,IF(L45&lt;=22,15,IF(L45&lt;=25,16,IF(L45&lt;=27,17,IF(L45&lt;=29,18,IF(L45&lt;=32,19,IF(L45&lt;=34,20,IF(L45&lt;=36,21,IF(L45&lt;=40,22,24)))))))))))))</f>
        <v>0</v>
      </c>
      <c r="O45" s="3" t="n">
        <v>30</v>
      </c>
      <c r="Q45" s="3" t="n">
        <f aca="false">_xlfn.IFS(O45="взв",11,O45="накл",24,O45="прокл",25,O45="пт",26,O45=90,10,O45=85,10,O45=80,9,O45=75,8,O45=70,8,O45=65,7,O45=60,7,O45=55,6,O45=50,6,O45=45,6,O45=40,5,O45=35,4,O45=30,4,O45=25,3,O45=20,2,O45=15,1,O45=10,1,O45=0,0)</f>
        <v>4</v>
      </c>
      <c r="R45" s="3" t="n">
        <f aca="false">IF(P45&lt;=1,0,IF(P45&lt;=10,11,IF(P45&lt;=14,12,IF(P45&lt;=17,13,IF(P45&lt;=20,14,IF(P45&lt;=22,15,IF(P45&lt;=25,16,IF(P45&lt;=27,17,IF(P45&lt;=29,18,IF(P45&lt;=32,19,IF(P45&lt;=34,20,IF(P45&lt;=36,21,IF(P45&lt;=40,22,24)))))))))))))</f>
        <v>0</v>
      </c>
      <c r="S45" s="14" t="n">
        <f aca="false">ROUND((Q45+R45+I45+J45+M45+N45)/3,0)</f>
        <v>5</v>
      </c>
      <c r="T45" s="15" t="n">
        <f aca="false">F45*LOG10(S45+2)</f>
        <v>2.53529412004277</v>
      </c>
    </row>
    <row r="46" customFormat="false" ht="14.65" hidden="false" customHeight="true" outlineLevel="0" collapsed="false">
      <c r="A46" s="12" t="s">
        <v>75</v>
      </c>
      <c r="B46" s="13" t="n">
        <v>38886</v>
      </c>
      <c r="C46" s="3" t="s">
        <v>24</v>
      </c>
      <c r="D46" s="4" t="s">
        <v>54</v>
      </c>
      <c r="E46" s="3" t="n">
        <v>5</v>
      </c>
      <c r="F46" s="3" t="n">
        <v>3</v>
      </c>
      <c r="G46" s="3" t="n">
        <v>90</v>
      </c>
      <c r="I46" s="3" t="n">
        <f aca="false">_xlfn.IFS(G46="взв",11,G46="накл",24,G46="прокл",25,G46="пт",26,G46=90,10,G46=85,10,G46=80,9,G46=75,8,G46=70,8,G46=65,7,G46=60,7,G46=55,6,G46=50,6,G46=45,6,G46=40,5,G46=35,4,G46=30,4,G46=25,3,G46=20,2,G46=15,1,G46=10,1,G46=0,0)</f>
        <v>10</v>
      </c>
      <c r="J46" s="3" t="n">
        <f aca="false">IF(H46&lt;=1,0,IF(H46&lt;=10,11,IF(H46&lt;=14,12,IF(H46&lt;=17,13,IF(H46&lt;=20,14,IF(H46&lt;=22,15,IF(H46&lt;=25,16,IF(H46&lt;=27,17,IF(H46&lt;=29,18,IF(H46&lt;=32,19,IF(H46&lt;=34,20,IF(H46&lt;=36,21,IF(H46&lt;=40,22,24)))))))))))))</f>
        <v>0</v>
      </c>
      <c r="K46" s="3" t="n">
        <v>30</v>
      </c>
      <c r="M46" s="3" t="n">
        <f aca="false">_xlfn.IFS(K46="взв",11,K46="накл",24,K46="прокл",25,K46="пт",26,K46=90,10,K46=85,10,K46=80,9,K46=75,8,K46=70,8,K46=65,7,K46=60,7,K46=55,6,K46=50,6,K46=45,6,K46=40,5,K46=35,4,K46=30,4,K46=25,3,K46=20,2,K46=15,1,K46=10,1,K46=0,0)</f>
        <v>4</v>
      </c>
      <c r="N46" s="3" t="n">
        <f aca="false">IF(L46&lt;=1,0,IF(L46&lt;=10,11,IF(L46&lt;=14,12,IF(L46&lt;=17,13,IF(L46&lt;=20,14,IF(L46&lt;=22,15,IF(L46&lt;=25,16,IF(L46&lt;=27,17,IF(L46&lt;=29,18,IF(L46&lt;=32,19,IF(L46&lt;=34,20,IF(L46&lt;=36,21,IF(L46&lt;=40,22,24)))))))))))))</f>
        <v>0</v>
      </c>
      <c r="O46" s="3" t="n">
        <v>60</v>
      </c>
      <c r="Q46" s="3" t="n">
        <f aca="false">_xlfn.IFS(O46="взв",11,O46="накл",24,O46="прокл",25,O46="пт",26,O46=90,10,O46=85,10,O46=80,9,O46=75,8,O46=70,8,O46=65,7,O46=60,7,O46=55,6,O46=50,6,O46=45,6,O46=40,5,O46=35,4,O46=30,4,O46=25,3,O46=20,2,O46=15,1,O46=10,1,O46=0,0)</f>
        <v>7</v>
      </c>
      <c r="R46" s="3" t="n">
        <f aca="false">IF(P46&lt;=1,0,IF(P46&lt;=10,11,IF(P46&lt;=14,12,IF(P46&lt;=17,13,IF(P46&lt;=20,14,IF(P46&lt;=22,15,IF(P46&lt;=25,16,IF(P46&lt;=27,17,IF(P46&lt;=29,18,IF(P46&lt;=32,19,IF(P46&lt;=34,20,IF(P46&lt;=36,21,IF(P46&lt;=40,22,24)))))))))))))</f>
        <v>0</v>
      </c>
      <c r="S46" s="14" t="n">
        <f aca="false">ROUND((Q46+R46+I46+J46+M46+N46)/3,0)</f>
        <v>7</v>
      </c>
      <c r="T46" s="15" t="n">
        <f aca="false">F46*LOG10(S46+2)</f>
        <v>2.86272752831797</v>
      </c>
    </row>
    <row r="47" customFormat="false" ht="14.65" hidden="false" customHeight="true" outlineLevel="0" collapsed="false">
      <c r="A47" s="12" t="s">
        <v>76</v>
      </c>
      <c r="B47" s="13" t="n">
        <v>38886</v>
      </c>
      <c r="C47" s="3" t="s">
        <v>24</v>
      </c>
      <c r="D47" s="4" t="s">
        <v>54</v>
      </c>
      <c r="E47" s="3" t="n">
        <v>4</v>
      </c>
      <c r="F47" s="3" t="n">
        <v>3</v>
      </c>
      <c r="H47" s="3" t="n">
        <v>39</v>
      </c>
      <c r="I47" s="3" t="n">
        <f aca="false">_xlfn.IFS(G47="взв",11,G47="накл",24,G47="прокл",25,G47="пт",26,G47=90,10,G47=85,10,G47=80,9,G47=75,8,G47=70,8,G47=65,7,G47=60,7,G47=55,6,G47=50,6,G47=45,6,G47=40,5,G47=35,4,G47=30,4,G47=25,3,G47=20,2,G47=15,1,G47=10,1,G47=0,0)</f>
        <v>0</v>
      </c>
      <c r="J47" s="3" t="n">
        <f aca="false">IF(H47&lt;=1,0,IF(H47&lt;=10,11,IF(H47&lt;=14,12,IF(H47&lt;=17,13,IF(H47&lt;=20,14,IF(H47&lt;=22,15,IF(H47&lt;=25,16,IF(H47&lt;=27,17,IF(H47&lt;=29,18,IF(H47&lt;=32,19,IF(H47&lt;=34,20,IF(H47&lt;=36,21,IF(H47&lt;=40,22,24)))))))))))))</f>
        <v>22</v>
      </c>
      <c r="K47" s="3" t="s">
        <v>27</v>
      </c>
      <c r="L47" s="0"/>
      <c r="M47" s="3" t="n">
        <f aca="false">_xlfn.IFS(K47="взв",11,K47="накл",24,K47="прокл",25,K47="пт",26,K47=90,10,K47=85,10,K47=80,9,K47=75,8,K47=70,8,K47=65,7,K47=60,7,K47=55,6,K47=50,6,K47=45,6,K47=40,5,K47=35,4,K47=30,4,K47=25,3,K47=20,2,K47=15,1,K47=10,1,K47=0,0)</f>
        <v>24</v>
      </c>
      <c r="N47" s="3" t="n">
        <f aca="false">IF(L47&lt;=1,0,IF(L47&lt;=10,11,IF(L47&lt;=14,12,IF(L47&lt;=17,13,IF(L47&lt;=20,14,IF(L47&lt;=22,15,IF(L47&lt;=25,16,IF(L47&lt;=27,17,IF(L47&lt;=29,18,IF(L47&lt;=32,19,IF(L47&lt;=34,20,IF(L47&lt;=36,21,IF(L47&lt;=40,22,24)))))))))))))</f>
        <v>0</v>
      </c>
      <c r="P47" s="3" t="n">
        <v>42</v>
      </c>
      <c r="Q47" s="3" t="n">
        <f aca="false">_xlfn.IFS(O47="взв",11,O47="накл",24,O47="прокл",25,O47="пт",26,O47=90,10,O47=85,10,O47=80,9,O47=75,8,O47=70,8,O47=65,7,O47=60,7,O47=55,6,O47=50,6,O47=45,6,O47=40,5,O47=35,4,O47=30,4,O47=25,3,O47=20,2,O47=15,1,O47=10,1,O47=0,0)</f>
        <v>0</v>
      </c>
      <c r="R47" s="3" t="n">
        <f aca="false">IF(P47&lt;=1,0,IF(P47&lt;=10,11,IF(P47&lt;=14,12,IF(P47&lt;=17,13,IF(P47&lt;=20,14,IF(P47&lt;=22,15,IF(P47&lt;=25,16,IF(P47&lt;=27,17,IF(P47&lt;=29,18,IF(P47&lt;=32,19,IF(P47&lt;=34,20,IF(P47&lt;=36,21,IF(P47&lt;=40,22,24)))))))))))))</f>
        <v>24</v>
      </c>
      <c r="S47" s="14" t="n">
        <f aca="false">ROUND((Q47+R47+I47+J47+M47+N47)/3,0)</f>
        <v>23</v>
      </c>
      <c r="T47" s="15" t="n">
        <f aca="false">F47*LOG10(S47+2)</f>
        <v>4.19382002601611</v>
      </c>
    </row>
    <row r="48" customFormat="false" ht="14.65" hidden="false" customHeight="true" outlineLevel="0" collapsed="false">
      <c r="A48" s="12" t="s">
        <v>77</v>
      </c>
      <c r="B48" s="13" t="n">
        <v>38886</v>
      </c>
      <c r="C48" s="3" t="s">
        <v>24</v>
      </c>
      <c r="D48" s="4" t="s">
        <v>54</v>
      </c>
      <c r="E48" s="3" t="n">
        <v>7</v>
      </c>
      <c r="F48" s="3" t="n">
        <v>3</v>
      </c>
      <c r="H48" s="3" t="n">
        <v>41</v>
      </c>
      <c r="I48" s="3" t="n">
        <f aca="false">_xlfn.IFS(G48="взв",11,G48="накл",24,G48="прокл",25,G48="пт",26,G48=90,10,G48=85,10,G48=80,9,G48=75,8,G48=70,8,G48=65,7,G48=60,7,G48=55,6,G48=50,6,G48=45,6,G48=40,5,G48=35,4,G48=30,4,G48=25,3,G48=20,2,G48=15,1,G48=10,1,G48=0,0)</f>
        <v>0</v>
      </c>
      <c r="J48" s="3" t="n">
        <f aca="false">IF(H48&lt;=1,0,IF(H48&lt;=10,11,IF(H48&lt;=14,12,IF(H48&lt;=17,13,IF(H48&lt;=20,14,IF(H48&lt;=22,15,IF(H48&lt;=25,16,IF(H48&lt;=27,17,IF(H48&lt;=29,18,IF(H48&lt;=32,19,IF(H48&lt;=34,20,IF(H48&lt;=36,21,IF(H48&lt;=40,22,24)))))))))))))</f>
        <v>24</v>
      </c>
      <c r="L48" s="3" t="n">
        <v>38</v>
      </c>
      <c r="M48" s="3" t="n">
        <f aca="false">_xlfn.IFS(K48="взв",11,K48="накл",24,K48="прокл",25,K48="пт",26,K48=90,10,K48=85,10,K48=80,9,K48=75,8,K48=70,8,K48=65,7,K48=60,7,K48=55,6,K48=50,6,K48=45,6,K48=40,5,K48=35,4,K48=30,4,K48=25,3,K48=20,2,K48=15,1,K48=10,1,K48=0,0)</f>
        <v>0</v>
      </c>
      <c r="N48" s="3" t="n">
        <f aca="false">IF(L48&lt;=1,0,IF(L48&lt;=10,11,IF(L48&lt;=14,12,IF(L48&lt;=17,13,IF(L48&lt;=20,14,IF(L48&lt;=22,15,IF(L48&lt;=25,16,IF(L48&lt;=27,17,IF(L48&lt;=29,18,IF(L48&lt;=32,19,IF(L48&lt;=34,20,IF(L48&lt;=36,21,IF(L48&lt;=40,22,24)))))))))))))</f>
        <v>22</v>
      </c>
      <c r="P48" s="3" t="n">
        <v>37</v>
      </c>
      <c r="Q48" s="3" t="n">
        <f aca="false">_xlfn.IFS(O48="взв",11,O48="накл",24,O48="прокл",25,O48="пт",26,O48=90,10,O48=85,10,O48=80,9,O48=75,8,O48=70,8,O48=65,7,O48=60,7,O48=55,6,O48=50,6,O48=45,6,O48=40,5,O48=35,4,O48=30,4,O48=25,3,O48=20,2,O48=15,1,O48=10,1,O48=0,0)</f>
        <v>0</v>
      </c>
      <c r="R48" s="3" t="n">
        <f aca="false">IF(P48&lt;=1,0,IF(P48&lt;=10,11,IF(P48&lt;=14,12,IF(P48&lt;=17,13,IF(P48&lt;=20,14,IF(P48&lt;=22,15,IF(P48&lt;=25,16,IF(P48&lt;=27,17,IF(P48&lt;=29,18,IF(P48&lt;=32,19,IF(P48&lt;=34,20,IF(P48&lt;=36,21,IF(P48&lt;=40,22,24)))))))))))))</f>
        <v>22</v>
      </c>
      <c r="S48" s="14" t="n">
        <f aca="false">ROUND((Q48+R48+I48+J48+M48+N48)/3,0)</f>
        <v>23</v>
      </c>
      <c r="T48" s="15" t="n">
        <f aca="false">F48*LOG10(S48+2)</f>
        <v>4.19382002601611</v>
      </c>
    </row>
    <row r="49" customFormat="false" ht="14.65" hidden="false" customHeight="true" outlineLevel="0" collapsed="false">
      <c r="A49" s="12" t="s">
        <v>78</v>
      </c>
      <c r="B49" s="13" t="n">
        <v>38886</v>
      </c>
      <c r="C49" s="3" t="s">
        <v>24</v>
      </c>
      <c r="D49" s="4" t="s">
        <v>54</v>
      </c>
      <c r="E49" s="3" t="n">
        <v>5</v>
      </c>
      <c r="F49" s="3" t="n">
        <v>3</v>
      </c>
      <c r="H49" s="3" t="n">
        <v>39</v>
      </c>
      <c r="I49" s="3" t="n">
        <f aca="false">_xlfn.IFS(G49="взв",11,G49="накл",24,G49="прокл",25,G49="пт",26,G49=90,10,G49=85,10,G49=80,9,G49=75,8,G49=70,8,G49=65,7,G49=60,7,G49=55,6,G49=50,6,G49=45,6,G49=40,5,G49=35,4,G49=30,4,G49=25,3,G49=20,2,G49=15,1,G49=10,1,G49=0,0)</f>
        <v>0</v>
      </c>
      <c r="J49" s="3" t="n">
        <f aca="false">IF(H49&lt;=1,0,IF(H49&lt;=10,11,IF(H49&lt;=14,12,IF(H49&lt;=17,13,IF(H49&lt;=20,14,IF(H49&lt;=22,15,IF(H49&lt;=25,16,IF(H49&lt;=27,17,IF(H49&lt;=29,18,IF(H49&lt;=32,19,IF(H49&lt;=34,20,IF(H49&lt;=36,21,IF(H49&lt;=40,22,24)))))))))))))</f>
        <v>22</v>
      </c>
      <c r="L49" s="3" t="n">
        <v>36</v>
      </c>
      <c r="M49" s="3" t="n">
        <f aca="false">_xlfn.IFS(K49="взв",11,K49="накл",24,K49="прокл",25,K49="пт",26,K49=90,10,K49=85,10,K49=80,9,K49=75,8,K49=70,8,K49=65,7,K49=60,7,K49=55,6,K49=50,6,K49=45,6,K49=40,5,K49=35,4,K49=30,4,K49=25,3,K49=20,2,K49=15,1,K49=10,1,K49=0,0)</f>
        <v>0</v>
      </c>
      <c r="N49" s="3" t="n">
        <f aca="false">IF(L49&lt;=1,0,IF(L49&lt;=10,11,IF(L49&lt;=14,12,IF(L49&lt;=17,13,IF(L49&lt;=20,14,IF(L49&lt;=22,15,IF(L49&lt;=25,16,IF(L49&lt;=27,17,IF(L49&lt;=29,18,IF(L49&lt;=32,19,IF(L49&lt;=34,20,IF(L49&lt;=36,21,IF(L49&lt;=40,22,24)))))))))))))</f>
        <v>21</v>
      </c>
      <c r="P49" s="3" t="n">
        <v>33</v>
      </c>
      <c r="Q49" s="3" t="n">
        <f aca="false">_xlfn.IFS(O49="взв",11,O49="накл",24,O49="прокл",25,O49="пт",26,O49=90,10,O49=85,10,O49=80,9,O49=75,8,O49=70,8,O49=65,7,O49=60,7,O49=55,6,O49=50,6,O49=45,6,O49=40,5,O49=35,4,O49=30,4,O49=25,3,O49=20,2,O49=15,1,O49=10,1,O49=0,0)</f>
        <v>0</v>
      </c>
      <c r="R49" s="3" t="n">
        <f aca="false">IF(P49&lt;=1,0,IF(P49&lt;=10,11,IF(P49&lt;=14,12,IF(P49&lt;=17,13,IF(P49&lt;=20,14,IF(P49&lt;=22,15,IF(P49&lt;=25,16,IF(P49&lt;=27,17,IF(P49&lt;=29,18,IF(P49&lt;=32,19,IF(P49&lt;=34,20,IF(P49&lt;=36,21,IF(P49&lt;=40,22,24)))))))))))))</f>
        <v>20</v>
      </c>
      <c r="S49" s="14" t="n">
        <f aca="false">ROUND((Q49+R49+I49+J49+M49+N49)/3,0)</f>
        <v>21</v>
      </c>
      <c r="T49" s="15" t="n">
        <f aca="false">F49*LOG10(S49+2)</f>
        <v>4.08518350805278</v>
      </c>
    </row>
    <row r="50" customFormat="false" ht="14.65" hidden="false" customHeight="true" outlineLevel="0" collapsed="false">
      <c r="A50" s="12" t="s">
        <v>79</v>
      </c>
      <c r="B50" s="13" t="n">
        <v>38886</v>
      </c>
      <c r="C50" s="3" t="s">
        <v>24</v>
      </c>
      <c r="D50" s="4" t="s">
        <v>54</v>
      </c>
      <c r="E50" s="3" t="n">
        <v>6</v>
      </c>
      <c r="F50" s="3" t="n">
        <v>3</v>
      </c>
      <c r="G50" s="3" t="n">
        <v>60</v>
      </c>
      <c r="I50" s="3" t="n">
        <f aca="false">_xlfn.IFS(G50="взв",11,G50="накл",24,G50="прокл",25,G50="пт",26,G50=90,10,G50=85,10,G50=80,9,G50=75,8,G50=70,8,G50=65,7,G50=60,7,G50=55,6,G50=50,6,G50=45,6,G50=40,5,G50=35,4,G50=30,4,G50=25,3,G50=20,2,G50=15,1,G50=10,1,G50=0,0)</f>
        <v>7</v>
      </c>
      <c r="J50" s="3" t="n">
        <f aca="false">IF(H50&lt;=1,0,IF(H50&lt;=10,11,IF(H50&lt;=14,12,IF(H50&lt;=17,13,IF(H50&lt;=20,14,IF(H50&lt;=22,15,IF(H50&lt;=25,16,IF(H50&lt;=27,17,IF(H50&lt;=29,18,IF(H50&lt;=32,19,IF(H50&lt;=34,20,IF(H50&lt;=36,21,IF(H50&lt;=40,22,24)))))))))))))</f>
        <v>0</v>
      </c>
      <c r="K50" s="3" t="n">
        <v>75</v>
      </c>
      <c r="M50" s="3" t="n">
        <f aca="false">_xlfn.IFS(K50="взв",11,K50="накл",24,K50="прокл",25,K50="пт",26,K50=90,10,K50=85,10,K50=80,9,K50=75,8,K50=70,8,K50=65,7,K50=60,7,K50=55,6,K50=50,6,K50=45,6,K50=40,5,K50=35,4,K50=30,4,K50=25,3,K50=20,2,K50=15,1,K50=10,1,K50=0,0)</f>
        <v>8</v>
      </c>
      <c r="N50" s="3" t="n">
        <f aca="false">IF(L50&lt;=1,0,IF(L50&lt;=10,11,IF(L50&lt;=14,12,IF(L50&lt;=17,13,IF(L50&lt;=20,14,IF(L50&lt;=22,15,IF(L50&lt;=25,16,IF(L50&lt;=27,17,IF(L50&lt;=29,18,IF(L50&lt;=32,19,IF(L50&lt;=34,20,IF(L50&lt;=36,21,IF(L50&lt;=40,22,24)))))))))))))</f>
        <v>0</v>
      </c>
      <c r="O50" s="3" t="n">
        <v>90</v>
      </c>
      <c r="Q50" s="3" t="n">
        <f aca="false">_xlfn.IFS(O50="взв",11,O50="накл",24,O50="прокл",25,O50="пт",26,O50=90,10,O50=85,10,O50=80,9,O50=75,8,O50=70,8,O50=65,7,O50=60,7,O50=55,6,O50=50,6,O50=45,6,O50=40,5,O50=35,4,O50=30,4,O50=25,3,O50=20,2,O50=15,1,O50=10,1,O50=0,0)</f>
        <v>10</v>
      </c>
      <c r="R50" s="3" t="n">
        <f aca="false">IF(P50&lt;=1,0,IF(P50&lt;=10,11,IF(P50&lt;=14,12,IF(P50&lt;=17,13,IF(P50&lt;=20,14,IF(P50&lt;=22,15,IF(P50&lt;=25,16,IF(P50&lt;=27,17,IF(P50&lt;=29,18,IF(P50&lt;=32,19,IF(P50&lt;=34,20,IF(P50&lt;=36,21,IF(P50&lt;=40,22,24)))))))))))))</f>
        <v>0</v>
      </c>
      <c r="S50" s="14" t="n">
        <f aca="false">ROUND((Q50+R50+I50+J50+M50+N50)/3,0)</f>
        <v>8</v>
      </c>
      <c r="T50" s="15" t="n">
        <f aca="false">F50*LOG10(S50+2)</f>
        <v>3</v>
      </c>
    </row>
    <row r="51" customFormat="false" ht="14.65" hidden="false" customHeight="true" outlineLevel="0" collapsed="false">
      <c r="A51" s="12" t="s">
        <v>80</v>
      </c>
      <c r="B51" s="13" t="n">
        <v>38886</v>
      </c>
      <c r="C51" s="3" t="s">
        <v>24</v>
      </c>
      <c r="D51" s="4" t="s">
        <v>54</v>
      </c>
      <c r="E51" s="3" t="n">
        <v>3</v>
      </c>
      <c r="F51" s="3" t="n">
        <v>3</v>
      </c>
      <c r="H51" s="3" t="n">
        <v>34</v>
      </c>
      <c r="I51" s="3" t="n">
        <f aca="false">_xlfn.IFS(G51="взв",11,G51="накл",24,G51="прокл",25,G51="пт",26,G51=90,10,G51=85,10,G51=80,9,G51=75,8,G51=70,8,G51=65,7,G51=60,7,G51=55,6,G51=50,6,G51=45,6,G51=40,5,G51=35,4,G51=30,4,G51=25,3,G51=20,2,G51=15,1,G51=10,1,G51=0,0)</f>
        <v>0</v>
      </c>
      <c r="J51" s="3" t="n">
        <f aca="false">IF(H51&lt;=1,0,IF(H51&lt;=10,11,IF(H51&lt;=14,12,IF(H51&lt;=17,13,IF(H51&lt;=20,14,IF(H51&lt;=22,15,IF(H51&lt;=25,16,IF(H51&lt;=27,17,IF(H51&lt;=29,18,IF(H51&lt;=32,19,IF(H51&lt;=34,20,IF(H51&lt;=36,21,IF(H51&lt;=40,22,24)))))))))))))</f>
        <v>20</v>
      </c>
      <c r="L51" s="3" t="n">
        <v>39</v>
      </c>
      <c r="M51" s="3" t="n">
        <f aca="false">_xlfn.IFS(K51="взв",11,K51="накл",24,K51="прокл",25,K51="пт",26,K51=90,10,K51=85,10,K51=80,9,K51=75,8,K51=70,8,K51=65,7,K51=60,7,K51=55,6,K51=50,6,K51=45,6,K51=40,5,K51=35,4,K51=30,4,K51=25,3,K51=20,2,K51=15,1,K51=10,1,K51=0,0)</f>
        <v>0</v>
      </c>
      <c r="N51" s="3" t="n">
        <f aca="false">IF(L51&lt;=1,0,IF(L51&lt;=10,11,IF(L51&lt;=14,12,IF(L51&lt;=17,13,IF(L51&lt;=20,14,IF(L51&lt;=22,15,IF(L51&lt;=25,16,IF(L51&lt;=27,17,IF(L51&lt;=29,18,IF(L51&lt;=32,19,IF(L51&lt;=34,20,IF(L51&lt;=36,21,IF(L51&lt;=40,22,24)))))))))))))</f>
        <v>22</v>
      </c>
      <c r="P51" s="3" t="n">
        <v>35</v>
      </c>
      <c r="Q51" s="3" t="n">
        <f aca="false">_xlfn.IFS(O51="взв",11,O51="накл",24,O51="прокл",25,O51="пт",26,O51=90,10,O51=85,10,O51=80,9,O51=75,8,O51=70,8,O51=65,7,O51=60,7,O51=55,6,O51=50,6,O51=45,6,O51=40,5,O51=35,4,O51=30,4,O51=25,3,O51=20,2,O51=15,1,O51=10,1,O51=0,0)</f>
        <v>0</v>
      </c>
      <c r="R51" s="3" t="n">
        <f aca="false">IF(P51&lt;=1,0,IF(P51&lt;=10,11,IF(P51&lt;=14,12,IF(P51&lt;=17,13,IF(P51&lt;=20,14,IF(P51&lt;=22,15,IF(P51&lt;=25,16,IF(P51&lt;=27,17,IF(P51&lt;=29,18,IF(P51&lt;=32,19,IF(P51&lt;=34,20,IF(P51&lt;=36,21,IF(P51&lt;=40,22,24)))))))))))))</f>
        <v>21</v>
      </c>
      <c r="S51" s="14" t="n">
        <f aca="false">ROUND((Q51+R51+I51+J51+M51+N51)/3,0)</f>
        <v>21</v>
      </c>
      <c r="T51" s="15" t="n">
        <f aca="false">F51*LOG10(S51+2)</f>
        <v>4.08518350805278</v>
      </c>
    </row>
    <row r="52" customFormat="false" ht="14.65" hidden="false" customHeight="true" outlineLevel="0" collapsed="false">
      <c r="A52" s="12" t="s">
        <v>81</v>
      </c>
      <c r="B52" s="13" t="n">
        <v>38886</v>
      </c>
      <c r="C52" s="3" t="s">
        <v>24</v>
      </c>
      <c r="D52" s="4" t="s">
        <v>54</v>
      </c>
      <c r="E52" s="3" t="n">
        <v>5</v>
      </c>
      <c r="F52" s="3" t="n">
        <v>3</v>
      </c>
      <c r="H52" s="3" t="n">
        <v>39</v>
      </c>
      <c r="I52" s="3" t="n">
        <f aca="false">_xlfn.IFS(G52="взв",11,G52="накл",24,G52="прокл",25,G52="пт",26,G52=90,10,G52=85,10,G52=80,9,G52=75,8,G52=70,8,G52=65,7,G52=60,7,G52=55,6,G52=50,6,G52=45,6,G52=40,5,G52=35,4,G52=30,4,G52=25,3,G52=20,2,G52=15,1,G52=10,1,G52=0,0)</f>
        <v>0</v>
      </c>
      <c r="J52" s="3" t="n">
        <f aca="false">IF(H52&lt;=1,0,IF(H52&lt;=10,11,IF(H52&lt;=14,12,IF(H52&lt;=17,13,IF(H52&lt;=20,14,IF(H52&lt;=22,15,IF(H52&lt;=25,16,IF(H52&lt;=27,17,IF(H52&lt;=29,18,IF(H52&lt;=32,19,IF(H52&lt;=34,20,IF(H52&lt;=36,21,IF(H52&lt;=40,22,24)))))))))))))</f>
        <v>22</v>
      </c>
      <c r="L52" s="3" t="n">
        <v>37</v>
      </c>
      <c r="M52" s="3" t="n">
        <f aca="false">_xlfn.IFS(K52="взв",11,K52="накл",24,K52="прокл",25,K52="пт",26,K52=90,10,K52=85,10,K52=80,9,K52=75,8,K52=70,8,K52=65,7,K52=60,7,K52=55,6,K52=50,6,K52=45,6,K52=40,5,K52=35,4,K52=30,4,K52=25,3,K52=20,2,K52=15,1,K52=10,1,K52=0,0)</f>
        <v>0</v>
      </c>
      <c r="N52" s="3" t="n">
        <f aca="false">IF(L52&lt;=1,0,IF(L52&lt;=10,11,IF(L52&lt;=14,12,IF(L52&lt;=17,13,IF(L52&lt;=20,14,IF(L52&lt;=22,15,IF(L52&lt;=25,16,IF(L52&lt;=27,17,IF(L52&lt;=29,18,IF(L52&lt;=32,19,IF(L52&lt;=34,20,IF(L52&lt;=36,21,IF(L52&lt;=40,22,24)))))))))))))</f>
        <v>22</v>
      </c>
      <c r="P52" s="3" t="n">
        <v>40</v>
      </c>
      <c r="Q52" s="3" t="n">
        <f aca="false">_xlfn.IFS(O52="взв",11,O52="накл",24,O52="прокл",25,O52="пт",26,O52=90,10,O52=85,10,O52=80,9,O52=75,8,O52=70,8,O52=65,7,O52=60,7,O52=55,6,O52=50,6,O52=45,6,O52=40,5,O52=35,4,O52=30,4,O52=25,3,O52=20,2,O52=15,1,O52=10,1,O52=0,0)</f>
        <v>0</v>
      </c>
      <c r="R52" s="3" t="n">
        <f aca="false">IF(P52&lt;=1,0,IF(P52&lt;=10,11,IF(P52&lt;=14,12,IF(P52&lt;=17,13,IF(P52&lt;=20,14,IF(P52&lt;=22,15,IF(P52&lt;=25,16,IF(P52&lt;=27,17,IF(P52&lt;=29,18,IF(P52&lt;=32,19,IF(P52&lt;=34,20,IF(P52&lt;=36,21,IF(P52&lt;=40,22,24)))))))))))))</f>
        <v>22</v>
      </c>
      <c r="S52" s="14" t="n">
        <f aca="false">ROUND((Q52+R52+I52+J52+M52+N52)/3,0)</f>
        <v>22</v>
      </c>
      <c r="T52" s="15" t="n">
        <f aca="false">F52*LOG10(S52+2)</f>
        <v>4.14063372513482</v>
      </c>
    </row>
    <row r="53" customFormat="false" ht="14.65" hidden="false" customHeight="true" outlineLevel="0" collapsed="false">
      <c r="A53" s="12" t="s">
        <v>82</v>
      </c>
      <c r="B53" s="13" t="n">
        <v>38886</v>
      </c>
      <c r="C53" s="3" t="s">
        <v>24</v>
      </c>
      <c r="D53" s="4" t="s">
        <v>54</v>
      </c>
      <c r="E53" s="3" t="n">
        <v>3</v>
      </c>
      <c r="F53" s="3" t="n">
        <v>3</v>
      </c>
      <c r="H53" s="3" t="n">
        <v>31</v>
      </c>
      <c r="I53" s="3" t="n">
        <f aca="false">_xlfn.IFS(G53="взв",11,G53="накл",24,G53="прокл",25,G53="пт",26,G53=90,10,G53=85,10,G53=80,9,G53=75,8,G53=70,8,G53=65,7,G53=60,7,G53=55,6,G53=50,6,G53=45,6,G53=40,5,G53=35,4,G53=30,4,G53=25,3,G53=20,2,G53=15,1,G53=10,1,G53=0,0)</f>
        <v>0</v>
      </c>
      <c r="J53" s="3" t="n">
        <f aca="false">IF(H53&lt;=1,0,IF(H53&lt;=10,11,IF(H53&lt;=14,12,IF(H53&lt;=17,13,IF(H53&lt;=20,14,IF(H53&lt;=22,15,IF(H53&lt;=25,16,IF(H53&lt;=27,17,IF(H53&lt;=29,18,IF(H53&lt;=32,19,IF(H53&lt;=34,20,IF(H53&lt;=36,21,IF(H53&lt;=40,22,24)))))))))))))</f>
        <v>19</v>
      </c>
      <c r="L53" s="3" t="n">
        <v>33</v>
      </c>
      <c r="M53" s="3" t="n">
        <f aca="false">_xlfn.IFS(K53="взв",11,K53="накл",24,K53="прокл",25,K53="пт",26,K53=90,10,K53=85,10,K53=80,9,K53=75,8,K53=70,8,K53=65,7,K53=60,7,K53=55,6,K53=50,6,K53=45,6,K53=40,5,K53=35,4,K53=30,4,K53=25,3,K53=20,2,K53=15,1,K53=10,1,K53=0,0)</f>
        <v>0</v>
      </c>
      <c r="N53" s="3" t="n">
        <f aca="false">IF(L53&lt;=1,0,IF(L53&lt;=10,11,IF(L53&lt;=14,12,IF(L53&lt;=17,13,IF(L53&lt;=20,14,IF(L53&lt;=22,15,IF(L53&lt;=25,16,IF(L53&lt;=27,17,IF(L53&lt;=29,18,IF(L53&lt;=32,19,IF(L53&lt;=34,20,IF(L53&lt;=36,21,IF(L53&lt;=40,22,24)))))))))))))</f>
        <v>20</v>
      </c>
      <c r="P53" s="3" t="n">
        <v>36</v>
      </c>
      <c r="Q53" s="3" t="n">
        <f aca="false">_xlfn.IFS(O53="взв",11,O53="накл",24,O53="прокл",25,O53="пт",26,O53=90,10,O53=85,10,O53=80,9,O53=75,8,O53=70,8,O53=65,7,O53=60,7,O53=55,6,O53=50,6,O53=45,6,O53=40,5,O53=35,4,O53=30,4,O53=25,3,O53=20,2,O53=15,1,O53=10,1,O53=0,0)</f>
        <v>0</v>
      </c>
      <c r="R53" s="3" t="n">
        <f aca="false">IF(P53&lt;=1,0,IF(P53&lt;=10,11,IF(P53&lt;=14,12,IF(P53&lt;=17,13,IF(P53&lt;=20,14,IF(P53&lt;=22,15,IF(P53&lt;=25,16,IF(P53&lt;=27,17,IF(P53&lt;=29,18,IF(P53&lt;=32,19,IF(P53&lt;=34,20,IF(P53&lt;=36,21,IF(P53&lt;=40,22,24)))))))))))))</f>
        <v>21</v>
      </c>
      <c r="S53" s="14" t="n">
        <f aca="false">ROUND((Q53+R53+I53+J53+M53+N53)/3,0)</f>
        <v>20</v>
      </c>
      <c r="T53" s="15" t="n">
        <f aca="false">F53*LOG10(S53+2)</f>
        <v>4.02726804246662</v>
      </c>
    </row>
    <row r="54" customFormat="false" ht="14.65" hidden="false" customHeight="true" outlineLevel="0" collapsed="false">
      <c r="A54" s="12" t="s">
        <v>83</v>
      </c>
      <c r="B54" s="13" t="n">
        <v>38886</v>
      </c>
      <c r="C54" s="3" t="s">
        <v>24</v>
      </c>
      <c r="D54" s="4" t="s">
        <v>54</v>
      </c>
      <c r="E54" s="3" t="n">
        <v>5</v>
      </c>
      <c r="F54" s="3" t="n">
        <v>4</v>
      </c>
      <c r="G54" s="3" t="s">
        <v>38</v>
      </c>
      <c r="I54" s="3" t="n">
        <f aca="false">_xlfn.IFS(G54="взв",11,G54="накл",24,G54="прокл",25,G54="пт",26,G54=90,10,G54=85,10,G54=80,9,G54=75,8,G54=70,8,G54=65,7,G54=60,7,G54=55,6,G54=50,6,G54=45,6,G54=40,5,G54=35,4,G54=30,4,G54=25,3,G54=20,2,G54=15,1,G54=10,1,G54=0,0)</f>
        <v>26</v>
      </c>
      <c r="J54" s="3" t="n">
        <f aca="false">IF(H54&lt;=1,0,IF(H54&lt;=10,11,IF(H54&lt;=14,12,IF(H54&lt;=17,13,IF(H54&lt;=20,14,IF(H54&lt;=22,15,IF(H54&lt;=25,16,IF(H54&lt;=27,17,IF(H54&lt;=29,18,IF(H54&lt;=32,19,IF(H54&lt;=34,20,IF(H54&lt;=36,21,IF(H54&lt;=40,22,24)))))))))))))</f>
        <v>0</v>
      </c>
      <c r="K54" s="3" t="s">
        <v>27</v>
      </c>
      <c r="M54" s="3" t="n">
        <f aca="false">_xlfn.IFS(K54="взв",11,K54="накл",24,K54="прокл",25,K54="пт",26,K54=90,10,K54=85,10,K54=80,9,K54=75,8,K54=70,8,K54=65,7,K54=60,7,K54=55,6,K54=50,6,K54=45,6,K54=40,5,K54=35,4,K54=30,4,K54=25,3,K54=20,2,K54=15,1,K54=10,1,K54=0,0)</f>
        <v>24</v>
      </c>
      <c r="N54" s="3" t="n">
        <f aca="false">IF(L54&lt;=1,0,IF(L54&lt;=10,11,IF(L54&lt;=14,12,IF(L54&lt;=17,13,IF(L54&lt;=20,14,IF(L54&lt;=22,15,IF(L54&lt;=25,16,IF(L54&lt;=27,17,IF(L54&lt;=29,18,IF(L54&lt;=32,19,IF(L54&lt;=34,20,IF(L54&lt;=36,21,IF(L54&lt;=40,22,24)))))))))))))</f>
        <v>0</v>
      </c>
      <c r="O54" s="3" t="s">
        <v>27</v>
      </c>
      <c r="P54" s="0"/>
      <c r="Q54" s="3" t="n">
        <f aca="false">_xlfn.IFS(O54="взв",11,O54="накл",24,O54="прокл",25,O54="пт",26,O54=90,10,O54=85,10,O54=80,9,O54=75,8,O54=70,8,O54=65,7,O54=60,7,O54=55,6,O54=50,6,O54=45,6,O54=40,5,O54=35,4,O54=30,4,O54=25,3,O54=20,2,O54=15,1,O54=10,1,O54=0,0)</f>
        <v>24</v>
      </c>
      <c r="R54" s="3" t="n">
        <f aca="false">IF(P54&lt;=1,0,IF(P54&lt;=10,11,IF(P54&lt;=14,12,IF(P54&lt;=17,13,IF(P54&lt;=20,14,IF(P54&lt;=22,15,IF(P54&lt;=25,16,IF(P54&lt;=27,17,IF(P54&lt;=29,18,IF(P54&lt;=32,19,IF(P54&lt;=34,20,IF(P54&lt;=36,21,IF(P54&lt;=40,22,24)))))))))))))</f>
        <v>0</v>
      </c>
      <c r="S54" s="14" t="n">
        <f aca="false">ROUND((Q54+R54+I54+J54+M54+N54)/3,0)</f>
        <v>25</v>
      </c>
      <c r="T54" s="15" t="n">
        <f aca="false">F54*LOG10(S54+2)</f>
        <v>5.72545505663595</v>
      </c>
    </row>
    <row r="55" customFormat="false" ht="14.65" hidden="false" customHeight="true" outlineLevel="0" collapsed="false">
      <c r="A55" s="12" t="s">
        <v>84</v>
      </c>
      <c r="B55" s="13" t="n">
        <v>38886</v>
      </c>
      <c r="C55" s="3" t="s">
        <v>24</v>
      </c>
      <c r="D55" s="4" t="s">
        <v>54</v>
      </c>
      <c r="E55" s="3" t="n">
        <v>5</v>
      </c>
      <c r="F55" s="3" t="n">
        <v>4</v>
      </c>
      <c r="H55" s="3" t="n">
        <v>31</v>
      </c>
      <c r="I55" s="3" t="n">
        <f aca="false">_xlfn.IFS(G55="взв",11,G55="накл",24,G55="прокл",25,G55="пт",26,G55=90,10,G55=85,10,G55=80,9,G55=75,8,G55=70,8,G55=65,7,G55=60,7,G55=55,6,G55=50,6,G55=45,6,G55=40,5,G55=35,4,G55=30,4,G55=25,3,G55=20,2,G55=15,1,G55=10,1,G55=0,0)</f>
        <v>0</v>
      </c>
      <c r="J55" s="3" t="n">
        <f aca="false">IF(H55&lt;=1,0,IF(H55&lt;=10,11,IF(H55&lt;=14,12,IF(H55&lt;=17,13,IF(H55&lt;=20,14,IF(H55&lt;=22,15,IF(H55&lt;=25,16,IF(H55&lt;=27,17,IF(H55&lt;=29,18,IF(H55&lt;=32,19,IF(H55&lt;=34,20,IF(H55&lt;=36,21,IF(H55&lt;=40,22,24)))))))))))))</f>
        <v>19</v>
      </c>
      <c r="L55" s="3" t="n">
        <v>28</v>
      </c>
      <c r="M55" s="3" t="n">
        <f aca="false">_xlfn.IFS(K55="взв",11,K55="накл",24,K55="прокл",25,K55="пт",26,K55=90,10,K55=85,10,K55=80,9,K55=75,8,K55=70,8,K55=65,7,K55=60,7,K55=55,6,K55=50,6,K55=45,6,K55=40,5,K55=35,4,K55=30,4,K55=25,3,K55=20,2,K55=15,1,K55=10,1,K55=0,0)</f>
        <v>0</v>
      </c>
      <c r="N55" s="3" t="n">
        <f aca="false">IF(L55&lt;=1,0,IF(L55&lt;=10,11,IF(L55&lt;=14,12,IF(L55&lt;=17,13,IF(L55&lt;=20,14,IF(L55&lt;=22,15,IF(L55&lt;=25,16,IF(L55&lt;=27,17,IF(L55&lt;=29,18,IF(L55&lt;=32,19,IF(L55&lt;=34,20,IF(L55&lt;=36,21,IF(L55&lt;=40,22,24)))))))))))))</f>
        <v>18</v>
      </c>
      <c r="P55" s="3" t="n">
        <v>30</v>
      </c>
      <c r="Q55" s="3" t="n">
        <f aca="false">_xlfn.IFS(O55="взв",11,O55="накл",24,O55="прокл",25,O55="пт",26,O55=90,10,O55=85,10,O55=80,9,O55=75,8,O55=70,8,O55=65,7,O55=60,7,O55=55,6,O55=50,6,O55=45,6,O55=40,5,O55=35,4,O55=30,4,O55=25,3,O55=20,2,O55=15,1,O55=10,1,O55=0,0)</f>
        <v>0</v>
      </c>
      <c r="R55" s="3" t="n">
        <f aca="false">IF(P55&lt;=1,0,IF(P55&lt;=10,11,IF(P55&lt;=14,12,IF(P55&lt;=17,13,IF(P55&lt;=20,14,IF(P55&lt;=22,15,IF(P55&lt;=25,16,IF(P55&lt;=27,17,IF(P55&lt;=29,18,IF(P55&lt;=32,19,IF(P55&lt;=34,20,IF(P55&lt;=36,21,IF(P55&lt;=40,22,24)))))))))))))</f>
        <v>19</v>
      </c>
      <c r="S55" s="14" t="n">
        <f aca="false">ROUND((Q55+R55+I55+J55+M55+N55)/3,0)</f>
        <v>19</v>
      </c>
      <c r="T55" s="15" t="n">
        <f aca="false">F55*LOG10(S55+2)</f>
        <v>5.28887717893568</v>
      </c>
    </row>
    <row r="56" customFormat="false" ht="14.65" hidden="false" customHeight="true" outlineLevel="0" collapsed="false">
      <c r="A56" s="12" t="s">
        <v>85</v>
      </c>
      <c r="B56" s="13" t="n">
        <v>38886</v>
      </c>
      <c r="C56" s="3" t="s">
        <v>24</v>
      </c>
      <c r="D56" s="4" t="s">
        <v>54</v>
      </c>
      <c r="E56" s="3" t="n">
        <v>3</v>
      </c>
      <c r="F56" s="3" t="n">
        <v>4</v>
      </c>
      <c r="H56" s="3" t="n">
        <v>38</v>
      </c>
      <c r="I56" s="3" t="n">
        <f aca="false">_xlfn.IFS(G56="взв",11,G56="накл",24,G56="прокл",25,G56="пт",26,G56=90,10,G56=85,10,G56=80,9,G56=75,8,G56=70,8,G56=65,7,G56=60,7,G56=55,6,G56=50,6,G56=45,6,G56=40,5,G56=35,4,G56=30,4,G56=25,3,G56=20,2,G56=15,1,G56=10,1,G56=0,0)</f>
        <v>0</v>
      </c>
      <c r="J56" s="3" t="n">
        <f aca="false">IF(H56&lt;=1,0,IF(H56&lt;=10,11,IF(H56&lt;=14,12,IF(H56&lt;=17,13,IF(H56&lt;=20,14,IF(H56&lt;=22,15,IF(H56&lt;=25,16,IF(H56&lt;=27,17,IF(H56&lt;=29,18,IF(H56&lt;=32,19,IF(H56&lt;=34,20,IF(H56&lt;=36,21,IF(H56&lt;=40,22,24)))))))))))))</f>
        <v>22</v>
      </c>
      <c r="L56" s="3" t="n">
        <v>39</v>
      </c>
      <c r="M56" s="3" t="n">
        <f aca="false">_xlfn.IFS(K56="взв",11,K56="накл",24,K56="прокл",25,K56="пт",26,K56=90,10,K56=85,10,K56=80,9,K56=75,8,K56=70,8,K56=65,7,K56=60,7,K56=55,6,K56=50,6,K56=45,6,K56=40,5,K56=35,4,K56=30,4,K56=25,3,K56=20,2,K56=15,1,K56=10,1,K56=0,0)</f>
        <v>0</v>
      </c>
      <c r="N56" s="3" t="n">
        <f aca="false">IF(L56&lt;=1,0,IF(L56&lt;=10,11,IF(L56&lt;=14,12,IF(L56&lt;=17,13,IF(L56&lt;=20,14,IF(L56&lt;=22,15,IF(L56&lt;=25,16,IF(L56&lt;=27,17,IF(L56&lt;=29,18,IF(L56&lt;=32,19,IF(L56&lt;=34,20,IF(L56&lt;=36,21,IF(L56&lt;=40,22,24)))))))))))))</f>
        <v>22</v>
      </c>
      <c r="P56" s="3" t="n">
        <v>40</v>
      </c>
      <c r="Q56" s="3" t="n">
        <f aca="false">_xlfn.IFS(O56="взв",11,O56="накл",24,O56="прокл",25,O56="пт",26,O56=90,10,O56=85,10,O56=80,9,O56=75,8,O56=70,8,O56=65,7,O56=60,7,O56=55,6,O56=50,6,O56=45,6,O56=40,5,O56=35,4,O56=30,4,O56=25,3,O56=20,2,O56=15,1,O56=10,1,O56=0,0)</f>
        <v>0</v>
      </c>
      <c r="R56" s="3" t="n">
        <f aca="false">IF(P56&lt;=1,0,IF(P56&lt;=10,11,IF(P56&lt;=14,12,IF(P56&lt;=17,13,IF(P56&lt;=20,14,IF(P56&lt;=22,15,IF(P56&lt;=25,16,IF(P56&lt;=27,17,IF(P56&lt;=29,18,IF(P56&lt;=32,19,IF(P56&lt;=34,20,IF(P56&lt;=36,21,IF(P56&lt;=40,22,24)))))))))))))</f>
        <v>22</v>
      </c>
      <c r="S56" s="14" t="n">
        <f aca="false">ROUND((Q56+R56+I56+J56+M56+N56)/3,0)</f>
        <v>22</v>
      </c>
      <c r="T56" s="15" t="n">
        <f aca="false">F56*LOG10(S56+2)</f>
        <v>5.52084496684642</v>
      </c>
    </row>
    <row r="57" customFormat="false" ht="14.65" hidden="false" customHeight="true" outlineLevel="0" collapsed="false">
      <c r="A57" s="12" t="s">
        <v>86</v>
      </c>
      <c r="B57" s="13" t="n">
        <v>38886</v>
      </c>
      <c r="C57" s="3" t="s">
        <v>24</v>
      </c>
      <c r="D57" s="4" t="s">
        <v>54</v>
      </c>
      <c r="E57" s="3" t="n">
        <v>4</v>
      </c>
      <c r="F57" s="3" t="n">
        <v>4</v>
      </c>
      <c r="G57" s="3" t="s">
        <v>47</v>
      </c>
      <c r="I57" s="3" t="n">
        <f aca="false">_xlfn.IFS(G57="взв",11,G57="накл",24,G57="прокл",25,G57="пт",26,G57=90,10,G57=85,10,G57=80,9,G57=75,8,G57=70,8,G57=65,7,G57=60,7,G57=55,6,G57=50,6,G57=45,6,G57=40,5,G57=35,4,G57=30,4,G57=25,3,G57=20,2,G57=15,1,G57=10,1,G57=0,0)</f>
        <v>25</v>
      </c>
      <c r="J57" s="3" t="n">
        <f aca="false">IF(H57&lt;=1,0,IF(H57&lt;=10,11,IF(H57&lt;=14,12,IF(H57&lt;=17,13,IF(H57&lt;=20,14,IF(H57&lt;=22,15,IF(H57&lt;=25,16,IF(H57&lt;=27,17,IF(H57&lt;=29,18,IF(H57&lt;=32,19,IF(H57&lt;=34,20,IF(H57&lt;=36,21,IF(H57&lt;=40,22,24)))))))))))))</f>
        <v>0</v>
      </c>
      <c r="K57" s="3" t="s">
        <v>27</v>
      </c>
      <c r="M57" s="3" t="n">
        <f aca="false">_xlfn.IFS(K57="взв",11,K57="накл",24,K57="прокл",25,K57="пт",26,K57=90,10,K57=85,10,K57=80,9,K57=75,8,K57=70,8,K57=65,7,K57=60,7,K57=55,6,K57=50,6,K57=45,6,K57=40,5,K57=35,4,K57=30,4,K57=25,3,K57=20,2,K57=15,1,K57=10,1,K57=0,0)</f>
        <v>24</v>
      </c>
      <c r="N57" s="3" t="n">
        <f aca="false">IF(L57&lt;=1,0,IF(L57&lt;=10,11,IF(L57&lt;=14,12,IF(L57&lt;=17,13,IF(L57&lt;=20,14,IF(L57&lt;=22,15,IF(L57&lt;=25,16,IF(L57&lt;=27,17,IF(L57&lt;=29,18,IF(L57&lt;=32,19,IF(L57&lt;=34,20,IF(L57&lt;=36,21,IF(L57&lt;=40,22,24)))))))))))))</f>
        <v>0</v>
      </c>
      <c r="O57" s="3" t="s">
        <v>47</v>
      </c>
      <c r="P57" s="0"/>
      <c r="Q57" s="3" t="n">
        <f aca="false">_xlfn.IFS(O57="взв",11,O57="накл",24,O57="прокл",25,O57="пт",26,O57=90,10,O57=85,10,O57=80,9,O57=75,8,O57=70,8,O57=65,7,O57=60,7,O57=55,6,O57=50,6,O57=45,6,O57=40,5,O57=35,4,O57=30,4,O57=25,3,O57=20,2,O57=15,1,O57=10,1,O57=0,0)</f>
        <v>25</v>
      </c>
      <c r="R57" s="3" t="n">
        <f aca="false">IF(P57&lt;=1,0,IF(P57&lt;=10,11,IF(P57&lt;=14,12,IF(P57&lt;=17,13,IF(P57&lt;=20,14,IF(P57&lt;=22,15,IF(P57&lt;=25,16,IF(P57&lt;=27,17,IF(P57&lt;=29,18,IF(P57&lt;=32,19,IF(P57&lt;=34,20,IF(P57&lt;=36,21,IF(P57&lt;=40,22,24)))))))))))))</f>
        <v>0</v>
      </c>
      <c r="S57" s="14" t="n">
        <f aca="false">ROUND((Q57+R57+I57+J57+M57+N57)/3,0)</f>
        <v>25</v>
      </c>
      <c r="T57" s="15" t="n">
        <f aca="false">F57*LOG10(S57+2)</f>
        <v>5.72545505663595</v>
      </c>
    </row>
    <row r="58" customFormat="false" ht="14.65" hidden="false" customHeight="true" outlineLevel="0" collapsed="false">
      <c r="A58" s="12" t="s">
        <v>87</v>
      </c>
      <c r="B58" s="13" t="n">
        <v>38886</v>
      </c>
      <c r="C58" s="3" t="s">
        <v>24</v>
      </c>
      <c r="D58" s="4" t="s">
        <v>54</v>
      </c>
      <c r="E58" s="3" t="n">
        <v>5</v>
      </c>
      <c r="F58" s="3" t="n">
        <v>4</v>
      </c>
      <c r="H58" s="3" t="n">
        <v>36</v>
      </c>
      <c r="I58" s="3" t="n">
        <f aca="false">_xlfn.IFS(G58="взв",11,G58="накл",24,G58="прокл",25,G58="пт",26,G58=90,10,G58=85,10,G58=80,9,G58=75,8,G58=70,8,G58=65,7,G58=60,7,G58=55,6,G58=50,6,G58=45,6,G58=40,5,G58=35,4,G58=30,4,G58=25,3,G58=20,2,G58=15,1,G58=10,1,G58=0,0)</f>
        <v>0</v>
      </c>
      <c r="J58" s="3" t="n">
        <f aca="false">IF(H58&lt;=1,0,IF(H58&lt;=10,11,IF(H58&lt;=14,12,IF(H58&lt;=17,13,IF(H58&lt;=20,14,IF(H58&lt;=22,15,IF(H58&lt;=25,16,IF(H58&lt;=27,17,IF(H58&lt;=29,18,IF(H58&lt;=32,19,IF(H58&lt;=34,20,IF(H58&lt;=36,21,IF(H58&lt;=40,22,24)))))))))))))</f>
        <v>21</v>
      </c>
      <c r="L58" s="3" t="n">
        <v>35</v>
      </c>
      <c r="M58" s="3" t="n">
        <f aca="false">_xlfn.IFS(K58="взв",11,K58="накл",24,K58="прокл",25,K58="пт",26,K58=90,10,K58=85,10,K58=80,9,K58=75,8,K58=70,8,K58=65,7,K58=60,7,K58=55,6,K58=50,6,K58=45,6,K58=40,5,K58=35,4,K58=30,4,K58=25,3,K58=20,2,K58=15,1,K58=10,1,K58=0,0)</f>
        <v>0</v>
      </c>
      <c r="N58" s="3" t="n">
        <f aca="false">IF(L58&lt;=1,0,IF(L58&lt;=10,11,IF(L58&lt;=14,12,IF(L58&lt;=17,13,IF(L58&lt;=20,14,IF(L58&lt;=22,15,IF(L58&lt;=25,16,IF(L58&lt;=27,17,IF(L58&lt;=29,18,IF(L58&lt;=32,19,IF(L58&lt;=34,20,IF(L58&lt;=36,21,IF(L58&lt;=40,22,24)))))))))))))</f>
        <v>21</v>
      </c>
      <c r="P58" s="3" t="n">
        <v>38</v>
      </c>
      <c r="Q58" s="3" t="n">
        <f aca="false">_xlfn.IFS(O58="взв",11,O58="накл",24,O58="прокл",25,O58="пт",26,O58=90,10,O58=85,10,O58=80,9,O58=75,8,O58=70,8,O58=65,7,O58=60,7,O58=55,6,O58=50,6,O58=45,6,O58=40,5,O58=35,4,O58=30,4,O58=25,3,O58=20,2,O58=15,1,O58=10,1,O58=0,0)</f>
        <v>0</v>
      </c>
      <c r="R58" s="3" t="n">
        <f aca="false">IF(P58&lt;=1,0,IF(P58&lt;=10,11,IF(P58&lt;=14,12,IF(P58&lt;=17,13,IF(P58&lt;=20,14,IF(P58&lt;=22,15,IF(P58&lt;=25,16,IF(P58&lt;=27,17,IF(P58&lt;=29,18,IF(P58&lt;=32,19,IF(P58&lt;=34,20,IF(P58&lt;=36,21,IF(P58&lt;=40,22,24)))))))))))))</f>
        <v>22</v>
      </c>
      <c r="S58" s="14" t="n">
        <f aca="false">ROUND((Q58+R58+I58+J58+M58+N58)/3,0)</f>
        <v>21</v>
      </c>
      <c r="T58" s="15" t="n">
        <f aca="false">F58*LOG10(S58+2)</f>
        <v>5.44691134407037</v>
      </c>
    </row>
    <row r="59" customFormat="false" ht="14.65" hidden="false" customHeight="true" outlineLevel="0" collapsed="false">
      <c r="A59" s="12" t="s">
        <v>88</v>
      </c>
      <c r="B59" s="13" t="n">
        <v>38886</v>
      </c>
      <c r="C59" s="3" t="s">
        <v>24</v>
      </c>
      <c r="D59" s="4" t="s">
        <v>54</v>
      </c>
      <c r="E59" s="3" t="n">
        <v>4</v>
      </c>
      <c r="F59" s="3" t="n">
        <v>4</v>
      </c>
      <c r="G59" s="3" t="n">
        <v>45</v>
      </c>
      <c r="I59" s="3" t="n">
        <f aca="false">_xlfn.IFS(G59="взв",11,G59="накл",24,G59="прокл",25,G59="пт",26,G59=90,10,G59=85,10,G59=80,9,G59=75,8,G59=70,8,G59=65,7,G59=60,7,G59=55,6,G59=50,6,G59=45,6,G59=40,5,G59=35,4,G59=30,4,G59=25,3,G59=20,2,G59=15,1,G59=10,1,G59=0,0)</f>
        <v>6</v>
      </c>
      <c r="J59" s="3" t="n">
        <f aca="false">IF(H59&lt;=1,0,IF(H59&lt;=10,11,IF(H59&lt;=14,12,IF(H59&lt;=17,13,IF(H59&lt;=20,14,IF(H59&lt;=22,15,IF(H59&lt;=25,16,IF(H59&lt;=27,17,IF(H59&lt;=29,18,IF(H59&lt;=32,19,IF(H59&lt;=34,20,IF(H59&lt;=36,21,IF(H59&lt;=40,22,24)))))))))))))</f>
        <v>0</v>
      </c>
      <c r="K59" s="3" t="n">
        <v>75</v>
      </c>
      <c r="M59" s="3" t="n">
        <f aca="false">_xlfn.IFS(K59="взв",11,K59="накл",24,K59="прокл",25,K59="пт",26,K59=90,10,K59=85,10,K59=80,9,K59=75,8,K59=70,8,K59=65,7,K59=60,7,K59=55,6,K59=50,6,K59=45,6,K59=40,5,K59=35,4,K59=30,4,K59=25,3,K59=20,2,K59=15,1,K59=10,1,K59=0,0)</f>
        <v>8</v>
      </c>
      <c r="N59" s="3" t="n">
        <f aca="false">IF(L59&lt;=1,0,IF(L59&lt;=10,11,IF(L59&lt;=14,12,IF(L59&lt;=17,13,IF(L59&lt;=20,14,IF(L59&lt;=22,15,IF(L59&lt;=25,16,IF(L59&lt;=27,17,IF(L59&lt;=29,18,IF(L59&lt;=32,19,IF(L59&lt;=34,20,IF(L59&lt;=36,21,IF(L59&lt;=40,22,24)))))))))))))</f>
        <v>0</v>
      </c>
      <c r="O59" s="3" t="n">
        <v>60</v>
      </c>
      <c r="Q59" s="3" t="n">
        <f aca="false">_xlfn.IFS(O59="взв",11,O59="накл",24,O59="прокл",25,O59="пт",26,O59=90,10,O59=85,10,O59=80,9,O59=75,8,O59=70,8,O59=65,7,O59=60,7,O59=55,6,O59=50,6,O59=45,6,O59=40,5,O59=35,4,O59=30,4,O59=25,3,O59=20,2,O59=15,1,O59=10,1,O59=0,0)</f>
        <v>7</v>
      </c>
      <c r="R59" s="3" t="n">
        <f aca="false">IF(P59&lt;=1,0,IF(P59&lt;=10,11,IF(P59&lt;=14,12,IF(P59&lt;=17,13,IF(P59&lt;=20,14,IF(P59&lt;=22,15,IF(P59&lt;=25,16,IF(P59&lt;=27,17,IF(P59&lt;=29,18,IF(P59&lt;=32,19,IF(P59&lt;=34,20,IF(P59&lt;=36,21,IF(P59&lt;=40,22,24)))))))))))))</f>
        <v>0</v>
      </c>
      <c r="S59" s="14" t="n">
        <f aca="false">ROUND((Q59+R59+I59+J59+M59+N59)/3,0)</f>
        <v>7</v>
      </c>
      <c r="T59" s="15" t="n">
        <f aca="false">F59*LOG10(S59+2)</f>
        <v>3.8169700377573</v>
      </c>
    </row>
    <row r="60" customFormat="false" ht="14.65" hidden="false" customHeight="true" outlineLevel="0" collapsed="false">
      <c r="A60" s="12" t="s">
        <v>89</v>
      </c>
      <c r="B60" s="13" t="n">
        <v>38886</v>
      </c>
      <c r="C60" s="3" t="s">
        <v>24</v>
      </c>
      <c r="D60" s="4" t="s">
        <v>54</v>
      </c>
      <c r="E60" s="3" t="n">
        <v>4</v>
      </c>
      <c r="F60" s="3" t="n">
        <v>4</v>
      </c>
      <c r="G60" s="3" t="s">
        <v>27</v>
      </c>
      <c r="I60" s="3" t="n">
        <f aca="false">_xlfn.IFS(G60="взв",11,G60="накл",24,G60="прокл",25,G60="пт",26,G60=90,10,G60=85,10,G60=80,9,G60=75,8,G60=70,8,G60=65,7,G60=60,7,G60=55,6,G60=50,6,G60=45,6,G60=40,5,G60=35,4,G60=30,4,G60=25,3,G60=20,2,G60=15,1,G60=10,1,G60=0,0)</f>
        <v>24</v>
      </c>
      <c r="J60" s="3" t="n">
        <f aca="false">IF(H60&lt;=1,0,IF(H60&lt;=10,11,IF(H60&lt;=14,12,IF(H60&lt;=17,13,IF(H60&lt;=20,14,IF(H60&lt;=22,15,IF(H60&lt;=25,16,IF(H60&lt;=27,17,IF(H60&lt;=29,18,IF(H60&lt;=32,19,IF(H60&lt;=34,20,IF(H60&lt;=36,21,IF(H60&lt;=40,22,24)))))))))))))</f>
        <v>0</v>
      </c>
      <c r="M60" s="3" t="n">
        <f aca="false">_xlfn.IFS(K60="взв",11,K60="накл",24,K60="прокл",25,K60="пт",26,K60=90,10,K60=85,10,K60=80,9,K60=75,8,K60=70,8,K60=65,7,K60=60,7,K60=55,6,K60=50,6,K60=45,6,K60=40,5,K60=35,4,K60=30,4,K60=25,3,K60=20,2,K60=15,1,K60=10,1,K60=0,0)</f>
        <v>0</v>
      </c>
      <c r="N60" s="3" t="n">
        <f aca="false">IF(L60&lt;=1,0,IF(L60&lt;=10,11,IF(L60&lt;=14,12,IF(L60&lt;=17,13,IF(L60&lt;=20,14,IF(L60&lt;=22,15,IF(L60&lt;=25,16,IF(L60&lt;=27,17,IF(L60&lt;=29,18,IF(L60&lt;=32,19,IF(L60&lt;=34,20,IF(L60&lt;=36,21,IF(L60&lt;=40,22,24)))))))))))))</f>
        <v>0</v>
      </c>
      <c r="Q60" s="3" t="n">
        <f aca="false">_xlfn.IFS(O60="взв",11,O60="накл",24,O60="прокл",25,O60="пт",26,O60=90,10,O60=85,10,O60=80,9,O60=75,8,O60=70,8,O60=65,7,O60=60,7,O60=55,6,O60=50,6,O60=45,6,O60=40,5,O60=35,4,O60=30,4,O60=25,3,O60=20,2,O60=15,1,O60=10,1,O60=0,0)</f>
        <v>0</v>
      </c>
      <c r="R60" s="3" t="n">
        <f aca="false">IF(P60&lt;=1,0,IF(P60&lt;=10,11,IF(P60&lt;=14,12,IF(P60&lt;=17,13,IF(P60&lt;=20,14,IF(P60&lt;=22,15,IF(P60&lt;=25,16,IF(P60&lt;=27,17,IF(P60&lt;=29,18,IF(P60&lt;=32,19,IF(P60&lt;=34,20,IF(P60&lt;=36,21,IF(P60&lt;=40,22,24)))))))))))))</f>
        <v>0</v>
      </c>
      <c r="S60" s="14" t="n">
        <v>24</v>
      </c>
      <c r="T60" s="15" t="n">
        <f aca="false">F60*LOG10(S60+2)</f>
        <v>5.65989339188327</v>
      </c>
    </row>
    <row r="61" customFormat="false" ht="14.65" hidden="false" customHeight="true" outlineLevel="0" collapsed="false">
      <c r="A61" s="12" t="s">
        <v>90</v>
      </c>
      <c r="B61" s="13" t="n">
        <v>38886</v>
      </c>
      <c r="C61" s="3" t="s">
        <v>24</v>
      </c>
      <c r="D61" s="4" t="s">
        <v>54</v>
      </c>
      <c r="E61" s="3" t="n">
        <v>3</v>
      </c>
      <c r="F61" s="3" t="n">
        <v>4</v>
      </c>
      <c r="G61" s="3" t="n">
        <v>60</v>
      </c>
      <c r="I61" s="3" t="n">
        <f aca="false">_xlfn.IFS(G61="взв",11,G61="накл",24,G61="прокл",25,G61="пт",26,G61=90,10,G61=85,10,G61=80,9,G61=75,8,G61=70,8,G61=65,7,G61=60,7,G61=55,6,G61=50,6,G61=45,6,G61=40,5,G61=35,4,G61=30,4,G61=25,3,G61=20,2,G61=15,1,G61=10,1,G61=0,0)</f>
        <v>7</v>
      </c>
      <c r="J61" s="3" t="n">
        <f aca="false">IF(H61&lt;=1,0,IF(H61&lt;=10,11,IF(H61&lt;=14,12,IF(H61&lt;=17,13,IF(H61&lt;=20,14,IF(H61&lt;=22,15,IF(H61&lt;=25,16,IF(H61&lt;=27,17,IF(H61&lt;=29,18,IF(H61&lt;=32,19,IF(H61&lt;=34,20,IF(H61&lt;=36,21,IF(H61&lt;=40,22,24)))))))))))))</f>
        <v>0</v>
      </c>
      <c r="K61" s="3" t="n">
        <v>90</v>
      </c>
      <c r="M61" s="3" t="n">
        <f aca="false">_xlfn.IFS(K61="взв",11,K61="накл",24,K61="прокл",25,K61="пт",26,K61=90,10,K61=85,10,K61=80,9,K61=75,8,K61=70,8,K61=65,7,K61=60,7,K61=55,6,K61=50,6,K61=45,6,K61=40,5,K61=35,4,K61=30,4,K61=25,3,K61=20,2,K61=15,1,K61=10,1,K61=0,0)</f>
        <v>10</v>
      </c>
      <c r="N61" s="3" t="n">
        <f aca="false">IF(L61&lt;=1,0,IF(L61&lt;=10,11,IF(L61&lt;=14,12,IF(L61&lt;=17,13,IF(L61&lt;=20,14,IF(L61&lt;=22,15,IF(L61&lt;=25,16,IF(L61&lt;=27,17,IF(L61&lt;=29,18,IF(L61&lt;=32,19,IF(L61&lt;=34,20,IF(L61&lt;=36,21,IF(L61&lt;=40,22,24)))))))))))))</f>
        <v>0</v>
      </c>
      <c r="O61" s="3" t="n">
        <v>90</v>
      </c>
      <c r="Q61" s="3" t="n">
        <f aca="false">_xlfn.IFS(O61="взв",11,O61="накл",24,O61="прокл",25,O61="пт",26,O61=90,10,O61=85,10,O61=80,9,O61=75,8,O61=70,8,O61=65,7,O61=60,7,O61=55,6,O61=50,6,O61=45,6,O61=40,5,O61=35,4,O61=30,4,O61=25,3,O61=20,2,O61=15,1,O61=10,1,O61=0,0)</f>
        <v>10</v>
      </c>
      <c r="R61" s="3" t="n">
        <f aca="false">IF(P61&lt;=1,0,IF(P61&lt;=10,11,IF(P61&lt;=14,12,IF(P61&lt;=17,13,IF(P61&lt;=20,14,IF(P61&lt;=22,15,IF(P61&lt;=25,16,IF(P61&lt;=27,17,IF(P61&lt;=29,18,IF(P61&lt;=32,19,IF(P61&lt;=34,20,IF(P61&lt;=36,21,IF(P61&lt;=40,22,24)))))))))))))</f>
        <v>0</v>
      </c>
      <c r="S61" s="14" t="n">
        <f aca="false">ROUND((Q61+R61+I61+J61+M61+N61)/3,0)</f>
        <v>9</v>
      </c>
      <c r="T61" s="15" t="n">
        <f aca="false">F61*LOG10(S61+2)</f>
        <v>4.1655707406329</v>
      </c>
    </row>
    <row r="62" customFormat="false" ht="14.65" hidden="false" customHeight="true" outlineLevel="0" collapsed="false">
      <c r="A62" s="12" t="s">
        <v>91</v>
      </c>
      <c r="B62" s="13" t="n">
        <v>38886</v>
      </c>
      <c r="C62" s="3" t="s">
        <v>24</v>
      </c>
      <c r="D62" s="4" t="s">
        <v>54</v>
      </c>
      <c r="E62" s="3" t="n">
        <v>4</v>
      </c>
      <c r="F62" s="3" t="n">
        <v>4</v>
      </c>
      <c r="G62" s="3" t="n">
        <v>90</v>
      </c>
      <c r="I62" s="3" t="n">
        <f aca="false">_xlfn.IFS(G62="взв",11,G62="накл",24,G62="прокл",25,G62="пт",26,G62=90,10,G62=85,10,G62=80,9,G62=75,8,G62=70,8,G62=65,7,G62=60,7,G62=55,6,G62=50,6,G62=45,6,G62=40,5,G62=35,4,G62=30,4,G62=25,3,G62=20,2,G62=15,1,G62=10,1,G62=0,0)</f>
        <v>10</v>
      </c>
      <c r="J62" s="3" t="n">
        <f aca="false">IF(H62&lt;=1,0,IF(H62&lt;=10,11,IF(H62&lt;=14,12,IF(H62&lt;=17,13,IF(H62&lt;=20,14,IF(H62&lt;=22,15,IF(H62&lt;=25,16,IF(H62&lt;=27,17,IF(H62&lt;=29,18,IF(H62&lt;=32,19,IF(H62&lt;=34,20,IF(H62&lt;=36,21,IF(H62&lt;=40,22,24)))))))))))))</f>
        <v>0</v>
      </c>
      <c r="L62" s="3" t="n">
        <v>18</v>
      </c>
      <c r="M62" s="3" t="n">
        <f aca="false">_xlfn.IFS(K62="взв",11,K62="накл",24,K62="прокл",25,K62="пт",26,K62=90,10,K62=85,10,K62=80,9,K62=75,8,K62=70,8,K62=65,7,K62=60,7,K62=55,6,K62=50,6,K62=45,6,K62=40,5,K62=35,4,K62=30,4,K62=25,3,K62=20,2,K62=15,1,K62=10,1,K62=0,0)</f>
        <v>0</v>
      </c>
      <c r="N62" s="3" t="n">
        <f aca="false">IF(L62&lt;=1,0,IF(L62&lt;=10,11,IF(L62&lt;=14,12,IF(L62&lt;=17,13,IF(L62&lt;=20,14,IF(L62&lt;=22,15,IF(L62&lt;=25,16,IF(L62&lt;=27,17,IF(L62&lt;=29,18,IF(L62&lt;=32,19,IF(L62&lt;=34,20,IF(L62&lt;=36,21,IF(L62&lt;=40,22,24)))))))))))))</f>
        <v>14</v>
      </c>
      <c r="P62" s="3" t="n">
        <v>21</v>
      </c>
      <c r="Q62" s="3" t="n">
        <f aca="false">_xlfn.IFS(O62="взв",11,O62="накл",24,O62="прокл",25,O62="пт",26,O62=90,10,O62=85,10,O62=80,9,O62=75,8,O62=70,8,O62=65,7,O62=60,7,O62=55,6,O62=50,6,O62=45,6,O62=40,5,O62=35,4,O62=30,4,O62=25,3,O62=20,2,O62=15,1,O62=10,1,O62=0,0)</f>
        <v>0</v>
      </c>
      <c r="R62" s="3" t="n">
        <f aca="false">IF(P62&lt;=1,0,IF(P62&lt;=10,11,IF(P62&lt;=14,12,IF(P62&lt;=17,13,IF(P62&lt;=20,14,IF(P62&lt;=22,15,IF(P62&lt;=25,16,IF(P62&lt;=27,17,IF(P62&lt;=29,18,IF(P62&lt;=32,19,IF(P62&lt;=34,20,IF(P62&lt;=36,21,IF(P62&lt;=40,22,24)))))))))))))</f>
        <v>15</v>
      </c>
      <c r="S62" s="14" t="n">
        <f aca="false">ROUND((Q62+R62+I62+J62+M62+N62)/3,0)</f>
        <v>13</v>
      </c>
      <c r="T62" s="15" t="n">
        <f aca="false">F62*LOG10(S62+2)</f>
        <v>4.70436503622273</v>
      </c>
    </row>
    <row r="63" customFormat="false" ht="14.65" hidden="false" customHeight="true" outlineLevel="0" collapsed="false">
      <c r="A63" s="12" t="s">
        <v>92</v>
      </c>
      <c r="B63" s="13" t="n">
        <v>38886</v>
      </c>
      <c r="C63" s="3" t="s">
        <v>24</v>
      </c>
      <c r="D63" s="4" t="s">
        <v>54</v>
      </c>
      <c r="E63" s="3" t="n">
        <v>2</v>
      </c>
      <c r="F63" s="3" t="n">
        <v>4</v>
      </c>
      <c r="H63" s="3" t="n">
        <v>20</v>
      </c>
      <c r="I63" s="3" t="n">
        <f aca="false">_xlfn.IFS(G63="взв",11,G63="накл",24,G63="прокл",25,G63="пт",26,G63=90,10,G63=85,10,G63=80,9,G63=75,8,G63=70,8,G63=65,7,G63=60,7,G63=55,6,G63=50,6,G63=45,6,G63=40,5,G63=35,4,G63=30,4,G63=25,3,G63=20,2,G63=15,1,G63=10,1,G63=0,0)</f>
        <v>0</v>
      </c>
      <c r="J63" s="3" t="n">
        <f aca="false">IF(H63&lt;=1,0,IF(H63&lt;=10,11,IF(H63&lt;=14,12,IF(H63&lt;=17,13,IF(H63&lt;=20,14,IF(H63&lt;=22,15,IF(H63&lt;=25,16,IF(H63&lt;=27,17,IF(H63&lt;=29,18,IF(H63&lt;=32,19,IF(H63&lt;=34,20,IF(H63&lt;=36,21,IF(H63&lt;=40,22,24)))))))))))))</f>
        <v>14</v>
      </c>
      <c r="L63" s="3" t="n">
        <v>27</v>
      </c>
      <c r="M63" s="3" t="n">
        <f aca="false">_xlfn.IFS(K63="взв",11,K63="накл",24,K63="прокл",25,K63="пт",26,K63=90,10,K63=85,10,K63=80,9,K63=75,8,K63=70,8,K63=65,7,K63=60,7,K63=55,6,K63=50,6,K63=45,6,K63=40,5,K63=35,4,K63=30,4,K63=25,3,K63=20,2,K63=15,1,K63=10,1,K63=0,0)</f>
        <v>0</v>
      </c>
      <c r="N63" s="3" t="n">
        <f aca="false">IF(L63&lt;=1,0,IF(L63&lt;=10,11,IF(L63&lt;=14,12,IF(L63&lt;=17,13,IF(L63&lt;=20,14,IF(L63&lt;=22,15,IF(L63&lt;=25,16,IF(L63&lt;=27,17,IF(L63&lt;=29,18,IF(L63&lt;=32,19,IF(L63&lt;=34,20,IF(L63&lt;=36,21,IF(L63&lt;=40,22,24)))))))))))))</f>
        <v>17</v>
      </c>
      <c r="Q63" s="3" t="n">
        <f aca="false">_xlfn.IFS(O63="взв",11,O63="накл",24,O63="прокл",25,O63="пт",26,O63=90,10,O63=85,10,O63=80,9,O63=75,8,O63=70,8,O63=65,7,O63=60,7,O63=55,6,O63=50,6,O63=45,6,O63=40,5,O63=35,4,O63=30,4,O63=25,3,O63=20,2,O63=15,1,O63=10,1,O63=0,0)</f>
        <v>0</v>
      </c>
      <c r="R63" s="3" t="n">
        <f aca="false">IF(P63&lt;=1,0,IF(P63&lt;=10,11,IF(P63&lt;=14,12,IF(P63&lt;=17,13,IF(P63&lt;=20,14,IF(P63&lt;=22,15,IF(P63&lt;=25,16,IF(P63&lt;=27,17,IF(P63&lt;=29,18,IF(P63&lt;=32,19,IF(P63&lt;=34,20,IF(P63&lt;=36,21,IF(P63&lt;=40,22,24)))))))))))))</f>
        <v>0</v>
      </c>
      <c r="S63" s="14" t="n">
        <f aca="false">ROUND((Q63+R63+I63+J63+M63+N63)/2,0)</f>
        <v>16</v>
      </c>
      <c r="T63" s="15" t="n">
        <f aca="false">F63*LOG10(S63+2)</f>
        <v>5.02109002041322</v>
      </c>
    </row>
    <row r="64" customFormat="false" ht="14.65" hidden="false" customHeight="true" outlineLevel="0" collapsed="false">
      <c r="A64" s="12" t="s">
        <v>93</v>
      </c>
      <c r="B64" s="13" t="n">
        <v>38886</v>
      </c>
      <c r="C64" s="3" t="s">
        <v>24</v>
      </c>
      <c r="D64" s="4" t="s">
        <v>54</v>
      </c>
      <c r="E64" s="3" t="n">
        <v>6</v>
      </c>
      <c r="F64" s="3" t="n">
        <v>5</v>
      </c>
      <c r="H64" s="3" t="n">
        <v>35</v>
      </c>
      <c r="I64" s="3" t="n">
        <f aca="false">_xlfn.IFS(G64="взв",11,G64="накл",24,G64="прокл",25,G64="пт",26,G64=90,10,G64=85,10,G64=80,9,G64=75,8,G64=70,8,G64=65,7,G64=60,7,G64=55,6,G64=50,6,G64=45,6,G64=40,5,G64=35,4,G64=30,4,G64=25,3,G64=20,2,G64=15,1,G64=10,1,G64=0,0)</f>
        <v>0</v>
      </c>
      <c r="J64" s="3" t="n">
        <f aca="false">IF(H64&lt;=1,0,IF(H64&lt;=10,11,IF(H64&lt;=14,12,IF(H64&lt;=17,13,IF(H64&lt;=20,14,IF(H64&lt;=22,15,IF(H64&lt;=25,16,IF(H64&lt;=27,17,IF(H64&lt;=29,18,IF(H64&lt;=32,19,IF(H64&lt;=34,20,IF(H64&lt;=36,21,IF(H64&lt;=40,22,24)))))))))))))</f>
        <v>21</v>
      </c>
      <c r="L64" s="3" t="n">
        <v>37</v>
      </c>
      <c r="M64" s="3" t="n">
        <f aca="false">_xlfn.IFS(K64="взв",11,K64="накл",24,K64="прокл",25,K64="пт",26,K64=90,10,K64=85,10,K64=80,9,K64=75,8,K64=70,8,K64=65,7,K64=60,7,K64=55,6,K64=50,6,K64=45,6,K64=40,5,K64=35,4,K64=30,4,K64=25,3,K64=20,2,K64=15,1,K64=10,1,K64=0,0)</f>
        <v>0</v>
      </c>
      <c r="N64" s="3" t="n">
        <f aca="false">IF(L64&lt;=1,0,IF(L64&lt;=10,11,IF(L64&lt;=14,12,IF(L64&lt;=17,13,IF(L64&lt;=20,14,IF(L64&lt;=22,15,IF(L64&lt;=25,16,IF(L64&lt;=27,17,IF(L64&lt;=29,18,IF(L64&lt;=32,19,IF(L64&lt;=34,20,IF(L64&lt;=36,21,IF(L64&lt;=40,22,24)))))))))))))</f>
        <v>22</v>
      </c>
      <c r="P64" s="3" t="n">
        <v>41</v>
      </c>
      <c r="Q64" s="3" t="n">
        <f aca="false">_xlfn.IFS(O64="взв",11,O64="накл",24,O64="прокл",25,O64="пт",26,O64=90,10,O64=85,10,O64=80,9,O64=75,8,O64=70,8,O64=65,7,O64=60,7,O64=55,6,O64=50,6,O64=45,6,O64=40,5,O64=35,4,O64=30,4,O64=25,3,O64=20,2,O64=15,1,O64=10,1,O64=0,0)</f>
        <v>0</v>
      </c>
      <c r="R64" s="3" t="n">
        <f aca="false">IF(P64&lt;=1,0,IF(P64&lt;=10,11,IF(P64&lt;=14,12,IF(P64&lt;=17,13,IF(P64&lt;=20,14,IF(P64&lt;=22,15,IF(P64&lt;=25,16,IF(P64&lt;=27,17,IF(P64&lt;=29,18,IF(P64&lt;=32,19,IF(P64&lt;=34,20,IF(P64&lt;=36,21,IF(P64&lt;=40,22,24)))))))))))))</f>
        <v>24</v>
      </c>
      <c r="S64" s="14" t="n">
        <f aca="false">ROUND((Q64+R64+I64+J64+M64+N64)/3,0)</f>
        <v>22</v>
      </c>
      <c r="T64" s="15" t="n">
        <f aca="false">F64*LOG10(S64+2)</f>
        <v>6.90105620855803</v>
      </c>
    </row>
    <row r="65" customFormat="false" ht="14.65" hidden="false" customHeight="true" outlineLevel="0" collapsed="false">
      <c r="A65" s="12" t="s">
        <v>94</v>
      </c>
      <c r="B65" s="13" t="n">
        <v>38886</v>
      </c>
      <c r="C65" s="3" t="s">
        <v>24</v>
      </c>
      <c r="D65" s="4" t="s">
        <v>54</v>
      </c>
      <c r="E65" s="3" t="n">
        <v>6</v>
      </c>
      <c r="F65" s="3" t="n">
        <v>5</v>
      </c>
      <c r="H65" s="3" t="n">
        <v>23</v>
      </c>
      <c r="I65" s="3" t="n">
        <f aca="false">_xlfn.IFS(G65="взв",11,G65="накл",24,G65="прокл",25,G65="пт",26,G65=90,10,G65=85,10,G65=80,9,G65=75,8,G65=70,8,G65=65,7,G65=60,7,G65=55,6,G65=50,6,G65=45,6,G65=40,5,G65=35,4,G65=30,4,G65=25,3,G65=20,2,G65=15,1,G65=10,1,G65=0,0)</f>
        <v>0</v>
      </c>
      <c r="J65" s="3" t="n">
        <f aca="false">IF(H65&lt;=1,0,IF(H65&lt;=10,11,IF(H65&lt;=14,12,IF(H65&lt;=17,13,IF(H65&lt;=20,14,IF(H65&lt;=22,15,IF(H65&lt;=25,16,IF(H65&lt;=27,17,IF(H65&lt;=29,18,IF(H65&lt;=32,19,IF(H65&lt;=34,20,IF(H65&lt;=36,21,IF(H65&lt;=40,22,24)))))))))))))</f>
        <v>16</v>
      </c>
      <c r="L65" s="3" t="n">
        <v>28</v>
      </c>
      <c r="M65" s="3" t="n">
        <f aca="false">_xlfn.IFS(K65="взв",11,K65="накл",24,K65="прокл",25,K65="пт",26,K65=90,10,K65=85,10,K65=80,9,K65=75,8,K65=70,8,K65=65,7,K65=60,7,K65=55,6,K65=50,6,K65=45,6,K65=40,5,K65=35,4,K65=30,4,K65=25,3,K65=20,2,K65=15,1,K65=10,1,K65=0,0)</f>
        <v>0</v>
      </c>
      <c r="N65" s="3" t="n">
        <f aca="false">IF(L65&lt;=1,0,IF(L65&lt;=10,11,IF(L65&lt;=14,12,IF(L65&lt;=17,13,IF(L65&lt;=20,14,IF(L65&lt;=22,15,IF(L65&lt;=25,16,IF(L65&lt;=27,17,IF(L65&lt;=29,18,IF(L65&lt;=32,19,IF(L65&lt;=34,20,IF(L65&lt;=36,21,IF(L65&lt;=40,22,24)))))))))))))</f>
        <v>18</v>
      </c>
      <c r="P65" s="3" t="n">
        <v>26</v>
      </c>
      <c r="Q65" s="3" t="n">
        <f aca="false">_xlfn.IFS(O65="взв",11,O65="накл",24,O65="прокл",25,O65="пт",26,O65=90,10,O65=85,10,O65=80,9,O65=75,8,O65=70,8,O65=65,7,O65=60,7,O65=55,6,O65=50,6,O65=45,6,O65=40,5,O65=35,4,O65=30,4,O65=25,3,O65=20,2,O65=15,1,O65=10,1,O65=0,0)</f>
        <v>0</v>
      </c>
      <c r="R65" s="3" t="n">
        <f aca="false">IF(P65&lt;=1,0,IF(P65&lt;=10,11,IF(P65&lt;=14,12,IF(P65&lt;=17,13,IF(P65&lt;=20,14,IF(P65&lt;=22,15,IF(P65&lt;=25,16,IF(P65&lt;=27,17,IF(P65&lt;=29,18,IF(P65&lt;=32,19,IF(P65&lt;=34,20,IF(P65&lt;=36,21,IF(P65&lt;=40,22,24)))))))))))))</f>
        <v>17</v>
      </c>
      <c r="S65" s="14" t="n">
        <f aca="false">ROUND((Q65+R65+I65+J65+M65+N65)/3,0)</f>
        <v>17</v>
      </c>
      <c r="T65" s="15" t="n">
        <f aca="false">F65*LOG10(S65+2)</f>
        <v>6.39376800476414</v>
      </c>
    </row>
    <row r="66" customFormat="false" ht="14.65" hidden="false" customHeight="true" outlineLevel="0" collapsed="false">
      <c r="A66" s="12" t="s">
        <v>95</v>
      </c>
      <c r="B66" s="13" t="n">
        <v>38886</v>
      </c>
      <c r="C66" s="3" t="s">
        <v>24</v>
      </c>
      <c r="D66" s="4" t="s">
        <v>54</v>
      </c>
      <c r="E66" s="3" t="n">
        <v>5</v>
      </c>
      <c r="F66" s="3" t="n">
        <v>5</v>
      </c>
      <c r="G66" s="3" t="n">
        <v>90</v>
      </c>
      <c r="I66" s="3" t="n">
        <f aca="false">_xlfn.IFS(G66="взв",11,G66="накл",24,G66="прокл",25,G66="пт",26,G66=90,10,G66=85,10,G66=80,9,G66=75,8,G66=70,8,G66=65,7,G66=60,7,G66=55,6,G66=50,6,G66=45,6,G66=40,5,G66=35,4,G66=30,4,G66=25,3,G66=20,2,G66=15,1,G66=10,1,G66=0,0)</f>
        <v>10</v>
      </c>
      <c r="J66" s="3" t="n">
        <f aca="false">IF(H66&lt;=1,0,IF(H66&lt;=10,11,IF(H66&lt;=14,12,IF(H66&lt;=17,13,IF(H66&lt;=20,14,IF(H66&lt;=22,15,IF(H66&lt;=25,16,IF(H66&lt;=27,17,IF(H66&lt;=29,18,IF(H66&lt;=32,19,IF(H66&lt;=34,20,IF(H66&lt;=36,21,IF(H66&lt;=40,22,24)))))))))))))</f>
        <v>0</v>
      </c>
      <c r="K66" s="3" t="n">
        <v>90</v>
      </c>
      <c r="M66" s="3" t="n">
        <f aca="false">_xlfn.IFS(K66="взв",11,K66="накл",24,K66="прокл",25,K66="пт",26,K66=90,10,K66=85,10,K66=80,9,K66=75,8,K66=70,8,K66=65,7,K66=60,7,K66=55,6,K66=50,6,K66=45,6,K66=40,5,K66=35,4,K66=30,4,K66=25,3,K66=20,2,K66=15,1,K66=10,1,K66=0,0)</f>
        <v>10</v>
      </c>
      <c r="N66" s="3" t="n">
        <f aca="false">IF(L66&lt;=1,0,IF(L66&lt;=10,11,IF(L66&lt;=14,12,IF(L66&lt;=17,13,IF(L66&lt;=20,14,IF(L66&lt;=22,15,IF(L66&lt;=25,16,IF(L66&lt;=27,17,IF(L66&lt;=29,18,IF(L66&lt;=32,19,IF(L66&lt;=34,20,IF(L66&lt;=36,21,IF(L66&lt;=40,22,24)))))))))))))</f>
        <v>0</v>
      </c>
      <c r="O66" s="3" t="s">
        <v>50</v>
      </c>
      <c r="P66" s="0"/>
      <c r="Q66" s="3" t="n">
        <f aca="false">_xlfn.IFS(O66="взв",11,O66="накл",24,O66="прокл",25,O66="пт",26,O66=90,10,O66=85,10,O66=80,9,O66=75,8,O66=70,8,O66=65,7,O66=60,7,O66=55,6,O66=50,6,O66=45,6,O66=40,5,O66=35,4,O66=30,4,O66=25,3,O66=20,2,O66=15,1,O66=10,1,O66=0,0)</f>
        <v>11</v>
      </c>
      <c r="R66" s="3" t="n">
        <f aca="false">IF(P66&lt;=1,0,IF(P66&lt;=10,11,IF(P66&lt;=14,12,IF(P66&lt;=17,13,IF(P66&lt;=20,14,IF(P66&lt;=22,15,IF(P66&lt;=25,16,IF(P66&lt;=27,17,IF(P66&lt;=29,18,IF(P66&lt;=32,19,IF(P66&lt;=34,20,IF(P66&lt;=36,21,IF(P66&lt;=40,22,24)))))))))))))</f>
        <v>0</v>
      </c>
      <c r="S66" s="14" t="n">
        <f aca="false">ROUND((Q66+R66+I66+J66+M66+N66)/3,0)</f>
        <v>10</v>
      </c>
      <c r="T66" s="15" t="n">
        <f aca="false">F66*LOG10(S66+2)</f>
        <v>5.39590623023813</v>
      </c>
    </row>
    <row r="67" customFormat="false" ht="14.65" hidden="false" customHeight="true" outlineLevel="0" collapsed="false">
      <c r="A67" s="12" t="s">
        <v>96</v>
      </c>
      <c r="B67" s="13" t="n">
        <v>38886</v>
      </c>
      <c r="C67" s="3" t="s">
        <v>24</v>
      </c>
      <c r="D67" s="4" t="s">
        <v>54</v>
      </c>
      <c r="E67" s="3" t="s">
        <v>97</v>
      </c>
      <c r="F67" s="3" t="n">
        <v>5</v>
      </c>
      <c r="H67" s="3" t="n">
        <v>36</v>
      </c>
      <c r="I67" s="3" t="n">
        <f aca="false">_xlfn.IFS(G67="взв",11,G67="накл",24,G67="прокл",25,G67="пт",26,G67=90,10,G67=85,10,G67=80,9,G67=75,8,G67=70,8,G67=65,7,G67=60,7,G67=55,6,G67=50,6,G67=45,6,G67=40,5,G67=35,4,G67=30,4,G67=25,3,G67=20,2,G67=15,1,G67=10,1,G67=0,0)</f>
        <v>0</v>
      </c>
      <c r="J67" s="3" t="n">
        <f aca="false">IF(H67&lt;=1,0,IF(H67&lt;=10,11,IF(H67&lt;=14,12,IF(H67&lt;=17,13,IF(H67&lt;=20,14,IF(H67&lt;=22,15,IF(H67&lt;=25,16,IF(H67&lt;=27,17,IF(H67&lt;=29,18,IF(H67&lt;=32,19,IF(H67&lt;=34,20,IF(H67&lt;=36,21,IF(H67&lt;=40,22,24)))))))))))))</f>
        <v>21</v>
      </c>
      <c r="L67" s="3" t="n">
        <v>34</v>
      </c>
      <c r="M67" s="3" t="n">
        <f aca="false">_xlfn.IFS(K67="взв",11,K67="накл",24,K67="прокл",25,K67="пт",26,K67=90,10,K67=85,10,K67=80,9,K67=75,8,K67=70,8,K67=65,7,K67=60,7,K67=55,6,K67=50,6,K67=45,6,K67=40,5,K67=35,4,K67=30,4,K67=25,3,K67=20,2,K67=15,1,K67=10,1,K67=0,0)</f>
        <v>0</v>
      </c>
      <c r="N67" s="3" t="n">
        <f aca="false">IF(L67&lt;=1,0,IF(L67&lt;=10,11,IF(L67&lt;=14,12,IF(L67&lt;=17,13,IF(L67&lt;=20,14,IF(L67&lt;=22,15,IF(L67&lt;=25,16,IF(L67&lt;=27,17,IF(L67&lt;=29,18,IF(L67&lt;=32,19,IF(L67&lt;=34,20,IF(L67&lt;=36,21,IF(L67&lt;=40,22,24)))))))))))))</f>
        <v>20</v>
      </c>
      <c r="P67" s="3" t="n">
        <v>36</v>
      </c>
      <c r="Q67" s="3" t="n">
        <f aca="false">_xlfn.IFS(O67="взв",11,O67="накл",24,O67="прокл",25,O67="пт",26,O67=90,10,O67=85,10,O67=80,9,O67=75,8,O67=70,8,O67=65,7,O67=60,7,O67=55,6,O67=50,6,O67=45,6,O67=40,5,O67=35,4,O67=30,4,O67=25,3,O67=20,2,O67=15,1,O67=10,1,O67=0,0)</f>
        <v>0</v>
      </c>
      <c r="R67" s="3" t="n">
        <f aca="false">IF(P67&lt;=1,0,IF(P67&lt;=10,11,IF(P67&lt;=14,12,IF(P67&lt;=17,13,IF(P67&lt;=20,14,IF(P67&lt;=22,15,IF(P67&lt;=25,16,IF(P67&lt;=27,17,IF(P67&lt;=29,18,IF(P67&lt;=32,19,IF(P67&lt;=34,20,IF(P67&lt;=36,21,IF(P67&lt;=40,22,24)))))))))))))</f>
        <v>21</v>
      </c>
      <c r="S67" s="14" t="n">
        <f aca="false">ROUND((Q67+R67+I67+J67+M67+N67)/3,0)</f>
        <v>21</v>
      </c>
      <c r="T67" s="15" t="n">
        <f aca="false">F67*LOG10(S67+2)</f>
        <v>6.80863918008796</v>
      </c>
    </row>
    <row r="68" customFormat="false" ht="14.65" hidden="false" customHeight="true" outlineLevel="0" collapsed="false">
      <c r="A68" s="12" t="s">
        <v>98</v>
      </c>
      <c r="B68" s="13" t="n">
        <v>38886</v>
      </c>
      <c r="C68" s="3" t="s">
        <v>24</v>
      </c>
      <c r="D68" s="4" t="s">
        <v>54</v>
      </c>
      <c r="E68" s="3" t="n">
        <v>5</v>
      </c>
      <c r="F68" s="3" t="n">
        <v>5</v>
      </c>
      <c r="H68" s="3" t="n">
        <v>17</v>
      </c>
      <c r="I68" s="3" t="n">
        <f aca="false">_xlfn.IFS(G68="взв",11,G68="накл",24,G68="прокл",25,G68="пт",26,G68=90,10,G68=85,10,G68=80,9,G68=75,8,G68=70,8,G68=65,7,G68=60,7,G68=55,6,G68=50,6,G68=45,6,G68=40,5,G68=35,4,G68=30,4,G68=25,3,G68=20,2,G68=15,1,G68=10,1,G68=0,0)</f>
        <v>0</v>
      </c>
      <c r="J68" s="3" t="n">
        <f aca="false">IF(H68&lt;=1,0,IF(H68&lt;=10,11,IF(H68&lt;=14,12,IF(H68&lt;=17,13,IF(H68&lt;=20,14,IF(H68&lt;=22,15,IF(H68&lt;=25,16,IF(H68&lt;=27,17,IF(H68&lt;=29,18,IF(H68&lt;=32,19,IF(H68&lt;=34,20,IF(H68&lt;=36,21,IF(H68&lt;=40,22,24)))))))))))))</f>
        <v>13</v>
      </c>
      <c r="L68" s="3" t="n">
        <v>22</v>
      </c>
      <c r="M68" s="3" t="n">
        <f aca="false">_xlfn.IFS(K68="взв",11,K68="накл",24,K68="прокл",25,K68="пт",26,K68=90,10,K68=85,10,K68=80,9,K68=75,8,K68=70,8,K68=65,7,K68=60,7,K68=55,6,K68=50,6,K68=45,6,K68=40,5,K68=35,4,K68=30,4,K68=25,3,K68=20,2,K68=15,1,K68=10,1,K68=0,0)</f>
        <v>0</v>
      </c>
      <c r="N68" s="3" t="n">
        <f aca="false">IF(L68&lt;=1,0,IF(L68&lt;=10,11,IF(L68&lt;=14,12,IF(L68&lt;=17,13,IF(L68&lt;=20,14,IF(L68&lt;=22,15,IF(L68&lt;=25,16,IF(L68&lt;=27,17,IF(L68&lt;=29,18,IF(L68&lt;=32,19,IF(L68&lt;=34,20,IF(L68&lt;=36,21,IF(L68&lt;=40,22,24)))))))))))))</f>
        <v>15</v>
      </c>
      <c r="P68" s="3" t="n">
        <v>20</v>
      </c>
      <c r="Q68" s="3" t="n">
        <f aca="false">_xlfn.IFS(O68="взв",11,O68="накл",24,O68="прокл",25,O68="пт",26,O68=90,10,O68=85,10,O68=80,9,O68=75,8,O68=70,8,O68=65,7,O68=60,7,O68=55,6,O68=50,6,O68=45,6,O68=40,5,O68=35,4,O68=30,4,O68=25,3,O68=20,2,O68=15,1,O68=10,1,O68=0,0)</f>
        <v>0</v>
      </c>
      <c r="R68" s="3" t="n">
        <f aca="false">IF(P68&lt;=1,0,IF(P68&lt;=10,11,IF(P68&lt;=14,12,IF(P68&lt;=17,13,IF(P68&lt;=20,14,IF(P68&lt;=22,15,IF(P68&lt;=25,16,IF(P68&lt;=27,17,IF(P68&lt;=29,18,IF(P68&lt;=32,19,IF(P68&lt;=34,20,IF(P68&lt;=36,21,IF(P68&lt;=40,22,24)))))))))))))</f>
        <v>14</v>
      </c>
      <c r="S68" s="14" t="n">
        <f aca="false">ROUND((Q68+R68+I68+J68+M68+N68)/3,0)</f>
        <v>14</v>
      </c>
      <c r="T68" s="15" t="n">
        <f aca="false">F68*LOG10(S68+2)</f>
        <v>6.02059991327962</v>
      </c>
    </row>
    <row r="69" customFormat="false" ht="14.65" hidden="false" customHeight="true" outlineLevel="0" collapsed="false">
      <c r="A69" s="12" t="s">
        <v>99</v>
      </c>
      <c r="B69" s="13" t="n">
        <v>38886</v>
      </c>
      <c r="C69" s="3" t="s">
        <v>24</v>
      </c>
      <c r="D69" s="4" t="s">
        <v>54</v>
      </c>
      <c r="E69" s="3" t="n">
        <v>5</v>
      </c>
      <c r="F69" s="3" t="n">
        <v>5</v>
      </c>
      <c r="H69" s="3" t="n">
        <v>37</v>
      </c>
      <c r="I69" s="3" t="n">
        <f aca="false">_xlfn.IFS(G69="взв",11,G69="накл",24,G69="прокл",25,G69="пт",26,G69=90,10,G69=85,10,G69=80,9,G69=75,8,G69=70,8,G69=65,7,G69=60,7,G69=55,6,G69=50,6,G69=45,6,G69=40,5,G69=35,4,G69=30,4,G69=25,3,G69=20,2,G69=15,1,G69=10,1,G69=0,0)</f>
        <v>0</v>
      </c>
      <c r="J69" s="3" t="n">
        <f aca="false">IF(H69&lt;=1,0,IF(H69&lt;=10,11,IF(H69&lt;=14,12,IF(H69&lt;=17,13,IF(H69&lt;=20,14,IF(H69&lt;=22,15,IF(H69&lt;=25,16,IF(H69&lt;=27,17,IF(H69&lt;=29,18,IF(H69&lt;=32,19,IF(H69&lt;=34,20,IF(H69&lt;=36,21,IF(H69&lt;=40,22,24)))))))))))))</f>
        <v>22</v>
      </c>
      <c r="K69" s="3" t="s">
        <v>27</v>
      </c>
      <c r="L69" s="0"/>
      <c r="M69" s="3" t="n">
        <f aca="false">_xlfn.IFS(K69="взв",11,K69="накл",24,K69="прокл",25,K69="пт",26,K69=90,10,K69=85,10,K69=80,9,K69=75,8,K69=70,8,K69=65,7,K69=60,7,K69=55,6,K69=50,6,K69=45,6,K69=40,5,K69=35,4,K69=30,4,K69=25,3,K69=20,2,K69=15,1,K69=10,1,K69=0,0)</f>
        <v>24</v>
      </c>
      <c r="N69" s="3" t="n">
        <f aca="false">IF(L69&lt;=1,0,IF(L69&lt;=10,11,IF(L69&lt;=14,12,IF(L69&lt;=17,13,IF(L69&lt;=20,14,IF(L69&lt;=22,15,IF(L69&lt;=25,16,IF(L69&lt;=27,17,IF(L69&lt;=29,18,IF(L69&lt;=32,19,IF(L69&lt;=34,20,IF(L69&lt;=36,21,IF(L69&lt;=40,22,24)))))))))))))</f>
        <v>0</v>
      </c>
      <c r="Q69" s="3" t="n">
        <f aca="false">_xlfn.IFS(O69="взв",11,O69="накл",24,O69="прокл",25,O69="пт",26,O69=90,10,O69=85,10,O69=80,9,O69=75,8,O69=70,8,O69=65,7,O69=60,7,O69=55,6,O69=50,6,O69=45,6,O69=40,5,O69=35,4,O69=30,4,O69=25,3,O69=20,2,O69=15,1,O69=10,1,O69=0,0)</f>
        <v>0</v>
      </c>
      <c r="R69" s="3" t="n">
        <f aca="false">IF(P69&lt;=1,0,IF(P69&lt;=10,11,IF(P69&lt;=14,12,IF(P69&lt;=17,13,IF(P69&lt;=20,14,IF(P69&lt;=22,15,IF(P69&lt;=25,16,IF(P69&lt;=27,17,IF(P69&lt;=29,18,IF(P69&lt;=32,19,IF(P69&lt;=34,20,IF(P69&lt;=36,21,IF(P69&lt;=40,22,24)))))))))))))</f>
        <v>0</v>
      </c>
      <c r="S69" s="14" t="n">
        <f aca="false">ROUND((Q69+R69+I69+J69+M69+N69)/2,0)</f>
        <v>23</v>
      </c>
      <c r="T69" s="15" t="n">
        <f aca="false">F69*LOG10(S69+2)</f>
        <v>6.98970004336019</v>
      </c>
    </row>
    <row r="70" customFormat="false" ht="14.65" hidden="false" customHeight="true" outlineLevel="0" collapsed="false">
      <c r="A70" s="12" t="s">
        <v>100</v>
      </c>
      <c r="B70" s="13" t="n">
        <v>38886</v>
      </c>
      <c r="C70" s="3" t="s">
        <v>24</v>
      </c>
      <c r="D70" s="4" t="s">
        <v>54</v>
      </c>
      <c r="E70" s="3" t="n">
        <v>4</v>
      </c>
      <c r="F70" s="3" t="n">
        <v>6</v>
      </c>
      <c r="H70" s="3" t="n">
        <v>36</v>
      </c>
      <c r="I70" s="3" t="n">
        <f aca="false">_xlfn.IFS(G70="взв",11,G70="накл",24,G70="прокл",25,G70="пт",26,G70=90,10,G70=85,10,G70=80,9,G70=75,8,G70=70,8,G70=65,7,G70=60,7,G70=55,6,G70=50,6,G70=45,6,G70=40,5,G70=35,4,G70=30,4,G70=25,3,G70=20,2,G70=15,1,G70=10,1,G70=0,0)</f>
        <v>0</v>
      </c>
      <c r="J70" s="3" t="n">
        <f aca="false">IF(H70&lt;=1,0,IF(H70&lt;=10,11,IF(H70&lt;=14,12,IF(H70&lt;=17,13,IF(H70&lt;=20,14,IF(H70&lt;=22,15,IF(H70&lt;=25,16,IF(H70&lt;=27,17,IF(H70&lt;=29,18,IF(H70&lt;=32,19,IF(H70&lt;=34,20,IF(H70&lt;=36,21,IF(H70&lt;=40,22,24)))))))))))))</f>
        <v>21</v>
      </c>
      <c r="L70" s="3" t="n">
        <v>36</v>
      </c>
      <c r="M70" s="3" t="n">
        <f aca="false">_xlfn.IFS(K70="взв",11,K70="накл",24,K70="прокл",25,K70="пт",26,K70=90,10,K70=85,10,K70=80,9,K70=75,8,K70=70,8,K70=65,7,K70=60,7,K70=55,6,K70=50,6,K70=45,6,K70=40,5,K70=35,4,K70=30,4,K70=25,3,K70=20,2,K70=15,1,K70=10,1,K70=0,0)</f>
        <v>0</v>
      </c>
      <c r="N70" s="3" t="n">
        <f aca="false">IF(L70&lt;=1,0,IF(L70&lt;=10,11,IF(L70&lt;=14,12,IF(L70&lt;=17,13,IF(L70&lt;=20,14,IF(L70&lt;=22,15,IF(L70&lt;=25,16,IF(L70&lt;=27,17,IF(L70&lt;=29,18,IF(L70&lt;=32,19,IF(L70&lt;=34,20,IF(L70&lt;=36,21,IF(L70&lt;=40,22,24)))))))))))))</f>
        <v>21</v>
      </c>
      <c r="P70" s="3" t="n">
        <v>33</v>
      </c>
      <c r="Q70" s="3" t="n">
        <f aca="false">_xlfn.IFS(O70="взв",11,O70="накл",24,O70="прокл",25,O70="пт",26,O70=90,10,O70=85,10,O70=80,9,O70=75,8,O70=70,8,O70=65,7,O70=60,7,O70=55,6,O70=50,6,O70=45,6,O70=40,5,O70=35,4,O70=30,4,O70=25,3,O70=20,2,O70=15,1,O70=10,1,O70=0,0)</f>
        <v>0</v>
      </c>
      <c r="R70" s="3" t="n">
        <f aca="false">IF(P70&lt;=1,0,IF(P70&lt;=10,11,IF(P70&lt;=14,12,IF(P70&lt;=17,13,IF(P70&lt;=20,14,IF(P70&lt;=22,15,IF(P70&lt;=25,16,IF(P70&lt;=27,17,IF(P70&lt;=29,18,IF(P70&lt;=32,19,IF(P70&lt;=34,20,IF(P70&lt;=36,21,IF(P70&lt;=40,22,24)))))))))))))</f>
        <v>20</v>
      </c>
      <c r="S70" s="14" t="n">
        <f aca="false">ROUND((Q70+R70+I70+J70+M70+N70)/3,0)</f>
        <v>21</v>
      </c>
      <c r="T70" s="15" t="n">
        <f aca="false">F70*LOG10(S70+2)</f>
        <v>8.17036701610556</v>
      </c>
    </row>
    <row r="71" customFormat="false" ht="14.65" hidden="false" customHeight="true" outlineLevel="0" collapsed="false">
      <c r="A71" s="12" t="s">
        <v>101</v>
      </c>
      <c r="B71" s="13" t="n">
        <v>38886</v>
      </c>
      <c r="C71" s="3" t="s">
        <v>24</v>
      </c>
      <c r="D71" s="4" t="s">
        <v>54</v>
      </c>
      <c r="E71" s="3" t="n">
        <v>4</v>
      </c>
      <c r="F71" s="3" t="n">
        <v>6</v>
      </c>
      <c r="G71" s="3" t="n">
        <v>60</v>
      </c>
      <c r="I71" s="3" t="n">
        <f aca="false">_xlfn.IFS(G71="взв",11,G71="накл",24,G71="прокл",25,G71="пт",26,G71=90,10,G71=85,10,G71=80,9,G71=75,8,G71=70,8,G71=65,7,G71=60,7,G71=55,6,G71=50,6,G71=45,6,G71=40,5,G71=35,4,G71=30,4,G71=25,3,G71=20,2,G71=15,1,G71=10,1,G71=0,0)</f>
        <v>7</v>
      </c>
      <c r="J71" s="3" t="n">
        <f aca="false">IF(H71&lt;=1,0,IF(H71&lt;=10,11,IF(H71&lt;=14,12,IF(H71&lt;=17,13,IF(H71&lt;=20,14,IF(H71&lt;=22,15,IF(H71&lt;=25,16,IF(H71&lt;=27,17,IF(H71&lt;=29,18,IF(H71&lt;=32,19,IF(H71&lt;=34,20,IF(H71&lt;=36,21,IF(H71&lt;=40,22,24)))))))))))))</f>
        <v>0</v>
      </c>
      <c r="K71" s="3" t="n">
        <v>45</v>
      </c>
      <c r="M71" s="3" t="n">
        <f aca="false">_xlfn.IFS(K71="взв",11,K71="накл",24,K71="прокл",25,K71="пт",26,K71=90,10,K71=85,10,K71=80,9,K71=75,8,K71=70,8,K71=65,7,K71=60,7,K71=55,6,K71=50,6,K71=45,6,K71=40,5,K71=35,4,K71=30,4,K71=25,3,K71=20,2,K71=15,1,K71=10,1,K71=0,0)</f>
        <v>6</v>
      </c>
      <c r="N71" s="3" t="n">
        <f aca="false">IF(L71&lt;=1,0,IF(L71&lt;=10,11,IF(L71&lt;=14,12,IF(L71&lt;=17,13,IF(L71&lt;=20,14,IF(L71&lt;=22,15,IF(L71&lt;=25,16,IF(L71&lt;=27,17,IF(L71&lt;=29,18,IF(L71&lt;=32,19,IF(L71&lt;=34,20,IF(L71&lt;=36,21,IF(L71&lt;=40,22,24)))))))))))))</f>
        <v>0</v>
      </c>
      <c r="O71" s="3" t="n">
        <v>45</v>
      </c>
      <c r="Q71" s="3" t="n">
        <f aca="false">_xlfn.IFS(O71="взв",11,O71="накл",24,O71="прокл",25,O71="пт",26,O71=90,10,O71=85,10,O71=80,9,O71=75,8,O71=70,8,O71=65,7,O71=60,7,O71=55,6,O71=50,6,O71=45,6,O71=40,5,O71=35,4,O71=30,4,O71=25,3,O71=20,2,O71=15,1,O71=10,1,O71=0,0)</f>
        <v>6</v>
      </c>
      <c r="R71" s="3" t="n">
        <f aca="false">IF(P71&lt;=1,0,IF(P71&lt;=10,11,IF(P71&lt;=14,12,IF(P71&lt;=17,13,IF(P71&lt;=20,14,IF(P71&lt;=22,15,IF(P71&lt;=25,16,IF(P71&lt;=27,17,IF(P71&lt;=29,18,IF(P71&lt;=32,19,IF(P71&lt;=34,20,IF(P71&lt;=36,21,IF(P71&lt;=40,22,24)))))))))))))</f>
        <v>0</v>
      </c>
      <c r="S71" s="14" t="n">
        <f aca="false">ROUND((Q71+R71+I71+J71+M71+N71)/3,0)</f>
        <v>6</v>
      </c>
      <c r="T71" s="15" t="n">
        <f aca="false">F71*LOG10(S71+2)</f>
        <v>5.41853992195166</v>
      </c>
    </row>
    <row r="72" customFormat="false" ht="14.65" hidden="false" customHeight="true" outlineLevel="0" collapsed="false">
      <c r="A72" s="12" t="s">
        <v>102</v>
      </c>
      <c r="B72" s="13" t="n">
        <v>38886</v>
      </c>
      <c r="C72" s="3" t="s">
        <v>24</v>
      </c>
      <c r="D72" s="4" t="s">
        <v>54</v>
      </c>
      <c r="E72" s="3" t="n">
        <v>6</v>
      </c>
      <c r="F72" s="3" t="n">
        <v>6</v>
      </c>
      <c r="H72" s="3" t="n">
        <v>33</v>
      </c>
      <c r="I72" s="3" t="n">
        <f aca="false">_xlfn.IFS(G72="взв",11,G72="накл",24,G72="прокл",25,G72="пт",26,G72=90,10,G72=85,10,G72=80,9,G72=75,8,G72=70,8,G72=65,7,G72=60,7,G72=55,6,G72=50,6,G72=45,6,G72=40,5,G72=35,4,G72=30,4,G72=25,3,G72=20,2,G72=15,1,G72=10,1,G72=0,0)</f>
        <v>0</v>
      </c>
      <c r="J72" s="3" t="n">
        <f aca="false">IF(H72&lt;=1,0,IF(H72&lt;=10,11,IF(H72&lt;=14,12,IF(H72&lt;=17,13,IF(H72&lt;=20,14,IF(H72&lt;=22,15,IF(H72&lt;=25,16,IF(H72&lt;=27,17,IF(H72&lt;=29,18,IF(H72&lt;=32,19,IF(H72&lt;=34,20,IF(H72&lt;=36,21,IF(H72&lt;=40,22,24)))))))))))))</f>
        <v>20</v>
      </c>
      <c r="L72" s="3" t="n">
        <v>32</v>
      </c>
      <c r="M72" s="3" t="n">
        <f aca="false">_xlfn.IFS(K72="взв",11,K72="накл",24,K72="прокл",25,K72="пт",26,K72=90,10,K72=85,10,K72=80,9,K72=75,8,K72=70,8,K72=65,7,K72=60,7,K72=55,6,K72=50,6,K72=45,6,K72=40,5,K72=35,4,K72=30,4,K72=25,3,K72=20,2,K72=15,1,K72=10,1,K72=0,0)</f>
        <v>0</v>
      </c>
      <c r="N72" s="3" t="n">
        <f aca="false">IF(L72&lt;=1,0,IF(L72&lt;=10,11,IF(L72&lt;=14,12,IF(L72&lt;=17,13,IF(L72&lt;=20,14,IF(L72&lt;=22,15,IF(L72&lt;=25,16,IF(L72&lt;=27,17,IF(L72&lt;=29,18,IF(L72&lt;=32,19,IF(L72&lt;=34,20,IF(L72&lt;=36,21,IF(L72&lt;=40,22,24)))))))))))))</f>
        <v>19</v>
      </c>
      <c r="P72" s="3" t="n">
        <v>35</v>
      </c>
      <c r="Q72" s="3" t="n">
        <f aca="false">_xlfn.IFS(O72="взв",11,O72="накл",24,O72="прокл",25,O72="пт",26,O72=90,10,O72=85,10,O72=80,9,O72=75,8,O72=70,8,O72=65,7,O72=60,7,O72=55,6,O72=50,6,O72=45,6,O72=40,5,O72=35,4,O72=30,4,O72=25,3,O72=20,2,O72=15,1,O72=10,1,O72=0,0)</f>
        <v>0</v>
      </c>
      <c r="R72" s="3" t="n">
        <f aca="false">IF(P72&lt;=1,0,IF(P72&lt;=10,11,IF(P72&lt;=14,12,IF(P72&lt;=17,13,IF(P72&lt;=20,14,IF(P72&lt;=22,15,IF(P72&lt;=25,16,IF(P72&lt;=27,17,IF(P72&lt;=29,18,IF(P72&lt;=32,19,IF(P72&lt;=34,20,IF(P72&lt;=36,21,IF(P72&lt;=40,22,24)))))))))))))</f>
        <v>21</v>
      </c>
      <c r="S72" s="14" t="n">
        <f aca="false">ROUND((Q72+R72+I72+J72+M72+N72)/3,0)</f>
        <v>20</v>
      </c>
      <c r="T72" s="15" t="n">
        <f aca="false">F72*LOG10(S72+2)</f>
        <v>8.05453608493324</v>
      </c>
    </row>
    <row r="73" customFormat="false" ht="14.65" hidden="false" customHeight="true" outlineLevel="0" collapsed="false">
      <c r="A73" s="12" t="s">
        <v>103</v>
      </c>
      <c r="B73" s="13" t="n">
        <v>38886</v>
      </c>
      <c r="C73" s="3" t="s">
        <v>24</v>
      </c>
      <c r="D73" s="4" t="s">
        <v>54</v>
      </c>
      <c r="E73" s="3" t="n">
        <v>4</v>
      </c>
      <c r="F73" s="3" t="n">
        <v>7</v>
      </c>
      <c r="G73" s="3" t="s">
        <v>38</v>
      </c>
      <c r="I73" s="3" t="n">
        <f aca="false">_xlfn.IFS(G73="взв",11,G73="накл",24,G73="прокл",25,G73="пт",26,G73=90,10,G73=85,10,G73=80,9,G73=75,8,G73=70,8,G73=65,7,G73=60,7,G73=55,6,G73=50,6,G73=45,6,G73=40,5,G73=35,4,G73=30,4,G73=25,3,G73=20,2,G73=15,1,G73=10,1,G73=0,0)</f>
        <v>26</v>
      </c>
      <c r="J73" s="3" t="n">
        <f aca="false">IF(H73&lt;=1,0,IF(H73&lt;=10,11,IF(H73&lt;=14,12,IF(H73&lt;=17,13,IF(H73&lt;=20,14,IF(H73&lt;=22,15,IF(H73&lt;=25,16,IF(H73&lt;=27,17,IF(H73&lt;=29,18,IF(H73&lt;=32,19,IF(H73&lt;=34,20,IF(H73&lt;=36,21,IF(H73&lt;=40,22,24)))))))))))))</f>
        <v>0</v>
      </c>
      <c r="K73" s="3" t="s">
        <v>38</v>
      </c>
      <c r="M73" s="3" t="n">
        <f aca="false">_xlfn.IFS(K73="взв",11,K73="накл",24,K73="прокл",25,K73="пт",26,K73=90,10,K73=85,10,K73=80,9,K73=75,8,K73=70,8,K73=65,7,K73=60,7,K73=55,6,K73=50,6,K73=45,6,K73=40,5,K73=35,4,K73=30,4,K73=25,3,K73=20,2,K73=15,1,K73=10,1,K73=0,0)</f>
        <v>26</v>
      </c>
      <c r="N73" s="3" t="n">
        <f aca="false">IF(L73&lt;=1,0,IF(L73&lt;=10,11,IF(L73&lt;=14,12,IF(L73&lt;=17,13,IF(L73&lt;=20,14,IF(L73&lt;=22,15,IF(L73&lt;=25,16,IF(L73&lt;=27,17,IF(L73&lt;=29,18,IF(L73&lt;=32,19,IF(L73&lt;=34,20,IF(L73&lt;=36,21,IF(L73&lt;=40,22,24)))))))))))))</f>
        <v>0</v>
      </c>
      <c r="O73" s="3" t="s">
        <v>38</v>
      </c>
      <c r="Q73" s="3" t="n">
        <f aca="false">_xlfn.IFS(O73="взв",11,O73="накл",24,O73="прокл",25,O73="пт",26,O73=90,10,O73=85,10,O73=80,9,O73=75,8,O73=70,8,O73=65,7,O73=60,7,O73=55,6,O73=50,6,O73=45,6,O73=40,5,O73=35,4,O73=30,4,O73=25,3,O73=20,2,O73=15,1,O73=10,1,O73=0,0)</f>
        <v>26</v>
      </c>
      <c r="R73" s="3" t="n">
        <f aca="false">IF(P73&lt;=1,0,IF(P73&lt;=10,11,IF(P73&lt;=14,12,IF(P73&lt;=17,13,IF(P73&lt;=20,14,IF(P73&lt;=22,15,IF(P73&lt;=25,16,IF(P73&lt;=27,17,IF(P73&lt;=29,18,IF(P73&lt;=32,19,IF(P73&lt;=34,20,IF(P73&lt;=36,21,IF(P73&lt;=40,22,24)))))))))))))</f>
        <v>0</v>
      </c>
      <c r="S73" s="14" t="n">
        <f aca="false">ROUND((Q73+R73+I73+J73+M73+N73)/3,0)</f>
        <v>26</v>
      </c>
      <c r="T73" s="15" t="n">
        <f aca="false">F73*LOG10(S73+2)</f>
        <v>10.1301062193955</v>
      </c>
    </row>
    <row r="74" customFormat="false" ht="14.65" hidden="false" customHeight="true" outlineLevel="0" collapsed="false">
      <c r="A74" s="12" t="s">
        <v>104</v>
      </c>
      <c r="B74" s="13" t="n">
        <v>38886</v>
      </c>
      <c r="C74" s="3" t="s">
        <v>24</v>
      </c>
      <c r="D74" s="4" t="s">
        <v>54</v>
      </c>
      <c r="E74" s="3" t="n">
        <v>5</v>
      </c>
      <c r="F74" s="3" t="n">
        <v>7</v>
      </c>
      <c r="H74" s="3" t="n">
        <v>22</v>
      </c>
      <c r="I74" s="3" t="n">
        <f aca="false">_xlfn.IFS(G74="взв",11,G74="накл",24,G74="прокл",25,G74="пт",26,G74=90,10,G74=85,10,G74=80,9,G74=75,8,G74=70,8,G74=65,7,G74=60,7,G74=55,6,G74=50,6,G74=45,6,G74=40,5,G74=35,4,G74=30,4,G74=25,3,G74=20,2,G74=15,1,G74=10,1,G74=0,0)</f>
        <v>0</v>
      </c>
      <c r="J74" s="3" t="n">
        <f aca="false">IF(H74&lt;=1,0,IF(H74&lt;=10,11,IF(H74&lt;=14,12,IF(H74&lt;=17,13,IF(H74&lt;=20,14,IF(H74&lt;=22,15,IF(H74&lt;=25,16,IF(H74&lt;=27,17,IF(H74&lt;=29,18,IF(H74&lt;=32,19,IF(H74&lt;=34,20,IF(H74&lt;=36,21,IF(H74&lt;=40,22,24)))))))))))))</f>
        <v>15</v>
      </c>
      <c r="L74" s="3" t="n">
        <v>21</v>
      </c>
      <c r="M74" s="3" t="n">
        <f aca="false">_xlfn.IFS(K74="взв",11,K74="накл",24,K74="прокл",25,K74="пт",26,K74=90,10,K74=85,10,K74=80,9,K74=75,8,K74=70,8,K74=65,7,K74=60,7,K74=55,6,K74=50,6,K74=45,6,K74=40,5,K74=35,4,K74=30,4,K74=25,3,K74=20,2,K74=15,1,K74=10,1,K74=0,0)</f>
        <v>0</v>
      </c>
      <c r="N74" s="3" t="n">
        <f aca="false">IF(L74&lt;=1,0,IF(L74&lt;=10,11,IF(L74&lt;=14,12,IF(L74&lt;=17,13,IF(L74&lt;=20,14,IF(L74&lt;=22,15,IF(L74&lt;=25,16,IF(L74&lt;=27,17,IF(L74&lt;=29,18,IF(L74&lt;=32,19,IF(L74&lt;=34,20,IF(L74&lt;=36,21,IF(L74&lt;=40,22,24)))))))))))))</f>
        <v>15</v>
      </c>
      <c r="P74" s="3" t="n">
        <v>23</v>
      </c>
      <c r="Q74" s="3" t="n">
        <f aca="false">_xlfn.IFS(O74="взв",11,O74="накл",24,O74="прокл",25,O74="пт",26,O74=90,10,O74=85,10,O74=80,9,O74=75,8,O74=70,8,O74=65,7,O74=60,7,O74=55,6,O74=50,6,O74=45,6,O74=40,5,O74=35,4,O74=30,4,O74=25,3,O74=20,2,O74=15,1,O74=10,1,O74=0,0)</f>
        <v>0</v>
      </c>
      <c r="R74" s="3" t="n">
        <f aca="false">IF(P74&lt;=1,0,IF(P74&lt;=10,11,IF(P74&lt;=14,12,IF(P74&lt;=17,13,IF(P74&lt;=20,14,IF(P74&lt;=22,15,IF(P74&lt;=25,16,IF(P74&lt;=27,17,IF(P74&lt;=29,18,IF(P74&lt;=32,19,IF(P74&lt;=34,20,IF(P74&lt;=36,21,IF(P74&lt;=40,22,24)))))))))))))</f>
        <v>16</v>
      </c>
      <c r="S74" s="14" t="n">
        <f aca="false">ROUND((Q74+R74+I74+J74+M74+N74)/3,0)</f>
        <v>15</v>
      </c>
      <c r="T74" s="15" t="n">
        <f aca="false">F74*LOG10(S74+2)</f>
        <v>8.61314244964792</v>
      </c>
    </row>
    <row r="75" customFormat="false" ht="14.65" hidden="false" customHeight="true" outlineLevel="0" collapsed="false">
      <c r="A75" s="12" t="s">
        <v>105</v>
      </c>
      <c r="B75" s="13" t="n">
        <v>38886</v>
      </c>
      <c r="C75" s="3" t="s">
        <v>24</v>
      </c>
      <c r="D75" s="4" t="s">
        <v>54</v>
      </c>
      <c r="E75" s="3" t="s">
        <v>97</v>
      </c>
      <c r="F75" s="3" t="n">
        <v>7</v>
      </c>
      <c r="H75" s="3" t="n">
        <v>35</v>
      </c>
      <c r="I75" s="3" t="n">
        <f aca="false">_xlfn.IFS(G75="взв",11,G75="накл",24,G75="прокл",25,G75="пт",26,G75=90,10,G75=85,10,G75=80,9,G75=75,8,G75=70,8,G75=65,7,G75=60,7,G75=55,6,G75=50,6,G75=45,6,G75=40,5,G75=35,4,G75=30,4,G75=25,3,G75=20,2,G75=15,1,G75=10,1,G75=0,0)</f>
        <v>0</v>
      </c>
      <c r="J75" s="3" t="n">
        <f aca="false">IF(H75&lt;=1,0,IF(H75&lt;=10,11,IF(H75&lt;=14,12,IF(H75&lt;=17,13,IF(H75&lt;=20,14,IF(H75&lt;=22,15,IF(H75&lt;=25,16,IF(H75&lt;=27,17,IF(H75&lt;=29,18,IF(H75&lt;=32,19,IF(H75&lt;=34,20,IF(H75&lt;=36,21,IF(H75&lt;=40,22,24)))))))))))))</f>
        <v>21</v>
      </c>
      <c r="L75" s="3" t="n">
        <v>34</v>
      </c>
      <c r="M75" s="3" t="n">
        <f aca="false">_xlfn.IFS(K75="взв",11,K75="накл",24,K75="прокл",25,K75="пт",26,K75=90,10,K75=85,10,K75=80,9,K75=75,8,K75=70,8,K75=65,7,K75=60,7,K75=55,6,K75=50,6,K75=45,6,K75=40,5,K75=35,4,K75=30,4,K75=25,3,K75=20,2,K75=15,1,K75=10,1,K75=0,0)</f>
        <v>0</v>
      </c>
      <c r="N75" s="3" t="n">
        <f aca="false">IF(L75&lt;=1,0,IF(L75&lt;=10,11,IF(L75&lt;=14,12,IF(L75&lt;=17,13,IF(L75&lt;=20,14,IF(L75&lt;=22,15,IF(L75&lt;=25,16,IF(L75&lt;=27,17,IF(L75&lt;=29,18,IF(L75&lt;=32,19,IF(L75&lt;=34,20,IF(L75&lt;=36,21,IF(L75&lt;=40,22,24)))))))))))))</f>
        <v>20</v>
      </c>
      <c r="Q75" s="3" t="n">
        <f aca="false">_xlfn.IFS(O75="взв",11,O75="накл",24,O75="прокл",25,O75="пт",26,O75=90,10,O75=85,10,O75=80,9,O75=75,8,O75=70,8,O75=65,7,O75=60,7,O75=55,6,O75=50,6,O75=45,6,O75=40,5,O75=35,4,O75=30,4,O75=25,3,O75=20,2,O75=15,1,O75=10,1,O75=0,0)</f>
        <v>0</v>
      </c>
      <c r="R75" s="3" t="n">
        <f aca="false">IF(P75&lt;=1,0,IF(P75&lt;=10,11,IF(P75&lt;=14,12,IF(P75&lt;=17,13,IF(P75&lt;=20,14,IF(P75&lt;=22,15,IF(P75&lt;=25,16,IF(P75&lt;=27,17,IF(P75&lt;=29,18,IF(P75&lt;=32,19,IF(P75&lt;=34,20,IF(P75&lt;=36,21,IF(P75&lt;=40,22,24)))))))))))))</f>
        <v>0</v>
      </c>
      <c r="S75" s="14" t="n">
        <f aca="false">ROUND((Q75+R75+I75+J75+M75+N75)/2,0)</f>
        <v>21</v>
      </c>
      <c r="T75" s="15" t="n">
        <f aca="false">F75*LOG10(S75+2)</f>
        <v>9.53209485212315</v>
      </c>
    </row>
    <row r="76" customFormat="false" ht="14.65" hidden="false" customHeight="true" outlineLevel="0" collapsed="false">
      <c r="A76" s="12" t="s">
        <v>106</v>
      </c>
      <c r="B76" s="13" t="n">
        <v>38886</v>
      </c>
      <c r="C76" s="3" t="s">
        <v>24</v>
      </c>
      <c r="D76" s="4" t="s">
        <v>54</v>
      </c>
      <c r="E76" s="3" t="n">
        <v>7</v>
      </c>
      <c r="F76" s="3" t="n">
        <v>7</v>
      </c>
      <c r="H76" s="3" t="n">
        <v>32</v>
      </c>
      <c r="I76" s="3" t="n">
        <f aca="false">_xlfn.IFS(G76="взв",11,G76="накл",24,G76="прокл",25,G76="пт",26,G76=90,10,G76=85,10,G76=80,9,G76=75,8,G76=70,8,G76=65,7,G76=60,7,G76=55,6,G76=50,6,G76=45,6,G76=40,5,G76=35,4,G76=30,4,G76=25,3,G76=20,2,G76=15,1,G76=10,1,G76=0,0)</f>
        <v>0</v>
      </c>
      <c r="J76" s="3" t="n">
        <f aca="false">IF(H76&lt;=1,0,IF(H76&lt;=10,11,IF(H76&lt;=14,12,IF(H76&lt;=17,13,IF(H76&lt;=20,14,IF(H76&lt;=22,15,IF(H76&lt;=25,16,IF(H76&lt;=27,17,IF(H76&lt;=29,18,IF(H76&lt;=32,19,IF(H76&lt;=34,20,IF(H76&lt;=36,21,IF(H76&lt;=40,22,24)))))))))))))</f>
        <v>19</v>
      </c>
      <c r="L76" s="3" t="n">
        <v>32</v>
      </c>
      <c r="M76" s="3" t="n">
        <f aca="false">_xlfn.IFS(K76="взв",11,K76="накл",24,K76="прокл",25,K76="пт",26,K76=90,10,K76=85,10,K76=80,9,K76=75,8,K76=70,8,K76=65,7,K76=60,7,K76=55,6,K76=50,6,K76=45,6,K76=40,5,K76=35,4,K76=30,4,K76=25,3,K76=20,2,K76=15,1,K76=10,1,K76=0,0)</f>
        <v>0</v>
      </c>
      <c r="N76" s="3" t="n">
        <f aca="false">IF(L76&lt;=1,0,IF(L76&lt;=10,11,IF(L76&lt;=14,12,IF(L76&lt;=17,13,IF(L76&lt;=20,14,IF(L76&lt;=22,15,IF(L76&lt;=25,16,IF(L76&lt;=27,17,IF(L76&lt;=29,18,IF(L76&lt;=32,19,IF(L76&lt;=34,20,IF(L76&lt;=36,21,IF(L76&lt;=40,22,24)))))))))))))</f>
        <v>19</v>
      </c>
      <c r="P76" s="3" t="n">
        <v>33</v>
      </c>
      <c r="Q76" s="3" t="n">
        <f aca="false">_xlfn.IFS(O76="взв",11,O76="накл",24,O76="прокл",25,O76="пт",26,O76=90,10,O76=85,10,O76=80,9,O76=75,8,O76=70,8,O76=65,7,O76=60,7,O76=55,6,O76=50,6,O76=45,6,O76=40,5,O76=35,4,O76=30,4,O76=25,3,O76=20,2,O76=15,1,O76=10,1,O76=0,0)</f>
        <v>0</v>
      </c>
      <c r="R76" s="3" t="n">
        <f aca="false">IF(P76&lt;=1,0,IF(P76&lt;=10,11,IF(P76&lt;=14,12,IF(P76&lt;=17,13,IF(P76&lt;=20,14,IF(P76&lt;=22,15,IF(P76&lt;=25,16,IF(P76&lt;=27,17,IF(P76&lt;=29,18,IF(P76&lt;=32,19,IF(P76&lt;=34,20,IF(P76&lt;=36,21,IF(P76&lt;=40,22,24)))))))))))))</f>
        <v>20</v>
      </c>
      <c r="S76" s="14" t="n">
        <f aca="false">ROUND((Q76+R76+I76+J76+M76+N76)/3,0)</f>
        <v>19</v>
      </c>
      <c r="T76" s="15" t="n">
        <f aca="false">F76*LOG10(S76+2)</f>
        <v>9.25553506313744</v>
      </c>
    </row>
    <row r="77" customFormat="false" ht="14.65" hidden="false" customHeight="true" outlineLevel="0" collapsed="false">
      <c r="A77" s="12" t="s">
        <v>107</v>
      </c>
      <c r="B77" s="13" t="n">
        <v>38886</v>
      </c>
      <c r="C77" s="3" t="s">
        <v>24</v>
      </c>
      <c r="D77" s="4" t="s">
        <v>54</v>
      </c>
      <c r="E77" s="3" t="n">
        <v>4</v>
      </c>
      <c r="F77" s="3" t="n">
        <v>8</v>
      </c>
      <c r="H77" s="3" t="n">
        <v>26</v>
      </c>
      <c r="I77" s="3" t="n">
        <f aca="false">_xlfn.IFS(G77="взв",11,G77="накл",24,G77="прокл",25,G77="пт",26,G77=90,10,G77=85,10,G77=80,9,G77=75,8,G77=70,8,G77=65,7,G77=60,7,G77=55,6,G77=50,6,G77=45,6,G77=40,5,G77=35,4,G77=30,4,G77=25,3,G77=20,2,G77=15,1,G77=10,1,G77=0,0)</f>
        <v>0</v>
      </c>
      <c r="J77" s="3" t="n">
        <f aca="false">IF(H77&lt;=1,0,IF(H77&lt;=10,11,IF(H77&lt;=14,12,IF(H77&lt;=17,13,IF(H77&lt;=20,14,IF(H77&lt;=22,15,IF(H77&lt;=25,16,IF(H77&lt;=27,17,IF(H77&lt;=29,18,IF(H77&lt;=32,19,IF(H77&lt;=34,20,IF(H77&lt;=36,21,IF(H77&lt;=40,22,24)))))))))))))</f>
        <v>17</v>
      </c>
      <c r="L77" s="3" t="n">
        <v>29</v>
      </c>
      <c r="M77" s="3" t="n">
        <f aca="false">_xlfn.IFS(K77="взв",11,K77="накл",24,K77="прокл",25,K77="пт",26,K77=90,10,K77=85,10,K77=80,9,K77=75,8,K77=70,8,K77=65,7,K77=60,7,K77=55,6,K77=50,6,K77=45,6,K77=40,5,K77=35,4,K77=30,4,K77=25,3,K77=20,2,K77=15,1,K77=10,1,K77=0,0)</f>
        <v>0</v>
      </c>
      <c r="N77" s="3" t="n">
        <f aca="false">IF(L77&lt;=1,0,IF(L77&lt;=10,11,IF(L77&lt;=14,12,IF(L77&lt;=17,13,IF(L77&lt;=20,14,IF(L77&lt;=22,15,IF(L77&lt;=25,16,IF(L77&lt;=27,17,IF(L77&lt;=29,18,IF(L77&lt;=32,19,IF(L77&lt;=34,20,IF(L77&lt;=36,21,IF(L77&lt;=40,22,24)))))))))))))</f>
        <v>18</v>
      </c>
      <c r="P77" s="3" t="n">
        <v>22</v>
      </c>
      <c r="Q77" s="3" t="n">
        <f aca="false">_xlfn.IFS(O77="взв",11,O77="накл",24,O77="прокл",25,O77="пт",26,O77=90,10,O77=85,10,O77=80,9,O77=75,8,O77=70,8,O77=65,7,O77=60,7,O77=55,6,O77=50,6,O77=45,6,O77=40,5,O77=35,4,O77=30,4,O77=25,3,O77=20,2,O77=15,1,O77=10,1,O77=0,0)</f>
        <v>0</v>
      </c>
      <c r="R77" s="3" t="n">
        <f aca="false">IF(P77&lt;=1,0,IF(P77&lt;=10,11,IF(P77&lt;=14,12,IF(P77&lt;=17,13,IF(P77&lt;=20,14,IF(P77&lt;=22,15,IF(P77&lt;=25,16,IF(P77&lt;=27,17,IF(P77&lt;=29,18,IF(P77&lt;=32,19,IF(P77&lt;=34,20,IF(P77&lt;=36,21,IF(P77&lt;=40,22,24)))))))))))))</f>
        <v>15</v>
      </c>
      <c r="S77" s="14" t="n">
        <f aca="false">ROUND((Q77+R77+I77+J77+M77+N77)/3,0)</f>
        <v>17</v>
      </c>
      <c r="T77" s="15" t="n">
        <f aca="false">F77*LOG10(S77+2)</f>
        <v>10.2300288076226</v>
      </c>
    </row>
    <row r="78" customFormat="false" ht="14.65" hidden="false" customHeight="true" outlineLevel="0" collapsed="false">
      <c r="A78" s="12" t="s">
        <v>108</v>
      </c>
      <c r="B78" s="13" t="n">
        <v>38886</v>
      </c>
      <c r="C78" s="3" t="s">
        <v>24</v>
      </c>
      <c r="D78" s="4" t="s">
        <v>54</v>
      </c>
      <c r="E78" s="3" t="n">
        <v>5</v>
      </c>
      <c r="F78" s="3" t="n">
        <v>8</v>
      </c>
      <c r="H78" s="3" t="n">
        <v>29</v>
      </c>
      <c r="I78" s="3" t="n">
        <f aca="false">_xlfn.IFS(G78="взв",11,G78="накл",24,G78="прокл",25,G78="пт",26,G78=90,10,G78=85,10,G78=80,9,G78=75,8,G78=70,8,G78=65,7,G78=60,7,G78=55,6,G78=50,6,G78=45,6,G78=40,5,G78=35,4,G78=30,4,G78=25,3,G78=20,2,G78=15,1,G78=10,1,G78=0,0)</f>
        <v>0</v>
      </c>
      <c r="J78" s="3" t="n">
        <f aca="false">IF(H78&lt;=1,0,IF(H78&lt;=10,11,IF(H78&lt;=14,12,IF(H78&lt;=17,13,IF(H78&lt;=20,14,IF(H78&lt;=22,15,IF(H78&lt;=25,16,IF(H78&lt;=27,17,IF(H78&lt;=29,18,IF(H78&lt;=32,19,IF(H78&lt;=34,20,IF(H78&lt;=36,21,IF(H78&lt;=40,22,24)))))))))))))</f>
        <v>18</v>
      </c>
      <c r="L78" s="3" t="n">
        <v>35</v>
      </c>
      <c r="M78" s="3" t="n">
        <f aca="false">_xlfn.IFS(K78="взв",11,K78="накл",24,K78="прокл",25,K78="пт",26,K78=90,10,K78=85,10,K78=80,9,K78=75,8,K78=70,8,K78=65,7,K78=60,7,K78=55,6,K78=50,6,K78=45,6,K78=40,5,K78=35,4,K78=30,4,K78=25,3,K78=20,2,K78=15,1,K78=10,1,K78=0,0)</f>
        <v>0</v>
      </c>
      <c r="N78" s="3" t="n">
        <f aca="false">IF(L78&lt;=1,0,IF(L78&lt;=10,11,IF(L78&lt;=14,12,IF(L78&lt;=17,13,IF(L78&lt;=20,14,IF(L78&lt;=22,15,IF(L78&lt;=25,16,IF(L78&lt;=27,17,IF(L78&lt;=29,18,IF(L78&lt;=32,19,IF(L78&lt;=34,20,IF(L78&lt;=36,21,IF(L78&lt;=40,22,24)))))))))))))</f>
        <v>21</v>
      </c>
      <c r="P78" s="3" t="n">
        <v>29</v>
      </c>
      <c r="Q78" s="3" t="n">
        <f aca="false">_xlfn.IFS(O78="взв",11,O78="накл",24,O78="прокл",25,O78="пт",26,O78=90,10,O78=85,10,O78=80,9,O78=75,8,O78=70,8,O78=65,7,O78=60,7,O78=55,6,O78=50,6,O78=45,6,O78=40,5,O78=35,4,O78=30,4,O78=25,3,O78=20,2,O78=15,1,O78=10,1,O78=0,0)</f>
        <v>0</v>
      </c>
      <c r="R78" s="3" t="n">
        <f aca="false">IF(P78&lt;=1,0,IF(P78&lt;=10,11,IF(P78&lt;=14,12,IF(P78&lt;=17,13,IF(P78&lt;=20,14,IF(P78&lt;=22,15,IF(P78&lt;=25,16,IF(P78&lt;=27,17,IF(P78&lt;=29,18,IF(P78&lt;=32,19,IF(P78&lt;=34,20,IF(P78&lt;=36,21,IF(P78&lt;=40,22,24)))))))))))))</f>
        <v>18</v>
      </c>
      <c r="S78" s="14" t="n">
        <f aca="false">ROUND((Q78+R78+I78+J78+M78+N78)/3,0)</f>
        <v>19</v>
      </c>
      <c r="T78" s="15" t="n">
        <f aca="false">F78*LOG10(S78+2)</f>
        <v>10.5777543578714</v>
      </c>
    </row>
    <row r="79" customFormat="false" ht="14.65" hidden="false" customHeight="true" outlineLevel="0" collapsed="false">
      <c r="A79" s="12" t="s">
        <v>109</v>
      </c>
      <c r="B79" s="13" t="n">
        <v>38886</v>
      </c>
      <c r="C79" s="3" t="s">
        <v>24</v>
      </c>
      <c r="D79" s="4" t="s">
        <v>54</v>
      </c>
      <c r="E79" s="3" t="n">
        <v>5</v>
      </c>
      <c r="F79" s="3" t="n">
        <v>8</v>
      </c>
      <c r="G79" s="3" t="s">
        <v>38</v>
      </c>
      <c r="I79" s="3" t="n">
        <f aca="false">_xlfn.IFS(G79="взв",11,G79="накл",24,G79="прокл",25,G79="пт",26,G79=90,10,G79=85,10,G79=80,9,G79=75,8,G79=70,8,G79=65,7,G79=60,7,G79=55,6,G79=50,6,G79=45,6,G79=40,5,G79=35,4,G79=30,4,G79=25,3,G79=20,2,G79=15,1,G79=10,1,G79=0,0)</f>
        <v>26</v>
      </c>
      <c r="J79" s="3" t="n">
        <f aca="false">IF(H79&lt;=1,0,IF(H79&lt;=10,11,IF(H79&lt;=14,12,IF(H79&lt;=17,13,IF(H79&lt;=20,14,IF(H79&lt;=22,15,IF(H79&lt;=25,16,IF(H79&lt;=27,17,IF(H79&lt;=29,18,IF(H79&lt;=32,19,IF(H79&lt;=34,20,IF(H79&lt;=36,21,IF(H79&lt;=40,22,24)))))))))))))</f>
        <v>0</v>
      </c>
      <c r="K79" s="3" t="s">
        <v>38</v>
      </c>
      <c r="M79" s="3" t="n">
        <f aca="false">_xlfn.IFS(K79="взв",11,K79="накл",24,K79="прокл",25,K79="пт",26,K79=90,10,K79=85,10,K79=80,9,K79=75,8,K79=70,8,K79=65,7,K79=60,7,K79=55,6,K79=50,6,K79=45,6,K79=40,5,K79=35,4,K79=30,4,K79=25,3,K79=20,2,K79=15,1,K79=10,1,K79=0,0)</f>
        <v>26</v>
      </c>
      <c r="N79" s="3" t="n">
        <f aca="false">IF(L79&lt;=1,0,IF(L79&lt;=10,11,IF(L79&lt;=14,12,IF(L79&lt;=17,13,IF(L79&lt;=20,14,IF(L79&lt;=22,15,IF(L79&lt;=25,16,IF(L79&lt;=27,17,IF(L79&lt;=29,18,IF(L79&lt;=32,19,IF(L79&lt;=34,20,IF(L79&lt;=36,21,IF(L79&lt;=40,22,24)))))))))))))</f>
        <v>0</v>
      </c>
      <c r="O79" s="3" t="s">
        <v>38</v>
      </c>
      <c r="Q79" s="3" t="n">
        <f aca="false">_xlfn.IFS(O79="взв",11,O79="накл",24,O79="прокл",25,O79="пт",26,O79=90,10,O79=85,10,O79=80,9,O79=75,8,O79=70,8,O79=65,7,O79=60,7,O79=55,6,O79=50,6,O79=45,6,O79=40,5,O79=35,4,O79=30,4,O79=25,3,O79=20,2,O79=15,1,O79=10,1,O79=0,0)</f>
        <v>26</v>
      </c>
      <c r="R79" s="3" t="n">
        <f aca="false">IF(P79&lt;=1,0,IF(P79&lt;=10,11,IF(P79&lt;=14,12,IF(P79&lt;=17,13,IF(P79&lt;=20,14,IF(P79&lt;=22,15,IF(P79&lt;=25,16,IF(P79&lt;=27,17,IF(P79&lt;=29,18,IF(P79&lt;=32,19,IF(P79&lt;=34,20,IF(P79&lt;=36,21,IF(P79&lt;=40,22,24)))))))))))))</f>
        <v>0</v>
      </c>
      <c r="S79" s="14" t="n">
        <f aca="false">ROUND((Q79+R79+I79+J79+M79+N79)/3,0)</f>
        <v>26</v>
      </c>
      <c r="T79" s="15" t="n">
        <f aca="false">F79*LOG10(S79+2)</f>
        <v>11.5772642507378</v>
      </c>
    </row>
    <row r="80" customFormat="false" ht="14.65" hidden="false" customHeight="true" outlineLevel="0" collapsed="false">
      <c r="A80" s="12" t="s">
        <v>110</v>
      </c>
      <c r="B80" s="13" t="n">
        <v>38886</v>
      </c>
      <c r="C80" s="3" t="s">
        <v>24</v>
      </c>
      <c r="D80" s="4" t="s">
        <v>54</v>
      </c>
      <c r="E80" s="3" t="n">
        <v>7</v>
      </c>
      <c r="F80" s="3" t="n">
        <v>8</v>
      </c>
      <c r="H80" s="3" t="n">
        <v>30</v>
      </c>
      <c r="I80" s="3" t="n">
        <f aca="false">_xlfn.IFS(G80="взв",11,G80="накл",24,G80="прокл",25,G80="пт",26,G80=90,10,G80=85,10,G80=80,9,G80=75,8,G80=70,8,G80=65,7,G80=60,7,G80=55,6,G80=50,6,G80=45,6,G80=40,5,G80=35,4,G80=30,4,G80=25,3,G80=20,2,G80=15,1,G80=10,1,G80=0,0)</f>
        <v>0</v>
      </c>
      <c r="J80" s="3" t="n">
        <f aca="false">IF(H80&lt;=1,0,IF(H80&lt;=10,11,IF(H80&lt;=14,12,IF(H80&lt;=17,13,IF(H80&lt;=20,14,IF(H80&lt;=22,15,IF(H80&lt;=25,16,IF(H80&lt;=27,17,IF(H80&lt;=29,18,IF(H80&lt;=32,19,IF(H80&lt;=34,20,IF(H80&lt;=36,21,IF(H80&lt;=40,22,24)))))))))))))</f>
        <v>19</v>
      </c>
      <c r="L80" s="3" t="n">
        <v>34</v>
      </c>
      <c r="M80" s="3" t="n">
        <f aca="false">_xlfn.IFS(K80="взв",11,K80="накл",24,K80="прокл",25,K80="пт",26,K80=90,10,K80=85,10,K80=80,9,K80=75,8,K80=70,8,K80=65,7,K80=60,7,K80=55,6,K80=50,6,K80=45,6,K80=40,5,K80=35,4,K80=30,4,K80=25,3,K80=20,2,K80=15,1,K80=10,1,K80=0,0)</f>
        <v>0</v>
      </c>
      <c r="N80" s="3" t="n">
        <f aca="false">IF(L80&lt;=1,0,IF(L80&lt;=10,11,IF(L80&lt;=14,12,IF(L80&lt;=17,13,IF(L80&lt;=20,14,IF(L80&lt;=22,15,IF(L80&lt;=25,16,IF(L80&lt;=27,17,IF(L80&lt;=29,18,IF(L80&lt;=32,19,IF(L80&lt;=34,20,IF(L80&lt;=36,21,IF(L80&lt;=40,22,24)))))))))))))</f>
        <v>20</v>
      </c>
      <c r="P80" s="3" t="n">
        <v>30</v>
      </c>
      <c r="Q80" s="3" t="n">
        <f aca="false">_xlfn.IFS(O80="взв",11,O80="накл",24,O80="прокл",25,O80="пт",26,O80=90,10,O80=85,10,O80=80,9,O80=75,8,O80=70,8,O80=65,7,O80=60,7,O80=55,6,O80=50,6,O80=45,6,O80=40,5,O80=35,4,O80=30,4,O80=25,3,O80=20,2,O80=15,1,O80=10,1,O80=0,0)</f>
        <v>0</v>
      </c>
      <c r="R80" s="3" t="n">
        <f aca="false">IF(P80&lt;=1,0,IF(P80&lt;=10,11,IF(P80&lt;=14,12,IF(P80&lt;=17,13,IF(P80&lt;=20,14,IF(P80&lt;=22,15,IF(P80&lt;=25,16,IF(P80&lt;=27,17,IF(P80&lt;=29,18,IF(P80&lt;=32,19,IF(P80&lt;=34,20,IF(P80&lt;=36,21,IF(P80&lt;=40,22,24)))))))))))))</f>
        <v>19</v>
      </c>
      <c r="S80" s="14" t="n">
        <f aca="false">ROUND((Q80+R80+I80+J80+M80+N80)/3,0)</f>
        <v>19</v>
      </c>
      <c r="T80" s="15" t="n">
        <f aca="false">F80*LOG10(S80+2)</f>
        <v>10.5777543578714</v>
      </c>
    </row>
    <row r="81" customFormat="false" ht="14.65" hidden="false" customHeight="true" outlineLevel="0" collapsed="false">
      <c r="A81" s="12" t="s">
        <v>111</v>
      </c>
      <c r="B81" s="13" t="n">
        <v>38886</v>
      </c>
      <c r="C81" s="3" t="s">
        <v>24</v>
      </c>
      <c r="D81" s="4" t="s">
        <v>54</v>
      </c>
      <c r="E81" s="3" t="n">
        <v>7</v>
      </c>
      <c r="F81" s="3" t="n">
        <v>8</v>
      </c>
      <c r="G81" s="3" t="n">
        <v>15</v>
      </c>
      <c r="I81" s="3" t="n">
        <f aca="false">_xlfn.IFS(G81="взв",11,G81="накл",24,G81="прокл",25,G81="пт",26,G81=90,10,G81=85,10,G81=80,9,G81=75,8,G81=70,8,G81=65,7,G81=60,7,G81=55,6,G81=50,6,G81=45,6,G81=40,5,G81=35,4,G81=30,4,G81=25,3,G81=20,2,G81=15,1,G81=10,1,G81=0,0)</f>
        <v>1</v>
      </c>
      <c r="J81" s="3" t="n">
        <f aca="false">IF(H81&lt;=1,0,IF(H81&lt;=10,11,IF(H81&lt;=14,12,IF(H81&lt;=17,13,IF(H81&lt;=20,14,IF(H81&lt;=22,15,IF(H81&lt;=25,16,IF(H81&lt;=27,17,IF(H81&lt;=29,18,IF(H81&lt;=32,19,IF(H81&lt;=34,20,IF(H81&lt;=36,21,IF(H81&lt;=40,22,24)))))))))))))</f>
        <v>0</v>
      </c>
      <c r="K81" s="3" t="n">
        <v>15</v>
      </c>
      <c r="M81" s="3" t="n">
        <f aca="false">_xlfn.IFS(K81="взв",11,K81="накл",24,K81="прокл",25,K81="пт",26,K81=90,10,K81=85,10,K81=80,9,K81=75,8,K81=70,8,K81=65,7,K81=60,7,K81=55,6,K81=50,6,K81=45,6,K81=40,5,K81=35,4,K81=30,4,K81=25,3,K81=20,2,K81=15,1,K81=10,1,K81=0,0)</f>
        <v>1</v>
      </c>
      <c r="N81" s="3" t="n">
        <f aca="false">IF(L81&lt;=1,0,IF(L81&lt;=10,11,IF(L81&lt;=14,12,IF(L81&lt;=17,13,IF(L81&lt;=20,14,IF(L81&lt;=22,15,IF(L81&lt;=25,16,IF(L81&lt;=27,17,IF(L81&lt;=29,18,IF(L81&lt;=32,19,IF(L81&lt;=34,20,IF(L81&lt;=36,21,IF(L81&lt;=40,22,24)))))))))))))</f>
        <v>0</v>
      </c>
      <c r="O81" s="3" t="n">
        <v>30</v>
      </c>
      <c r="Q81" s="3" t="n">
        <f aca="false">_xlfn.IFS(O81="взв",11,O81="накл",24,O81="прокл",25,O81="пт",26,O81=90,10,O81=85,10,O81=80,9,O81=75,8,O81=70,8,O81=65,7,O81=60,7,O81=55,6,O81=50,6,O81=45,6,O81=40,5,O81=35,4,O81=30,4,O81=25,3,O81=20,2,O81=15,1,O81=10,1,O81=0,0)</f>
        <v>4</v>
      </c>
      <c r="R81" s="3" t="n">
        <f aca="false">IF(P81&lt;=1,0,IF(P81&lt;=10,11,IF(P81&lt;=14,12,IF(P81&lt;=17,13,IF(P81&lt;=20,14,IF(P81&lt;=22,15,IF(P81&lt;=25,16,IF(P81&lt;=27,17,IF(P81&lt;=29,18,IF(P81&lt;=32,19,IF(P81&lt;=34,20,IF(P81&lt;=36,21,IF(P81&lt;=40,22,24)))))))))))))</f>
        <v>0</v>
      </c>
      <c r="S81" s="14" t="n">
        <f aca="false">ROUND((Q81+R81+I81+J81+M81+N81)/3,0)</f>
        <v>2</v>
      </c>
      <c r="T81" s="15" t="n">
        <f aca="false">F81*LOG10(S81+2)</f>
        <v>4.8164799306237</v>
      </c>
    </row>
    <row r="82" customFormat="false" ht="14.65" hidden="false" customHeight="true" outlineLevel="0" collapsed="false">
      <c r="A82" s="12" t="s">
        <v>112</v>
      </c>
      <c r="B82" s="13" t="n">
        <v>38886</v>
      </c>
      <c r="C82" s="3" t="s">
        <v>24</v>
      </c>
      <c r="D82" s="4" t="s">
        <v>54</v>
      </c>
      <c r="E82" s="3" t="n">
        <v>2</v>
      </c>
      <c r="F82" s="3" t="n">
        <v>9</v>
      </c>
      <c r="G82" s="3" t="n">
        <v>90</v>
      </c>
      <c r="I82" s="3" t="n">
        <f aca="false">_xlfn.IFS(G82="взв",11,G82="накл",24,G82="прокл",25,G82="пт",26,G82=90,10,G82=85,10,G82=80,9,G82=75,8,G82=70,8,G82=65,7,G82=60,7,G82=55,6,G82=50,6,G82=45,6,G82=40,5,G82=35,4,G82=30,4,G82=25,3,G82=20,2,G82=15,1,G82=10,1,G82=0,0)</f>
        <v>10</v>
      </c>
      <c r="J82" s="3" t="n">
        <f aca="false">IF(H82&lt;=1,0,IF(H82&lt;=10,11,IF(H82&lt;=14,12,IF(H82&lt;=17,13,IF(H82&lt;=20,14,IF(H82&lt;=22,15,IF(H82&lt;=25,16,IF(H82&lt;=27,17,IF(H82&lt;=29,18,IF(H82&lt;=32,19,IF(H82&lt;=34,20,IF(H82&lt;=36,21,IF(H82&lt;=40,22,24)))))))))))))</f>
        <v>0</v>
      </c>
      <c r="K82" s="3" t="n">
        <v>90</v>
      </c>
      <c r="M82" s="3" t="n">
        <f aca="false">_xlfn.IFS(K82="взв",11,K82="накл",24,K82="прокл",25,K82="пт",26,K82=90,10,K82=85,10,K82=80,9,K82=75,8,K82=70,8,K82=65,7,K82=60,7,K82=55,6,K82=50,6,K82=45,6,K82=40,5,K82=35,4,K82=30,4,K82=25,3,K82=20,2,K82=15,1,K82=10,1,K82=0,0)</f>
        <v>10</v>
      </c>
      <c r="N82" s="3" t="n">
        <f aca="false">IF(L82&lt;=1,0,IF(L82&lt;=10,11,IF(L82&lt;=14,12,IF(L82&lt;=17,13,IF(L82&lt;=20,14,IF(L82&lt;=22,15,IF(L82&lt;=25,16,IF(L82&lt;=27,17,IF(L82&lt;=29,18,IF(L82&lt;=32,19,IF(L82&lt;=34,20,IF(L82&lt;=36,21,IF(L82&lt;=40,22,24)))))))))))))</f>
        <v>0</v>
      </c>
      <c r="Q82" s="3" t="n">
        <f aca="false">_xlfn.IFS(O82="взв",11,O82="накл",24,O82="прокл",25,O82="пт",26,O82=90,10,O82=85,10,O82=80,9,O82=75,8,O82=70,8,O82=65,7,O82=60,7,O82=55,6,O82=50,6,O82=45,6,O82=40,5,O82=35,4,O82=30,4,O82=25,3,O82=20,2,O82=15,1,O82=10,1,O82=0,0)</f>
        <v>0</v>
      </c>
      <c r="R82" s="3" t="n">
        <f aca="false">IF(P82&lt;=1,0,IF(P82&lt;=10,11,IF(P82&lt;=14,12,IF(P82&lt;=17,13,IF(P82&lt;=20,14,IF(P82&lt;=22,15,IF(P82&lt;=25,16,IF(P82&lt;=27,17,IF(P82&lt;=29,18,IF(P82&lt;=32,19,IF(P82&lt;=34,20,IF(P82&lt;=36,21,IF(P82&lt;=40,22,24)))))))))))))</f>
        <v>0</v>
      </c>
      <c r="S82" s="14" t="n">
        <f aca="false">ROUND((Q82+R82+I82+J82+M82+N82)/2,0)</f>
        <v>10</v>
      </c>
      <c r="T82" s="15" t="n">
        <f aca="false">F82*LOG10(S82+2)</f>
        <v>9.71263121442862</v>
      </c>
    </row>
    <row r="83" customFormat="false" ht="14.65" hidden="false" customHeight="true" outlineLevel="0" collapsed="false">
      <c r="A83" s="12" t="s">
        <v>113</v>
      </c>
      <c r="B83" s="13" t="n">
        <v>38886</v>
      </c>
      <c r="C83" s="3" t="s">
        <v>24</v>
      </c>
      <c r="D83" s="4" t="s">
        <v>54</v>
      </c>
      <c r="E83" s="3" t="n">
        <v>4</v>
      </c>
      <c r="F83" s="3" t="n">
        <v>9</v>
      </c>
      <c r="H83" s="3" t="n">
        <v>40</v>
      </c>
      <c r="I83" s="3" t="n">
        <f aca="false">_xlfn.IFS(G83="взв",11,G83="накл",24,G83="прокл",25,G83="пт",26,G83=90,10,G83=85,10,G83=80,9,G83=75,8,G83=70,8,G83=65,7,G83=60,7,G83=55,6,G83=50,6,G83=45,6,G83=40,5,G83=35,4,G83=30,4,G83=25,3,G83=20,2,G83=15,1,G83=10,1,G83=0,0)</f>
        <v>0</v>
      </c>
      <c r="J83" s="3" t="n">
        <f aca="false">IF(H83&lt;=1,0,IF(H83&lt;=10,11,IF(H83&lt;=14,12,IF(H83&lt;=17,13,IF(H83&lt;=20,14,IF(H83&lt;=22,15,IF(H83&lt;=25,16,IF(H83&lt;=27,17,IF(H83&lt;=29,18,IF(H83&lt;=32,19,IF(H83&lt;=34,20,IF(H83&lt;=36,21,IF(H83&lt;=40,22,24)))))))))))))</f>
        <v>22</v>
      </c>
      <c r="L83" s="3" t="n">
        <v>43</v>
      </c>
      <c r="M83" s="3" t="n">
        <f aca="false">_xlfn.IFS(K83="взв",11,K83="накл",24,K83="прокл",25,K83="пт",26,K83=90,10,K83=85,10,K83=80,9,K83=75,8,K83=70,8,K83=65,7,K83=60,7,K83=55,6,K83=50,6,K83=45,6,K83=40,5,K83=35,4,K83=30,4,K83=25,3,K83=20,2,K83=15,1,K83=10,1,K83=0,0)</f>
        <v>0</v>
      </c>
      <c r="N83" s="3" t="n">
        <f aca="false">IF(L83&lt;=1,0,IF(L83&lt;=10,11,IF(L83&lt;=14,12,IF(L83&lt;=17,13,IF(L83&lt;=20,14,IF(L83&lt;=22,15,IF(L83&lt;=25,16,IF(L83&lt;=27,17,IF(L83&lt;=29,18,IF(L83&lt;=32,19,IF(L83&lt;=34,20,IF(L83&lt;=36,21,IF(L83&lt;=40,22,24)))))))))))))</f>
        <v>24</v>
      </c>
      <c r="P83" s="3" t="n">
        <v>42</v>
      </c>
      <c r="Q83" s="3" t="n">
        <f aca="false">_xlfn.IFS(O83="взв",11,O83="накл",24,O83="прокл",25,O83="пт",26,O83=90,10,O83=85,10,O83=80,9,O83=75,8,O83=70,8,O83=65,7,O83=60,7,O83=55,6,O83=50,6,O83=45,6,O83=40,5,O83=35,4,O83=30,4,O83=25,3,O83=20,2,O83=15,1,O83=10,1,O83=0,0)</f>
        <v>0</v>
      </c>
      <c r="R83" s="3" t="n">
        <f aca="false">IF(P83&lt;=1,0,IF(P83&lt;=10,11,IF(P83&lt;=14,12,IF(P83&lt;=17,13,IF(P83&lt;=20,14,IF(P83&lt;=22,15,IF(P83&lt;=25,16,IF(P83&lt;=27,17,IF(P83&lt;=29,18,IF(P83&lt;=32,19,IF(P83&lt;=34,20,IF(P83&lt;=36,21,IF(P83&lt;=40,22,24)))))))))))))</f>
        <v>24</v>
      </c>
      <c r="S83" s="14" t="n">
        <f aca="false">ROUND((Q83+R83+I83+J83+M83+N83)/3,0)</f>
        <v>23</v>
      </c>
      <c r="T83" s="15" t="n">
        <f aca="false">F83*LOG10(S83+2)</f>
        <v>12.5814600780483</v>
      </c>
    </row>
    <row r="84" customFormat="false" ht="14.65" hidden="false" customHeight="true" outlineLevel="0" collapsed="false">
      <c r="A84" s="12" t="s">
        <v>114</v>
      </c>
      <c r="B84" s="13" t="n">
        <v>38886</v>
      </c>
      <c r="C84" s="3" t="s">
        <v>24</v>
      </c>
      <c r="D84" s="4" t="s">
        <v>54</v>
      </c>
      <c r="E84" s="3" t="n">
        <v>4</v>
      </c>
      <c r="F84" s="3" t="n">
        <v>10</v>
      </c>
      <c r="H84" s="3" t="n">
        <v>32</v>
      </c>
      <c r="I84" s="3" t="n">
        <f aca="false">_xlfn.IFS(G84="взв",11,G84="накл",24,G84="прокл",25,G84="пт",26,G84=90,10,G84=85,10,G84=80,9,G84=75,8,G84=70,8,G84=65,7,G84=60,7,G84=55,6,G84=50,6,G84=45,6,G84=40,5,G84=35,4,G84=30,4,G84=25,3,G84=20,2,G84=15,1,G84=10,1,G84=0,0)</f>
        <v>0</v>
      </c>
      <c r="J84" s="3" t="n">
        <f aca="false">IF(H84&lt;=1,0,IF(H84&lt;=10,11,IF(H84&lt;=14,12,IF(H84&lt;=17,13,IF(H84&lt;=20,14,IF(H84&lt;=22,15,IF(H84&lt;=25,16,IF(H84&lt;=27,17,IF(H84&lt;=29,18,IF(H84&lt;=32,19,IF(H84&lt;=34,20,IF(H84&lt;=36,21,IF(H84&lt;=40,22,24)))))))))))))</f>
        <v>19</v>
      </c>
      <c r="L84" s="3" t="n">
        <v>30</v>
      </c>
      <c r="M84" s="3" t="n">
        <f aca="false">_xlfn.IFS(K84="взв",11,K84="накл",24,K84="прокл",25,K84="пт",26,K84=90,10,K84=85,10,K84=80,9,K84=75,8,K84=70,8,K84=65,7,K84=60,7,K84=55,6,K84=50,6,K84=45,6,K84=40,5,K84=35,4,K84=30,4,K84=25,3,K84=20,2,K84=15,1,K84=10,1,K84=0,0)</f>
        <v>0</v>
      </c>
      <c r="N84" s="3" t="n">
        <f aca="false">IF(L84&lt;=1,0,IF(L84&lt;=10,11,IF(L84&lt;=14,12,IF(L84&lt;=17,13,IF(L84&lt;=20,14,IF(L84&lt;=22,15,IF(L84&lt;=25,16,IF(L84&lt;=27,17,IF(L84&lt;=29,18,IF(L84&lt;=32,19,IF(L84&lt;=34,20,IF(L84&lt;=36,21,IF(L84&lt;=40,22,24)))))))))))))</f>
        <v>19</v>
      </c>
      <c r="P84" s="3" t="n">
        <v>31</v>
      </c>
      <c r="Q84" s="3" t="n">
        <f aca="false">_xlfn.IFS(O84="взв",11,O84="накл",24,O84="прокл",25,O84="пт",26,O84=90,10,O84=85,10,O84=80,9,O84=75,8,O84=70,8,O84=65,7,O84=60,7,O84=55,6,O84=50,6,O84=45,6,O84=40,5,O84=35,4,O84=30,4,O84=25,3,O84=20,2,O84=15,1,O84=10,1,O84=0,0)</f>
        <v>0</v>
      </c>
      <c r="R84" s="3" t="n">
        <f aca="false">IF(P84&lt;=1,0,IF(P84&lt;=10,11,IF(P84&lt;=14,12,IF(P84&lt;=17,13,IF(P84&lt;=20,14,IF(P84&lt;=22,15,IF(P84&lt;=25,16,IF(P84&lt;=27,17,IF(P84&lt;=29,18,IF(P84&lt;=32,19,IF(P84&lt;=34,20,IF(P84&lt;=36,21,IF(P84&lt;=40,22,24)))))))))))))</f>
        <v>19</v>
      </c>
      <c r="S84" s="14" t="n">
        <f aca="false">ROUND((Q84+R84+I84+J84+M84+N84)/3,0)</f>
        <v>19</v>
      </c>
      <c r="T84" s="15" t="n">
        <f aca="false">F84*LOG10(S84+2)</f>
        <v>13.2221929473392</v>
      </c>
    </row>
    <row r="85" customFormat="false" ht="14.65" hidden="false" customHeight="true" outlineLevel="0" collapsed="false">
      <c r="A85" s="12" t="s">
        <v>115</v>
      </c>
      <c r="B85" s="13" t="n">
        <v>38886</v>
      </c>
      <c r="C85" s="3" t="s">
        <v>24</v>
      </c>
      <c r="D85" s="4" t="s">
        <v>54</v>
      </c>
      <c r="E85" s="3" t="n">
        <v>5</v>
      </c>
      <c r="F85" s="3" t="n">
        <v>10</v>
      </c>
      <c r="H85" s="3" t="n">
        <v>36</v>
      </c>
      <c r="I85" s="3" t="n">
        <f aca="false">_xlfn.IFS(G85="взв",11,G85="накл",24,G85="прокл",25,G85="пт",26,G85=90,10,G85=85,10,G85=80,9,G85=75,8,G85=70,8,G85=65,7,G85=60,7,G85=55,6,G85=50,6,G85=45,6,G85=40,5,G85=35,4,G85=30,4,G85=25,3,G85=20,2,G85=15,1,G85=10,1,G85=0,0)</f>
        <v>0</v>
      </c>
      <c r="J85" s="3" t="n">
        <f aca="false">IF(H85&lt;=1,0,IF(H85&lt;=10,11,IF(H85&lt;=14,12,IF(H85&lt;=17,13,IF(H85&lt;=20,14,IF(H85&lt;=22,15,IF(H85&lt;=25,16,IF(H85&lt;=27,17,IF(H85&lt;=29,18,IF(H85&lt;=32,19,IF(H85&lt;=34,20,IF(H85&lt;=36,21,IF(H85&lt;=40,22,24)))))))))))))</f>
        <v>21</v>
      </c>
      <c r="L85" s="3" t="n">
        <v>36</v>
      </c>
      <c r="M85" s="3" t="n">
        <f aca="false">_xlfn.IFS(K85="взв",11,K85="накл",24,K85="прокл",25,K85="пт",26,K85=90,10,K85=85,10,K85=80,9,K85=75,8,K85=70,8,K85=65,7,K85=60,7,K85=55,6,K85=50,6,K85=45,6,K85=40,5,K85=35,4,K85=30,4,K85=25,3,K85=20,2,K85=15,1,K85=10,1,K85=0,0)</f>
        <v>0</v>
      </c>
      <c r="N85" s="3" t="n">
        <f aca="false">IF(L85&lt;=1,0,IF(L85&lt;=10,11,IF(L85&lt;=14,12,IF(L85&lt;=17,13,IF(L85&lt;=20,14,IF(L85&lt;=22,15,IF(L85&lt;=25,16,IF(L85&lt;=27,17,IF(L85&lt;=29,18,IF(L85&lt;=32,19,IF(L85&lt;=34,20,IF(L85&lt;=36,21,IF(L85&lt;=40,22,24)))))))))))))</f>
        <v>21</v>
      </c>
      <c r="P85" s="3" t="n">
        <v>34</v>
      </c>
      <c r="Q85" s="3" t="n">
        <f aca="false">_xlfn.IFS(O85="взв",11,O85="накл",24,O85="прокл",25,O85="пт",26,O85=90,10,O85=85,10,O85=80,9,O85=75,8,O85=70,8,O85=65,7,O85=60,7,O85=55,6,O85=50,6,O85=45,6,O85=40,5,O85=35,4,O85=30,4,O85=25,3,O85=20,2,O85=15,1,O85=10,1,O85=0,0)</f>
        <v>0</v>
      </c>
      <c r="R85" s="3" t="n">
        <f aca="false">IF(P85&lt;=1,0,IF(P85&lt;=10,11,IF(P85&lt;=14,12,IF(P85&lt;=17,13,IF(P85&lt;=20,14,IF(P85&lt;=22,15,IF(P85&lt;=25,16,IF(P85&lt;=27,17,IF(P85&lt;=29,18,IF(P85&lt;=32,19,IF(P85&lt;=34,20,IF(P85&lt;=36,21,IF(P85&lt;=40,22,24)))))))))))))</f>
        <v>20</v>
      </c>
      <c r="S85" s="14" t="n">
        <f aca="false">ROUND((Q85+R85+I85+J85+M85+N85)/3,0)</f>
        <v>21</v>
      </c>
      <c r="T85" s="15" t="n">
        <f aca="false">F85*LOG10(S85+2)</f>
        <v>13.6172783601759</v>
      </c>
    </row>
    <row r="86" customFormat="false" ht="14.65" hidden="false" customHeight="true" outlineLevel="0" collapsed="false">
      <c r="A86" s="12" t="s">
        <v>116</v>
      </c>
      <c r="B86" s="13" t="n">
        <v>38886</v>
      </c>
      <c r="C86" s="3" t="s">
        <v>24</v>
      </c>
      <c r="D86" s="4" t="s">
        <v>54</v>
      </c>
      <c r="E86" s="3" t="n">
        <v>3</v>
      </c>
      <c r="F86" s="3" t="n">
        <v>12</v>
      </c>
      <c r="H86" s="3" t="n">
        <v>37</v>
      </c>
      <c r="I86" s="3" t="n">
        <f aca="false">_xlfn.IFS(G86="взв",11,G86="накл",24,G86="прокл",25,G86="пт",26,G86=90,10,G86=85,10,G86=80,9,G86=75,8,G86=70,8,G86=65,7,G86=60,7,G86=55,6,G86=50,6,G86=45,6,G86=40,5,G86=35,4,G86=30,4,G86=25,3,G86=20,2,G86=15,1,G86=10,1,G86=0,0)</f>
        <v>0</v>
      </c>
      <c r="J86" s="3" t="n">
        <f aca="false">IF(H86&lt;=1,0,IF(H86&lt;=10,11,IF(H86&lt;=14,12,IF(H86&lt;=17,13,IF(H86&lt;=20,14,IF(H86&lt;=22,15,IF(H86&lt;=25,16,IF(H86&lt;=27,17,IF(H86&lt;=29,18,IF(H86&lt;=32,19,IF(H86&lt;=34,20,IF(H86&lt;=36,21,IF(H86&lt;=40,22,24)))))))))))))</f>
        <v>22</v>
      </c>
      <c r="L86" s="3" t="n">
        <v>37</v>
      </c>
      <c r="M86" s="3" t="n">
        <f aca="false">_xlfn.IFS(K86="взв",11,K86="накл",24,K86="прокл",25,K86="пт",26,K86=90,10,K86=85,10,K86=80,9,K86=75,8,K86=70,8,K86=65,7,K86=60,7,K86=55,6,K86=50,6,K86=45,6,K86=40,5,K86=35,4,K86=30,4,K86=25,3,K86=20,2,K86=15,1,K86=10,1,K86=0,0)</f>
        <v>0</v>
      </c>
      <c r="N86" s="3" t="n">
        <f aca="false">IF(L86&lt;=1,0,IF(L86&lt;=10,11,IF(L86&lt;=14,12,IF(L86&lt;=17,13,IF(L86&lt;=20,14,IF(L86&lt;=22,15,IF(L86&lt;=25,16,IF(L86&lt;=27,17,IF(L86&lt;=29,18,IF(L86&lt;=32,19,IF(L86&lt;=34,20,IF(L86&lt;=36,21,IF(L86&lt;=40,22,24)))))))))))))</f>
        <v>22</v>
      </c>
      <c r="P86" s="3" t="n">
        <v>41</v>
      </c>
      <c r="Q86" s="3" t="n">
        <f aca="false">_xlfn.IFS(O86="взв",11,O86="накл",24,O86="прокл",25,O86="пт",26,O86=90,10,O86=85,10,O86=80,9,O86=75,8,O86=70,8,O86=65,7,O86=60,7,O86=55,6,O86=50,6,O86=45,6,O86=40,5,O86=35,4,O86=30,4,O86=25,3,O86=20,2,O86=15,1,O86=10,1,O86=0,0)</f>
        <v>0</v>
      </c>
      <c r="R86" s="3" t="n">
        <f aca="false">IF(P86&lt;=1,0,IF(P86&lt;=10,11,IF(P86&lt;=14,12,IF(P86&lt;=17,13,IF(P86&lt;=20,14,IF(P86&lt;=22,15,IF(P86&lt;=25,16,IF(P86&lt;=27,17,IF(P86&lt;=29,18,IF(P86&lt;=32,19,IF(P86&lt;=34,20,IF(P86&lt;=36,21,IF(P86&lt;=40,22,24)))))))))))))</f>
        <v>24</v>
      </c>
      <c r="S86" s="14" t="n">
        <f aca="false">ROUND((Q86+R86+I86+J86+M86+N86)/3,0)</f>
        <v>23</v>
      </c>
      <c r="T86" s="15" t="n">
        <f aca="false">F86*LOG10(S86+2)</f>
        <v>16.7752801040645</v>
      </c>
    </row>
    <row r="87" customFormat="false" ht="14.65" hidden="false" customHeight="true" outlineLevel="0" collapsed="false">
      <c r="A87" s="12" t="s">
        <v>117</v>
      </c>
      <c r="B87" s="13" t="n">
        <v>38886</v>
      </c>
      <c r="C87" s="3" t="s">
        <v>24</v>
      </c>
      <c r="D87" s="4" t="s">
        <v>54</v>
      </c>
      <c r="E87" s="3" t="n">
        <v>8</v>
      </c>
      <c r="F87" s="3" t="n">
        <v>12</v>
      </c>
      <c r="G87" s="3" t="s">
        <v>38</v>
      </c>
      <c r="I87" s="3" t="n">
        <f aca="false">_xlfn.IFS(G87="взв",11,G87="накл",24,G87="прокл",25,G87="пт",26,G87=90,10,G87=85,10,G87=80,9,G87=75,8,G87=70,8,G87=65,7,G87=60,7,G87=55,6,G87=50,6,G87=45,6,G87=40,5,G87=35,4,G87=30,4,G87=25,3,G87=20,2,G87=15,1,G87=10,1,G87=0,0)</f>
        <v>26</v>
      </c>
      <c r="J87" s="3" t="n">
        <f aca="false">IF(H87&lt;=1,0,IF(H87&lt;=10,11,IF(H87&lt;=14,12,IF(H87&lt;=17,13,IF(H87&lt;=20,14,IF(H87&lt;=22,15,IF(H87&lt;=25,16,IF(H87&lt;=27,17,IF(H87&lt;=29,18,IF(H87&lt;=32,19,IF(H87&lt;=34,20,IF(H87&lt;=36,21,IF(H87&lt;=40,22,24)))))))))))))</f>
        <v>0</v>
      </c>
      <c r="K87" s="3" t="s">
        <v>38</v>
      </c>
      <c r="M87" s="3" t="n">
        <f aca="false">_xlfn.IFS(K87="взв",11,K87="накл",24,K87="прокл",25,K87="пт",26,K87=90,10,K87=85,10,K87=80,9,K87=75,8,K87=70,8,K87=65,7,K87=60,7,K87=55,6,K87=50,6,K87=45,6,K87=40,5,K87=35,4,K87=30,4,K87=25,3,K87=20,2,K87=15,1,K87=10,1,K87=0,0)</f>
        <v>26</v>
      </c>
      <c r="N87" s="3" t="n">
        <f aca="false">IF(L87&lt;=1,0,IF(L87&lt;=10,11,IF(L87&lt;=14,12,IF(L87&lt;=17,13,IF(L87&lt;=20,14,IF(L87&lt;=22,15,IF(L87&lt;=25,16,IF(L87&lt;=27,17,IF(L87&lt;=29,18,IF(L87&lt;=32,19,IF(L87&lt;=34,20,IF(L87&lt;=36,21,IF(L87&lt;=40,22,24)))))))))))))</f>
        <v>0</v>
      </c>
      <c r="O87" s="3" t="s">
        <v>38</v>
      </c>
      <c r="Q87" s="3" t="n">
        <f aca="false">_xlfn.IFS(O87="взв",11,O87="накл",24,O87="прокл",25,O87="пт",26,O87=90,10,O87=85,10,O87=80,9,O87=75,8,O87=70,8,O87=65,7,O87=60,7,O87=55,6,O87=50,6,O87=45,6,O87=40,5,O87=35,4,O87=30,4,O87=25,3,O87=20,2,O87=15,1,O87=10,1,O87=0,0)</f>
        <v>26</v>
      </c>
      <c r="R87" s="3" t="n">
        <f aca="false">IF(P87&lt;=1,0,IF(P87&lt;=10,11,IF(P87&lt;=14,12,IF(P87&lt;=17,13,IF(P87&lt;=20,14,IF(P87&lt;=22,15,IF(P87&lt;=25,16,IF(P87&lt;=27,17,IF(P87&lt;=29,18,IF(P87&lt;=32,19,IF(P87&lt;=34,20,IF(P87&lt;=36,21,IF(P87&lt;=40,22,24)))))))))))))</f>
        <v>0</v>
      </c>
      <c r="S87" s="14" t="n">
        <f aca="false">ROUND((Q87+R87+I87+J87+M87+N87)/3,0)</f>
        <v>26</v>
      </c>
      <c r="T87" s="15" t="n">
        <f aca="false">F87*LOG10(S87+2)</f>
        <v>17.3658963761066</v>
      </c>
    </row>
    <row r="88" customFormat="false" ht="14.65" hidden="false" customHeight="true" outlineLevel="0" collapsed="false">
      <c r="A88" s="12" t="s">
        <v>118</v>
      </c>
      <c r="B88" s="13" t="n">
        <v>38886</v>
      </c>
      <c r="C88" s="3" t="s">
        <v>24</v>
      </c>
      <c r="D88" s="4" t="s">
        <v>54</v>
      </c>
      <c r="E88" s="3" t="n">
        <v>5</v>
      </c>
      <c r="F88" s="3" t="n">
        <v>15</v>
      </c>
      <c r="H88" s="3" t="n">
        <v>32</v>
      </c>
      <c r="I88" s="3" t="n">
        <f aca="false">_xlfn.IFS(G88="взв",11,G88="накл",24,G88="прокл",25,G88="пт",26,G88=90,10,G88=85,10,G88=80,9,G88=75,8,G88=70,8,G88=65,7,G88=60,7,G88=55,6,G88=50,6,G88=45,6,G88=40,5,G88=35,4,G88=30,4,G88=25,3,G88=20,2,G88=15,1,G88=10,1,G88=0,0)</f>
        <v>0</v>
      </c>
      <c r="J88" s="3" t="n">
        <f aca="false">IF(H88&lt;=1,0,IF(H88&lt;=10,11,IF(H88&lt;=14,12,IF(H88&lt;=17,13,IF(H88&lt;=20,14,IF(H88&lt;=22,15,IF(H88&lt;=25,16,IF(H88&lt;=27,17,IF(H88&lt;=29,18,IF(H88&lt;=32,19,IF(H88&lt;=34,20,IF(H88&lt;=36,21,IF(H88&lt;=40,22,24)))))))))))))</f>
        <v>19</v>
      </c>
      <c r="L88" s="3" t="n">
        <v>31</v>
      </c>
      <c r="M88" s="3" t="n">
        <f aca="false">_xlfn.IFS(K88="взв",11,K88="накл",24,K88="прокл",25,K88="пт",26,K88=90,10,K88=85,10,K88=80,9,K88=75,8,K88=70,8,K88=65,7,K88=60,7,K88=55,6,K88=50,6,K88=45,6,K88=40,5,K88=35,4,K88=30,4,K88=25,3,K88=20,2,K88=15,1,K88=10,1,K88=0,0)</f>
        <v>0</v>
      </c>
      <c r="N88" s="3" t="n">
        <f aca="false">IF(L88&lt;=1,0,IF(L88&lt;=10,11,IF(L88&lt;=14,12,IF(L88&lt;=17,13,IF(L88&lt;=20,14,IF(L88&lt;=22,15,IF(L88&lt;=25,16,IF(L88&lt;=27,17,IF(L88&lt;=29,18,IF(L88&lt;=32,19,IF(L88&lt;=34,20,IF(L88&lt;=36,21,IF(L88&lt;=40,22,24)))))))))))))</f>
        <v>19</v>
      </c>
      <c r="P88" s="3" t="n">
        <v>29</v>
      </c>
      <c r="Q88" s="3" t="n">
        <f aca="false">_xlfn.IFS(O88="взв",11,O88="накл",24,O88="прокл",25,O88="пт",26,O88=90,10,O88=85,10,O88=80,9,O88=75,8,O88=70,8,O88=65,7,O88=60,7,O88=55,6,O88=50,6,O88=45,6,O88=40,5,O88=35,4,O88=30,4,O88=25,3,O88=20,2,O88=15,1,O88=10,1,O88=0,0)</f>
        <v>0</v>
      </c>
      <c r="R88" s="3" t="n">
        <f aca="false">IF(P88&lt;=1,0,IF(P88&lt;=10,11,IF(P88&lt;=14,12,IF(P88&lt;=17,13,IF(P88&lt;=20,14,IF(P88&lt;=22,15,IF(P88&lt;=25,16,IF(P88&lt;=27,17,IF(P88&lt;=29,18,IF(P88&lt;=32,19,IF(P88&lt;=34,20,IF(P88&lt;=36,21,IF(P88&lt;=40,22,24)))))))))))))</f>
        <v>18</v>
      </c>
      <c r="S88" s="14" t="n">
        <f aca="false">ROUND((Q88+R88+I88+J88+M88+N88)/3,0)</f>
        <v>19</v>
      </c>
      <c r="T88" s="15" t="n">
        <f aca="false">F88*LOG10(S88+2)</f>
        <v>19.8332894210088</v>
      </c>
    </row>
    <row r="89" customFormat="false" ht="14.65" hidden="false" customHeight="true" outlineLevel="0" collapsed="false">
      <c r="A89" s="12" t="s">
        <v>119</v>
      </c>
      <c r="B89" s="13" t="n">
        <v>38886</v>
      </c>
      <c r="C89" s="3" t="s">
        <v>24</v>
      </c>
      <c r="D89" s="4" t="s">
        <v>54</v>
      </c>
      <c r="E89" s="3" t="n">
        <v>4</v>
      </c>
      <c r="F89" s="3" t="n">
        <v>15</v>
      </c>
      <c r="G89" s="3" t="n">
        <v>75</v>
      </c>
      <c r="I89" s="3" t="n">
        <f aca="false">_xlfn.IFS(G89="взв",11,G89="накл",24,G89="прокл",25,G89="пт",26,G89=90,10,G89=85,10,G89=80,9,G89=75,8,G89=70,8,G89=65,7,G89=60,7,G89=55,6,G89=50,6,G89=45,6,G89=40,5,G89=35,4,G89=30,4,G89=25,3,G89=20,2,G89=15,1,G89=10,1,G89=0,0)</f>
        <v>8</v>
      </c>
      <c r="J89" s="3" t="n">
        <f aca="false">IF(H89&lt;=1,0,IF(H89&lt;=10,11,IF(H89&lt;=14,12,IF(H89&lt;=17,13,IF(H89&lt;=20,14,IF(H89&lt;=22,15,IF(H89&lt;=25,16,IF(H89&lt;=27,17,IF(H89&lt;=29,18,IF(H89&lt;=32,19,IF(H89&lt;=34,20,IF(H89&lt;=36,21,IF(H89&lt;=40,22,24)))))))))))))</f>
        <v>0</v>
      </c>
      <c r="K89" s="3" t="n">
        <v>90</v>
      </c>
      <c r="M89" s="3" t="n">
        <f aca="false">_xlfn.IFS(K89="взв",11,K89="накл",24,K89="прокл",25,K89="пт",26,K89=90,10,K89=85,10,K89=80,9,K89=75,8,K89=70,8,K89=65,7,K89=60,7,K89=55,6,K89=50,6,K89=45,6,K89=40,5,K89=35,4,K89=30,4,K89=25,3,K89=20,2,K89=15,1,K89=10,1,K89=0,0)</f>
        <v>10</v>
      </c>
      <c r="N89" s="3" t="n">
        <f aca="false">IF(L89&lt;=1,0,IF(L89&lt;=10,11,IF(L89&lt;=14,12,IF(L89&lt;=17,13,IF(L89&lt;=20,14,IF(L89&lt;=22,15,IF(L89&lt;=25,16,IF(L89&lt;=27,17,IF(L89&lt;=29,18,IF(L89&lt;=32,19,IF(L89&lt;=34,20,IF(L89&lt;=36,21,IF(L89&lt;=40,22,24)))))))))))))</f>
        <v>0</v>
      </c>
      <c r="P89" s="3" t="n">
        <v>20</v>
      </c>
      <c r="Q89" s="3" t="n">
        <f aca="false">_xlfn.IFS(O89="взв",11,O89="накл",24,O89="прокл",25,O89="пт",26,O89=90,10,O89=85,10,O89=80,9,O89=75,8,O89=70,8,O89=65,7,O89=60,7,O89=55,6,O89=50,6,O89=45,6,O89=40,5,O89=35,4,O89=30,4,O89=25,3,O89=20,2,O89=15,1,O89=10,1,O89=0,0)</f>
        <v>0</v>
      </c>
      <c r="R89" s="3" t="n">
        <f aca="false">IF(P89&lt;=1,0,IF(P89&lt;=10,11,IF(P89&lt;=14,12,IF(P89&lt;=17,13,IF(P89&lt;=20,14,IF(P89&lt;=22,15,IF(P89&lt;=25,16,IF(P89&lt;=27,17,IF(P89&lt;=29,18,IF(P89&lt;=32,19,IF(P89&lt;=34,20,IF(P89&lt;=36,21,IF(P89&lt;=40,22,24)))))))))))))</f>
        <v>14</v>
      </c>
      <c r="S89" s="14" t="n">
        <f aca="false">ROUND((Q89+R89+I89+J89+M89+N89)/3,0)</f>
        <v>11</v>
      </c>
      <c r="T89" s="15" t="n">
        <f aca="false">F89*LOG10(S89+2)</f>
        <v>16.7091502846026</v>
      </c>
    </row>
    <row r="90" customFormat="false" ht="14.65" hidden="false" customHeight="true" outlineLevel="0" collapsed="false">
      <c r="A90" s="12" t="s">
        <v>120</v>
      </c>
      <c r="B90" s="13" t="n">
        <v>38886</v>
      </c>
      <c r="C90" s="3" t="s">
        <v>24</v>
      </c>
      <c r="D90" s="4" t="s">
        <v>54</v>
      </c>
      <c r="E90" s="3" t="n">
        <v>3</v>
      </c>
      <c r="F90" s="3" t="n">
        <v>15</v>
      </c>
      <c r="G90" s="3" t="s">
        <v>27</v>
      </c>
      <c r="I90" s="3" t="n">
        <f aca="false">_xlfn.IFS(G90="взв",11,G90="накл",24,G90="прокл",25,G90="пт",26,G90=90,10,G90=85,10,G90=80,9,G90=75,8,G90=70,8,G90=65,7,G90=60,7,G90=55,6,G90=50,6,G90=45,6,G90=40,5,G90=35,4,G90=30,4,G90=25,3,G90=20,2,G90=15,1,G90=10,1,G90=0,0)</f>
        <v>24</v>
      </c>
      <c r="J90" s="3" t="n">
        <f aca="false">IF(H90&lt;=1,0,IF(H90&lt;=10,11,IF(H90&lt;=14,12,IF(H90&lt;=17,13,IF(H90&lt;=20,14,IF(H90&lt;=22,15,IF(H90&lt;=25,16,IF(H90&lt;=27,17,IF(H90&lt;=29,18,IF(H90&lt;=32,19,IF(H90&lt;=34,20,IF(H90&lt;=36,21,IF(H90&lt;=40,22,24)))))))))))))</f>
        <v>0</v>
      </c>
      <c r="K90" s="3" t="s">
        <v>27</v>
      </c>
      <c r="L90" s="0"/>
      <c r="M90" s="3" t="n">
        <f aca="false">_xlfn.IFS(K90="взв",11,K90="накл",24,K90="прокл",25,K90="пт",26,K90=90,10,K90=85,10,K90=80,9,K90=75,8,K90=70,8,K90=65,7,K90=60,7,K90=55,6,K90=50,6,K90=45,6,K90=40,5,K90=35,4,K90=30,4,K90=25,3,K90=20,2,K90=15,1,K90=10,1,K90=0,0)</f>
        <v>24</v>
      </c>
      <c r="N90" s="3" t="n">
        <f aca="false">IF(L90&lt;=1,0,IF(L90&lt;=10,11,IF(L90&lt;=14,12,IF(L90&lt;=17,13,IF(L90&lt;=20,14,IF(L90&lt;=22,15,IF(L90&lt;=25,16,IF(L90&lt;=27,17,IF(L90&lt;=29,18,IF(L90&lt;=32,19,IF(L90&lt;=34,20,IF(L90&lt;=36,21,IF(L90&lt;=40,22,24)))))))))))))</f>
        <v>0</v>
      </c>
      <c r="Q90" s="3" t="n">
        <f aca="false">_xlfn.IFS(O90="взв",11,O90="накл",24,O90="прокл",25,O90="пт",26,O90=90,10,O90=85,10,O90=80,9,O90=75,8,O90=70,8,O90=65,7,O90=60,7,O90=55,6,O90=50,6,O90=45,6,O90=40,5,O90=35,4,O90=30,4,O90=25,3,O90=20,2,O90=15,1,O90=10,1,O90=0,0)</f>
        <v>0</v>
      </c>
      <c r="R90" s="3" t="n">
        <f aca="false">IF(P90&lt;=1,0,IF(P90&lt;=10,11,IF(P90&lt;=14,12,IF(P90&lt;=17,13,IF(P90&lt;=20,14,IF(P90&lt;=22,15,IF(P90&lt;=25,16,IF(P90&lt;=27,17,IF(P90&lt;=29,18,IF(P90&lt;=32,19,IF(P90&lt;=34,20,IF(P90&lt;=36,21,IF(P90&lt;=40,22,24)))))))))))))</f>
        <v>0</v>
      </c>
      <c r="S90" s="14" t="n">
        <v>24</v>
      </c>
      <c r="T90" s="15" t="n">
        <f aca="false">F90*LOG10(S90+2)</f>
        <v>21.2246002195623</v>
      </c>
    </row>
    <row r="91" customFormat="false" ht="14.65" hidden="false" customHeight="true" outlineLevel="0" collapsed="false">
      <c r="A91" s="12" t="s">
        <v>121</v>
      </c>
      <c r="B91" s="13" t="n">
        <v>38886</v>
      </c>
      <c r="C91" s="3" t="s">
        <v>24</v>
      </c>
      <c r="D91" s="4" t="s">
        <v>54</v>
      </c>
      <c r="E91" s="3" t="n">
        <v>4</v>
      </c>
      <c r="F91" s="3" t="n">
        <v>18</v>
      </c>
      <c r="H91" s="3" t="n">
        <v>34</v>
      </c>
      <c r="I91" s="3" t="n">
        <f aca="false">_xlfn.IFS(G91="взв",11,G91="накл",24,G91="прокл",25,G91="пт",26,G91=90,10,G91=85,10,G91=80,9,G91=75,8,G91=70,8,G91=65,7,G91=60,7,G91=55,6,G91=50,6,G91=45,6,G91=40,5,G91=35,4,G91=30,4,G91=25,3,G91=20,2,G91=15,1,G91=10,1,G91=0,0)</f>
        <v>0</v>
      </c>
      <c r="J91" s="3" t="n">
        <f aca="false">IF(H91&lt;=1,0,IF(H91&lt;=10,11,IF(H91&lt;=14,12,IF(H91&lt;=17,13,IF(H91&lt;=20,14,IF(H91&lt;=22,15,IF(H91&lt;=25,16,IF(H91&lt;=27,17,IF(H91&lt;=29,18,IF(H91&lt;=32,19,IF(H91&lt;=34,20,IF(H91&lt;=36,21,IF(H91&lt;=40,22,24)))))))))))))</f>
        <v>20</v>
      </c>
      <c r="L91" s="3" t="n">
        <v>28</v>
      </c>
      <c r="M91" s="3" t="n">
        <f aca="false">_xlfn.IFS(K91="взв",11,K91="накл",24,K91="прокл",25,K91="пт",26,K91=90,10,K91=85,10,K91=80,9,K91=75,8,K91=70,8,K91=65,7,K91=60,7,K91=55,6,K91=50,6,K91=45,6,K91=40,5,K91=35,4,K91=30,4,K91=25,3,K91=20,2,K91=15,1,K91=10,1,K91=0,0)</f>
        <v>0</v>
      </c>
      <c r="N91" s="3" t="n">
        <f aca="false">IF(L91&lt;=1,0,IF(L91&lt;=10,11,IF(L91&lt;=14,12,IF(L91&lt;=17,13,IF(L91&lt;=20,14,IF(L91&lt;=22,15,IF(L91&lt;=25,16,IF(L91&lt;=27,17,IF(L91&lt;=29,18,IF(L91&lt;=32,19,IF(L91&lt;=34,20,IF(L91&lt;=36,21,IF(L91&lt;=40,22,24)))))))))))))</f>
        <v>18</v>
      </c>
      <c r="P91" s="3" t="n">
        <v>28</v>
      </c>
      <c r="Q91" s="3" t="n">
        <f aca="false">_xlfn.IFS(O91="взв",11,O91="накл",24,O91="прокл",25,O91="пт",26,O91=90,10,O91=85,10,O91=80,9,O91=75,8,O91=70,8,O91=65,7,O91=60,7,O91=55,6,O91=50,6,O91=45,6,O91=40,5,O91=35,4,O91=30,4,O91=25,3,O91=20,2,O91=15,1,O91=10,1,O91=0,0)</f>
        <v>0</v>
      </c>
      <c r="R91" s="3" t="n">
        <f aca="false">IF(P91&lt;=1,0,IF(P91&lt;=10,11,IF(P91&lt;=14,12,IF(P91&lt;=17,13,IF(P91&lt;=20,14,IF(P91&lt;=22,15,IF(P91&lt;=25,16,IF(P91&lt;=27,17,IF(P91&lt;=29,18,IF(P91&lt;=32,19,IF(P91&lt;=34,20,IF(P91&lt;=36,21,IF(P91&lt;=40,22,24)))))))))))))</f>
        <v>18</v>
      </c>
      <c r="S91" s="14" t="n">
        <f aca="false">ROUND((Q91+R91+I91+J91+M91+N91)/3,0)</f>
        <v>19</v>
      </c>
      <c r="T91" s="15" t="n">
        <f aca="false">F91*LOG10(S91+2)</f>
        <v>23.7999473052105</v>
      </c>
    </row>
    <row r="92" customFormat="false" ht="14.65" hidden="false" customHeight="true" outlineLevel="0" collapsed="false">
      <c r="A92" s="12" t="s">
        <v>122</v>
      </c>
      <c r="B92" s="13" t="n">
        <v>38886</v>
      </c>
      <c r="C92" s="3" t="s">
        <v>24</v>
      </c>
      <c r="D92" s="4" t="s">
        <v>54</v>
      </c>
      <c r="E92" s="3" t="n">
        <v>2</v>
      </c>
      <c r="F92" s="3" t="n">
        <v>20</v>
      </c>
      <c r="G92" s="3" t="n">
        <v>30</v>
      </c>
      <c r="I92" s="3" t="n">
        <f aca="false">_xlfn.IFS(G92="взв",11,G92="накл",24,G92="прокл",25,G92="пт",26,G92=90,10,G92=85,10,G92=80,9,G92=75,8,G92=70,8,G92=65,7,G92=60,7,G92=55,6,G92=50,6,G92=45,6,G92=40,5,G92=35,4,G92=30,4,G92=25,3,G92=20,2,G92=15,1,G92=10,1,G92=0,0)</f>
        <v>4</v>
      </c>
      <c r="J92" s="3" t="n">
        <f aca="false">IF(H92&lt;=1,0,IF(H92&lt;=10,11,IF(H92&lt;=14,12,IF(H92&lt;=17,13,IF(H92&lt;=20,14,IF(H92&lt;=22,15,IF(H92&lt;=25,16,IF(H92&lt;=27,17,IF(H92&lt;=29,18,IF(H92&lt;=32,19,IF(H92&lt;=34,20,IF(H92&lt;=36,21,IF(H92&lt;=40,22,24)))))))))))))</f>
        <v>0</v>
      </c>
      <c r="K92" s="3" t="n">
        <v>15</v>
      </c>
      <c r="M92" s="3" t="n">
        <f aca="false">_xlfn.IFS(K92="взв",11,K92="накл",24,K92="прокл",25,K92="пт",26,K92=90,10,K92=85,10,K92=80,9,K92=75,8,K92=70,8,K92=65,7,K92=60,7,K92=55,6,K92=50,6,K92=45,6,K92=40,5,K92=35,4,K92=30,4,K92=25,3,K92=20,2,K92=15,1,K92=10,1,K92=0,0)</f>
        <v>1</v>
      </c>
      <c r="N92" s="3" t="n">
        <f aca="false">IF(L92&lt;=1,0,IF(L92&lt;=10,11,IF(L92&lt;=14,12,IF(L92&lt;=17,13,IF(L92&lt;=20,14,IF(L92&lt;=22,15,IF(L92&lt;=25,16,IF(L92&lt;=27,17,IF(L92&lt;=29,18,IF(L92&lt;=32,19,IF(L92&lt;=34,20,IF(L92&lt;=36,21,IF(L92&lt;=40,22,24)))))))))))))</f>
        <v>0</v>
      </c>
      <c r="Q92" s="3" t="n">
        <f aca="false">_xlfn.IFS(O92="взв",11,O92="накл",24,O92="прокл",25,O92="пт",26,O92=90,10,O92=85,10,O92=80,9,O92=75,8,O92=70,8,O92=65,7,O92=60,7,O92=55,6,O92=50,6,O92=45,6,O92=40,5,O92=35,4,O92=30,4,O92=25,3,O92=20,2,O92=15,1,O92=10,1,O92=0,0)</f>
        <v>0</v>
      </c>
      <c r="R92" s="3" t="n">
        <f aca="false">IF(P92&lt;=1,0,IF(P92&lt;=10,11,IF(P92&lt;=14,12,IF(P92&lt;=17,13,IF(P92&lt;=20,14,IF(P92&lt;=22,15,IF(P92&lt;=25,16,IF(P92&lt;=27,17,IF(P92&lt;=29,18,IF(P92&lt;=32,19,IF(P92&lt;=34,20,IF(P92&lt;=36,21,IF(P92&lt;=40,22,24)))))))))))))</f>
        <v>0</v>
      </c>
      <c r="S92" s="14" t="n">
        <f aca="false">ROUND((Q92+R92+I92+J92+M92+N92)/2,0)</f>
        <v>3</v>
      </c>
      <c r="T92" s="15" t="n">
        <f aca="false">F92*LOG10(S92+2)</f>
        <v>13.9794000867204</v>
      </c>
    </row>
    <row r="93" customFormat="false" ht="14.65" hidden="false" customHeight="true" outlineLevel="0" collapsed="false">
      <c r="A93" s="12" t="s">
        <v>123</v>
      </c>
      <c r="B93" s="13" t="n">
        <v>38886</v>
      </c>
      <c r="C93" s="3" t="s">
        <v>24</v>
      </c>
      <c r="D93" s="4" t="s">
        <v>54</v>
      </c>
      <c r="E93" s="3" t="n">
        <v>5</v>
      </c>
      <c r="F93" s="3" t="n">
        <v>0</v>
      </c>
      <c r="H93" s="3" t="n">
        <v>41</v>
      </c>
      <c r="I93" s="3" t="n">
        <f aca="false">_xlfn.IFS(G93="взв",11,G93="накл",24,G93="прокл",25,G93="пт",26,G93=90,10,G93=85,10,G93=80,9,G93=75,8,G93=70,8,G93=65,7,G93=60,7,G93=55,6,G93=50,6,G93=45,6,G93=40,5,G93=35,4,G93=30,4,G93=25,3,G93=20,2,G93=15,1,G93=10,1,G93=0,0)</f>
        <v>0</v>
      </c>
      <c r="J93" s="3" t="n">
        <f aca="false">IF(H93&lt;=1,0,IF(H93&lt;=10,11,IF(H93&lt;=14,12,IF(H93&lt;=17,13,IF(H93&lt;=20,14,IF(H93&lt;=22,15,IF(H93&lt;=25,16,IF(H93&lt;=27,17,IF(H93&lt;=29,18,IF(H93&lt;=32,19,IF(H93&lt;=34,20,IF(H93&lt;=36,21,IF(H93&lt;=40,22,24)))))))))))))</f>
        <v>24</v>
      </c>
      <c r="L93" s="3" t="n">
        <v>40</v>
      </c>
      <c r="M93" s="3" t="n">
        <f aca="false">_xlfn.IFS(K93="взв",11,K93="накл",24,K93="прокл",25,K93="пт",26,K93=90,10,K93=85,10,K93=80,9,K93=75,8,K93=70,8,K93=65,7,K93=60,7,K93=55,6,K93=50,6,K93=45,6,K93=40,5,K93=35,4,K93=30,4,K93=25,3,K93=20,2,K93=15,1,K93=10,1,K93=0,0)</f>
        <v>0</v>
      </c>
      <c r="N93" s="3" t="n">
        <f aca="false">IF(L93&lt;=1,0,IF(L93&lt;=10,11,IF(L93&lt;=14,12,IF(L93&lt;=17,13,IF(L93&lt;=20,14,IF(L93&lt;=22,15,IF(L93&lt;=25,16,IF(L93&lt;=27,17,IF(L93&lt;=29,18,IF(L93&lt;=32,19,IF(L93&lt;=34,20,IF(L93&lt;=36,21,IF(L93&lt;=40,22,24)))))))))))))</f>
        <v>22</v>
      </c>
      <c r="P93" s="3" t="n">
        <v>35</v>
      </c>
      <c r="Q93" s="3" t="n">
        <f aca="false">_xlfn.IFS(O93="взв",11,O93="накл",24,O93="прокл",25,O93="пт",26,O93=90,10,O93=85,10,O93=80,9,O93=75,8,O93=70,8,O93=65,7,O93=60,7,O93=55,6,O93=50,6,O93=45,6,O93=40,5,O93=35,4,O93=30,4,O93=25,3,O93=20,2,O93=15,1,O93=10,1,O93=0,0)</f>
        <v>0</v>
      </c>
      <c r="R93" s="3" t="n">
        <f aca="false">IF(P93&lt;=1,0,IF(P93&lt;=10,11,IF(P93&lt;=14,12,IF(P93&lt;=17,13,IF(P93&lt;=20,14,IF(P93&lt;=22,15,IF(P93&lt;=25,16,IF(P93&lt;=27,17,IF(P93&lt;=29,18,IF(P93&lt;=32,19,IF(P93&lt;=34,20,IF(P93&lt;=36,21,IF(P93&lt;=40,22,24)))))))))))))</f>
        <v>21</v>
      </c>
      <c r="S93" s="14" t="n">
        <f aca="false">ROUND((Q93+R93+I93+J93+M93+N93)/3,0)</f>
        <v>22</v>
      </c>
      <c r="T93" s="15" t="n">
        <f aca="false">F93*LOG10(S93+2)</f>
        <v>0</v>
      </c>
    </row>
    <row r="94" customFormat="false" ht="14.65" hidden="false" customHeight="true" outlineLevel="0" collapsed="false">
      <c r="A94" s="12" t="s">
        <v>124</v>
      </c>
      <c r="B94" s="13" t="n">
        <v>38886</v>
      </c>
      <c r="C94" s="3" t="s">
        <v>24</v>
      </c>
      <c r="D94" s="4" t="s">
        <v>54</v>
      </c>
      <c r="E94" s="3" t="n">
        <v>5</v>
      </c>
      <c r="F94" s="3" t="n">
        <v>0</v>
      </c>
      <c r="H94" s="3" t="n">
        <v>24</v>
      </c>
      <c r="I94" s="3" t="n">
        <f aca="false">_xlfn.IFS(G94="взв",11,G94="накл",24,G94="прокл",25,G94="пт",26,G94=90,10,G94=85,10,G94=80,9,G94=75,8,G94=70,8,G94=65,7,G94=60,7,G94=55,6,G94=50,6,G94=45,6,G94=40,5,G94=35,4,G94=30,4,G94=25,3,G94=20,2,G94=15,1,G94=10,1,G94=0,0)</f>
        <v>0</v>
      </c>
      <c r="J94" s="3" t="n">
        <f aca="false">IF(H94&lt;=1,0,IF(H94&lt;=10,11,IF(H94&lt;=14,12,IF(H94&lt;=17,13,IF(H94&lt;=20,14,IF(H94&lt;=22,15,IF(H94&lt;=25,16,IF(H94&lt;=27,17,IF(H94&lt;=29,18,IF(H94&lt;=32,19,IF(H94&lt;=34,20,IF(H94&lt;=36,21,IF(H94&lt;=40,22,24)))))))))))))</f>
        <v>16</v>
      </c>
      <c r="L94" s="3" t="n">
        <v>19</v>
      </c>
      <c r="M94" s="3" t="n">
        <f aca="false">_xlfn.IFS(K94="взв",11,K94="накл",24,K94="прокл",25,K94="пт",26,K94=90,10,K94=85,10,K94=80,9,K94=75,8,K94=70,8,K94=65,7,K94=60,7,K94=55,6,K94=50,6,K94=45,6,K94=40,5,K94=35,4,K94=30,4,K94=25,3,K94=20,2,K94=15,1,K94=10,1,K94=0,0)</f>
        <v>0</v>
      </c>
      <c r="N94" s="3" t="n">
        <f aca="false">IF(L94&lt;=1,0,IF(L94&lt;=10,11,IF(L94&lt;=14,12,IF(L94&lt;=17,13,IF(L94&lt;=20,14,IF(L94&lt;=22,15,IF(L94&lt;=25,16,IF(L94&lt;=27,17,IF(L94&lt;=29,18,IF(L94&lt;=32,19,IF(L94&lt;=34,20,IF(L94&lt;=36,21,IF(L94&lt;=40,22,24)))))))))))))</f>
        <v>14</v>
      </c>
      <c r="P94" s="3" t="n">
        <v>18</v>
      </c>
      <c r="Q94" s="3" t="n">
        <f aca="false">_xlfn.IFS(O94="взв",11,O94="накл",24,O94="прокл",25,O94="пт",26,O94=90,10,O94=85,10,O94=80,9,O94=75,8,O94=70,8,O94=65,7,O94=60,7,O94=55,6,O94=50,6,O94=45,6,O94=40,5,O94=35,4,O94=30,4,O94=25,3,O94=20,2,O94=15,1,O94=10,1,O94=0,0)</f>
        <v>0</v>
      </c>
      <c r="R94" s="3" t="n">
        <f aca="false">IF(P94&lt;=1,0,IF(P94&lt;=10,11,IF(P94&lt;=14,12,IF(P94&lt;=17,13,IF(P94&lt;=20,14,IF(P94&lt;=22,15,IF(P94&lt;=25,16,IF(P94&lt;=27,17,IF(P94&lt;=29,18,IF(P94&lt;=32,19,IF(P94&lt;=34,20,IF(P94&lt;=36,21,IF(P94&lt;=40,22,24)))))))))))))</f>
        <v>14</v>
      </c>
      <c r="S94" s="14" t="n">
        <f aca="false">ROUND((Q94+R94+I94+J94+M94+N94)/3,0)</f>
        <v>15</v>
      </c>
      <c r="T94" s="15" t="n">
        <f aca="false">F94*LOG10(S94+2)</f>
        <v>0</v>
      </c>
    </row>
    <row r="95" customFormat="false" ht="14.65" hidden="false" customHeight="true" outlineLevel="0" collapsed="false">
      <c r="A95" s="12" t="s">
        <v>125</v>
      </c>
      <c r="B95" s="13" t="n">
        <v>38886</v>
      </c>
      <c r="C95" s="3" t="s">
        <v>24</v>
      </c>
      <c r="D95" s="4" t="s">
        <v>54</v>
      </c>
      <c r="E95" s="3" t="n">
        <v>5</v>
      </c>
      <c r="F95" s="3" t="n">
        <v>0</v>
      </c>
      <c r="H95" s="3" t="n">
        <v>24</v>
      </c>
      <c r="I95" s="3" t="n">
        <f aca="false">_xlfn.IFS(G95="взв",11,G95="накл",24,G95="прокл",25,G95="пт",26,G95=90,10,G95=85,10,G95=80,9,G95=75,8,G95=70,8,G95=65,7,G95=60,7,G95=55,6,G95=50,6,G95=45,6,G95=40,5,G95=35,4,G95=30,4,G95=25,3,G95=20,2,G95=15,1,G95=10,1,G95=0,0)</f>
        <v>0</v>
      </c>
      <c r="J95" s="3" t="n">
        <f aca="false">IF(H95&lt;=1,0,IF(H95&lt;=10,11,IF(H95&lt;=14,12,IF(H95&lt;=17,13,IF(H95&lt;=20,14,IF(H95&lt;=22,15,IF(H95&lt;=25,16,IF(H95&lt;=27,17,IF(H95&lt;=29,18,IF(H95&lt;=32,19,IF(H95&lt;=34,20,IF(H95&lt;=36,21,IF(H95&lt;=40,22,24)))))))))))))</f>
        <v>16</v>
      </c>
      <c r="L95" s="3" t="n">
        <v>25</v>
      </c>
      <c r="M95" s="3" t="n">
        <f aca="false">_xlfn.IFS(K95="взв",11,K95="накл",24,K95="прокл",25,K95="пт",26,K95=90,10,K95=85,10,K95=80,9,K95=75,8,K95=70,8,K95=65,7,K95=60,7,K95=55,6,K95=50,6,K95=45,6,K95=40,5,K95=35,4,K95=30,4,K95=25,3,K95=20,2,K95=15,1,K95=10,1,K95=0,0)</f>
        <v>0</v>
      </c>
      <c r="N95" s="3" t="n">
        <f aca="false">IF(L95&lt;=1,0,IF(L95&lt;=10,11,IF(L95&lt;=14,12,IF(L95&lt;=17,13,IF(L95&lt;=20,14,IF(L95&lt;=22,15,IF(L95&lt;=25,16,IF(L95&lt;=27,17,IF(L95&lt;=29,18,IF(L95&lt;=32,19,IF(L95&lt;=34,20,IF(L95&lt;=36,21,IF(L95&lt;=40,22,24)))))))))))))</f>
        <v>16</v>
      </c>
      <c r="P95" s="3" t="n">
        <v>27</v>
      </c>
      <c r="Q95" s="3" t="n">
        <f aca="false">_xlfn.IFS(O95="взв",11,O95="накл",24,O95="прокл",25,O95="пт",26,O95=90,10,O95=85,10,O95=80,9,O95=75,8,O95=70,8,O95=65,7,O95=60,7,O95=55,6,O95=50,6,O95=45,6,O95=40,5,O95=35,4,O95=30,4,O95=25,3,O95=20,2,O95=15,1,O95=10,1,O95=0,0)</f>
        <v>0</v>
      </c>
      <c r="R95" s="3" t="n">
        <f aca="false">IF(P95&lt;=1,0,IF(P95&lt;=10,11,IF(P95&lt;=14,12,IF(P95&lt;=17,13,IF(P95&lt;=20,14,IF(P95&lt;=22,15,IF(P95&lt;=25,16,IF(P95&lt;=27,17,IF(P95&lt;=29,18,IF(P95&lt;=32,19,IF(P95&lt;=34,20,IF(P95&lt;=36,21,IF(P95&lt;=40,22,24)))))))))))))</f>
        <v>17</v>
      </c>
      <c r="S95" s="14" t="n">
        <f aca="false">ROUND((Q95+R95+I95+J95+M95+N95)/3,0)</f>
        <v>16</v>
      </c>
      <c r="T95" s="15" t="n">
        <f aca="false">F95*LOG10(S95+2)</f>
        <v>0</v>
      </c>
    </row>
    <row r="96" customFormat="false" ht="14.65" hidden="false" customHeight="true" outlineLevel="0" collapsed="false">
      <c r="A96" s="12" t="s">
        <v>126</v>
      </c>
      <c r="B96" s="13" t="n">
        <v>38886</v>
      </c>
      <c r="C96" s="3" t="s">
        <v>24</v>
      </c>
      <c r="D96" s="4" t="s">
        <v>54</v>
      </c>
      <c r="E96" s="3" t="n">
        <v>9</v>
      </c>
      <c r="F96" s="3" t="n">
        <v>0</v>
      </c>
      <c r="H96" s="3" t="n">
        <v>39</v>
      </c>
      <c r="I96" s="3" t="n">
        <f aca="false">_xlfn.IFS(G96="взв",11,G96="накл",24,G96="прокл",25,G96="пт",26,G96=90,10,G96=85,10,G96=80,9,G96=75,8,G96=70,8,G96=65,7,G96=60,7,G96=55,6,G96=50,6,G96=45,6,G96=40,5,G96=35,4,G96=30,4,G96=25,3,G96=20,2,G96=15,1,G96=10,1,G96=0,0)</f>
        <v>0</v>
      </c>
      <c r="J96" s="3" t="n">
        <f aca="false">IF(H96&lt;=1,0,IF(H96&lt;=10,11,IF(H96&lt;=14,12,IF(H96&lt;=17,13,IF(H96&lt;=20,14,IF(H96&lt;=22,15,IF(H96&lt;=25,16,IF(H96&lt;=27,17,IF(H96&lt;=29,18,IF(H96&lt;=32,19,IF(H96&lt;=34,20,IF(H96&lt;=36,21,IF(H96&lt;=40,22,24)))))))))))))</f>
        <v>22</v>
      </c>
      <c r="L96" s="3" t="n">
        <v>40</v>
      </c>
      <c r="M96" s="3" t="n">
        <f aca="false">_xlfn.IFS(K96="взв",11,K96="накл",24,K96="прокл",25,K96="пт",26,K96=90,10,K96=85,10,K96=80,9,K96=75,8,K96=70,8,K96=65,7,K96=60,7,K96=55,6,K96=50,6,K96=45,6,K96=40,5,K96=35,4,K96=30,4,K96=25,3,K96=20,2,K96=15,1,K96=10,1,K96=0,0)</f>
        <v>0</v>
      </c>
      <c r="N96" s="3" t="n">
        <f aca="false">IF(L96&lt;=1,0,IF(L96&lt;=10,11,IF(L96&lt;=14,12,IF(L96&lt;=17,13,IF(L96&lt;=20,14,IF(L96&lt;=22,15,IF(L96&lt;=25,16,IF(L96&lt;=27,17,IF(L96&lt;=29,18,IF(L96&lt;=32,19,IF(L96&lt;=34,20,IF(L96&lt;=36,21,IF(L96&lt;=40,22,24)))))))))))))</f>
        <v>22</v>
      </c>
      <c r="P96" s="3" t="n">
        <v>33</v>
      </c>
      <c r="Q96" s="3" t="n">
        <f aca="false">_xlfn.IFS(O96="взв",11,O96="накл",24,O96="прокл",25,O96="пт",26,O96=90,10,O96=85,10,O96=80,9,O96=75,8,O96=70,8,O96=65,7,O96=60,7,O96=55,6,O96=50,6,O96=45,6,O96=40,5,O96=35,4,O96=30,4,O96=25,3,O96=20,2,O96=15,1,O96=10,1,O96=0,0)</f>
        <v>0</v>
      </c>
      <c r="R96" s="3" t="n">
        <f aca="false">IF(P96&lt;=1,0,IF(P96&lt;=10,11,IF(P96&lt;=14,12,IF(P96&lt;=17,13,IF(P96&lt;=20,14,IF(P96&lt;=22,15,IF(P96&lt;=25,16,IF(P96&lt;=27,17,IF(P96&lt;=29,18,IF(P96&lt;=32,19,IF(P96&lt;=34,20,IF(P96&lt;=36,21,IF(P96&lt;=40,22,24)))))))))))))</f>
        <v>20</v>
      </c>
      <c r="S96" s="14" t="n">
        <f aca="false">ROUND((Q96+R96+I96+J96+M96+N96)/3,0)</f>
        <v>21</v>
      </c>
      <c r="T96" s="15" t="n">
        <f aca="false">F96*LOG10(S96+2)</f>
        <v>0</v>
      </c>
    </row>
    <row r="97" customFormat="false" ht="14.65" hidden="false" customHeight="true" outlineLevel="0" collapsed="false">
      <c r="A97" s="12" t="s">
        <v>127</v>
      </c>
      <c r="B97" s="13" t="n">
        <v>38886</v>
      </c>
      <c r="C97" s="3" t="s">
        <v>24</v>
      </c>
      <c r="D97" s="4" t="s">
        <v>54</v>
      </c>
      <c r="E97" s="3" t="n">
        <v>5</v>
      </c>
      <c r="F97" s="3" t="n">
        <v>0</v>
      </c>
      <c r="H97" s="3" t="n">
        <v>41</v>
      </c>
      <c r="I97" s="3" t="n">
        <f aca="false">_xlfn.IFS(G97="взв",11,G97="накл",24,G97="прокл",25,G97="пт",26,G97=90,10,G97=85,10,G97=80,9,G97=75,8,G97=70,8,G97=65,7,G97=60,7,G97=55,6,G97=50,6,G97=45,6,G97=40,5,G97=35,4,G97=30,4,G97=25,3,G97=20,2,G97=15,1,G97=10,1,G97=0,0)</f>
        <v>0</v>
      </c>
      <c r="J97" s="3" t="n">
        <f aca="false">IF(H97&lt;=1,0,IF(H97&lt;=10,11,IF(H97&lt;=14,12,IF(H97&lt;=17,13,IF(H97&lt;=20,14,IF(H97&lt;=22,15,IF(H97&lt;=25,16,IF(H97&lt;=27,17,IF(H97&lt;=29,18,IF(H97&lt;=32,19,IF(H97&lt;=34,20,IF(H97&lt;=36,21,IF(H97&lt;=40,22,24)))))))))))))</f>
        <v>24</v>
      </c>
      <c r="L97" s="3" t="n">
        <v>36</v>
      </c>
      <c r="M97" s="3" t="n">
        <f aca="false">_xlfn.IFS(K97="взв",11,K97="накл",24,K97="прокл",25,K97="пт",26,K97=90,10,K97=85,10,K97=80,9,K97=75,8,K97=70,8,K97=65,7,K97=60,7,K97=55,6,K97=50,6,K97=45,6,K97=40,5,K97=35,4,K97=30,4,K97=25,3,K97=20,2,K97=15,1,K97=10,1,K97=0,0)</f>
        <v>0</v>
      </c>
      <c r="N97" s="3" t="n">
        <f aca="false">IF(L97&lt;=1,0,IF(L97&lt;=10,11,IF(L97&lt;=14,12,IF(L97&lt;=17,13,IF(L97&lt;=20,14,IF(L97&lt;=22,15,IF(L97&lt;=25,16,IF(L97&lt;=27,17,IF(L97&lt;=29,18,IF(L97&lt;=32,19,IF(L97&lt;=34,20,IF(L97&lt;=36,21,IF(L97&lt;=40,22,24)))))))))))))</f>
        <v>21</v>
      </c>
      <c r="P97" s="3" t="n">
        <v>33</v>
      </c>
      <c r="Q97" s="3" t="n">
        <f aca="false">_xlfn.IFS(O97="взв",11,O97="накл",24,O97="прокл",25,O97="пт",26,O97=90,10,O97=85,10,O97=80,9,O97=75,8,O97=70,8,O97=65,7,O97=60,7,O97=55,6,O97=50,6,O97=45,6,O97=40,5,O97=35,4,O97=30,4,O97=25,3,O97=20,2,O97=15,1,O97=10,1,O97=0,0)</f>
        <v>0</v>
      </c>
      <c r="R97" s="3" t="n">
        <f aca="false">IF(P97&lt;=1,0,IF(P97&lt;=10,11,IF(P97&lt;=14,12,IF(P97&lt;=17,13,IF(P97&lt;=20,14,IF(P97&lt;=22,15,IF(P97&lt;=25,16,IF(P97&lt;=27,17,IF(P97&lt;=29,18,IF(P97&lt;=32,19,IF(P97&lt;=34,20,IF(P97&lt;=36,21,IF(P97&lt;=40,22,24)))))))))))))</f>
        <v>20</v>
      </c>
      <c r="S97" s="14" t="n">
        <f aca="false">ROUND((Q97+R97+I97+J97+M97+N97)/3,0)</f>
        <v>22</v>
      </c>
      <c r="T97" s="15" t="n">
        <f aca="false">F97*LOG10(S97+2)</f>
        <v>0</v>
      </c>
    </row>
    <row r="98" customFormat="false" ht="14.65" hidden="false" customHeight="true" outlineLevel="0" collapsed="false">
      <c r="A98" s="12" t="s">
        <v>128</v>
      </c>
      <c r="B98" s="13" t="n">
        <v>38886</v>
      </c>
      <c r="C98" s="3" t="s">
        <v>24</v>
      </c>
      <c r="D98" s="4" t="s">
        <v>54</v>
      </c>
      <c r="E98" s="3" t="n">
        <v>1</v>
      </c>
      <c r="F98" s="3" t="n">
        <v>0</v>
      </c>
      <c r="H98" s="3" t="n">
        <v>25</v>
      </c>
      <c r="I98" s="3" t="n">
        <f aca="false">_xlfn.IFS(G98="взв",11,G98="накл",24,G98="прокл",25,G98="пт",26,G98=90,10,G98=85,10,G98=80,9,G98=75,8,G98=70,8,G98=65,7,G98=60,7,G98=55,6,G98=50,6,G98=45,6,G98=40,5,G98=35,4,G98=30,4,G98=25,3,G98=20,2,G98=15,1,G98=10,1,G98=0,0)</f>
        <v>0</v>
      </c>
      <c r="J98" s="3" t="n">
        <f aca="false">IF(H98&lt;=1,0,IF(H98&lt;=10,11,IF(H98&lt;=14,12,IF(H98&lt;=17,13,IF(H98&lt;=20,14,IF(H98&lt;=22,15,IF(H98&lt;=25,16,IF(H98&lt;=27,17,IF(H98&lt;=29,18,IF(H98&lt;=32,19,IF(H98&lt;=34,20,IF(H98&lt;=36,21,IF(H98&lt;=40,22,24)))))))))))))</f>
        <v>16</v>
      </c>
      <c r="M98" s="3" t="n">
        <f aca="false">_xlfn.IFS(K98="взв",11,K98="накл",24,K98="прокл",25,K98="пт",26,K98=90,10,K98=85,10,K98=80,9,K98=75,8,K98=70,8,K98=65,7,K98=60,7,K98=55,6,K98=50,6,K98=45,6,K98=40,5,K98=35,4,K98=30,4,K98=25,3,K98=20,2,K98=15,1,K98=10,1,K98=0,0)</f>
        <v>0</v>
      </c>
      <c r="N98" s="3" t="n">
        <f aca="false">IF(L98&lt;=1,0,IF(L98&lt;=10,11,IF(L98&lt;=14,12,IF(L98&lt;=17,13,IF(L98&lt;=20,14,IF(L98&lt;=22,15,IF(L98&lt;=25,16,IF(L98&lt;=27,17,IF(L98&lt;=29,18,IF(L98&lt;=32,19,IF(L98&lt;=34,20,IF(L98&lt;=36,21,IF(L98&lt;=40,22,24)))))))))))))</f>
        <v>0</v>
      </c>
      <c r="Q98" s="3" t="n">
        <f aca="false">_xlfn.IFS(O98="взв",11,O98="накл",24,O98="прокл",25,O98="пт",26,O98=90,10,O98=85,10,O98=80,9,O98=75,8,O98=70,8,O98=65,7,O98=60,7,O98=55,6,O98=50,6,O98=45,6,O98=40,5,O98=35,4,O98=30,4,O98=25,3,O98=20,2,O98=15,1,O98=10,1,O98=0,0)</f>
        <v>0</v>
      </c>
      <c r="R98" s="3" t="n">
        <f aca="false">IF(P98&lt;=1,0,IF(P98&lt;=10,11,IF(P98&lt;=14,12,IF(P98&lt;=17,13,IF(P98&lt;=20,14,IF(P98&lt;=22,15,IF(P98&lt;=25,16,IF(P98&lt;=27,17,IF(P98&lt;=29,18,IF(P98&lt;=32,19,IF(P98&lt;=34,20,IF(P98&lt;=36,21,IF(P98&lt;=40,22,24)))))))))))))</f>
        <v>0</v>
      </c>
      <c r="S98" s="14" t="n">
        <f aca="false">ROUND((Q98+R98+I98+J98+M98+N98)/3,0)</f>
        <v>5</v>
      </c>
      <c r="T98" s="15" t="n">
        <f aca="false">F98*LOG10(S98+2)</f>
        <v>0</v>
      </c>
    </row>
    <row r="99" customFormat="false" ht="14.65" hidden="false" customHeight="true" outlineLevel="0" collapsed="false">
      <c r="A99" s="12" t="s">
        <v>129</v>
      </c>
      <c r="B99" s="13" t="n">
        <v>38886</v>
      </c>
      <c r="C99" s="3" t="s">
        <v>24</v>
      </c>
      <c r="D99" s="4" t="s">
        <v>54</v>
      </c>
      <c r="E99" s="3" t="n">
        <v>5</v>
      </c>
      <c r="F99" s="3" t="n">
        <v>0</v>
      </c>
      <c r="G99" s="3" t="s">
        <v>27</v>
      </c>
      <c r="H99" s="0"/>
      <c r="I99" s="3" t="n">
        <f aca="false">_xlfn.IFS(G99="взв",11,G99="накл",24,G99="прокл",25,G99="пт",26,G99=90,10,G99=85,10,G99=80,9,G99=75,8,G99=70,8,G99=65,7,G99=60,7,G99=55,6,G99=50,6,G99=45,6,G99=40,5,G99=35,4,G99=30,4,G99=25,3,G99=20,2,G99=15,1,G99=10,1,G99=0,0)</f>
        <v>24</v>
      </c>
      <c r="J99" s="3" t="n">
        <f aca="false">IF(H99&lt;=1,0,IF(H99&lt;=10,11,IF(H99&lt;=14,12,IF(H99&lt;=17,13,IF(H99&lt;=20,14,IF(H99&lt;=22,15,IF(H99&lt;=25,16,IF(H99&lt;=27,17,IF(H99&lt;=29,18,IF(H99&lt;=32,19,IF(H99&lt;=34,20,IF(H99&lt;=36,21,IF(H99&lt;=40,22,24)))))))))))))</f>
        <v>0</v>
      </c>
      <c r="M99" s="3" t="n">
        <f aca="false">_xlfn.IFS(K99="взв",11,K99="накл",24,K99="прокл",25,K99="пт",26,K99=90,10,K99=85,10,K99=80,9,K99=75,8,K99=70,8,K99=65,7,K99=60,7,K99=55,6,K99=50,6,K99=45,6,K99=40,5,K99=35,4,K99=30,4,K99=25,3,K99=20,2,K99=15,1,K99=10,1,K99=0,0)</f>
        <v>0</v>
      </c>
      <c r="N99" s="3" t="n">
        <f aca="false">IF(L99&lt;=1,0,IF(L99&lt;=10,11,IF(L99&lt;=14,12,IF(L99&lt;=17,13,IF(L99&lt;=20,14,IF(L99&lt;=22,15,IF(L99&lt;=25,16,IF(L99&lt;=27,17,IF(L99&lt;=29,18,IF(L99&lt;=32,19,IF(L99&lt;=34,20,IF(L99&lt;=36,21,IF(L99&lt;=40,22,24)))))))))))))</f>
        <v>0</v>
      </c>
      <c r="Q99" s="3" t="n">
        <f aca="false">_xlfn.IFS(O99="взв",11,O99="накл",24,O99="прокл",25,O99="пт",26,O99=90,10,O99=85,10,O99=80,9,O99=75,8,O99=70,8,O99=65,7,O99=60,7,O99=55,6,O99=50,6,O99=45,6,O99=40,5,O99=35,4,O99=30,4,O99=25,3,O99=20,2,O99=15,1,O99=10,1,O99=0,0)</f>
        <v>0</v>
      </c>
      <c r="R99" s="3" t="n">
        <f aca="false">IF(P99&lt;=1,0,IF(P99&lt;=10,11,IF(P99&lt;=14,12,IF(P99&lt;=17,13,IF(P99&lt;=20,14,IF(P99&lt;=22,15,IF(P99&lt;=25,16,IF(P99&lt;=27,17,IF(P99&lt;=29,18,IF(P99&lt;=32,19,IF(P99&lt;=34,20,IF(P99&lt;=36,21,IF(P99&lt;=40,22,24)))))))))))))</f>
        <v>0</v>
      </c>
      <c r="S99" s="14" t="n">
        <v>24</v>
      </c>
      <c r="T99" s="15" t="n">
        <f aca="false">F99*LOG10(S99+2)</f>
        <v>0</v>
      </c>
    </row>
    <row r="100" customFormat="false" ht="14.65" hidden="false" customHeight="true" outlineLevel="0" collapsed="false">
      <c r="A100" s="12" t="s">
        <v>130</v>
      </c>
      <c r="B100" s="13" t="n">
        <v>38886</v>
      </c>
      <c r="C100" s="3" t="s">
        <v>24</v>
      </c>
      <c r="D100" s="4" t="s">
        <v>54</v>
      </c>
      <c r="E100" s="3" t="n">
        <v>5</v>
      </c>
      <c r="F100" s="3" t="n">
        <v>0</v>
      </c>
      <c r="G100" s="3" t="s">
        <v>38</v>
      </c>
      <c r="I100" s="3" t="n">
        <f aca="false">_xlfn.IFS(G100="взв",11,G100="накл",24,G100="прокл",25,G100="пт",26,G100=90,10,G100=85,10,G100=80,9,G100=75,8,G100=70,8,G100=65,7,G100=60,7,G100=55,6,G100=50,6,G100=45,6,G100=40,5,G100=35,4,G100=30,4,G100=25,3,G100=20,2,G100=15,1,G100=10,1,G100=0,0)</f>
        <v>26</v>
      </c>
      <c r="J100" s="3" t="n">
        <f aca="false">IF(H100&lt;=1,0,IF(H100&lt;=10,11,IF(H100&lt;=14,12,IF(H100&lt;=17,13,IF(H100&lt;=20,14,IF(H100&lt;=22,15,IF(H100&lt;=25,16,IF(H100&lt;=27,17,IF(H100&lt;=29,18,IF(H100&lt;=32,19,IF(H100&lt;=34,20,IF(H100&lt;=36,21,IF(H100&lt;=40,22,24)))))))))))))</f>
        <v>0</v>
      </c>
      <c r="K100" s="3" t="s">
        <v>38</v>
      </c>
      <c r="M100" s="3" t="n">
        <f aca="false">_xlfn.IFS(K100="взв",11,K100="накл",24,K100="прокл",25,K100="пт",26,K100=90,10,K100=85,10,K100=80,9,K100=75,8,K100=70,8,K100=65,7,K100=60,7,K100=55,6,K100=50,6,K100=45,6,K100=40,5,K100=35,4,K100=30,4,K100=25,3,K100=20,2,K100=15,1,K100=10,1,K100=0,0)</f>
        <v>26</v>
      </c>
      <c r="N100" s="3" t="n">
        <f aca="false">IF(L100&lt;=1,0,IF(L100&lt;=10,11,IF(L100&lt;=14,12,IF(L100&lt;=17,13,IF(L100&lt;=20,14,IF(L100&lt;=22,15,IF(L100&lt;=25,16,IF(L100&lt;=27,17,IF(L100&lt;=29,18,IF(L100&lt;=32,19,IF(L100&lt;=34,20,IF(L100&lt;=36,21,IF(L100&lt;=40,22,24)))))))))))))</f>
        <v>0</v>
      </c>
      <c r="O100" s="3" t="s">
        <v>38</v>
      </c>
      <c r="Q100" s="3" t="n">
        <f aca="false">_xlfn.IFS(O100="взв",11,O100="накл",24,O100="прокл",25,O100="пт",26,O100=90,10,O100=85,10,O100=80,9,O100=75,8,O100=70,8,O100=65,7,O100=60,7,O100=55,6,O100=50,6,O100=45,6,O100=40,5,O100=35,4,O100=30,4,O100=25,3,O100=20,2,O100=15,1,O100=10,1,O100=0,0)</f>
        <v>26</v>
      </c>
      <c r="R100" s="3" t="n">
        <f aca="false">IF(P100&lt;=1,0,IF(P100&lt;=10,11,IF(P100&lt;=14,12,IF(P100&lt;=17,13,IF(P100&lt;=20,14,IF(P100&lt;=22,15,IF(P100&lt;=25,16,IF(P100&lt;=27,17,IF(P100&lt;=29,18,IF(P100&lt;=32,19,IF(P100&lt;=34,20,IF(P100&lt;=36,21,IF(P100&lt;=40,22,24)))))))))))))</f>
        <v>0</v>
      </c>
      <c r="S100" s="14" t="n">
        <f aca="false">ROUND((Q100+R100+I100+J100+M100+N100)/3,0)</f>
        <v>26</v>
      </c>
      <c r="T100" s="15" t="n">
        <f aca="false">F100*LOG10(S100+2)</f>
        <v>0</v>
      </c>
    </row>
    <row r="101" customFormat="false" ht="14.65" hidden="false" customHeight="true" outlineLevel="0" collapsed="false">
      <c r="A101" s="12" t="s">
        <v>131</v>
      </c>
      <c r="B101" s="13" t="n">
        <v>38886</v>
      </c>
      <c r="C101" s="3" t="s">
        <v>24</v>
      </c>
      <c r="D101" s="4" t="s">
        <v>54</v>
      </c>
      <c r="E101" s="3" t="n">
        <v>2</v>
      </c>
      <c r="F101" s="3" t="n">
        <v>0</v>
      </c>
      <c r="G101" s="3" t="n">
        <v>60</v>
      </c>
      <c r="I101" s="3" t="n">
        <f aca="false">_xlfn.IFS(G101="взв",11,G101="накл",24,G101="прокл",25,G101="пт",26,G101=90,10,G101=85,10,G101=80,9,G101=75,8,G101=70,8,G101=65,7,G101=60,7,G101=55,6,G101=50,6,G101=45,6,G101=40,5,G101=35,4,G101=30,4,G101=25,3,G101=20,2,G101=15,1,G101=10,1,G101=0,0)</f>
        <v>7</v>
      </c>
      <c r="J101" s="3" t="n">
        <f aca="false">IF(H101&lt;=1,0,IF(H101&lt;=10,11,IF(H101&lt;=14,12,IF(H101&lt;=17,13,IF(H101&lt;=20,14,IF(H101&lt;=22,15,IF(H101&lt;=25,16,IF(H101&lt;=27,17,IF(H101&lt;=29,18,IF(H101&lt;=32,19,IF(H101&lt;=34,20,IF(H101&lt;=36,21,IF(H101&lt;=40,22,24)))))))))))))</f>
        <v>0</v>
      </c>
      <c r="K101" s="3" t="n">
        <v>60</v>
      </c>
      <c r="M101" s="3" t="n">
        <f aca="false">_xlfn.IFS(K101="взв",11,K101="накл",24,K101="прокл",25,K101="пт",26,K101=90,10,K101=85,10,K101=80,9,K101=75,8,K101=70,8,K101=65,7,K101=60,7,K101=55,6,K101=50,6,K101=45,6,K101=40,5,K101=35,4,K101=30,4,K101=25,3,K101=20,2,K101=15,1,K101=10,1,K101=0,0)</f>
        <v>7</v>
      </c>
      <c r="N101" s="3" t="n">
        <f aca="false">IF(L101&lt;=1,0,IF(L101&lt;=10,11,IF(L101&lt;=14,12,IF(L101&lt;=17,13,IF(L101&lt;=20,14,IF(L101&lt;=22,15,IF(L101&lt;=25,16,IF(L101&lt;=27,17,IF(L101&lt;=29,18,IF(L101&lt;=32,19,IF(L101&lt;=34,20,IF(L101&lt;=36,21,IF(L101&lt;=40,22,24)))))))))))))</f>
        <v>0</v>
      </c>
      <c r="Q101" s="3" t="n">
        <f aca="false">_xlfn.IFS(O101="взв",11,O101="накл",24,O101="прокл",25,O101="пт",26,O101=90,10,O101=85,10,O101=80,9,O101=75,8,O101=70,8,O101=65,7,O101=60,7,O101=55,6,O101=50,6,O101=45,6,O101=40,5,O101=35,4,O101=30,4,O101=25,3,O101=20,2,O101=15,1,O101=10,1,O101=0,0)</f>
        <v>0</v>
      </c>
      <c r="R101" s="3" t="n">
        <f aca="false">IF(P101&lt;=1,0,IF(P101&lt;=10,11,IF(P101&lt;=14,12,IF(P101&lt;=17,13,IF(P101&lt;=20,14,IF(P101&lt;=22,15,IF(P101&lt;=25,16,IF(P101&lt;=27,17,IF(P101&lt;=29,18,IF(P101&lt;=32,19,IF(P101&lt;=34,20,IF(P101&lt;=36,21,IF(P101&lt;=40,22,24)))))))))))))</f>
        <v>0</v>
      </c>
      <c r="S101" s="14" t="n">
        <f aca="false">ROUND((Q101+R101+I101+J101+M101+N101)/2,0)</f>
        <v>7</v>
      </c>
      <c r="T101" s="15" t="n">
        <f aca="false">F101*LOG10(S101+2)</f>
        <v>0</v>
      </c>
    </row>
    <row r="102" customFormat="false" ht="14.65" hidden="false" customHeight="true" outlineLevel="0" collapsed="false">
      <c r="A102" s="12" t="s">
        <v>132</v>
      </c>
      <c r="B102" s="13" t="n">
        <v>38886</v>
      </c>
      <c r="C102" s="3" t="s">
        <v>24</v>
      </c>
      <c r="D102" s="4" t="s">
        <v>54</v>
      </c>
      <c r="E102" s="3" t="n">
        <v>4</v>
      </c>
      <c r="F102" s="3" t="n">
        <v>0</v>
      </c>
      <c r="H102" s="3" t="n">
        <v>36</v>
      </c>
      <c r="I102" s="3" t="n">
        <f aca="false">_xlfn.IFS(G102="взв",11,G102="накл",24,G102="прокл",25,G102="пт",26,G102=90,10,G102=85,10,G102=80,9,G102=75,8,G102=70,8,G102=65,7,G102=60,7,G102=55,6,G102=50,6,G102=45,6,G102=40,5,G102=35,4,G102=30,4,G102=25,3,G102=20,2,G102=15,1,G102=10,1,G102=0,0)</f>
        <v>0</v>
      </c>
      <c r="J102" s="3" t="n">
        <f aca="false">IF(H102&lt;=1,0,IF(H102&lt;=10,11,IF(H102&lt;=14,12,IF(H102&lt;=17,13,IF(H102&lt;=20,14,IF(H102&lt;=22,15,IF(H102&lt;=25,16,IF(H102&lt;=27,17,IF(H102&lt;=29,18,IF(H102&lt;=32,19,IF(H102&lt;=34,20,IF(H102&lt;=36,21,IF(H102&lt;=40,22,24)))))))))))))</f>
        <v>21</v>
      </c>
      <c r="L102" s="3" t="n">
        <v>37</v>
      </c>
      <c r="M102" s="3" t="n">
        <f aca="false">_xlfn.IFS(K102="взв",11,K102="накл",24,K102="прокл",25,K102="пт",26,K102=90,10,K102=85,10,K102=80,9,K102=75,8,K102=70,8,K102=65,7,K102=60,7,K102=55,6,K102=50,6,K102=45,6,K102=40,5,K102=35,4,K102=30,4,K102=25,3,K102=20,2,K102=15,1,K102=10,1,K102=0,0)</f>
        <v>0</v>
      </c>
      <c r="N102" s="3" t="n">
        <f aca="false">IF(L102&lt;=1,0,IF(L102&lt;=10,11,IF(L102&lt;=14,12,IF(L102&lt;=17,13,IF(L102&lt;=20,14,IF(L102&lt;=22,15,IF(L102&lt;=25,16,IF(L102&lt;=27,17,IF(L102&lt;=29,18,IF(L102&lt;=32,19,IF(L102&lt;=34,20,IF(L102&lt;=36,21,IF(L102&lt;=40,22,24)))))))))))))</f>
        <v>22</v>
      </c>
      <c r="P102" s="3" t="n">
        <v>36</v>
      </c>
      <c r="Q102" s="3" t="n">
        <f aca="false">_xlfn.IFS(O102="взв",11,O102="накл",24,O102="прокл",25,O102="пт",26,O102=90,10,O102=85,10,O102=80,9,O102=75,8,O102=70,8,O102=65,7,O102=60,7,O102=55,6,O102=50,6,O102=45,6,O102=40,5,O102=35,4,O102=30,4,O102=25,3,O102=20,2,O102=15,1,O102=10,1,O102=0,0)</f>
        <v>0</v>
      </c>
      <c r="R102" s="3" t="n">
        <f aca="false">IF(P102&lt;=1,0,IF(P102&lt;=10,11,IF(P102&lt;=14,12,IF(P102&lt;=17,13,IF(P102&lt;=20,14,IF(P102&lt;=22,15,IF(P102&lt;=25,16,IF(P102&lt;=27,17,IF(P102&lt;=29,18,IF(P102&lt;=32,19,IF(P102&lt;=34,20,IF(P102&lt;=36,21,IF(P102&lt;=40,22,24)))))))))))))</f>
        <v>21</v>
      </c>
      <c r="S102" s="14" t="n">
        <f aca="false">ROUND((Q102+R102+I102+J102+M102+N102)/3,0)</f>
        <v>21</v>
      </c>
      <c r="T102" s="15" t="n">
        <f aca="false">F102*LOG10(S102+2)</f>
        <v>0</v>
      </c>
    </row>
    <row r="103" customFormat="false" ht="14.65" hidden="false" customHeight="true" outlineLevel="0" collapsed="false">
      <c r="A103" s="12" t="s">
        <v>133</v>
      </c>
      <c r="B103" s="13" t="n">
        <v>38886</v>
      </c>
      <c r="C103" s="3" t="s">
        <v>24</v>
      </c>
      <c r="D103" s="4" t="s">
        <v>54</v>
      </c>
      <c r="E103" s="3" t="n">
        <v>4</v>
      </c>
      <c r="F103" s="3" t="n">
        <v>0</v>
      </c>
      <c r="G103" s="3" t="s">
        <v>47</v>
      </c>
      <c r="I103" s="3" t="n">
        <f aca="false">_xlfn.IFS(G103="взв",11,G103="накл",24,G103="прокл",25,G103="пт",26,G103=90,10,G103=85,10,G103=80,9,G103=75,8,G103=70,8,G103=65,7,G103=60,7,G103=55,6,G103=50,6,G103=45,6,G103=40,5,G103=35,4,G103=30,4,G103=25,3,G103=20,2,G103=15,1,G103=10,1,G103=0,0)</f>
        <v>25</v>
      </c>
      <c r="J103" s="3" t="n">
        <f aca="false">IF(H103&lt;=1,0,IF(H103&lt;=10,11,IF(H103&lt;=14,12,IF(H103&lt;=17,13,IF(H103&lt;=20,14,IF(H103&lt;=22,15,IF(H103&lt;=25,16,IF(H103&lt;=27,17,IF(H103&lt;=29,18,IF(H103&lt;=32,19,IF(H103&lt;=34,20,IF(H103&lt;=36,21,IF(H103&lt;=40,22,24)))))))))))))</f>
        <v>0</v>
      </c>
      <c r="K103" s="3" t="s">
        <v>38</v>
      </c>
      <c r="M103" s="3" t="n">
        <f aca="false">_xlfn.IFS(K103="взв",11,K103="накл",24,K103="прокл",25,K103="пт",26,K103=90,10,K103=85,10,K103=80,9,K103=75,8,K103=70,8,K103=65,7,K103=60,7,K103=55,6,K103=50,6,K103=45,6,K103=40,5,K103=35,4,K103=30,4,K103=25,3,K103=20,2,K103=15,1,K103=10,1,K103=0,0)</f>
        <v>26</v>
      </c>
      <c r="N103" s="3" t="n">
        <f aca="false">IF(L103&lt;=1,0,IF(L103&lt;=10,11,IF(L103&lt;=14,12,IF(L103&lt;=17,13,IF(L103&lt;=20,14,IF(L103&lt;=22,15,IF(L103&lt;=25,16,IF(L103&lt;=27,17,IF(L103&lt;=29,18,IF(L103&lt;=32,19,IF(L103&lt;=34,20,IF(L103&lt;=36,21,IF(L103&lt;=40,22,24)))))))))))))</f>
        <v>0</v>
      </c>
      <c r="O103" s="3" t="s">
        <v>38</v>
      </c>
      <c r="Q103" s="3" t="n">
        <f aca="false">_xlfn.IFS(O103="взв",11,O103="накл",24,O103="прокл",25,O103="пт",26,O103=90,10,O103=85,10,O103=80,9,O103=75,8,O103=70,8,O103=65,7,O103=60,7,O103=55,6,O103=50,6,O103=45,6,O103=40,5,O103=35,4,O103=30,4,O103=25,3,O103=20,2,O103=15,1,O103=10,1,O103=0,0)</f>
        <v>26</v>
      </c>
      <c r="R103" s="3" t="n">
        <f aca="false">IF(P103&lt;=1,0,IF(P103&lt;=10,11,IF(P103&lt;=14,12,IF(P103&lt;=17,13,IF(P103&lt;=20,14,IF(P103&lt;=22,15,IF(P103&lt;=25,16,IF(P103&lt;=27,17,IF(P103&lt;=29,18,IF(P103&lt;=32,19,IF(P103&lt;=34,20,IF(P103&lt;=36,21,IF(P103&lt;=40,22,24)))))))))))))</f>
        <v>0</v>
      </c>
      <c r="S103" s="14" t="n">
        <f aca="false">ROUND((Q103+R103+I103+J103+M103+N103)/3,0)</f>
        <v>26</v>
      </c>
      <c r="T103" s="15" t="n">
        <f aca="false">F103*LOG10(S103+2)</f>
        <v>0</v>
      </c>
    </row>
    <row r="104" customFormat="false" ht="14.65" hidden="false" customHeight="true" outlineLevel="0" collapsed="false">
      <c r="A104" s="12" t="s">
        <v>134</v>
      </c>
      <c r="B104" s="16" t="n">
        <v>38886</v>
      </c>
      <c r="C104" s="3" t="s">
        <v>24</v>
      </c>
      <c r="D104" s="4" t="s">
        <v>135</v>
      </c>
      <c r="E104" s="3" t="s">
        <v>97</v>
      </c>
      <c r="F104" s="3" t="n">
        <v>0</v>
      </c>
      <c r="G104" s="3" t="s">
        <v>27</v>
      </c>
      <c r="I104" s="3" t="n">
        <f aca="false">_xlfn.IFS(G104="взв",11,G104="накл",24,G104="прокл",25,G104="пт",26,G104=90,10,G104=85,10,G104=80,9,G104=75,8,G104=70,8,G104=65,7,G104=60,7,G104=55,6,G104=50,6,G104=45,6,G104=40,5,G104=35,4,G104=30,4,G104=25,3,G104=20,2,G104=15,1,G104=10,1,G104=0,0)</f>
        <v>24</v>
      </c>
      <c r="J104" s="3" t="n">
        <f aca="false">IF(H104&lt;=1,0,IF(H104&lt;=10,11,IF(H104&lt;=14,12,IF(H104&lt;=17,13,IF(H104&lt;=20,14,IF(H104&lt;=22,15,IF(H104&lt;=25,16,IF(H104&lt;=27,17,IF(H104&lt;=29,18,IF(H104&lt;=32,19,IF(H104&lt;=34,20,IF(H104&lt;=36,21,IF(H104&lt;=40,22,24)))))))))))))</f>
        <v>0</v>
      </c>
      <c r="K104" s="3" t="s">
        <v>27</v>
      </c>
      <c r="M104" s="3" t="n">
        <f aca="false">_xlfn.IFS(K104="взв",11,K104="накл",24,K104="прокл",25,K104="пт",26,K104=90,10,K104=85,10,K104=80,9,K104=75,8,K104=70,8,K104=65,7,K104=60,7,K104=55,6,K104=50,6,K104=45,6,K104=40,5,K104=35,4,K104=30,4,K104=25,3,K104=20,2,K104=15,1,K104=10,1,K104=0,0)</f>
        <v>24</v>
      </c>
      <c r="N104" s="3" t="n">
        <f aca="false">IF(L104&lt;=1,0,IF(L104&lt;=10,11,IF(L104&lt;=14,12,IF(L104&lt;=17,13,IF(L104&lt;=20,14,IF(L104&lt;=22,15,IF(L104&lt;=25,16,IF(L104&lt;=27,17,IF(L104&lt;=29,18,IF(L104&lt;=32,19,IF(L104&lt;=34,20,IF(L104&lt;=36,21,IF(L104&lt;=40,22,24)))))))))))))</f>
        <v>0</v>
      </c>
      <c r="O104" s="3" t="s">
        <v>27</v>
      </c>
      <c r="P104" s="0"/>
      <c r="Q104" s="3" t="n">
        <f aca="false">_xlfn.IFS(O104="взв",11,O104="накл",24,O104="прокл",25,O104="пт",26,O104=90,10,O104=85,10,O104=80,9,O104=75,8,O104=70,8,O104=65,7,O104=60,7,O104=55,6,O104=50,6,O104=45,6,O104=40,5,O104=35,4,O104=30,4,O104=25,3,O104=20,2,O104=15,1,O104=10,1,O104=0,0)</f>
        <v>24</v>
      </c>
      <c r="R104" s="3" t="n">
        <f aca="false">IF(P104&lt;=1,0,IF(P104&lt;=10,11,IF(P104&lt;=14,12,IF(P104&lt;=17,13,IF(P104&lt;=20,14,IF(P104&lt;=22,15,IF(P104&lt;=25,16,IF(P104&lt;=27,17,IF(P104&lt;=29,18,IF(P104&lt;=32,19,IF(P104&lt;=34,20,IF(P104&lt;=36,21,IF(P104&lt;=40,22,24)))))))))))))</f>
        <v>0</v>
      </c>
      <c r="S104" s="14" t="n">
        <f aca="false">ROUND((Q104+R104+I104+J104+M104+N104)/3,0)</f>
        <v>24</v>
      </c>
      <c r="T104" s="15" t="n">
        <f aca="false">F104*LOG10(S104+2)</f>
        <v>0</v>
      </c>
    </row>
    <row r="105" customFormat="false" ht="14.65" hidden="false" customHeight="true" outlineLevel="0" collapsed="false">
      <c r="A105" s="12" t="s">
        <v>136</v>
      </c>
      <c r="B105" s="13" t="n">
        <v>38886</v>
      </c>
      <c r="C105" s="3" t="s">
        <v>24</v>
      </c>
      <c r="D105" s="4" t="s">
        <v>135</v>
      </c>
      <c r="E105" s="3" t="n">
        <v>4</v>
      </c>
      <c r="F105" s="3" t="n">
        <v>1</v>
      </c>
      <c r="H105" s="3" t="n">
        <v>32</v>
      </c>
      <c r="I105" s="3" t="n">
        <f aca="false">_xlfn.IFS(G105="взв",11,G105="накл",24,G105="прокл",25,G105="пт",26,G105=90,10,G105=85,10,G105=80,9,G105=75,8,G105=70,8,G105=65,7,G105=60,7,G105=55,6,G105=50,6,G105=45,6,G105=40,5,G105=35,4,G105=30,4,G105=25,3,G105=20,2,G105=15,1,G105=10,1,G105=0,0)</f>
        <v>0</v>
      </c>
      <c r="J105" s="3" t="n">
        <f aca="false">IF(H105&lt;=1,0,IF(H105&lt;=10,11,IF(H105&lt;=14,12,IF(H105&lt;=17,13,IF(H105&lt;=20,14,IF(H105&lt;=22,15,IF(H105&lt;=25,16,IF(H105&lt;=27,17,IF(H105&lt;=29,18,IF(H105&lt;=32,19,IF(H105&lt;=34,20,IF(H105&lt;=36,21,IF(H105&lt;=40,22,24)))))))))))))</f>
        <v>19</v>
      </c>
      <c r="L105" s="3" t="n">
        <v>28</v>
      </c>
      <c r="M105" s="3" t="n">
        <f aca="false">_xlfn.IFS(K105="взв",11,K105="накл",24,K105="прокл",25,K105="пт",26,K105=90,10,K105=85,10,K105=80,9,K105=75,8,K105=70,8,K105=65,7,K105=60,7,K105=55,6,K105=50,6,K105=45,6,K105=40,5,K105=35,4,K105=30,4,K105=25,3,K105=20,2,K105=15,1,K105=10,1,K105=0,0)</f>
        <v>0</v>
      </c>
      <c r="N105" s="3" t="n">
        <f aca="false">IF(L105&lt;=1,0,IF(L105&lt;=10,11,IF(L105&lt;=14,12,IF(L105&lt;=17,13,IF(L105&lt;=20,14,IF(L105&lt;=22,15,IF(L105&lt;=25,16,IF(L105&lt;=27,17,IF(L105&lt;=29,18,IF(L105&lt;=32,19,IF(L105&lt;=34,20,IF(L105&lt;=36,21,IF(L105&lt;=40,22,24)))))))))))))</f>
        <v>18</v>
      </c>
      <c r="P105" s="3" t="n">
        <v>30</v>
      </c>
      <c r="Q105" s="3" t="n">
        <f aca="false">_xlfn.IFS(O105="взв",11,O105="накл",24,O105="прокл",25,O105="пт",26,O105=90,10,O105=85,10,O105=80,9,O105=75,8,O105=70,8,O105=65,7,O105=60,7,O105=55,6,O105=50,6,O105=45,6,O105=40,5,O105=35,4,O105=30,4,O105=25,3,O105=20,2,O105=15,1,O105=10,1,O105=0,0)</f>
        <v>0</v>
      </c>
      <c r="R105" s="3" t="n">
        <f aca="false">IF(P105&lt;=1,0,IF(P105&lt;=10,11,IF(P105&lt;=14,12,IF(P105&lt;=17,13,IF(P105&lt;=20,14,IF(P105&lt;=22,15,IF(P105&lt;=25,16,IF(P105&lt;=27,17,IF(P105&lt;=29,18,IF(P105&lt;=32,19,IF(P105&lt;=34,20,IF(P105&lt;=36,21,IF(P105&lt;=40,22,24)))))))))))))</f>
        <v>19</v>
      </c>
      <c r="S105" s="14" t="n">
        <f aca="false">ROUND((Q105+R105+I105+J105+M105+N105)/3,0)</f>
        <v>19</v>
      </c>
      <c r="T105" s="15" t="n">
        <f aca="false">F105*LOG10(S105+2)</f>
        <v>1.32221929473392</v>
      </c>
    </row>
    <row r="106" customFormat="false" ht="14.65" hidden="false" customHeight="true" outlineLevel="0" collapsed="false">
      <c r="A106" s="12" t="s">
        <v>137</v>
      </c>
      <c r="B106" s="13" t="n">
        <v>38886</v>
      </c>
      <c r="C106" s="3" t="s">
        <v>24</v>
      </c>
      <c r="D106" s="4" t="s">
        <v>135</v>
      </c>
      <c r="E106" s="3" t="n">
        <v>5</v>
      </c>
      <c r="F106" s="3" t="n">
        <v>1</v>
      </c>
      <c r="H106" s="3" t="n">
        <v>24</v>
      </c>
      <c r="I106" s="3" t="n">
        <f aca="false">_xlfn.IFS(G106="взв",11,G106="накл",24,G106="прокл",25,G106="пт",26,G106=90,10,G106=85,10,G106=80,9,G106=75,8,G106=70,8,G106=65,7,G106=60,7,G106=55,6,G106=50,6,G106=45,6,G106=40,5,G106=35,4,G106=30,4,G106=25,3,G106=20,2,G106=15,1,G106=10,1,G106=0,0)</f>
        <v>0</v>
      </c>
      <c r="J106" s="3" t="n">
        <f aca="false">IF(H106&lt;=1,0,IF(H106&lt;=10,11,IF(H106&lt;=14,12,IF(H106&lt;=17,13,IF(H106&lt;=20,14,IF(H106&lt;=22,15,IF(H106&lt;=25,16,IF(H106&lt;=27,17,IF(H106&lt;=29,18,IF(H106&lt;=32,19,IF(H106&lt;=34,20,IF(H106&lt;=36,21,IF(H106&lt;=40,22,24)))))))))))))</f>
        <v>16</v>
      </c>
      <c r="L106" s="3" t="n">
        <v>26</v>
      </c>
      <c r="M106" s="3" t="n">
        <f aca="false">_xlfn.IFS(K106="взв",11,K106="накл",24,K106="прокл",25,K106="пт",26,K106=90,10,K106=85,10,K106=80,9,K106=75,8,K106=70,8,K106=65,7,K106=60,7,K106=55,6,K106=50,6,K106=45,6,K106=40,5,K106=35,4,K106=30,4,K106=25,3,K106=20,2,K106=15,1,K106=10,1,K106=0,0)</f>
        <v>0</v>
      </c>
      <c r="N106" s="3" t="n">
        <f aca="false">IF(L106&lt;=1,0,IF(L106&lt;=10,11,IF(L106&lt;=14,12,IF(L106&lt;=17,13,IF(L106&lt;=20,14,IF(L106&lt;=22,15,IF(L106&lt;=25,16,IF(L106&lt;=27,17,IF(L106&lt;=29,18,IF(L106&lt;=32,19,IF(L106&lt;=34,20,IF(L106&lt;=36,21,IF(L106&lt;=40,22,24)))))))))))))</f>
        <v>17</v>
      </c>
      <c r="P106" s="3" t="n">
        <v>28</v>
      </c>
      <c r="Q106" s="3" t="n">
        <f aca="false">_xlfn.IFS(O106="взв",11,O106="накл",24,O106="прокл",25,O106="пт",26,O106=90,10,O106=85,10,O106=80,9,O106=75,8,O106=70,8,O106=65,7,O106=60,7,O106=55,6,O106=50,6,O106=45,6,O106=40,5,O106=35,4,O106=30,4,O106=25,3,O106=20,2,O106=15,1,O106=10,1,O106=0,0)</f>
        <v>0</v>
      </c>
      <c r="R106" s="3" t="n">
        <f aca="false">IF(P106&lt;=1,0,IF(P106&lt;=10,11,IF(P106&lt;=14,12,IF(P106&lt;=17,13,IF(P106&lt;=20,14,IF(P106&lt;=22,15,IF(P106&lt;=25,16,IF(P106&lt;=27,17,IF(P106&lt;=29,18,IF(P106&lt;=32,19,IF(P106&lt;=34,20,IF(P106&lt;=36,21,IF(P106&lt;=40,22,24)))))))))))))</f>
        <v>18</v>
      </c>
      <c r="S106" s="14" t="n">
        <f aca="false">ROUND((Q106+R106+I106+J106+M106+N106)/3,0)</f>
        <v>17</v>
      </c>
      <c r="T106" s="15" t="n">
        <f aca="false">F106*LOG10(S106+2)</f>
        <v>1.27875360095283</v>
      </c>
    </row>
    <row r="107" customFormat="false" ht="14.65" hidden="false" customHeight="true" outlineLevel="0" collapsed="false">
      <c r="A107" s="12" t="s">
        <v>138</v>
      </c>
      <c r="B107" s="13" t="n">
        <v>38886</v>
      </c>
      <c r="C107" s="3" t="s">
        <v>24</v>
      </c>
      <c r="D107" s="4" t="s">
        <v>135</v>
      </c>
      <c r="E107" s="3" t="n">
        <v>4</v>
      </c>
      <c r="F107" s="3" t="n">
        <v>2</v>
      </c>
      <c r="H107" s="3" t="n">
        <v>26</v>
      </c>
      <c r="I107" s="3" t="n">
        <f aca="false">_xlfn.IFS(G107="взв",11,G107="накл",24,G107="прокл",25,G107="пт",26,G107=90,10,G107=85,10,G107=80,9,G107=75,8,G107=70,8,G107=65,7,G107=60,7,G107=55,6,G107=50,6,G107=45,6,G107=40,5,G107=35,4,G107=30,4,G107=25,3,G107=20,2,G107=15,1,G107=10,1,G107=0,0)</f>
        <v>0</v>
      </c>
      <c r="J107" s="3" t="n">
        <f aca="false">IF(H107&lt;=1,0,IF(H107&lt;=10,11,IF(H107&lt;=14,12,IF(H107&lt;=17,13,IF(H107&lt;=20,14,IF(H107&lt;=22,15,IF(H107&lt;=25,16,IF(H107&lt;=27,17,IF(H107&lt;=29,18,IF(H107&lt;=32,19,IF(H107&lt;=34,20,IF(H107&lt;=36,21,IF(H107&lt;=40,22,24)))))))))))))</f>
        <v>17</v>
      </c>
      <c r="L107" s="3" t="n">
        <v>33</v>
      </c>
      <c r="M107" s="3" t="n">
        <f aca="false">_xlfn.IFS(K107="взв",11,K107="накл",24,K107="прокл",25,K107="пт",26,K107=90,10,K107=85,10,K107=80,9,K107=75,8,K107=70,8,K107=65,7,K107=60,7,K107=55,6,K107=50,6,K107=45,6,K107=40,5,K107=35,4,K107=30,4,K107=25,3,K107=20,2,K107=15,1,K107=10,1,K107=0,0)</f>
        <v>0</v>
      </c>
      <c r="N107" s="3" t="n">
        <f aca="false">IF(L107&lt;=1,0,IF(L107&lt;=10,11,IF(L107&lt;=14,12,IF(L107&lt;=17,13,IF(L107&lt;=20,14,IF(L107&lt;=22,15,IF(L107&lt;=25,16,IF(L107&lt;=27,17,IF(L107&lt;=29,18,IF(L107&lt;=32,19,IF(L107&lt;=34,20,IF(L107&lt;=36,21,IF(L107&lt;=40,22,24)))))))))))))</f>
        <v>20</v>
      </c>
      <c r="P107" s="3" t="n">
        <v>36</v>
      </c>
      <c r="Q107" s="3" t="n">
        <f aca="false">_xlfn.IFS(O107="взв",11,O107="накл",24,O107="прокл",25,O107="пт",26,O107=90,10,O107=85,10,O107=80,9,O107=75,8,O107=70,8,O107=65,7,O107=60,7,O107=55,6,O107=50,6,O107=45,6,O107=40,5,O107=35,4,O107=30,4,O107=25,3,O107=20,2,O107=15,1,O107=10,1,O107=0,0)</f>
        <v>0</v>
      </c>
      <c r="R107" s="3" t="n">
        <f aca="false">IF(P107&lt;=1,0,IF(P107&lt;=10,11,IF(P107&lt;=14,12,IF(P107&lt;=17,13,IF(P107&lt;=20,14,IF(P107&lt;=22,15,IF(P107&lt;=25,16,IF(P107&lt;=27,17,IF(P107&lt;=29,18,IF(P107&lt;=32,19,IF(P107&lt;=34,20,IF(P107&lt;=36,21,IF(P107&lt;=40,22,24)))))))))))))</f>
        <v>21</v>
      </c>
      <c r="S107" s="14" t="n">
        <f aca="false">ROUND((Q107+R107+I107+J107+M107+N107)/3,0)</f>
        <v>19</v>
      </c>
      <c r="T107" s="15" t="n">
        <f aca="false">F107*LOG10(S107+2)</f>
        <v>2.64443858946784</v>
      </c>
    </row>
    <row r="108" customFormat="false" ht="14.65" hidden="false" customHeight="true" outlineLevel="0" collapsed="false">
      <c r="A108" s="12" t="s">
        <v>139</v>
      </c>
      <c r="B108" s="13" t="n">
        <v>38886</v>
      </c>
      <c r="C108" s="3" t="s">
        <v>24</v>
      </c>
      <c r="D108" s="4" t="s">
        <v>135</v>
      </c>
      <c r="E108" s="3" t="n">
        <v>4</v>
      </c>
      <c r="F108" s="3" t="n">
        <v>2</v>
      </c>
      <c r="H108" s="3" t="n">
        <v>38</v>
      </c>
      <c r="I108" s="3" t="n">
        <f aca="false">_xlfn.IFS(G108="взв",11,G108="накл",24,G108="прокл",25,G108="пт",26,G108=90,10,G108=85,10,G108=80,9,G108=75,8,G108=70,8,G108=65,7,G108=60,7,G108=55,6,G108=50,6,G108=45,6,G108=40,5,G108=35,4,G108=30,4,G108=25,3,G108=20,2,G108=15,1,G108=10,1,G108=0,0)</f>
        <v>0</v>
      </c>
      <c r="J108" s="3" t="n">
        <f aca="false">IF(H108&lt;=1,0,IF(H108&lt;=10,11,IF(H108&lt;=14,12,IF(H108&lt;=17,13,IF(H108&lt;=20,14,IF(H108&lt;=22,15,IF(H108&lt;=25,16,IF(H108&lt;=27,17,IF(H108&lt;=29,18,IF(H108&lt;=32,19,IF(H108&lt;=34,20,IF(H108&lt;=36,21,IF(H108&lt;=40,22,24)))))))))))))</f>
        <v>22</v>
      </c>
      <c r="L108" s="3" t="n">
        <v>43</v>
      </c>
      <c r="M108" s="3" t="n">
        <f aca="false">_xlfn.IFS(K108="взв",11,K108="накл",24,K108="прокл",25,K108="пт",26,K108=90,10,K108=85,10,K108=80,9,K108=75,8,K108=70,8,K108=65,7,K108=60,7,K108=55,6,K108=50,6,K108=45,6,K108=40,5,K108=35,4,K108=30,4,K108=25,3,K108=20,2,K108=15,1,K108=10,1,K108=0,0)</f>
        <v>0</v>
      </c>
      <c r="N108" s="3" t="n">
        <f aca="false">IF(L108&lt;=1,0,IF(L108&lt;=10,11,IF(L108&lt;=14,12,IF(L108&lt;=17,13,IF(L108&lt;=20,14,IF(L108&lt;=22,15,IF(L108&lt;=25,16,IF(L108&lt;=27,17,IF(L108&lt;=29,18,IF(L108&lt;=32,19,IF(L108&lt;=34,20,IF(L108&lt;=36,21,IF(L108&lt;=40,22,24)))))))))))))</f>
        <v>24</v>
      </c>
      <c r="P108" s="3" t="n">
        <v>35</v>
      </c>
      <c r="Q108" s="3" t="n">
        <f aca="false">_xlfn.IFS(O108="взв",11,O108="накл",24,O108="прокл",25,O108="пт",26,O108=90,10,O108=85,10,O108=80,9,O108=75,8,O108=70,8,O108=65,7,O108=60,7,O108=55,6,O108=50,6,O108=45,6,O108=40,5,O108=35,4,O108=30,4,O108=25,3,O108=20,2,O108=15,1,O108=10,1,O108=0,0)</f>
        <v>0</v>
      </c>
      <c r="R108" s="3" t="n">
        <f aca="false">IF(P108&lt;=1,0,IF(P108&lt;=10,11,IF(P108&lt;=14,12,IF(P108&lt;=17,13,IF(P108&lt;=20,14,IF(P108&lt;=22,15,IF(P108&lt;=25,16,IF(P108&lt;=27,17,IF(P108&lt;=29,18,IF(P108&lt;=32,19,IF(P108&lt;=34,20,IF(P108&lt;=36,21,IF(P108&lt;=40,22,24)))))))))))))</f>
        <v>21</v>
      </c>
      <c r="S108" s="14" t="n">
        <f aca="false">ROUND((Q108+R108+I108+J108+M108+N108)/3,0)</f>
        <v>22</v>
      </c>
      <c r="T108" s="15" t="n">
        <f aca="false">F108*LOG10(S108+2)</f>
        <v>2.76042248342321</v>
      </c>
    </row>
    <row r="109" customFormat="false" ht="14.65" hidden="false" customHeight="true" outlineLevel="0" collapsed="false">
      <c r="A109" s="12" t="s">
        <v>140</v>
      </c>
      <c r="B109" s="13" t="n">
        <v>38886</v>
      </c>
      <c r="C109" s="3" t="s">
        <v>24</v>
      </c>
      <c r="D109" s="4" t="s">
        <v>135</v>
      </c>
      <c r="E109" s="3" t="n">
        <v>3</v>
      </c>
      <c r="F109" s="3" t="n">
        <v>3</v>
      </c>
      <c r="H109" s="3" t="n">
        <v>38</v>
      </c>
      <c r="I109" s="3" t="n">
        <f aca="false">_xlfn.IFS(G109="взв",11,G109="накл",24,G109="прокл",25,G109="пт",26,G109=90,10,G109=85,10,G109=80,9,G109=75,8,G109=70,8,G109=65,7,G109=60,7,G109=55,6,G109=50,6,G109=45,6,G109=40,5,G109=35,4,G109=30,4,G109=25,3,G109=20,2,G109=15,1,G109=10,1,G109=0,0)</f>
        <v>0</v>
      </c>
      <c r="J109" s="3" t="n">
        <f aca="false">IF(H109&lt;=1,0,IF(H109&lt;=10,11,IF(H109&lt;=14,12,IF(H109&lt;=17,13,IF(H109&lt;=20,14,IF(H109&lt;=22,15,IF(H109&lt;=25,16,IF(H109&lt;=27,17,IF(H109&lt;=29,18,IF(H109&lt;=32,19,IF(H109&lt;=34,20,IF(H109&lt;=36,21,IF(H109&lt;=40,22,24)))))))))))))</f>
        <v>22</v>
      </c>
      <c r="L109" s="3" t="n">
        <v>36</v>
      </c>
      <c r="M109" s="3" t="n">
        <f aca="false">_xlfn.IFS(K109="взв",11,K109="накл",24,K109="прокл",25,K109="пт",26,K109=90,10,K109=85,10,K109=80,9,K109=75,8,K109=70,8,K109=65,7,K109=60,7,K109=55,6,K109=50,6,K109=45,6,K109=40,5,K109=35,4,K109=30,4,K109=25,3,K109=20,2,K109=15,1,K109=10,1,K109=0,0)</f>
        <v>0</v>
      </c>
      <c r="N109" s="3" t="n">
        <f aca="false">IF(L109&lt;=1,0,IF(L109&lt;=10,11,IF(L109&lt;=14,12,IF(L109&lt;=17,13,IF(L109&lt;=20,14,IF(L109&lt;=22,15,IF(L109&lt;=25,16,IF(L109&lt;=27,17,IF(L109&lt;=29,18,IF(L109&lt;=32,19,IF(L109&lt;=34,20,IF(L109&lt;=36,21,IF(L109&lt;=40,22,24)))))))))))))</f>
        <v>21</v>
      </c>
      <c r="P109" s="3" t="n">
        <v>34</v>
      </c>
      <c r="Q109" s="3" t="n">
        <f aca="false">_xlfn.IFS(O109="взв",11,O109="накл",24,O109="прокл",25,O109="пт",26,O109=90,10,O109=85,10,O109=80,9,O109=75,8,O109=70,8,O109=65,7,O109=60,7,O109=55,6,O109=50,6,O109=45,6,O109=40,5,O109=35,4,O109=30,4,O109=25,3,O109=20,2,O109=15,1,O109=10,1,O109=0,0)</f>
        <v>0</v>
      </c>
      <c r="R109" s="3" t="n">
        <f aca="false">IF(P109&lt;=1,0,IF(P109&lt;=10,11,IF(P109&lt;=14,12,IF(P109&lt;=17,13,IF(P109&lt;=20,14,IF(P109&lt;=22,15,IF(P109&lt;=25,16,IF(P109&lt;=27,17,IF(P109&lt;=29,18,IF(P109&lt;=32,19,IF(P109&lt;=34,20,IF(P109&lt;=36,21,IF(P109&lt;=40,22,24)))))))))))))</f>
        <v>20</v>
      </c>
      <c r="S109" s="14" t="n">
        <f aca="false">ROUND((Q109+R109+I109+J109+M109+N109)/3,0)</f>
        <v>21</v>
      </c>
      <c r="T109" s="15" t="n">
        <f aca="false">F109*LOG10(S109+2)</f>
        <v>4.08518350805278</v>
      </c>
    </row>
    <row r="110" customFormat="false" ht="14.65" hidden="false" customHeight="true" outlineLevel="0" collapsed="false">
      <c r="A110" s="12" t="s">
        <v>141</v>
      </c>
      <c r="B110" s="13" t="n">
        <v>38886</v>
      </c>
      <c r="C110" s="3" t="s">
        <v>24</v>
      </c>
      <c r="D110" s="4" t="s">
        <v>135</v>
      </c>
      <c r="E110" s="3" t="n">
        <v>3</v>
      </c>
      <c r="F110" s="3" t="n">
        <v>3</v>
      </c>
      <c r="G110" s="3" t="n">
        <v>90</v>
      </c>
      <c r="I110" s="3" t="n">
        <f aca="false">_xlfn.IFS(G110="взв",11,G110="накл",24,G110="прокл",25,G110="пт",26,G110=90,10,G110=85,10,G110=80,9,G110=75,8,G110=70,8,G110=65,7,G110=60,7,G110=55,6,G110=50,6,G110=45,6,G110=40,5,G110=35,4,G110=30,4,G110=25,3,G110=20,2,G110=15,1,G110=10,1,G110=0,0)</f>
        <v>10</v>
      </c>
      <c r="J110" s="3" t="n">
        <f aca="false">IF(H110&lt;=1,0,IF(H110&lt;=10,11,IF(H110&lt;=14,12,IF(H110&lt;=17,13,IF(H110&lt;=20,14,IF(H110&lt;=22,15,IF(H110&lt;=25,16,IF(H110&lt;=27,17,IF(H110&lt;=29,18,IF(H110&lt;=32,19,IF(H110&lt;=34,20,IF(H110&lt;=36,21,IF(H110&lt;=40,22,24)))))))))))))</f>
        <v>0</v>
      </c>
      <c r="K110" s="3" t="n">
        <v>90</v>
      </c>
      <c r="M110" s="3" t="n">
        <f aca="false">_xlfn.IFS(K110="взв",11,K110="накл",24,K110="прокл",25,K110="пт",26,K110=90,10,K110=85,10,K110=80,9,K110=75,8,K110=70,8,K110=65,7,K110=60,7,K110=55,6,K110=50,6,K110=45,6,K110=40,5,K110=35,4,K110=30,4,K110=25,3,K110=20,2,K110=15,1,K110=10,1,K110=0,0)</f>
        <v>10</v>
      </c>
      <c r="N110" s="3" t="n">
        <f aca="false">IF(L110&lt;=1,0,IF(L110&lt;=10,11,IF(L110&lt;=14,12,IF(L110&lt;=17,13,IF(L110&lt;=20,14,IF(L110&lt;=22,15,IF(L110&lt;=25,16,IF(L110&lt;=27,17,IF(L110&lt;=29,18,IF(L110&lt;=32,19,IF(L110&lt;=34,20,IF(L110&lt;=36,21,IF(L110&lt;=40,22,24)))))))))))))</f>
        <v>0</v>
      </c>
      <c r="P110" s="3" t="n">
        <v>20</v>
      </c>
      <c r="Q110" s="3" t="n">
        <f aca="false">_xlfn.IFS(O110="взв",11,O110="накл",24,O110="прокл",25,O110="пт",26,O110=90,10,O110=85,10,O110=80,9,O110=75,8,O110=70,8,O110=65,7,O110=60,7,O110=55,6,O110=50,6,O110=45,6,O110=40,5,O110=35,4,O110=30,4,O110=25,3,O110=20,2,O110=15,1,O110=10,1,O110=0,0)</f>
        <v>0</v>
      </c>
      <c r="R110" s="3" t="n">
        <f aca="false">IF(P110&lt;=1,0,IF(P110&lt;=10,11,IF(P110&lt;=14,12,IF(P110&lt;=17,13,IF(P110&lt;=20,14,IF(P110&lt;=22,15,IF(P110&lt;=25,16,IF(P110&lt;=27,17,IF(P110&lt;=29,18,IF(P110&lt;=32,19,IF(P110&lt;=34,20,IF(P110&lt;=36,21,IF(P110&lt;=40,22,24)))))))))))))</f>
        <v>14</v>
      </c>
      <c r="S110" s="14" t="n">
        <f aca="false">ROUND((Q110+R110+I110+J110+M110+N110)/3,0)</f>
        <v>11</v>
      </c>
      <c r="T110" s="15" t="n">
        <f aca="false">F110*LOG10(S110+2)</f>
        <v>3.34183005692051</v>
      </c>
    </row>
    <row r="111" customFormat="false" ht="14.65" hidden="false" customHeight="true" outlineLevel="0" collapsed="false">
      <c r="A111" s="12" t="s">
        <v>142</v>
      </c>
      <c r="B111" s="13" t="n">
        <v>38886</v>
      </c>
      <c r="C111" s="3" t="s">
        <v>24</v>
      </c>
      <c r="D111" s="4" t="s">
        <v>135</v>
      </c>
      <c r="E111" s="3" t="n">
        <v>4</v>
      </c>
      <c r="F111" s="3" t="n">
        <v>3</v>
      </c>
      <c r="G111" s="3" t="n">
        <v>75</v>
      </c>
      <c r="I111" s="3" t="n">
        <f aca="false">_xlfn.IFS(G111="взв",11,G111="накл",24,G111="прокл",25,G111="пт",26,G111=90,10,G111=85,10,G111=80,9,G111=75,8,G111=70,8,G111=65,7,G111=60,7,G111=55,6,G111=50,6,G111=45,6,G111=40,5,G111=35,4,G111=30,4,G111=25,3,G111=20,2,G111=15,1,G111=10,1,G111=0,0)</f>
        <v>8</v>
      </c>
      <c r="J111" s="3" t="n">
        <f aca="false">IF(H111&lt;=1,0,IF(H111&lt;=10,11,IF(H111&lt;=14,12,IF(H111&lt;=17,13,IF(H111&lt;=20,14,IF(H111&lt;=22,15,IF(H111&lt;=25,16,IF(H111&lt;=27,17,IF(H111&lt;=29,18,IF(H111&lt;=32,19,IF(H111&lt;=34,20,IF(H111&lt;=36,21,IF(H111&lt;=40,22,24)))))))))))))</f>
        <v>0</v>
      </c>
      <c r="K111" s="3" t="n">
        <v>90</v>
      </c>
      <c r="M111" s="3" t="n">
        <f aca="false">_xlfn.IFS(K111="взв",11,K111="накл",24,K111="прокл",25,K111="пт",26,K111=90,10,K111=85,10,K111=80,9,K111=75,8,K111=70,8,K111=65,7,K111=60,7,K111=55,6,K111=50,6,K111=45,6,K111=40,5,K111=35,4,K111=30,4,K111=25,3,K111=20,2,K111=15,1,K111=10,1,K111=0,0)</f>
        <v>10</v>
      </c>
      <c r="N111" s="3" t="n">
        <f aca="false">IF(L111&lt;=1,0,IF(L111&lt;=10,11,IF(L111&lt;=14,12,IF(L111&lt;=17,13,IF(L111&lt;=20,14,IF(L111&lt;=22,15,IF(L111&lt;=25,16,IF(L111&lt;=27,17,IF(L111&lt;=29,18,IF(L111&lt;=32,19,IF(L111&lt;=34,20,IF(L111&lt;=36,21,IF(L111&lt;=40,22,24)))))))))))))</f>
        <v>0</v>
      </c>
      <c r="O111" s="3" t="n">
        <v>75</v>
      </c>
      <c r="Q111" s="3" t="n">
        <f aca="false">_xlfn.IFS(O111="взв",11,O111="накл",24,O111="прокл",25,O111="пт",26,O111=90,10,O111=85,10,O111=80,9,O111=75,8,O111=70,8,O111=65,7,O111=60,7,O111=55,6,O111=50,6,O111=45,6,O111=40,5,O111=35,4,O111=30,4,O111=25,3,O111=20,2,O111=15,1,O111=10,1,O111=0,0)</f>
        <v>8</v>
      </c>
      <c r="R111" s="3" t="n">
        <f aca="false">IF(P111&lt;=1,0,IF(P111&lt;=10,11,IF(P111&lt;=14,12,IF(P111&lt;=17,13,IF(P111&lt;=20,14,IF(P111&lt;=22,15,IF(P111&lt;=25,16,IF(P111&lt;=27,17,IF(P111&lt;=29,18,IF(P111&lt;=32,19,IF(P111&lt;=34,20,IF(P111&lt;=36,21,IF(P111&lt;=40,22,24)))))))))))))</f>
        <v>0</v>
      </c>
      <c r="S111" s="14" t="n">
        <f aca="false">ROUND((Q111+R111+I111+J111+M111+N111)/3,0)</f>
        <v>9</v>
      </c>
      <c r="T111" s="15" t="n">
        <f aca="false">F111*LOG10(S111+2)</f>
        <v>3.12417805547468</v>
      </c>
    </row>
    <row r="112" customFormat="false" ht="14.65" hidden="false" customHeight="true" outlineLevel="0" collapsed="false">
      <c r="A112" s="12" t="s">
        <v>143</v>
      </c>
      <c r="B112" s="13" t="n">
        <v>38886</v>
      </c>
      <c r="C112" s="3" t="s">
        <v>24</v>
      </c>
      <c r="D112" s="4" t="s">
        <v>135</v>
      </c>
      <c r="E112" s="3" t="n">
        <v>4</v>
      </c>
      <c r="F112" s="3" t="n">
        <v>3</v>
      </c>
      <c r="H112" s="3" t="n">
        <v>31</v>
      </c>
      <c r="I112" s="3" t="n">
        <f aca="false">_xlfn.IFS(G112="взв",11,G112="накл",24,G112="прокл",25,G112="пт",26,G112=90,10,G112=85,10,G112=80,9,G112=75,8,G112=70,8,G112=65,7,G112=60,7,G112=55,6,G112=50,6,G112=45,6,G112=40,5,G112=35,4,G112=30,4,G112=25,3,G112=20,2,G112=15,1,G112=10,1,G112=0,0)</f>
        <v>0</v>
      </c>
      <c r="J112" s="3" t="n">
        <f aca="false">IF(H112&lt;=1,0,IF(H112&lt;=10,11,IF(H112&lt;=14,12,IF(H112&lt;=17,13,IF(H112&lt;=20,14,IF(H112&lt;=22,15,IF(H112&lt;=25,16,IF(H112&lt;=27,17,IF(H112&lt;=29,18,IF(H112&lt;=32,19,IF(H112&lt;=34,20,IF(H112&lt;=36,21,IF(H112&lt;=40,22,24)))))))))))))</f>
        <v>19</v>
      </c>
      <c r="L112" s="3" t="n">
        <v>27</v>
      </c>
      <c r="M112" s="3" t="n">
        <f aca="false">_xlfn.IFS(K112="взв",11,K112="накл",24,K112="прокл",25,K112="пт",26,K112=90,10,K112=85,10,K112=80,9,K112=75,8,K112=70,8,K112=65,7,K112=60,7,K112=55,6,K112=50,6,K112=45,6,K112=40,5,K112=35,4,K112=30,4,K112=25,3,K112=20,2,K112=15,1,K112=10,1,K112=0,0)</f>
        <v>0</v>
      </c>
      <c r="N112" s="3" t="n">
        <f aca="false">IF(L112&lt;=1,0,IF(L112&lt;=10,11,IF(L112&lt;=14,12,IF(L112&lt;=17,13,IF(L112&lt;=20,14,IF(L112&lt;=22,15,IF(L112&lt;=25,16,IF(L112&lt;=27,17,IF(L112&lt;=29,18,IF(L112&lt;=32,19,IF(L112&lt;=34,20,IF(L112&lt;=36,21,IF(L112&lt;=40,22,24)))))))))))))</f>
        <v>17</v>
      </c>
      <c r="P112" s="3" t="n">
        <v>27</v>
      </c>
      <c r="Q112" s="3" t="n">
        <f aca="false">_xlfn.IFS(O112="взв",11,O112="накл",24,O112="прокл",25,O112="пт",26,O112=90,10,O112=85,10,O112=80,9,O112=75,8,O112=70,8,O112=65,7,O112=60,7,O112=55,6,O112=50,6,O112=45,6,O112=40,5,O112=35,4,O112=30,4,O112=25,3,O112=20,2,O112=15,1,O112=10,1,O112=0,0)</f>
        <v>0</v>
      </c>
      <c r="R112" s="3" t="n">
        <f aca="false">IF(P112&lt;=1,0,IF(P112&lt;=10,11,IF(P112&lt;=14,12,IF(P112&lt;=17,13,IF(P112&lt;=20,14,IF(P112&lt;=22,15,IF(P112&lt;=25,16,IF(P112&lt;=27,17,IF(P112&lt;=29,18,IF(P112&lt;=32,19,IF(P112&lt;=34,20,IF(P112&lt;=36,21,IF(P112&lt;=40,22,24)))))))))))))</f>
        <v>17</v>
      </c>
      <c r="S112" s="14" t="n">
        <f aca="false">ROUND((Q112+R112+I112+J112+M112+N112)/3,0)</f>
        <v>18</v>
      </c>
      <c r="T112" s="15" t="n">
        <f aca="false">F112*LOG10(S112+2)</f>
        <v>3.90308998699194</v>
      </c>
    </row>
    <row r="113" customFormat="false" ht="14.65" hidden="false" customHeight="true" outlineLevel="0" collapsed="false">
      <c r="A113" s="12" t="s">
        <v>144</v>
      </c>
      <c r="B113" s="13" t="n">
        <v>38886</v>
      </c>
      <c r="C113" s="3" t="s">
        <v>24</v>
      </c>
      <c r="D113" s="4" t="s">
        <v>135</v>
      </c>
      <c r="E113" s="3" t="n">
        <v>5</v>
      </c>
      <c r="F113" s="3" t="n">
        <v>3</v>
      </c>
      <c r="H113" s="3" t="n">
        <v>28</v>
      </c>
      <c r="I113" s="3" t="n">
        <f aca="false">_xlfn.IFS(G113="взв",11,G113="накл",24,G113="прокл",25,G113="пт",26,G113=90,10,G113=85,10,G113=80,9,G113=75,8,G113=70,8,G113=65,7,G113=60,7,G113=55,6,G113=50,6,G113=45,6,G113=40,5,G113=35,4,G113=30,4,G113=25,3,G113=20,2,G113=15,1,G113=10,1,G113=0,0)</f>
        <v>0</v>
      </c>
      <c r="J113" s="3" t="n">
        <f aca="false">IF(H113&lt;=1,0,IF(H113&lt;=10,11,IF(H113&lt;=14,12,IF(H113&lt;=17,13,IF(H113&lt;=20,14,IF(H113&lt;=22,15,IF(H113&lt;=25,16,IF(H113&lt;=27,17,IF(H113&lt;=29,18,IF(H113&lt;=32,19,IF(H113&lt;=34,20,IF(H113&lt;=36,21,IF(H113&lt;=40,22,24)))))))))))))</f>
        <v>18</v>
      </c>
      <c r="L113" s="3" t="n">
        <v>29</v>
      </c>
      <c r="M113" s="3" t="n">
        <f aca="false">_xlfn.IFS(K113="взв",11,K113="накл",24,K113="прокл",25,K113="пт",26,K113=90,10,K113=85,10,K113=80,9,K113=75,8,K113=70,8,K113=65,7,K113=60,7,K113=55,6,K113=50,6,K113=45,6,K113=40,5,K113=35,4,K113=30,4,K113=25,3,K113=20,2,K113=15,1,K113=10,1,K113=0,0)</f>
        <v>0</v>
      </c>
      <c r="N113" s="3" t="n">
        <f aca="false">IF(L113&lt;=1,0,IF(L113&lt;=10,11,IF(L113&lt;=14,12,IF(L113&lt;=17,13,IF(L113&lt;=20,14,IF(L113&lt;=22,15,IF(L113&lt;=25,16,IF(L113&lt;=27,17,IF(L113&lt;=29,18,IF(L113&lt;=32,19,IF(L113&lt;=34,20,IF(L113&lt;=36,21,IF(L113&lt;=40,22,24)))))))))))))</f>
        <v>18</v>
      </c>
      <c r="P113" s="3" t="n">
        <v>28</v>
      </c>
      <c r="Q113" s="3" t="n">
        <f aca="false">_xlfn.IFS(O113="взв",11,O113="накл",24,O113="прокл",25,O113="пт",26,O113=90,10,O113=85,10,O113=80,9,O113=75,8,O113=70,8,O113=65,7,O113=60,7,O113=55,6,O113=50,6,O113=45,6,O113=40,5,O113=35,4,O113=30,4,O113=25,3,O113=20,2,O113=15,1,O113=10,1,O113=0,0)</f>
        <v>0</v>
      </c>
      <c r="R113" s="3" t="n">
        <f aca="false">IF(P113&lt;=1,0,IF(P113&lt;=10,11,IF(P113&lt;=14,12,IF(P113&lt;=17,13,IF(P113&lt;=20,14,IF(P113&lt;=22,15,IF(P113&lt;=25,16,IF(P113&lt;=27,17,IF(P113&lt;=29,18,IF(P113&lt;=32,19,IF(P113&lt;=34,20,IF(P113&lt;=36,21,IF(P113&lt;=40,22,24)))))))))))))</f>
        <v>18</v>
      </c>
      <c r="S113" s="14" t="n">
        <f aca="false">ROUND((Q113+R113+I113+J113+M113+N113)/3,0)</f>
        <v>18</v>
      </c>
      <c r="T113" s="15" t="n">
        <f aca="false">F113*LOG10(S113+2)</f>
        <v>3.90308998699194</v>
      </c>
    </row>
    <row r="114" customFormat="false" ht="14.65" hidden="false" customHeight="true" outlineLevel="0" collapsed="false">
      <c r="A114" s="12" t="s">
        <v>145</v>
      </c>
      <c r="B114" s="13" t="n">
        <v>38886</v>
      </c>
      <c r="C114" s="3" t="s">
        <v>24</v>
      </c>
      <c r="D114" s="4" t="s">
        <v>135</v>
      </c>
      <c r="E114" s="3" t="n">
        <v>3</v>
      </c>
      <c r="F114" s="3" t="n">
        <v>4</v>
      </c>
      <c r="G114" s="3" t="n">
        <v>75</v>
      </c>
      <c r="I114" s="3" t="n">
        <f aca="false">_xlfn.IFS(G114="взв",11,G114="накл",24,G114="прокл",25,G114="пт",26,G114=90,10,G114=85,10,G114=80,9,G114=75,8,G114=70,8,G114=65,7,G114=60,7,G114=55,6,G114=50,6,G114=45,6,G114=40,5,G114=35,4,G114=30,4,G114=25,3,G114=20,2,G114=15,1,G114=10,1,G114=0,0)</f>
        <v>8</v>
      </c>
      <c r="J114" s="3" t="n">
        <f aca="false">IF(H114&lt;=1,0,IF(H114&lt;=10,11,IF(H114&lt;=14,12,IF(H114&lt;=17,13,IF(H114&lt;=20,14,IF(H114&lt;=22,15,IF(H114&lt;=25,16,IF(H114&lt;=27,17,IF(H114&lt;=29,18,IF(H114&lt;=32,19,IF(H114&lt;=34,20,IF(H114&lt;=36,21,IF(H114&lt;=40,22,24)))))))))))))</f>
        <v>0</v>
      </c>
      <c r="K114" s="3" t="s">
        <v>50</v>
      </c>
      <c r="M114" s="3" t="n">
        <f aca="false">_xlfn.IFS(K114="взв",11,K114="накл",24,K114="прокл",25,K114="пт",26,K114=90,10,K114=85,10,K114=80,9,K114=75,8,K114=70,8,K114=65,7,K114=60,7,K114=55,6,K114=50,6,K114=45,6,K114=40,5,K114=35,4,K114=30,4,K114=25,3,K114=20,2,K114=15,1,K114=10,1,K114=0,0)</f>
        <v>11</v>
      </c>
      <c r="N114" s="3" t="n">
        <f aca="false">IF(L114&lt;=1,0,IF(L114&lt;=10,11,IF(L114&lt;=14,12,IF(L114&lt;=17,13,IF(L114&lt;=20,14,IF(L114&lt;=22,15,IF(L114&lt;=25,16,IF(L114&lt;=27,17,IF(L114&lt;=29,18,IF(L114&lt;=32,19,IF(L114&lt;=34,20,IF(L114&lt;=36,21,IF(L114&lt;=40,22,24)))))))))))))</f>
        <v>0</v>
      </c>
      <c r="O114" s="3" t="s">
        <v>50</v>
      </c>
      <c r="P114" s="0"/>
      <c r="Q114" s="3" t="n">
        <f aca="false">_xlfn.IFS(O114="взв",11,O114="накл",24,O114="прокл",25,O114="пт",26,O114=90,10,O114=85,10,O114=80,9,O114=75,8,O114=70,8,O114=65,7,O114=60,7,O114=55,6,O114=50,6,O114=45,6,O114=40,5,O114=35,4,O114=30,4,O114=25,3,O114=20,2,O114=15,1,O114=10,1,O114=0,0)</f>
        <v>11</v>
      </c>
      <c r="R114" s="3" t="n">
        <f aca="false">IF(P114&lt;=1,0,IF(P114&lt;=10,11,IF(P114&lt;=14,12,IF(P114&lt;=17,13,IF(P114&lt;=20,14,IF(P114&lt;=22,15,IF(P114&lt;=25,16,IF(P114&lt;=27,17,IF(P114&lt;=29,18,IF(P114&lt;=32,19,IF(P114&lt;=34,20,IF(P114&lt;=36,21,IF(P114&lt;=40,22,24)))))))))))))</f>
        <v>0</v>
      </c>
      <c r="S114" s="14" t="n">
        <f aca="false">ROUND((Q114+R114+I114+J114+M114+N114)/3,0)</f>
        <v>10</v>
      </c>
      <c r="T114" s="15" t="n">
        <f aca="false">F114*LOG10(S114+2)</f>
        <v>4.3167249841905</v>
      </c>
    </row>
    <row r="115" customFormat="false" ht="14.65" hidden="false" customHeight="true" outlineLevel="0" collapsed="false">
      <c r="A115" s="12" t="s">
        <v>146</v>
      </c>
      <c r="B115" s="13" t="n">
        <v>38886</v>
      </c>
      <c r="C115" s="3" t="s">
        <v>24</v>
      </c>
      <c r="D115" s="4" t="s">
        <v>135</v>
      </c>
      <c r="E115" s="3" t="n">
        <v>3</v>
      </c>
      <c r="F115" s="3" t="n">
        <v>4</v>
      </c>
      <c r="H115" s="3" t="n">
        <v>37</v>
      </c>
      <c r="I115" s="3" t="n">
        <f aca="false">_xlfn.IFS(G115="взв",11,G115="накл",24,G115="прокл",25,G115="пт",26,G115=90,10,G115=85,10,G115=80,9,G115=75,8,G115=70,8,G115=65,7,G115=60,7,G115=55,6,G115=50,6,G115=45,6,G115=40,5,G115=35,4,G115=30,4,G115=25,3,G115=20,2,G115=15,1,G115=10,1,G115=0,0)</f>
        <v>0</v>
      </c>
      <c r="J115" s="3" t="n">
        <f aca="false">IF(H115&lt;=1,0,IF(H115&lt;=10,11,IF(H115&lt;=14,12,IF(H115&lt;=17,13,IF(H115&lt;=20,14,IF(H115&lt;=22,15,IF(H115&lt;=25,16,IF(H115&lt;=27,17,IF(H115&lt;=29,18,IF(H115&lt;=32,19,IF(H115&lt;=34,20,IF(H115&lt;=36,21,IF(H115&lt;=40,22,24)))))))))))))</f>
        <v>22</v>
      </c>
      <c r="L115" s="3" t="n">
        <v>37</v>
      </c>
      <c r="M115" s="3" t="n">
        <f aca="false">_xlfn.IFS(K115="взв",11,K115="накл",24,K115="прокл",25,K115="пт",26,K115=90,10,K115=85,10,K115=80,9,K115=75,8,K115=70,8,K115=65,7,K115=60,7,K115=55,6,K115=50,6,K115=45,6,K115=40,5,K115=35,4,K115=30,4,K115=25,3,K115=20,2,K115=15,1,K115=10,1,K115=0,0)</f>
        <v>0</v>
      </c>
      <c r="N115" s="3" t="n">
        <f aca="false">IF(L115&lt;=1,0,IF(L115&lt;=10,11,IF(L115&lt;=14,12,IF(L115&lt;=17,13,IF(L115&lt;=20,14,IF(L115&lt;=22,15,IF(L115&lt;=25,16,IF(L115&lt;=27,17,IF(L115&lt;=29,18,IF(L115&lt;=32,19,IF(L115&lt;=34,20,IF(L115&lt;=36,21,IF(L115&lt;=40,22,24)))))))))))))</f>
        <v>22</v>
      </c>
      <c r="P115" s="3" t="n">
        <v>37</v>
      </c>
      <c r="Q115" s="3" t="n">
        <f aca="false">_xlfn.IFS(O115="взв",11,O115="накл",24,O115="прокл",25,O115="пт",26,O115=90,10,O115=85,10,O115=80,9,O115=75,8,O115=70,8,O115=65,7,O115=60,7,O115=55,6,O115=50,6,O115=45,6,O115=40,5,O115=35,4,O115=30,4,O115=25,3,O115=20,2,O115=15,1,O115=10,1,O115=0,0)</f>
        <v>0</v>
      </c>
      <c r="R115" s="3" t="n">
        <f aca="false">IF(P115&lt;=1,0,IF(P115&lt;=10,11,IF(P115&lt;=14,12,IF(P115&lt;=17,13,IF(P115&lt;=20,14,IF(P115&lt;=22,15,IF(P115&lt;=25,16,IF(P115&lt;=27,17,IF(P115&lt;=29,18,IF(P115&lt;=32,19,IF(P115&lt;=34,20,IF(P115&lt;=36,21,IF(P115&lt;=40,22,24)))))))))))))</f>
        <v>22</v>
      </c>
      <c r="S115" s="14" t="n">
        <f aca="false">ROUND((Q115+R115+I115+J115+M115+N115)/3,0)</f>
        <v>22</v>
      </c>
      <c r="T115" s="15" t="n">
        <f aca="false">F115*LOG10(S115+2)</f>
        <v>5.52084496684642</v>
      </c>
    </row>
    <row r="116" customFormat="false" ht="14.65" hidden="false" customHeight="true" outlineLevel="0" collapsed="false">
      <c r="A116" s="12" t="s">
        <v>147</v>
      </c>
      <c r="B116" s="13" t="n">
        <v>38886</v>
      </c>
      <c r="C116" s="3" t="s">
        <v>24</v>
      </c>
      <c r="D116" s="4" t="s">
        <v>135</v>
      </c>
      <c r="E116" s="3" t="n">
        <v>4</v>
      </c>
      <c r="F116" s="3" t="n">
        <v>4</v>
      </c>
      <c r="H116" s="3" t="n">
        <v>26</v>
      </c>
      <c r="I116" s="3" t="n">
        <f aca="false">_xlfn.IFS(G116="взв",11,G116="накл",24,G116="прокл",25,G116="пт",26,G116=90,10,G116=85,10,G116=80,9,G116=75,8,G116=70,8,G116=65,7,G116=60,7,G116=55,6,G116=50,6,G116=45,6,G116=40,5,G116=35,4,G116=30,4,G116=25,3,G116=20,2,G116=15,1,G116=10,1,G116=0,0)</f>
        <v>0</v>
      </c>
      <c r="J116" s="3" t="n">
        <f aca="false">IF(H116&lt;=1,0,IF(H116&lt;=10,11,IF(H116&lt;=14,12,IF(H116&lt;=17,13,IF(H116&lt;=20,14,IF(H116&lt;=22,15,IF(H116&lt;=25,16,IF(H116&lt;=27,17,IF(H116&lt;=29,18,IF(H116&lt;=32,19,IF(H116&lt;=34,20,IF(H116&lt;=36,21,IF(H116&lt;=40,22,24)))))))))))))</f>
        <v>17</v>
      </c>
      <c r="L116" s="3" t="n">
        <v>20</v>
      </c>
      <c r="M116" s="3" t="n">
        <f aca="false">_xlfn.IFS(K116="взв",11,K116="накл",24,K116="прокл",25,K116="пт",26,K116=90,10,K116=85,10,K116=80,9,K116=75,8,K116=70,8,K116=65,7,K116=60,7,K116=55,6,K116=50,6,K116=45,6,K116=40,5,K116=35,4,K116=30,4,K116=25,3,K116=20,2,K116=15,1,K116=10,1,K116=0,0)</f>
        <v>0</v>
      </c>
      <c r="N116" s="3" t="n">
        <f aca="false">IF(L116&lt;=1,0,IF(L116&lt;=10,11,IF(L116&lt;=14,12,IF(L116&lt;=17,13,IF(L116&lt;=20,14,IF(L116&lt;=22,15,IF(L116&lt;=25,16,IF(L116&lt;=27,17,IF(L116&lt;=29,18,IF(L116&lt;=32,19,IF(L116&lt;=34,20,IF(L116&lt;=36,21,IF(L116&lt;=40,22,24)))))))))))))</f>
        <v>14</v>
      </c>
      <c r="O116" s="3" t="n">
        <v>90</v>
      </c>
      <c r="Q116" s="3" t="n">
        <f aca="false">_xlfn.IFS(O116="взв",11,O116="накл",24,O116="прокл",25,O116="пт",26,O116=90,10,O116=85,10,O116=80,9,O116=75,8,O116=70,8,O116=65,7,O116=60,7,O116=55,6,O116=50,6,O116=45,6,O116=40,5,O116=35,4,O116=30,4,O116=25,3,O116=20,2,O116=15,1,O116=10,1,O116=0,0)</f>
        <v>10</v>
      </c>
      <c r="R116" s="3" t="n">
        <f aca="false">IF(P116&lt;=1,0,IF(P116&lt;=10,11,IF(P116&lt;=14,12,IF(P116&lt;=17,13,IF(P116&lt;=20,14,IF(P116&lt;=22,15,IF(P116&lt;=25,16,IF(P116&lt;=27,17,IF(P116&lt;=29,18,IF(P116&lt;=32,19,IF(P116&lt;=34,20,IF(P116&lt;=36,21,IF(P116&lt;=40,22,24)))))))))))))</f>
        <v>0</v>
      </c>
      <c r="S116" s="14" t="n">
        <f aca="false">ROUND((Q116+R116+I116+J116+M116+N116)/3,0)</f>
        <v>14</v>
      </c>
      <c r="T116" s="15" t="n">
        <f aca="false">F116*LOG10(S116+2)</f>
        <v>4.8164799306237</v>
      </c>
    </row>
    <row r="117" customFormat="false" ht="14.65" hidden="false" customHeight="true" outlineLevel="0" collapsed="false">
      <c r="A117" s="12" t="s">
        <v>148</v>
      </c>
      <c r="B117" s="13" t="n">
        <v>38886</v>
      </c>
      <c r="C117" s="3" t="s">
        <v>24</v>
      </c>
      <c r="D117" s="4" t="s">
        <v>135</v>
      </c>
      <c r="E117" s="3" t="n">
        <v>5</v>
      </c>
      <c r="F117" s="3" t="n">
        <v>4</v>
      </c>
      <c r="G117" s="3" t="n">
        <v>90</v>
      </c>
      <c r="I117" s="3" t="n">
        <f aca="false">_xlfn.IFS(G117="взв",11,G117="накл",24,G117="прокл",25,G117="пт",26,G117=90,10,G117=85,10,G117=80,9,G117=75,8,G117=70,8,G117=65,7,G117=60,7,G117=55,6,G117=50,6,G117=45,6,G117=40,5,G117=35,4,G117=30,4,G117=25,3,G117=20,2,G117=15,1,G117=10,1,G117=0,0)</f>
        <v>10</v>
      </c>
      <c r="J117" s="3" t="n">
        <f aca="false">IF(H117&lt;=1,0,IF(H117&lt;=10,11,IF(H117&lt;=14,12,IF(H117&lt;=17,13,IF(H117&lt;=20,14,IF(H117&lt;=22,15,IF(H117&lt;=25,16,IF(H117&lt;=27,17,IF(H117&lt;=29,18,IF(H117&lt;=32,19,IF(H117&lt;=34,20,IF(H117&lt;=36,21,IF(H117&lt;=40,22,24)))))))))))))</f>
        <v>0</v>
      </c>
      <c r="K117" s="3" t="n">
        <v>75</v>
      </c>
      <c r="M117" s="3" t="n">
        <f aca="false">_xlfn.IFS(K117="взв",11,K117="накл",24,K117="прокл",25,K117="пт",26,K117=90,10,K117=85,10,K117=80,9,K117=75,8,K117=70,8,K117=65,7,K117=60,7,K117=55,6,K117=50,6,K117=45,6,K117=40,5,K117=35,4,K117=30,4,K117=25,3,K117=20,2,K117=15,1,K117=10,1,K117=0,0)</f>
        <v>8</v>
      </c>
      <c r="N117" s="3" t="n">
        <f aca="false">IF(L117&lt;=1,0,IF(L117&lt;=10,11,IF(L117&lt;=14,12,IF(L117&lt;=17,13,IF(L117&lt;=20,14,IF(L117&lt;=22,15,IF(L117&lt;=25,16,IF(L117&lt;=27,17,IF(L117&lt;=29,18,IF(L117&lt;=32,19,IF(L117&lt;=34,20,IF(L117&lt;=36,21,IF(L117&lt;=40,22,24)))))))))))))</f>
        <v>0</v>
      </c>
      <c r="P117" s="3" t="n">
        <v>20</v>
      </c>
      <c r="Q117" s="3" t="n">
        <f aca="false">_xlfn.IFS(O117="взв",11,O117="накл",24,O117="прокл",25,O117="пт",26,O117=90,10,O117=85,10,O117=80,9,O117=75,8,O117=70,8,O117=65,7,O117=60,7,O117=55,6,O117=50,6,O117=45,6,O117=40,5,O117=35,4,O117=30,4,O117=25,3,O117=20,2,O117=15,1,O117=10,1,O117=0,0)</f>
        <v>0</v>
      </c>
      <c r="R117" s="3" t="n">
        <f aca="false">IF(P117&lt;=1,0,IF(P117&lt;=10,11,IF(P117&lt;=14,12,IF(P117&lt;=17,13,IF(P117&lt;=20,14,IF(P117&lt;=22,15,IF(P117&lt;=25,16,IF(P117&lt;=27,17,IF(P117&lt;=29,18,IF(P117&lt;=32,19,IF(P117&lt;=34,20,IF(P117&lt;=36,21,IF(P117&lt;=40,22,24)))))))))))))</f>
        <v>14</v>
      </c>
      <c r="S117" s="14" t="n">
        <f aca="false">ROUND((Q117+R117+I117+J117+M117+N117)/3,0)</f>
        <v>11</v>
      </c>
      <c r="T117" s="15" t="n">
        <f aca="false">F117*LOG10(S117+2)</f>
        <v>4.45577340922735</v>
      </c>
    </row>
    <row r="118" customFormat="false" ht="14.65" hidden="false" customHeight="true" outlineLevel="0" collapsed="false">
      <c r="A118" s="12" t="s">
        <v>149</v>
      </c>
      <c r="B118" s="13" t="n">
        <v>38886</v>
      </c>
      <c r="C118" s="3" t="s">
        <v>24</v>
      </c>
      <c r="D118" s="4" t="s">
        <v>135</v>
      </c>
      <c r="E118" s="3" t="n">
        <v>3</v>
      </c>
      <c r="F118" s="3" t="n">
        <v>5</v>
      </c>
      <c r="H118" s="3" t="n">
        <v>16</v>
      </c>
      <c r="I118" s="3" t="n">
        <f aca="false">_xlfn.IFS(G118="взв",11,G118="накл",24,G118="прокл",25,G118="пт",26,G118=90,10,G118=85,10,G118=80,9,G118=75,8,G118=70,8,G118=65,7,G118=60,7,G118=55,6,G118=50,6,G118=45,6,G118=40,5,G118=35,4,G118=30,4,G118=25,3,G118=20,2,G118=15,1,G118=10,1,G118=0,0)</f>
        <v>0</v>
      </c>
      <c r="J118" s="3" t="n">
        <f aca="false">IF(H118&lt;=1,0,IF(H118&lt;=10,11,IF(H118&lt;=14,12,IF(H118&lt;=17,13,IF(H118&lt;=20,14,IF(H118&lt;=22,15,IF(H118&lt;=25,16,IF(H118&lt;=27,17,IF(H118&lt;=29,18,IF(H118&lt;=32,19,IF(H118&lt;=34,20,IF(H118&lt;=36,21,IF(H118&lt;=40,22,24)))))))))))))</f>
        <v>13</v>
      </c>
      <c r="K118" s="3" t="n">
        <v>90</v>
      </c>
      <c r="M118" s="3" t="n">
        <f aca="false">_xlfn.IFS(K118="взв",11,K118="накл",24,K118="прокл",25,K118="пт",26,K118=90,10,K118=85,10,K118=80,9,K118=75,8,K118=70,8,K118=65,7,K118=60,7,K118=55,6,K118=50,6,K118=45,6,K118=40,5,K118=35,4,K118=30,4,K118=25,3,K118=20,2,K118=15,1,K118=10,1,K118=0,0)</f>
        <v>10</v>
      </c>
      <c r="N118" s="3" t="n">
        <f aca="false">IF(L118&lt;=1,0,IF(L118&lt;=10,11,IF(L118&lt;=14,12,IF(L118&lt;=17,13,IF(L118&lt;=20,14,IF(L118&lt;=22,15,IF(L118&lt;=25,16,IF(L118&lt;=27,17,IF(L118&lt;=29,18,IF(L118&lt;=32,19,IF(L118&lt;=34,20,IF(L118&lt;=36,21,IF(L118&lt;=40,22,24)))))))))))))</f>
        <v>0</v>
      </c>
      <c r="O118" s="3" t="n">
        <v>90</v>
      </c>
      <c r="Q118" s="3" t="n">
        <f aca="false">_xlfn.IFS(O118="взв",11,O118="накл",24,O118="прокл",25,O118="пт",26,O118=90,10,O118=85,10,O118=80,9,O118=75,8,O118=70,8,O118=65,7,O118=60,7,O118=55,6,O118=50,6,O118=45,6,O118=40,5,O118=35,4,O118=30,4,O118=25,3,O118=20,2,O118=15,1,O118=10,1,O118=0,0)</f>
        <v>10</v>
      </c>
      <c r="R118" s="3" t="n">
        <f aca="false">IF(P118&lt;=1,0,IF(P118&lt;=10,11,IF(P118&lt;=14,12,IF(P118&lt;=17,13,IF(P118&lt;=20,14,IF(P118&lt;=22,15,IF(P118&lt;=25,16,IF(P118&lt;=27,17,IF(P118&lt;=29,18,IF(P118&lt;=32,19,IF(P118&lt;=34,20,IF(P118&lt;=36,21,IF(P118&lt;=40,22,24)))))))))))))</f>
        <v>0</v>
      </c>
      <c r="S118" s="14" t="n">
        <f aca="false">ROUND((Q118+R118+I118+J118+M118+N118)/3,0)</f>
        <v>11</v>
      </c>
      <c r="T118" s="15" t="n">
        <f aca="false">F118*LOG10(S118+2)</f>
        <v>5.56971676153418</v>
      </c>
    </row>
    <row r="119" customFormat="false" ht="14.65" hidden="false" customHeight="true" outlineLevel="0" collapsed="false">
      <c r="A119" s="12" t="s">
        <v>150</v>
      </c>
      <c r="B119" s="13" t="n">
        <v>38886</v>
      </c>
      <c r="C119" s="3" t="s">
        <v>24</v>
      </c>
      <c r="D119" s="4" t="s">
        <v>135</v>
      </c>
      <c r="E119" s="3" t="n">
        <v>3</v>
      </c>
      <c r="F119" s="3" t="n">
        <v>5</v>
      </c>
      <c r="H119" s="3" t="n">
        <v>29</v>
      </c>
      <c r="I119" s="3" t="n">
        <f aca="false">_xlfn.IFS(G119="взв",11,G119="накл",24,G119="прокл",25,G119="пт",26,G119=90,10,G119=85,10,G119=80,9,G119=75,8,G119=70,8,G119=65,7,G119=60,7,G119=55,6,G119=50,6,G119=45,6,G119=40,5,G119=35,4,G119=30,4,G119=25,3,G119=20,2,G119=15,1,G119=10,1,G119=0,0)</f>
        <v>0</v>
      </c>
      <c r="J119" s="3" t="n">
        <f aca="false">IF(H119&lt;=1,0,IF(H119&lt;=10,11,IF(H119&lt;=14,12,IF(H119&lt;=17,13,IF(H119&lt;=20,14,IF(H119&lt;=22,15,IF(H119&lt;=25,16,IF(H119&lt;=27,17,IF(H119&lt;=29,18,IF(H119&lt;=32,19,IF(H119&lt;=34,20,IF(H119&lt;=36,21,IF(H119&lt;=40,22,24)))))))))))))</f>
        <v>18</v>
      </c>
      <c r="L119" s="3" t="n">
        <v>32</v>
      </c>
      <c r="M119" s="3" t="n">
        <f aca="false">_xlfn.IFS(K119="взв",11,K119="накл",24,K119="прокл",25,K119="пт",26,K119=90,10,K119=85,10,K119=80,9,K119=75,8,K119=70,8,K119=65,7,K119=60,7,K119=55,6,K119=50,6,K119=45,6,K119=40,5,K119=35,4,K119=30,4,K119=25,3,K119=20,2,K119=15,1,K119=10,1,K119=0,0)</f>
        <v>0</v>
      </c>
      <c r="N119" s="3" t="n">
        <f aca="false">IF(L119&lt;=1,0,IF(L119&lt;=10,11,IF(L119&lt;=14,12,IF(L119&lt;=17,13,IF(L119&lt;=20,14,IF(L119&lt;=22,15,IF(L119&lt;=25,16,IF(L119&lt;=27,17,IF(L119&lt;=29,18,IF(L119&lt;=32,19,IF(L119&lt;=34,20,IF(L119&lt;=36,21,IF(L119&lt;=40,22,24)))))))))))))</f>
        <v>19</v>
      </c>
      <c r="P119" s="3" t="n">
        <v>30</v>
      </c>
      <c r="Q119" s="3" t="n">
        <f aca="false">_xlfn.IFS(O119="взв",11,O119="накл",24,O119="прокл",25,O119="пт",26,O119=90,10,O119=85,10,O119=80,9,O119=75,8,O119=70,8,O119=65,7,O119=60,7,O119=55,6,O119=50,6,O119=45,6,O119=40,5,O119=35,4,O119=30,4,O119=25,3,O119=20,2,O119=15,1,O119=10,1,O119=0,0)</f>
        <v>0</v>
      </c>
      <c r="R119" s="3" t="n">
        <f aca="false">IF(P119&lt;=1,0,IF(P119&lt;=10,11,IF(P119&lt;=14,12,IF(P119&lt;=17,13,IF(P119&lt;=20,14,IF(P119&lt;=22,15,IF(P119&lt;=25,16,IF(P119&lt;=27,17,IF(P119&lt;=29,18,IF(P119&lt;=32,19,IF(P119&lt;=34,20,IF(P119&lt;=36,21,IF(P119&lt;=40,22,24)))))))))))))</f>
        <v>19</v>
      </c>
      <c r="S119" s="14" t="n">
        <f aca="false">ROUND((Q119+R119+I119+J119+M119+N119)/3,0)</f>
        <v>19</v>
      </c>
      <c r="T119" s="15" t="n">
        <f aca="false">F119*LOG10(S119+2)</f>
        <v>6.6110964736696</v>
      </c>
    </row>
    <row r="120" customFormat="false" ht="14.65" hidden="false" customHeight="true" outlineLevel="0" collapsed="false">
      <c r="A120" s="12" t="s">
        <v>151</v>
      </c>
      <c r="B120" s="13" t="n">
        <v>38886</v>
      </c>
      <c r="C120" s="3" t="s">
        <v>24</v>
      </c>
      <c r="D120" s="4" t="s">
        <v>135</v>
      </c>
      <c r="E120" s="3" t="n">
        <v>3</v>
      </c>
      <c r="F120" s="3" t="n">
        <v>6</v>
      </c>
      <c r="H120" s="3" t="n">
        <v>37</v>
      </c>
      <c r="I120" s="3" t="n">
        <f aca="false">_xlfn.IFS(G120="взв",11,G120="накл",24,G120="прокл",25,G120="пт",26,G120=90,10,G120=85,10,G120=80,9,G120=75,8,G120=70,8,G120=65,7,G120=60,7,G120=55,6,G120=50,6,G120=45,6,G120=40,5,G120=35,4,G120=30,4,G120=25,3,G120=20,2,G120=15,1,G120=10,1,G120=0,0)</f>
        <v>0</v>
      </c>
      <c r="J120" s="3" t="n">
        <f aca="false">IF(H120&lt;=1,0,IF(H120&lt;=10,11,IF(H120&lt;=14,12,IF(H120&lt;=17,13,IF(H120&lt;=20,14,IF(H120&lt;=22,15,IF(H120&lt;=25,16,IF(H120&lt;=27,17,IF(H120&lt;=29,18,IF(H120&lt;=32,19,IF(H120&lt;=34,20,IF(H120&lt;=36,21,IF(H120&lt;=40,22,24)))))))))))))</f>
        <v>22</v>
      </c>
      <c r="L120" s="3" t="n">
        <v>39</v>
      </c>
      <c r="M120" s="3" t="n">
        <f aca="false">_xlfn.IFS(K120="взв",11,K120="накл",24,K120="прокл",25,K120="пт",26,K120=90,10,K120=85,10,K120=80,9,K120=75,8,K120=70,8,K120=65,7,K120=60,7,K120=55,6,K120=50,6,K120=45,6,K120=40,5,K120=35,4,K120=30,4,K120=25,3,K120=20,2,K120=15,1,K120=10,1,K120=0,0)</f>
        <v>0</v>
      </c>
      <c r="N120" s="3" t="n">
        <f aca="false">IF(L120&lt;=1,0,IF(L120&lt;=10,11,IF(L120&lt;=14,12,IF(L120&lt;=17,13,IF(L120&lt;=20,14,IF(L120&lt;=22,15,IF(L120&lt;=25,16,IF(L120&lt;=27,17,IF(L120&lt;=29,18,IF(L120&lt;=32,19,IF(L120&lt;=34,20,IF(L120&lt;=36,21,IF(L120&lt;=40,22,24)))))))))))))</f>
        <v>22</v>
      </c>
      <c r="P120" s="3" t="n">
        <v>38</v>
      </c>
      <c r="Q120" s="3" t="n">
        <f aca="false">_xlfn.IFS(O120="взв",11,O120="накл",24,O120="прокл",25,O120="пт",26,O120=90,10,O120=85,10,O120=80,9,O120=75,8,O120=70,8,O120=65,7,O120=60,7,O120=55,6,O120=50,6,O120=45,6,O120=40,5,O120=35,4,O120=30,4,O120=25,3,O120=20,2,O120=15,1,O120=10,1,O120=0,0)</f>
        <v>0</v>
      </c>
      <c r="R120" s="3" t="n">
        <f aca="false">IF(P120&lt;=1,0,IF(P120&lt;=10,11,IF(P120&lt;=14,12,IF(P120&lt;=17,13,IF(P120&lt;=20,14,IF(P120&lt;=22,15,IF(P120&lt;=25,16,IF(P120&lt;=27,17,IF(P120&lt;=29,18,IF(P120&lt;=32,19,IF(P120&lt;=34,20,IF(P120&lt;=36,21,IF(P120&lt;=40,22,24)))))))))))))</f>
        <v>22</v>
      </c>
      <c r="S120" s="14" t="n">
        <f aca="false">ROUND((Q120+R120+I120+J120+M120+N120)/3,0)</f>
        <v>22</v>
      </c>
      <c r="T120" s="15" t="n">
        <f aca="false">F120*LOG10(S120+2)</f>
        <v>8.28126745026964</v>
      </c>
    </row>
    <row r="121" customFormat="false" ht="14.65" hidden="false" customHeight="true" outlineLevel="0" collapsed="false">
      <c r="A121" s="12" t="s">
        <v>152</v>
      </c>
      <c r="B121" s="13" t="n">
        <v>38886</v>
      </c>
      <c r="C121" s="3" t="s">
        <v>24</v>
      </c>
      <c r="D121" s="4" t="s">
        <v>135</v>
      </c>
      <c r="E121" s="3" t="n">
        <v>3</v>
      </c>
      <c r="F121" s="3" t="n">
        <v>10</v>
      </c>
      <c r="H121" s="3" t="n">
        <v>37</v>
      </c>
      <c r="I121" s="3" t="n">
        <f aca="false">_xlfn.IFS(G121="взв",11,G121="накл",24,G121="прокл",25,G121="пт",26,G121=90,10,G121=85,10,G121=80,9,G121=75,8,G121=70,8,G121=65,7,G121=60,7,G121=55,6,G121=50,6,G121=45,6,G121=40,5,G121=35,4,G121=30,4,G121=25,3,G121=20,2,G121=15,1,G121=10,1,G121=0,0)</f>
        <v>0</v>
      </c>
      <c r="J121" s="3" t="n">
        <f aca="false">IF(H121&lt;=1,0,IF(H121&lt;=10,11,IF(H121&lt;=14,12,IF(H121&lt;=17,13,IF(H121&lt;=20,14,IF(H121&lt;=22,15,IF(H121&lt;=25,16,IF(H121&lt;=27,17,IF(H121&lt;=29,18,IF(H121&lt;=32,19,IF(H121&lt;=34,20,IF(H121&lt;=36,21,IF(H121&lt;=40,22,24)))))))))))))</f>
        <v>22</v>
      </c>
      <c r="L121" s="3" t="n">
        <v>39</v>
      </c>
      <c r="M121" s="3" t="n">
        <f aca="false">_xlfn.IFS(K121="взв",11,K121="накл",24,K121="прокл",25,K121="пт",26,K121=90,10,K121=85,10,K121=80,9,K121=75,8,K121=70,8,K121=65,7,K121=60,7,K121=55,6,K121=50,6,K121=45,6,K121=40,5,K121=35,4,K121=30,4,K121=25,3,K121=20,2,K121=15,1,K121=10,1,K121=0,0)</f>
        <v>0</v>
      </c>
      <c r="N121" s="3" t="n">
        <f aca="false">IF(L121&lt;=1,0,IF(L121&lt;=10,11,IF(L121&lt;=14,12,IF(L121&lt;=17,13,IF(L121&lt;=20,14,IF(L121&lt;=22,15,IF(L121&lt;=25,16,IF(L121&lt;=27,17,IF(L121&lt;=29,18,IF(L121&lt;=32,19,IF(L121&lt;=34,20,IF(L121&lt;=36,21,IF(L121&lt;=40,22,24)))))))))))))</f>
        <v>22</v>
      </c>
      <c r="P121" s="3" t="n">
        <v>36</v>
      </c>
      <c r="Q121" s="3" t="n">
        <f aca="false">_xlfn.IFS(O121="взв",11,O121="накл",24,O121="прокл",25,O121="пт",26,O121=90,10,O121=85,10,O121=80,9,O121=75,8,O121=70,8,O121=65,7,O121=60,7,O121=55,6,O121=50,6,O121=45,6,O121=40,5,O121=35,4,O121=30,4,O121=25,3,O121=20,2,O121=15,1,O121=10,1,O121=0,0)</f>
        <v>0</v>
      </c>
      <c r="R121" s="3" t="n">
        <f aca="false">IF(P121&lt;=1,0,IF(P121&lt;=10,11,IF(P121&lt;=14,12,IF(P121&lt;=17,13,IF(P121&lt;=20,14,IF(P121&lt;=22,15,IF(P121&lt;=25,16,IF(P121&lt;=27,17,IF(P121&lt;=29,18,IF(P121&lt;=32,19,IF(P121&lt;=34,20,IF(P121&lt;=36,21,IF(P121&lt;=40,22,24)))))))))))))</f>
        <v>21</v>
      </c>
      <c r="S121" s="14" t="n">
        <f aca="false">ROUND((Q121+R121+I121+J121+M121+N121)/3,0)</f>
        <v>22</v>
      </c>
      <c r="T121" s="15" t="n">
        <f aca="false">F121*LOG10(S121+2)</f>
        <v>13.8021124171161</v>
      </c>
    </row>
    <row r="122" customFormat="false" ht="14.65" hidden="false" customHeight="true" outlineLevel="0" collapsed="false">
      <c r="A122" s="12" t="s">
        <v>153</v>
      </c>
      <c r="B122" s="13" t="n">
        <v>38886</v>
      </c>
      <c r="C122" s="3" t="s">
        <v>24</v>
      </c>
      <c r="D122" s="4" t="s">
        <v>135</v>
      </c>
      <c r="E122" s="3" t="n">
        <v>5</v>
      </c>
      <c r="F122" s="3" t="n">
        <v>0</v>
      </c>
      <c r="H122" s="3" t="n">
        <v>42</v>
      </c>
      <c r="I122" s="3" t="n">
        <f aca="false">_xlfn.IFS(G122="взв",11,G122="накл",24,G122="прокл",25,G122="пт",26,G122=90,10,G122=85,10,G122=80,9,G122=75,8,G122=70,8,G122=65,7,G122=60,7,G122=55,6,G122=50,6,G122=45,6,G122=40,5,G122=35,4,G122=30,4,G122=25,3,G122=20,2,G122=15,1,G122=10,1,G122=0,0)</f>
        <v>0</v>
      </c>
      <c r="J122" s="3" t="n">
        <f aca="false">IF(H122&lt;=1,0,IF(H122&lt;=10,11,IF(H122&lt;=14,12,IF(H122&lt;=17,13,IF(H122&lt;=20,14,IF(H122&lt;=22,15,IF(H122&lt;=25,16,IF(H122&lt;=27,17,IF(H122&lt;=29,18,IF(H122&lt;=32,19,IF(H122&lt;=34,20,IF(H122&lt;=36,21,IF(H122&lt;=40,22,24)))))))))))))</f>
        <v>24</v>
      </c>
      <c r="L122" s="3" t="n">
        <v>39</v>
      </c>
      <c r="M122" s="3" t="n">
        <f aca="false">_xlfn.IFS(K122="взв",11,K122="накл",24,K122="прокл",25,K122="пт",26,K122=90,10,K122=85,10,K122=80,9,K122=75,8,K122=70,8,K122=65,7,K122=60,7,K122=55,6,K122=50,6,K122=45,6,K122=40,5,K122=35,4,K122=30,4,K122=25,3,K122=20,2,K122=15,1,K122=10,1,K122=0,0)</f>
        <v>0</v>
      </c>
      <c r="N122" s="3" t="n">
        <f aca="false">IF(L122&lt;=1,0,IF(L122&lt;=10,11,IF(L122&lt;=14,12,IF(L122&lt;=17,13,IF(L122&lt;=20,14,IF(L122&lt;=22,15,IF(L122&lt;=25,16,IF(L122&lt;=27,17,IF(L122&lt;=29,18,IF(L122&lt;=32,19,IF(L122&lt;=34,20,IF(L122&lt;=36,21,IF(L122&lt;=40,22,24)))))))))))))</f>
        <v>22</v>
      </c>
      <c r="P122" s="3" t="n">
        <v>37</v>
      </c>
      <c r="Q122" s="3" t="n">
        <f aca="false">_xlfn.IFS(O122="взв",11,O122="накл",24,O122="прокл",25,O122="пт",26,O122=90,10,O122=85,10,O122=80,9,O122=75,8,O122=70,8,O122=65,7,O122=60,7,O122=55,6,O122=50,6,O122=45,6,O122=40,5,O122=35,4,O122=30,4,O122=25,3,O122=20,2,O122=15,1,O122=10,1,O122=0,0)</f>
        <v>0</v>
      </c>
      <c r="R122" s="3" t="n">
        <f aca="false">IF(P122&lt;=1,0,IF(P122&lt;=10,11,IF(P122&lt;=14,12,IF(P122&lt;=17,13,IF(P122&lt;=20,14,IF(P122&lt;=22,15,IF(P122&lt;=25,16,IF(P122&lt;=27,17,IF(P122&lt;=29,18,IF(P122&lt;=32,19,IF(P122&lt;=34,20,IF(P122&lt;=36,21,IF(P122&lt;=40,22,24)))))))))))))</f>
        <v>22</v>
      </c>
      <c r="S122" s="14" t="n">
        <f aca="false">ROUND((Q122+R122+I122+J122+M122+N122)/3,0)</f>
        <v>23</v>
      </c>
      <c r="T122" s="15" t="n">
        <f aca="false">F122*LOG10(S122+2)</f>
        <v>0</v>
      </c>
    </row>
    <row r="123" customFormat="false" ht="14.65" hidden="false" customHeight="true" outlineLevel="0" collapsed="false">
      <c r="A123" s="12" t="s">
        <v>154</v>
      </c>
      <c r="B123" s="16" t="n">
        <v>38880</v>
      </c>
      <c r="C123" s="3" t="s">
        <v>24</v>
      </c>
      <c r="D123" s="4" t="s">
        <v>155</v>
      </c>
      <c r="E123" s="3" t="n">
        <v>4</v>
      </c>
      <c r="F123" s="3" t="n">
        <v>0</v>
      </c>
      <c r="H123" s="3" t="n">
        <v>32</v>
      </c>
      <c r="I123" s="3" t="n">
        <f aca="false">_xlfn.IFS(G123="взв",11,G123="накл",24,G123="прокл",25,G123="пт",26,G123=90,10,G123=85,10,G123=80,9,G123=75,8,G123=70,8,G123=65,7,G123=60,7,G123=55,6,G123=50,6,G123=45,6,G123=40,5,G123=35,4,G123=30,4,G123=25,3,G123=20,2,G123=15,1,G123=10,1,G123=0,0)</f>
        <v>0</v>
      </c>
      <c r="J123" s="3" t="n">
        <f aca="false">IF(H123&lt;=1,0,IF(H123&lt;=10,11,IF(H123&lt;=14,12,IF(H123&lt;=17,13,IF(H123&lt;=20,14,IF(H123&lt;=22,15,IF(H123&lt;=25,16,IF(H123&lt;=27,17,IF(H123&lt;=29,18,IF(H123&lt;=32,19,IF(H123&lt;=34,20,IF(H123&lt;=36,21,IF(H123&lt;=40,22,24)))))))))))))</f>
        <v>19</v>
      </c>
      <c r="L123" s="3" t="n">
        <v>27</v>
      </c>
      <c r="M123" s="3" t="n">
        <f aca="false">_xlfn.IFS(K123="взв",11,K123="накл",24,K123="прокл",25,K123="пт",26,K123=90,10,K123=85,10,K123=80,9,K123=75,8,K123=70,8,K123=65,7,K123=60,7,K123=55,6,K123=50,6,K123=45,6,K123=40,5,K123=35,4,K123=30,4,K123=25,3,K123=20,2,K123=15,1,K123=10,1,K123=0,0)</f>
        <v>0</v>
      </c>
      <c r="N123" s="3" t="n">
        <f aca="false">IF(L123&lt;=1,0,IF(L123&lt;=10,11,IF(L123&lt;=14,12,IF(L123&lt;=17,13,IF(L123&lt;=20,14,IF(L123&lt;=22,15,IF(L123&lt;=25,16,IF(L123&lt;=27,17,IF(L123&lt;=29,18,IF(L123&lt;=32,19,IF(L123&lt;=34,20,IF(L123&lt;=36,21,IF(L123&lt;=40,22,24)))))))))))))</f>
        <v>17</v>
      </c>
      <c r="P123" s="3" t="n">
        <v>30</v>
      </c>
      <c r="Q123" s="3" t="n">
        <f aca="false">_xlfn.IFS(O123="взв",11,O123="накл",24,O123="прокл",25,O123="пт",26,O123=90,10,O123=85,10,O123=80,9,O123=75,8,O123=70,8,O123=65,7,O123=60,7,O123=55,6,O123=50,6,O123=45,6,O123=40,5,O123=35,4,O123=30,4,O123=25,3,O123=20,2,O123=15,1,O123=10,1,O123=0,0)</f>
        <v>0</v>
      </c>
      <c r="R123" s="3" t="n">
        <f aca="false">IF(P123&lt;=1,0,IF(P123&lt;=10,11,IF(P123&lt;=14,12,IF(P123&lt;=17,13,IF(P123&lt;=20,14,IF(P123&lt;=22,15,IF(P123&lt;=25,16,IF(P123&lt;=27,17,IF(P123&lt;=29,18,IF(P123&lt;=32,19,IF(P123&lt;=34,20,IF(P123&lt;=36,21,IF(P123&lt;=40,22,24)))))))))))))</f>
        <v>19</v>
      </c>
      <c r="S123" s="14" t="n">
        <f aca="false">ROUND((Q123+R123+I123+J123+M123+N123)/3,0)</f>
        <v>18</v>
      </c>
      <c r="T123" s="15" t="n">
        <f aca="false">F123*LOG10(S123+2)</f>
        <v>0</v>
      </c>
    </row>
    <row r="124" customFormat="false" ht="14.65" hidden="false" customHeight="true" outlineLevel="0" collapsed="false">
      <c r="A124" s="12" t="s">
        <v>156</v>
      </c>
      <c r="B124" s="13" t="n">
        <v>38880</v>
      </c>
      <c r="C124" s="3" t="s">
        <v>24</v>
      </c>
      <c r="D124" s="4" t="s">
        <v>155</v>
      </c>
      <c r="E124" s="3" t="n">
        <v>4</v>
      </c>
      <c r="F124" s="3" t="n">
        <v>1</v>
      </c>
      <c r="G124" s="3" t="s">
        <v>27</v>
      </c>
      <c r="I124" s="3" t="n">
        <f aca="false">_xlfn.IFS(G124="взв",11,G124="накл",24,G124="прокл",25,G124="пт",26,G124=90,10,G124=85,10,G124=80,9,G124=75,8,G124=70,8,G124=65,7,G124=60,7,G124=55,6,G124=50,6,G124=45,6,G124=40,5,G124=35,4,G124=30,4,G124=25,3,G124=20,2,G124=15,1,G124=10,1,G124=0,0)</f>
        <v>24</v>
      </c>
      <c r="J124" s="3" t="n">
        <f aca="false">IF(H124&lt;=1,0,IF(H124&lt;=10,11,IF(H124&lt;=14,12,IF(H124&lt;=17,13,IF(H124&lt;=20,14,IF(H124&lt;=22,15,IF(H124&lt;=25,16,IF(H124&lt;=27,17,IF(H124&lt;=29,18,IF(H124&lt;=32,19,IF(H124&lt;=34,20,IF(H124&lt;=36,21,IF(H124&lt;=40,22,24)))))))))))))</f>
        <v>0</v>
      </c>
      <c r="K124" s="3" t="s">
        <v>27</v>
      </c>
      <c r="M124" s="3" t="n">
        <f aca="false">_xlfn.IFS(K124="взв",11,K124="накл",24,K124="прокл",25,K124="пт",26,K124=90,10,K124=85,10,K124=80,9,K124=75,8,K124=70,8,K124=65,7,K124=60,7,K124=55,6,K124=50,6,K124=45,6,K124=40,5,K124=35,4,K124=30,4,K124=25,3,K124=20,2,K124=15,1,K124=10,1,K124=0,0)</f>
        <v>24</v>
      </c>
      <c r="N124" s="3" t="n">
        <f aca="false">IF(L124&lt;=1,0,IF(L124&lt;=10,11,IF(L124&lt;=14,12,IF(L124&lt;=17,13,IF(L124&lt;=20,14,IF(L124&lt;=22,15,IF(L124&lt;=25,16,IF(L124&lt;=27,17,IF(L124&lt;=29,18,IF(L124&lt;=32,19,IF(L124&lt;=34,20,IF(L124&lt;=36,21,IF(L124&lt;=40,22,24)))))))))))))</f>
        <v>0</v>
      </c>
      <c r="O124" s="3" t="s">
        <v>27</v>
      </c>
      <c r="P124" s="0"/>
      <c r="Q124" s="3" t="n">
        <f aca="false">_xlfn.IFS(O124="взв",11,O124="накл",24,O124="прокл",25,O124="пт",26,O124=90,10,O124=85,10,O124=80,9,O124=75,8,O124=70,8,O124=65,7,O124=60,7,O124=55,6,O124=50,6,O124=45,6,O124=40,5,O124=35,4,O124=30,4,O124=25,3,O124=20,2,O124=15,1,O124=10,1,O124=0,0)</f>
        <v>24</v>
      </c>
      <c r="R124" s="3" t="n">
        <f aca="false">IF(P124&lt;=1,0,IF(P124&lt;=10,11,IF(P124&lt;=14,12,IF(P124&lt;=17,13,IF(P124&lt;=20,14,IF(P124&lt;=22,15,IF(P124&lt;=25,16,IF(P124&lt;=27,17,IF(P124&lt;=29,18,IF(P124&lt;=32,19,IF(P124&lt;=34,20,IF(P124&lt;=36,21,IF(P124&lt;=40,22,24)))))))))))))</f>
        <v>0</v>
      </c>
      <c r="S124" s="14" t="n">
        <f aca="false">ROUND((Q124+R124+I124+J124+M124+N124)/3,0)</f>
        <v>24</v>
      </c>
      <c r="T124" s="15" t="n">
        <f aca="false">F124*LOG10(S124+2)</f>
        <v>1.41497334797082</v>
      </c>
    </row>
    <row r="125" customFormat="false" ht="14.65" hidden="false" customHeight="true" outlineLevel="0" collapsed="false">
      <c r="A125" s="12" t="s">
        <v>157</v>
      </c>
      <c r="B125" s="13" t="n">
        <v>38880</v>
      </c>
      <c r="C125" s="3" t="s">
        <v>24</v>
      </c>
      <c r="D125" s="4" t="s">
        <v>155</v>
      </c>
      <c r="E125" s="3" t="n">
        <v>4</v>
      </c>
      <c r="F125" s="3" t="n">
        <v>1</v>
      </c>
      <c r="G125" s="3" t="n">
        <v>90</v>
      </c>
      <c r="I125" s="3" t="n">
        <f aca="false">_xlfn.IFS(G125="взв",11,G125="накл",24,G125="прокл",25,G125="пт",26,G125=90,10,G125=85,10,G125=80,9,G125=75,8,G125=70,8,G125=65,7,G125=60,7,G125=55,6,G125=50,6,G125=45,6,G125=40,5,G125=35,4,G125=30,4,G125=25,3,G125=20,2,G125=15,1,G125=10,1,G125=0,0)</f>
        <v>10</v>
      </c>
      <c r="J125" s="3" t="n">
        <f aca="false">IF(H125&lt;=1,0,IF(H125&lt;=10,11,IF(H125&lt;=14,12,IF(H125&lt;=17,13,IF(H125&lt;=20,14,IF(H125&lt;=22,15,IF(H125&lt;=25,16,IF(H125&lt;=27,17,IF(H125&lt;=29,18,IF(H125&lt;=32,19,IF(H125&lt;=34,20,IF(H125&lt;=36,21,IF(H125&lt;=40,22,24)))))))))))))</f>
        <v>0</v>
      </c>
      <c r="K125" s="3" t="n">
        <v>75</v>
      </c>
      <c r="M125" s="3" t="n">
        <f aca="false">_xlfn.IFS(K125="взв",11,K125="накл",24,K125="прокл",25,K125="пт",26,K125=90,10,K125=85,10,K125=80,9,K125=75,8,K125=70,8,K125=65,7,K125=60,7,K125=55,6,K125=50,6,K125=45,6,K125=40,5,K125=35,4,K125=30,4,K125=25,3,K125=20,2,K125=15,1,K125=10,1,K125=0,0)</f>
        <v>8</v>
      </c>
      <c r="N125" s="3" t="n">
        <f aca="false">IF(L125&lt;=1,0,IF(L125&lt;=10,11,IF(L125&lt;=14,12,IF(L125&lt;=17,13,IF(L125&lt;=20,14,IF(L125&lt;=22,15,IF(L125&lt;=25,16,IF(L125&lt;=27,17,IF(L125&lt;=29,18,IF(L125&lt;=32,19,IF(L125&lt;=34,20,IF(L125&lt;=36,21,IF(L125&lt;=40,22,24)))))))))))))</f>
        <v>0</v>
      </c>
      <c r="O125" s="3" t="n">
        <v>90</v>
      </c>
      <c r="Q125" s="3" t="n">
        <f aca="false">_xlfn.IFS(O125="взв",11,O125="накл",24,O125="прокл",25,O125="пт",26,O125=90,10,O125=85,10,O125=80,9,O125=75,8,O125=70,8,O125=65,7,O125=60,7,O125=55,6,O125=50,6,O125=45,6,O125=40,5,O125=35,4,O125=30,4,O125=25,3,O125=20,2,O125=15,1,O125=10,1,O125=0,0)</f>
        <v>10</v>
      </c>
      <c r="R125" s="3" t="n">
        <f aca="false">IF(P125&lt;=1,0,IF(P125&lt;=10,11,IF(P125&lt;=14,12,IF(P125&lt;=17,13,IF(P125&lt;=20,14,IF(P125&lt;=22,15,IF(P125&lt;=25,16,IF(P125&lt;=27,17,IF(P125&lt;=29,18,IF(P125&lt;=32,19,IF(P125&lt;=34,20,IF(P125&lt;=36,21,IF(P125&lt;=40,22,24)))))))))))))</f>
        <v>0</v>
      </c>
      <c r="S125" s="14" t="n">
        <f aca="false">ROUND((Q125+R125+I125+J125+M125+N125)/3,0)</f>
        <v>9</v>
      </c>
      <c r="T125" s="15" t="n">
        <f aca="false">F125*LOG10(S125+2)</f>
        <v>1.04139268515823</v>
      </c>
    </row>
    <row r="126" customFormat="false" ht="14.65" hidden="false" customHeight="true" outlineLevel="0" collapsed="false">
      <c r="A126" s="12" t="s">
        <v>158</v>
      </c>
      <c r="B126" s="13" t="n">
        <v>38880</v>
      </c>
      <c r="C126" s="3" t="s">
        <v>24</v>
      </c>
      <c r="D126" s="4" t="s">
        <v>155</v>
      </c>
      <c r="E126" s="3" t="n">
        <v>2</v>
      </c>
      <c r="F126" s="3" t="n">
        <v>1</v>
      </c>
      <c r="H126" s="3" t="n">
        <v>25</v>
      </c>
      <c r="I126" s="3" t="n">
        <f aca="false">_xlfn.IFS(G126="взв",11,G126="накл",24,G126="прокл",25,G126="пт",26,G126=90,10,G126=85,10,G126=80,9,G126=75,8,G126=70,8,G126=65,7,G126=60,7,G126=55,6,G126=50,6,G126=45,6,G126=40,5,G126=35,4,G126=30,4,G126=25,3,G126=20,2,G126=15,1,G126=10,1,G126=0,0)</f>
        <v>0</v>
      </c>
      <c r="J126" s="3" t="n">
        <f aca="false">IF(H126&lt;=1,0,IF(H126&lt;=10,11,IF(H126&lt;=14,12,IF(H126&lt;=17,13,IF(H126&lt;=20,14,IF(H126&lt;=22,15,IF(H126&lt;=25,16,IF(H126&lt;=27,17,IF(H126&lt;=29,18,IF(H126&lt;=32,19,IF(H126&lt;=34,20,IF(H126&lt;=36,21,IF(H126&lt;=40,22,24)))))))))))))</f>
        <v>16</v>
      </c>
      <c r="L126" s="3" t="n">
        <v>24</v>
      </c>
      <c r="M126" s="3" t="n">
        <f aca="false">_xlfn.IFS(K126="взв",11,K126="накл",24,K126="прокл",25,K126="пт",26,K126=90,10,K126=85,10,K126=80,9,K126=75,8,K126=70,8,K126=65,7,K126=60,7,K126=55,6,K126=50,6,K126=45,6,K126=40,5,K126=35,4,K126=30,4,K126=25,3,K126=20,2,K126=15,1,K126=10,1,K126=0,0)</f>
        <v>0</v>
      </c>
      <c r="N126" s="3" t="n">
        <f aca="false">IF(L126&lt;=1,0,IF(L126&lt;=10,11,IF(L126&lt;=14,12,IF(L126&lt;=17,13,IF(L126&lt;=20,14,IF(L126&lt;=22,15,IF(L126&lt;=25,16,IF(L126&lt;=27,17,IF(L126&lt;=29,18,IF(L126&lt;=32,19,IF(L126&lt;=34,20,IF(L126&lt;=36,21,IF(L126&lt;=40,22,24)))))))))))))</f>
        <v>16</v>
      </c>
      <c r="Q126" s="3" t="n">
        <f aca="false">_xlfn.IFS(O126="взв",11,O126="накл",24,O126="прокл",25,O126="пт",26,O126=90,10,O126=85,10,O126=80,9,O126=75,8,O126=70,8,O126=65,7,O126=60,7,O126=55,6,O126=50,6,O126=45,6,O126=40,5,O126=35,4,O126=30,4,O126=25,3,O126=20,2,O126=15,1,O126=10,1,O126=0,0)</f>
        <v>0</v>
      </c>
      <c r="R126" s="3" t="n">
        <f aca="false">IF(P126&lt;=1,0,IF(P126&lt;=10,11,IF(P126&lt;=14,12,IF(P126&lt;=17,13,IF(P126&lt;=20,14,IF(P126&lt;=22,15,IF(P126&lt;=25,16,IF(P126&lt;=27,17,IF(P126&lt;=29,18,IF(P126&lt;=32,19,IF(P126&lt;=34,20,IF(P126&lt;=36,21,IF(P126&lt;=40,22,24)))))))))))))</f>
        <v>0</v>
      </c>
      <c r="S126" s="14" t="n">
        <f aca="false">ROUND((Q126+R126+I126+J126+M126+N126)/3,0)</f>
        <v>11</v>
      </c>
      <c r="T126" s="15" t="n">
        <f aca="false">F126*LOG10(S126+2)</f>
        <v>1.11394335230684</v>
      </c>
    </row>
    <row r="127" customFormat="false" ht="14.65" hidden="false" customHeight="true" outlineLevel="0" collapsed="false">
      <c r="A127" s="12" t="s">
        <v>159</v>
      </c>
      <c r="B127" s="13" t="n">
        <v>38880</v>
      </c>
      <c r="C127" s="3" t="s">
        <v>24</v>
      </c>
      <c r="D127" s="4" t="s">
        <v>155</v>
      </c>
      <c r="E127" s="3" t="n">
        <v>4</v>
      </c>
      <c r="F127" s="3" t="n">
        <v>2</v>
      </c>
      <c r="H127" s="3" t="n">
        <v>32</v>
      </c>
      <c r="I127" s="3" t="n">
        <f aca="false">_xlfn.IFS(G127="взв",11,G127="накл",24,G127="прокл",25,G127="пт",26,G127=90,10,G127=85,10,G127=80,9,G127=75,8,G127=70,8,G127=65,7,G127=60,7,G127=55,6,G127=50,6,G127=45,6,G127=40,5,G127=35,4,G127=30,4,G127=25,3,G127=20,2,G127=15,1,G127=10,1,G127=0,0)</f>
        <v>0</v>
      </c>
      <c r="J127" s="3" t="n">
        <f aca="false">IF(H127&lt;=1,0,IF(H127&lt;=10,11,IF(H127&lt;=14,12,IF(H127&lt;=17,13,IF(H127&lt;=20,14,IF(H127&lt;=22,15,IF(H127&lt;=25,16,IF(H127&lt;=27,17,IF(H127&lt;=29,18,IF(H127&lt;=32,19,IF(H127&lt;=34,20,IF(H127&lt;=36,21,IF(H127&lt;=40,22,24)))))))))))))</f>
        <v>19</v>
      </c>
      <c r="L127" s="3" t="n">
        <v>32</v>
      </c>
      <c r="M127" s="3" t="n">
        <f aca="false">_xlfn.IFS(K127="взв",11,K127="накл",24,K127="прокл",25,K127="пт",26,K127=90,10,K127=85,10,K127=80,9,K127=75,8,K127=70,8,K127=65,7,K127=60,7,K127=55,6,K127=50,6,K127=45,6,K127=40,5,K127=35,4,K127=30,4,K127=25,3,K127=20,2,K127=15,1,K127=10,1,K127=0,0)</f>
        <v>0</v>
      </c>
      <c r="N127" s="3" t="n">
        <f aca="false">IF(L127&lt;=1,0,IF(L127&lt;=10,11,IF(L127&lt;=14,12,IF(L127&lt;=17,13,IF(L127&lt;=20,14,IF(L127&lt;=22,15,IF(L127&lt;=25,16,IF(L127&lt;=27,17,IF(L127&lt;=29,18,IF(L127&lt;=32,19,IF(L127&lt;=34,20,IF(L127&lt;=36,21,IF(L127&lt;=40,22,24)))))))))))))</f>
        <v>19</v>
      </c>
      <c r="P127" s="3" t="n">
        <v>31</v>
      </c>
      <c r="Q127" s="3" t="n">
        <f aca="false">_xlfn.IFS(O127="взв",11,O127="накл",24,O127="прокл",25,O127="пт",26,O127=90,10,O127=85,10,O127=80,9,O127=75,8,O127=70,8,O127=65,7,O127=60,7,O127=55,6,O127=50,6,O127=45,6,O127=40,5,O127=35,4,O127=30,4,O127=25,3,O127=20,2,O127=15,1,O127=10,1,O127=0,0)</f>
        <v>0</v>
      </c>
      <c r="R127" s="3" t="n">
        <f aca="false">IF(P127&lt;=1,0,IF(P127&lt;=10,11,IF(P127&lt;=14,12,IF(P127&lt;=17,13,IF(P127&lt;=20,14,IF(P127&lt;=22,15,IF(P127&lt;=25,16,IF(P127&lt;=27,17,IF(P127&lt;=29,18,IF(P127&lt;=32,19,IF(P127&lt;=34,20,IF(P127&lt;=36,21,IF(P127&lt;=40,22,24)))))))))))))</f>
        <v>19</v>
      </c>
      <c r="S127" s="14" t="n">
        <f aca="false">ROUND((Q127+R127+I127+J127+M127+N127)/3,0)</f>
        <v>19</v>
      </c>
      <c r="T127" s="15" t="n">
        <f aca="false">F127*LOG10(S127+2)</f>
        <v>2.64443858946784</v>
      </c>
    </row>
    <row r="128" customFormat="false" ht="14.65" hidden="false" customHeight="true" outlineLevel="0" collapsed="false">
      <c r="A128" s="12" t="s">
        <v>160</v>
      </c>
      <c r="B128" s="13" t="n">
        <v>38880</v>
      </c>
      <c r="C128" s="3" t="s">
        <v>24</v>
      </c>
      <c r="D128" s="4" t="s">
        <v>155</v>
      </c>
      <c r="E128" s="3" t="n">
        <v>3</v>
      </c>
      <c r="F128" s="3" t="n">
        <v>2</v>
      </c>
      <c r="G128" s="3" t="n">
        <v>75</v>
      </c>
      <c r="I128" s="3" t="n">
        <f aca="false">_xlfn.IFS(G128="взв",11,G128="накл",24,G128="прокл",25,G128="пт",26,G128=90,10,G128=85,10,G128=80,9,G128=75,8,G128=70,8,G128=65,7,G128=60,7,G128=55,6,G128=50,6,G128=45,6,G128=40,5,G128=35,4,G128=30,4,G128=25,3,G128=20,2,G128=15,1,G128=10,1,G128=0,0)</f>
        <v>8</v>
      </c>
      <c r="J128" s="3" t="n">
        <f aca="false">IF(H128&lt;=1,0,IF(H128&lt;=10,11,IF(H128&lt;=14,12,IF(H128&lt;=17,13,IF(H128&lt;=20,14,IF(H128&lt;=22,15,IF(H128&lt;=25,16,IF(H128&lt;=27,17,IF(H128&lt;=29,18,IF(H128&lt;=32,19,IF(H128&lt;=34,20,IF(H128&lt;=36,21,IF(H128&lt;=40,22,24)))))))))))))</f>
        <v>0</v>
      </c>
      <c r="K128" s="3" t="n">
        <v>60</v>
      </c>
      <c r="M128" s="3" t="n">
        <f aca="false">_xlfn.IFS(K128="взв",11,K128="накл",24,K128="прокл",25,K128="пт",26,K128=90,10,K128=85,10,K128=80,9,K128=75,8,K128=70,8,K128=65,7,K128=60,7,K128=55,6,K128=50,6,K128=45,6,K128=40,5,K128=35,4,K128=30,4,K128=25,3,K128=20,2,K128=15,1,K128=10,1,K128=0,0)</f>
        <v>7</v>
      </c>
      <c r="N128" s="3" t="n">
        <f aca="false">IF(L128&lt;=1,0,IF(L128&lt;=10,11,IF(L128&lt;=14,12,IF(L128&lt;=17,13,IF(L128&lt;=20,14,IF(L128&lt;=22,15,IF(L128&lt;=25,16,IF(L128&lt;=27,17,IF(L128&lt;=29,18,IF(L128&lt;=32,19,IF(L128&lt;=34,20,IF(L128&lt;=36,21,IF(L128&lt;=40,22,24)))))))))))))</f>
        <v>0</v>
      </c>
      <c r="O128" s="3" t="n">
        <v>75</v>
      </c>
      <c r="Q128" s="3" t="n">
        <f aca="false">_xlfn.IFS(O128="взв",11,O128="накл",24,O128="прокл",25,O128="пт",26,O128=90,10,O128=85,10,O128=80,9,O128=75,8,O128=70,8,O128=65,7,O128=60,7,O128=55,6,O128=50,6,O128=45,6,O128=40,5,O128=35,4,O128=30,4,O128=25,3,O128=20,2,O128=15,1,O128=10,1,O128=0,0)</f>
        <v>8</v>
      </c>
      <c r="R128" s="3" t="n">
        <f aca="false">IF(P128&lt;=1,0,IF(P128&lt;=10,11,IF(P128&lt;=14,12,IF(P128&lt;=17,13,IF(P128&lt;=20,14,IF(P128&lt;=22,15,IF(P128&lt;=25,16,IF(P128&lt;=27,17,IF(P128&lt;=29,18,IF(P128&lt;=32,19,IF(P128&lt;=34,20,IF(P128&lt;=36,21,IF(P128&lt;=40,22,24)))))))))))))</f>
        <v>0</v>
      </c>
      <c r="S128" s="14" t="n">
        <f aca="false">ROUND((Q128+R128+I128+J128+M128+N128)/3,0)</f>
        <v>8</v>
      </c>
      <c r="T128" s="15" t="n">
        <f aca="false">F128*LOG10(S128+2)</f>
        <v>2</v>
      </c>
    </row>
    <row r="129" customFormat="false" ht="14.65" hidden="false" customHeight="true" outlineLevel="0" collapsed="false">
      <c r="A129" s="12" t="s">
        <v>161</v>
      </c>
      <c r="B129" s="13" t="n">
        <v>38880</v>
      </c>
      <c r="C129" s="3" t="s">
        <v>24</v>
      </c>
      <c r="D129" s="4" t="s">
        <v>155</v>
      </c>
      <c r="E129" s="3" t="n">
        <v>5</v>
      </c>
      <c r="F129" s="3" t="n">
        <v>2</v>
      </c>
      <c r="H129" s="3" t="n">
        <v>35</v>
      </c>
      <c r="I129" s="3" t="n">
        <f aca="false">_xlfn.IFS(G129="взв",11,G129="накл",24,G129="прокл",25,G129="пт",26,G129=90,10,G129=85,10,G129=80,9,G129=75,8,G129=70,8,G129=65,7,G129=60,7,G129=55,6,G129=50,6,G129=45,6,G129=40,5,G129=35,4,G129=30,4,G129=25,3,G129=20,2,G129=15,1,G129=10,1,G129=0,0)</f>
        <v>0</v>
      </c>
      <c r="J129" s="3" t="n">
        <f aca="false">IF(H129&lt;=1,0,IF(H129&lt;=10,11,IF(H129&lt;=14,12,IF(H129&lt;=17,13,IF(H129&lt;=20,14,IF(H129&lt;=22,15,IF(H129&lt;=25,16,IF(H129&lt;=27,17,IF(H129&lt;=29,18,IF(H129&lt;=32,19,IF(H129&lt;=34,20,IF(H129&lt;=36,21,IF(H129&lt;=40,22,24)))))))))))))</f>
        <v>21</v>
      </c>
      <c r="L129" s="3" t="n">
        <v>35</v>
      </c>
      <c r="M129" s="3" t="n">
        <f aca="false">_xlfn.IFS(K129="взв",11,K129="накл",24,K129="прокл",25,K129="пт",26,K129=90,10,K129=85,10,K129=80,9,K129=75,8,K129=70,8,K129=65,7,K129=60,7,K129=55,6,K129=50,6,K129=45,6,K129=40,5,K129=35,4,K129=30,4,K129=25,3,K129=20,2,K129=15,1,K129=10,1,K129=0,0)</f>
        <v>0</v>
      </c>
      <c r="N129" s="3" t="n">
        <f aca="false">IF(L129&lt;=1,0,IF(L129&lt;=10,11,IF(L129&lt;=14,12,IF(L129&lt;=17,13,IF(L129&lt;=20,14,IF(L129&lt;=22,15,IF(L129&lt;=25,16,IF(L129&lt;=27,17,IF(L129&lt;=29,18,IF(L129&lt;=32,19,IF(L129&lt;=34,20,IF(L129&lt;=36,21,IF(L129&lt;=40,22,24)))))))))))))</f>
        <v>21</v>
      </c>
      <c r="P129" s="3" t="n">
        <v>34</v>
      </c>
      <c r="Q129" s="3" t="n">
        <f aca="false">_xlfn.IFS(O129="взв",11,O129="накл",24,O129="прокл",25,O129="пт",26,O129=90,10,O129=85,10,O129=80,9,O129=75,8,O129=70,8,O129=65,7,O129=60,7,O129=55,6,O129=50,6,O129=45,6,O129=40,5,O129=35,4,O129=30,4,O129=25,3,O129=20,2,O129=15,1,O129=10,1,O129=0,0)</f>
        <v>0</v>
      </c>
      <c r="R129" s="3" t="n">
        <f aca="false">IF(P129&lt;=1,0,IF(P129&lt;=10,11,IF(P129&lt;=14,12,IF(P129&lt;=17,13,IF(P129&lt;=20,14,IF(P129&lt;=22,15,IF(P129&lt;=25,16,IF(P129&lt;=27,17,IF(P129&lt;=29,18,IF(P129&lt;=32,19,IF(P129&lt;=34,20,IF(P129&lt;=36,21,IF(P129&lt;=40,22,24)))))))))))))</f>
        <v>20</v>
      </c>
      <c r="S129" s="14" t="n">
        <f aca="false">ROUND((Q129+R129+I129+J129+M129+N129)/3,0)</f>
        <v>21</v>
      </c>
      <c r="T129" s="15" t="n">
        <f aca="false">F129*LOG10(S129+2)</f>
        <v>2.72345567203519</v>
      </c>
    </row>
    <row r="130" customFormat="false" ht="14.65" hidden="false" customHeight="true" outlineLevel="0" collapsed="false">
      <c r="A130" s="12" t="s">
        <v>162</v>
      </c>
      <c r="B130" s="13" t="n">
        <v>38880</v>
      </c>
      <c r="C130" s="3" t="s">
        <v>24</v>
      </c>
      <c r="D130" s="4" t="s">
        <v>155</v>
      </c>
      <c r="E130" s="3" t="n">
        <v>4</v>
      </c>
      <c r="F130" s="3" t="n">
        <v>2</v>
      </c>
      <c r="G130" s="3" t="n">
        <v>90</v>
      </c>
      <c r="I130" s="3" t="n">
        <f aca="false">_xlfn.IFS(G130="взв",11,G130="накл",24,G130="прокл",25,G130="пт",26,G130=90,10,G130=85,10,G130=80,9,G130=75,8,G130=70,8,G130=65,7,G130=60,7,G130=55,6,G130=50,6,G130=45,6,G130=40,5,G130=35,4,G130=30,4,G130=25,3,G130=20,2,G130=15,1,G130=10,1,G130=0,0)</f>
        <v>10</v>
      </c>
      <c r="J130" s="3" t="n">
        <f aca="false">IF(H130&lt;=1,0,IF(H130&lt;=10,11,IF(H130&lt;=14,12,IF(H130&lt;=17,13,IF(H130&lt;=20,14,IF(H130&lt;=22,15,IF(H130&lt;=25,16,IF(H130&lt;=27,17,IF(H130&lt;=29,18,IF(H130&lt;=32,19,IF(H130&lt;=34,20,IF(H130&lt;=36,21,IF(H130&lt;=40,22,24)))))))))))))</f>
        <v>0</v>
      </c>
      <c r="K130" s="3" t="n">
        <v>90</v>
      </c>
      <c r="M130" s="3" t="n">
        <f aca="false">_xlfn.IFS(K130="взв",11,K130="накл",24,K130="прокл",25,K130="пт",26,K130=90,10,K130=85,10,K130=80,9,K130=75,8,K130=70,8,K130=65,7,K130=60,7,K130=55,6,K130=50,6,K130=45,6,K130=40,5,K130=35,4,K130=30,4,K130=25,3,K130=20,2,K130=15,1,K130=10,1,K130=0,0)</f>
        <v>10</v>
      </c>
      <c r="N130" s="3" t="n">
        <f aca="false">IF(L130&lt;=1,0,IF(L130&lt;=10,11,IF(L130&lt;=14,12,IF(L130&lt;=17,13,IF(L130&lt;=20,14,IF(L130&lt;=22,15,IF(L130&lt;=25,16,IF(L130&lt;=27,17,IF(L130&lt;=29,18,IF(L130&lt;=32,19,IF(L130&lt;=34,20,IF(L130&lt;=36,21,IF(L130&lt;=40,22,24)))))))))))))</f>
        <v>0</v>
      </c>
      <c r="O130" s="3" t="n">
        <v>75</v>
      </c>
      <c r="Q130" s="3" t="n">
        <f aca="false">_xlfn.IFS(O130="взв",11,O130="накл",24,O130="прокл",25,O130="пт",26,O130=90,10,O130=85,10,O130=80,9,O130=75,8,O130=70,8,O130=65,7,O130=60,7,O130=55,6,O130=50,6,O130=45,6,O130=40,5,O130=35,4,O130=30,4,O130=25,3,O130=20,2,O130=15,1,O130=10,1,O130=0,0)</f>
        <v>8</v>
      </c>
      <c r="R130" s="3" t="n">
        <f aca="false">IF(P130&lt;=1,0,IF(P130&lt;=10,11,IF(P130&lt;=14,12,IF(P130&lt;=17,13,IF(P130&lt;=20,14,IF(P130&lt;=22,15,IF(P130&lt;=25,16,IF(P130&lt;=27,17,IF(P130&lt;=29,18,IF(P130&lt;=32,19,IF(P130&lt;=34,20,IF(P130&lt;=36,21,IF(P130&lt;=40,22,24)))))))))))))</f>
        <v>0</v>
      </c>
      <c r="S130" s="14" t="n">
        <f aca="false">ROUND((Q130+R130+I130+J130+M130+N130)/3,0)</f>
        <v>9</v>
      </c>
      <c r="T130" s="15" t="n">
        <f aca="false">F130*LOG10(S130+2)</f>
        <v>2.08278537031645</v>
      </c>
    </row>
    <row r="131" customFormat="false" ht="14.65" hidden="false" customHeight="true" outlineLevel="0" collapsed="false">
      <c r="A131" s="12" t="s">
        <v>163</v>
      </c>
      <c r="B131" s="13" t="n">
        <v>38880</v>
      </c>
      <c r="C131" s="3" t="s">
        <v>24</v>
      </c>
      <c r="D131" s="4" t="s">
        <v>155</v>
      </c>
      <c r="E131" s="3" t="n">
        <v>3</v>
      </c>
      <c r="F131" s="3" t="n">
        <v>2</v>
      </c>
      <c r="G131" s="3" t="n">
        <v>75</v>
      </c>
      <c r="I131" s="3" t="n">
        <f aca="false">_xlfn.IFS(G131="взв",11,G131="накл",24,G131="прокл",25,G131="пт",26,G131=90,10,G131=85,10,G131=80,9,G131=75,8,G131=70,8,G131=65,7,G131=60,7,G131=55,6,G131=50,6,G131=45,6,G131=40,5,G131=35,4,G131=30,4,G131=25,3,G131=20,2,G131=15,1,G131=10,1,G131=0,0)</f>
        <v>8</v>
      </c>
      <c r="J131" s="3" t="n">
        <f aca="false">IF(H131&lt;=1,0,IF(H131&lt;=10,11,IF(H131&lt;=14,12,IF(H131&lt;=17,13,IF(H131&lt;=20,14,IF(H131&lt;=22,15,IF(H131&lt;=25,16,IF(H131&lt;=27,17,IF(H131&lt;=29,18,IF(H131&lt;=32,19,IF(H131&lt;=34,20,IF(H131&lt;=36,21,IF(H131&lt;=40,22,24)))))))))))))</f>
        <v>0</v>
      </c>
      <c r="K131" s="3" t="n">
        <v>75</v>
      </c>
      <c r="M131" s="3" t="n">
        <f aca="false">_xlfn.IFS(K131="взв",11,K131="накл",24,K131="прокл",25,K131="пт",26,K131=90,10,K131=85,10,K131=80,9,K131=75,8,K131=70,8,K131=65,7,K131=60,7,K131=55,6,K131=50,6,K131=45,6,K131=40,5,K131=35,4,K131=30,4,K131=25,3,K131=20,2,K131=15,1,K131=10,1,K131=0,0)</f>
        <v>8</v>
      </c>
      <c r="N131" s="3" t="n">
        <f aca="false">IF(L131&lt;=1,0,IF(L131&lt;=10,11,IF(L131&lt;=14,12,IF(L131&lt;=17,13,IF(L131&lt;=20,14,IF(L131&lt;=22,15,IF(L131&lt;=25,16,IF(L131&lt;=27,17,IF(L131&lt;=29,18,IF(L131&lt;=32,19,IF(L131&lt;=34,20,IF(L131&lt;=36,21,IF(L131&lt;=40,22,24)))))))))))))</f>
        <v>0</v>
      </c>
      <c r="P131" s="3" t="n">
        <v>16</v>
      </c>
      <c r="Q131" s="3" t="n">
        <f aca="false">_xlfn.IFS(O131="взв",11,O131="накл",24,O131="прокл",25,O131="пт",26,O131=90,10,O131=85,10,O131=80,9,O131=75,8,O131=70,8,O131=65,7,O131=60,7,O131=55,6,O131=50,6,O131=45,6,O131=40,5,O131=35,4,O131=30,4,O131=25,3,O131=20,2,O131=15,1,O131=10,1,O131=0,0)</f>
        <v>0</v>
      </c>
      <c r="R131" s="3" t="n">
        <f aca="false">IF(P131&lt;=1,0,IF(P131&lt;=10,11,IF(P131&lt;=14,12,IF(P131&lt;=17,13,IF(P131&lt;=20,14,IF(P131&lt;=22,15,IF(P131&lt;=25,16,IF(P131&lt;=27,17,IF(P131&lt;=29,18,IF(P131&lt;=32,19,IF(P131&lt;=34,20,IF(P131&lt;=36,21,IF(P131&lt;=40,22,24)))))))))))))</f>
        <v>13</v>
      </c>
      <c r="S131" s="14" t="n">
        <f aca="false">ROUND((Q131+R131+I131+J131+M131+N131)/3,0)</f>
        <v>10</v>
      </c>
      <c r="T131" s="15" t="n">
        <f aca="false">F131*LOG10(S131+2)</f>
        <v>2.15836249209525</v>
      </c>
    </row>
    <row r="132" customFormat="false" ht="14.65" hidden="false" customHeight="true" outlineLevel="0" collapsed="false">
      <c r="A132" s="12" t="s">
        <v>164</v>
      </c>
      <c r="B132" s="13" t="n">
        <v>38880</v>
      </c>
      <c r="C132" s="3" t="s">
        <v>24</v>
      </c>
      <c r="D132" s="4" t="s">
        <v>155</v>
      </c>
      <c r="E132" s="3" t="n">
        <v>4</v>
      </c>
      <c r="F132" s="3" t="n">
        <v>2</v>
      </c>
      <c r="G132" s="3" t="n">
        <v>75</v>
      </c>
      <c r="I132" s="3" t="n">
        <f aca="false">_xlfn.IFS(G132="взв",11,G132="накл",24,G132="прокл",25,G132="пт",26,G132=90,10,G132=85,10,G132=80,9,G132=75,8,G132=70,8,G132=65,7,G132=60,7,G132=55,6,G132=50,6,G132=45,6,G132=40,5,G132=35,4,G132=30,4,G132=25,3,G132=20,2,G132=15,1,G132=10,1,G132=0,0)</f>
        <v>8</v>
      </c>
      <c r="J132" s="3" t="n">
        <f aca="false">IF(H132&lt;=1,0,IF(H132&lt;=10,11,IF(H132&lt;=14,12,IF(H132&lt;=17,13,IF(H132&lt;=20,14,IF(H132&lt;=22,15,IF(H132&lt;=25,16,IF(H132&lt;=27,17,IF(H132&lt;=29,18,IF(H132&lt;=32,19,IF(H132&lt;=34,20,IF(H132&lt;=36,21,IF(H132&lt;=40,22,24)))))))))))))</f>
        <v>0</v>
      </c>
      <c r="K132" s="3" t="n">
        <v>75</v>
      </c>
      <c r="M132" s="3" t="n">
        <f aca="false">_xlfn.IFS(K132="взв",11,K132="накл",24,K132="прокл",25,K132="пт",26,K132=90,10,K132=85,10,K132=80,9,K132=75,8,K132=70,8,K132=65,7,K132=60,7,K132=55,6,K132=50,6,K132=45,6,K132=40,5,K132=35,4,K132=30,4,K132=25,3,K132=20,2,K132=15,1,K132=10,1,K132=0,0)</f>
        <v>8</v>
      </c>
      <c r="N132" s="3" t="n">
        <f aca="false">IF(L132&lt;=1,0,IF(L132&lt;=10,11,IF(L132&lt;=14,12,IF(L132&lt;=17,13,IF(L132&lt;=20,14,IF(L132&lt;=22,15,IF(L132&lt;=25,16,IF(L132&lt;=27,17,IF(L132&lt;=29,18,IF(L132&lt;=32,19,IF(L132&lt;=34,20,IF(L132&lt;=36,21,IF(L132&lt;=40,22,24)))))))))))))</f>
        <v>0</v>
      </c>
      <c r="O132" s="3" t="n">
        <v>60</v>
      </c>
      <c r="Q132" s="3" t="n">
        <f aca="false">_xlfn.IFS(O132="взв",11,O132="накл",24,O132="прокл",25,O132="пт",26,O132=90,10,O132=85,10,O132=80,9,O132=75,8,O132=70,8,O132=65,7,O132=60,7,O132=55,6,O132=50,6,O132=45,6,O132=40,5,O132=35,4,O132=30,4,O132=25,3,O132=20,2,O132=15,1,O132=10,1,O132=0,0)</f>
        <v>7</v>
      </c>
      <c r="R132" s="3" t="n">
        <f aca="false">IF(P132&lt;=1,0,IF(P132&lt;=10,11,IF(P132&lt;=14,12,IF(P132&lt;=17,13,IF(P132&lt;=20,14,IF(P132&lt;=22,15,IF(P132&lt;=25,16,IF(P132&lt;=27,17,IF(P132&lt;=29,18,IF(P132&lt;=32,19,IF(P132&lt;=34,20,IF(P132&lt;=36,21,IF(P132&lt;=40,22,24)))))))))))))</f>
        <v>0</v>
      </c>
      <c r="S132" s="14" t="n">
        <f aca="false">ROUND((Q132+R132+I132+J132+M132+N132)/3,0)</f>
        <v>8</v>
      </c>
      <c r="T132" s="15" t="n">
        <f aca="false">F132*LOG10(S132+2)</f>
        <v>2</v>
      </c>
    </row>
    <row r="133" customFormat="false" ht="14.65" hidden="false" customHeight="true" outlineLevel="0" collapsed="false">
      <c r="A133" s="12" t="s">
        <v>165</v>
      </c>
      <c r="B133" s="13" t="n">
        <v>38880</v>
      </c>
      <c r="C133" s="3" t="s">
        <v>24</v>
      </c>
      <c r="D133" s="4" t="s">
        <v>155</v>
      </c>
      <c r="E133" s="3" t="n">
        <v>4</v>
      </c>
      <c r="F133" s="3" t="n">
        <v>2</v>
      </c>
      <c r="H133" s="3" t="n">
        <v>23</v>
      </c>
      <c r="I133" s="3" t="n">
        <f aca="false">_xlfn.IFS(G133="взв",11,G133="накл",24,G133="прокл",25,G133="пт",26,G133=90,10,G133=85,10,G133=80,9,G133=75,8,G133=70,8,G133=65,7,G133=60,7,G133=55,6,G133=50,6,G133=45,6,G133=40,5,G133=35,4,G133=30,4,G133=25,3,G133=20,2,G133=15,1,G133=10,1,G133=0,0)</f>
        <v>0</v>
      </c>
      <c r="J133" s="3" t="n">
        <f aca="false">IF(H133&lt;=1,0,IF(H133&lt;=10,11,IF(H133&lt;=14,12,IF(H133&lt;=17,13,IF(H133&lt;=20,14,IF(H133&lt;=22,15,IF(H133&lt;=25,16,IF(H133&lt;=27,17,IF(H133&lt;=29,18,IF(H133&lt;=32,19,IF(H133&lt;=34,20,IF(H133&lt;=36,21,IF(H133&lt;=40,22,24)))))))))))))</f>
        <v>16</v>
      </c>
      <c r="L133" s="3" t="n">
        <v>25</v>
      </c>
      <c r="M133" s="3" t="n">
        <f aca="false">_xlfn.IFS(K133="взв",11,K133="накл",24,K133="прокл",25,K133="пт",26,K133=90,10,K133=85,10,K133=80,9,K133=75,8,K133=70,8,K133=65,7,K133=60,7,K133=55,6,K133=50,6,K133=45,6,K133=40,5,K133=35,4,K133=30,4,K133=25,3,K133=20,2,K133=15,1,K133=10,1,K133=0,0)</f>
        <v>0</v>
      </c>
      <c r="N133" s="3" t="n">
        <f aca="false">IF(L133&lt;=1,0,IF(L133&lt;=10,11,IF(L133&lt;=14,12,IF(L133&lt;=17,13,IF(L133&lt;=20,14,IF(L133&lt;=22,15,IF(L133&lt;=25,16,IF(L133&lt;=27,17,IF(L133&lt;=29,18,IF(L133&lt;=32,19,IF(L133&lt;=34,20,IF(L133&lt;=36,21,IF(L133&lt;=40,22,24)))))))))))))</f>
        <v>16</v>
      </c>
      <c r="P133" s="3" t="n">
        <v>21</v>
      </c>
      <c r="Q133" s="3" t="n">
        <f aca="false">_xlfn.IFS(O133="взв",11,O133="накл",24,O133="прокл",25,O133="пт",26,O133=90,10,O133=85,10,O133=80,9,O133=75,8,O133=70,8,O133=65,7,O133=60,7,O133=55,6,O133=50,6,O133=45,6,O133=40,5,O133=35,4,O133=30,4,O133=25,3,O133=20,2,O133=15,1,O133=10,1,O133=0,0)</f>
        <v>0</v>
      </c>
      <c r="R133" s="3" t="n">
        <f aca="false">IF(P133&lt;=1,0,IF(P133&lt;=10,11,IF(P133&lt;=14,12,IF(P133&lt;=17,13,IF(P133&lt;=20,14,IF(P133&lt;=22,15,IF(P133&lt;=25,16,IF(P133&lt;=27,17,IF(P133&lt;=29,18,IF(P133&lt;=32,19,IF(P133&lt;=34,20,IF(P133&lt;=36,21,IF(P133&lt;=40,22,24)))))))))))))</f>
        <v>15</v>
      </c>
      <c r="S133" s="14" t="n">
        <f aca="false">ROUND((Q133+R133+I133+J133+M133+N133)/3,0)</f>
        <v>16</v>
      </c>
      <c r="T133" s="15" t="n">
        <f aca="false">F133*LOG10(S133+2)</f>
        <v>2.51054501020661</v>
      </c>
    </row>
    <row r="134" customFormat="false" ht="14.65" hidden="false" customHeight="true" outlineLevel="0" collapsed="false">
      <c r="A134" s="12" t="s">
        <v>166</v>
      </c>
      <c r="B134" s="13" t="n">
        <v>38880</v>
      </c>
      <c r="C134" s="3" t="s">
        <v>24</v>
      </c>
      <c r="D134" s="4" t="s">
        <v>155</v>
      </c>
      <c r="E134" s="3" t="s">
        <v>97</v>
      </c>
      <c r="F134" s="3" t="n">
        <v>2</v>
      </c>
      <c r="H134" s="3" t="n">
        <v>34</v>
      </c>
      <c r="I134" s="3" t="n">
        <f aca="false">_xlfn.IFS(G134="взв",11,G134="накл",24,G134="прокл",25,G134="пт",26,G134=90,10,G134=85,10,G134=80,9,G134=75,8,G134=70,8,G134=65,7,G134=60,7,G134=55,6,G134=50,6,G134=45,6,G134=40,5,G134=35,4,G134=30,4,G134=25,3,G134=20,2,G134=15,1,G134=10,1,G134=0,0)</f>
        <v>0</v>
      </c>
      <c r="J134" s="3" t="n">
        <f aca="false">IF(H134&lt;=1,0,IF(H134&lt;=10,11,IF(H134&lt;=14,12,IF(H134&lt;=17,13,IF(H134&lt;=20,14,IF(H134&lt;=22,15,IF(H134&lt;=25,16,IF(H134&lt;=27,17,IF(H134&lt;=29,18,IF(H134&lt;=32,19,IF(H134&lt;=34,20,IF(H134&lt;=36,21,IF(H134&lt;=40,22,24)))))))))))))</f>
        <v>20</v>
      </c>
      <c r="L134" s="3" t="n">
        <v>29</v>
      </c>
      <c r="M134" s="3" t="n">
        <f aca="false">_xlfn.IFS(K134="взв",11,K134="накл",24,K134="прокл",25,K134="пт",26,K134=90,10,K134=85,10,K134=80,9,K134=75,8,K134=70,8,K134=65,7,K134=60,7,K134=55,6,K134=50,6,K134=45,6,K134=40,5,K134=35,4,K134=30,4,K134=25,3,K134=20,2,K134=15,1,K134=10,1,K134=0,0)</f>
        <v>0</v>
      </c>
      <c r="N134" s="3" t="n">
        <f aca="false">IF(L134&lt;=1,0,IF(L134&lt;=10,11,IF(L134&lt;=14,12,IF(L134&lt;=17,13,IF(L134&lt;=20,14,IF(L134&lt;=22,15,IF(L134&lt;=25,16,IF(L134&lt;=27,17,IF(L134&lt;=29,18,IF(L134&lt;=32,19,IF(L134&lt;=34,20,IF(L134&lt;=36,21,IF(L134&lt;=40,22,24)))))))))))))</f>
        <v>18</v>
      </c>
      <c r="P134" s="3" t="n">
        <v>28</v>
      </c>
      <c r="Q134" s="3" t="n">
        <f aca="false">_xlfn.IFS(O134="взв",11,O134="накл",24,O134="прокл",25,O134="пт",26,O134=90,10,O134=85,10,O134=80,9,O134=75,8,O134=70,8,O134=65,7,O134=60,7,O134=55,6,O134=50,6,O134=45,6,O134=40,5,O134=35,4,O134=30,4,O134=25,3,O134=20,2,O134=15,1,O134=10,1,O134=0,0)</f>
        <v>0</v>
      </c>
      <c r="R134" s="3" t="n">
        <f aca="false">IF(P134&lt;=1,0,IF(P134&lt;=10,11,IF(P134&lt;=14,12,IF(P134&lt;=17,13,IF(P134&lt;=20,14,IF(P134&lt;=22,15,IF(P134&lt;=25,16,IF(P134&lt;=27,17,IF(P134&lt;=29,18,IF(P134&lt;=32,19,IF(P134&lt;=34,20,IF(P134&lt;=36,21,IF(P134&lt;=40,22,24)))))))))))))</f>
        <v>18</v>
      </c>
      <c r="S134" s="14" t="n">
        <f aca="false">ROUND((Q134+R134+I134+J134+M134+N134)/3,0)</f>
        <v>19</v>
      </c>
      <c r="T134" s="15" t="n">
        <f aca="false">F134*LOG10(S134+2)</f>
        <v>2.64443858946784</v>
      </c>
    </row>
    <row r="135" customFormat="false" ht="14.65" hidden="false" customHeight="true" outlineLevel="0" collapsed="false">
      <c r="A135" s="12" t="s">
        <v>167</v>
      </c>
      <c r="B135" s="13" t="n">
        <v>38880</v>
      </c>
      <c r="C135" s="3" t="s">
        <v>24</v>
      </c>
      <c r="D135" s="4" t="s">
        <v>155</v>
      </c>
      <c r="E135" s="3" t="n">
        <v>4</v>
      </c>
      <c r="F135" s="3" t="n">
        <v>2</v>
      </c>
      <c r="G135" s="3" t="n">
        <v>90</v>
      </c>
      <c r="I135" s="3" t="n">
        <f aca="false">_xlfn.IFS(G135="взв",11,G135="накл",24,G135="прокл",25,G135="пт",26,G135=90,10,G135=85,10,G135=80,9,G135=75,8,G135=70,8,G135=65,7,G135=60,7,G135=55,6,G135=50,6,G135=45,6,G135=40,5,G135=35,4,G135=30,4,G135=25,3,G135=20,2,G135=15,1,G135=10,1,G135=0,0)</f>
        <v>10</v>
      </c>
      <c r="J135" s="3" t="n">
        <f aca="false">IF(H135&lt;=1,0,IF(H135&lt;=10,11,IF(H135&lt;=14,12,IF(H135&lt;=17,13,IF(H135&lt;=20,14,IF(H135&lt;=22,15,IF(H135&lt;=25,16,IF(H135&lt;=27,17,IF(H135&lt;=29,18,IF(H135&lt;=32,19,IF(H135&lt;=34,20,IF(H135&lt;=36,21,IF(H135&lt;=40,22,24)))))))))))))</f>
        <v>0</v>
      </c>
      <c r="K135" s="3" t="s">
        <v>50</v>
      </c>
      <c r="L135" s="0"/>
      <c r="M135" s="3" t="n">
        <f aca="false">_xlfn.IFS(K135="взв",11,K135="накл",24,K135="прокл",25,K135="пт",26,K135=90,10,K135=85,10,K135=80,9,K135=75,8,K135=70,8,K135=65,7,K135=60,7,K135=55,6,K135=50,6,K135=45,6,K135=40,5,K135=35,4,K135=30,4,K135=25,3,K135=20,2,K135=15,1,K135=10,1,K135=0,0)</f>
        <v>11</v>
      </c>
      <c r="N135" s="3" t="n">
        <f aca="false">IF(L135&lt;=1,0,IF(L135&lt;=10,11,IF(L135&lt;=14,12,IF(L135&lt;=17,13,IF(L135&lt;=20,14,IF(L135&lt;=22,15,IF(L135&lt;=25,16,IF(L135&lt;=27,17,IF(L135&lt;=29,18,IF(L135&lt;=32,19,IF(L135&lt;=34,20,IF(L135&lt;=36,21,IF(L135&lt;=40,22,24)))))))))))))</f>
        <v>0</v>
      </c>
      <c r="P135" s="3" t="n">
        <v>22</v>
      </c>
      <c r="Q135" s="3" t="n">
        <f aca="false">_xlfn.IFS(O135="взв",11,O135="накл",24,O135="прокл",25,O135="пт",26,O135=90,10,O135=85,10,O135=80,9,O135=75,8,O135=70,8,O135=65,7,O135=60,7,O135=55,6,O135=50,6,O135=45,6,O135=40,5,O135=35,4,O135=30,4,O135=25,3,O135=20,2,O135=15,1,O135=10,1,O135=0,0)</f>
        <v>0</v>
      </c>
      <c r="R135" s="3" t="n">
        <f aca="false">IF(P135&lt;=1,0,IF(P135&lt;=10,11,IF(P135&lt;=14,12,IF(P135&lt;=17,13,IF(P135&lt;=20,14,IF(P135&lt;=22,15,IF(P135&lt;=25,16,IF(P135&lt;=27,17,IF(P135&lt;=29,18,IF(P135&lt;=32,19,IF(P135&lt;=34,20,IF(P135&lt;=36,21,IF(P135&lt;=40,22,24)))))))))))))</f>
        <v>15</v>
      </c>
      <c r="S135" s="14" t="n">
        <f aca="false">ROUND((Q135+R135+I135+J135+M135+N135)/3,0)</f>
        <v>12</v>
      </c>
      <c r="T135" s="15" t="n">
        <f aca="false">F135*LOG10(S135+2)</f>
        <v>2.29225607135648</v>
      </c>
    </row>
    <row r="136" customFormat="false" ht="14.65" hidden="false" customHeight="true" outlineLevel="0" collapsed="false">
      <c r="A136" s="12" t="s">
        <v>168</v>
      </c>
      <c r="B136" s="13" t="n">
        <v>38880</v>
      </c>
      <c r="C136" s="3" t="s">
        <v>24</v>
      </c>
      <c r="D136" s="4" t="s">
        <v>155</v>
      </c>
      <c r="E136" s="3" t="n">
        <v>4</v>
      </c>
      <c r="F136" s="3" t="n">
        <v>2</v>
      </c>
      <c r="H136" s="3" t="n">
        <v>30</v>
      </c>
      <c r="I136" s="3" t="n">
        <f aca="false">_xlfn.IFS(G136="взв",11,G136="накл",24,G136="прокл",25,G136="пт",26,G136=90,10,G136=85,10,G136=80,9,G136=75,8,G136=70,8,G136=65,7,G136=60,7,G136=55,6,G136=50,6,G136=45,6,G136=40,5,G136=35,4,G136=30,4,G136=25,3,G136=20,2,G136=15,1,G136=10,1,G136=0,0)</f>
        <v>0</v>
      </c>
      <c r="J136" s="3" t="n">
        <f aca="false">IF(H136&lt;=1,0,IF(H136&lt;=10,11,IF(H136&lt;=14,12,IF(H136&lt;=17,13,IF(H136&lt;=20,14,IF(H136&lt;=22,15,IF(H136&lt;=25,16,IF(H136&lt;=27,17,IF(H136&lt;=29,18,IF(H136&lt;=32,19,IF(H136&lt;=34,20,IF(H136&lt;=36,21,IF(H136&lt;=40,22,24)))))))))))))</f>
        <v>19</v>
      </c>
      <c r="L136" s="3" t="n">
        <v>31</v>
      </c>
      <c r="M136" s="3" t="n">
        <f aca="false">_xlfn.IFS(K136="взв",11,K136="накл",24,K136="прокл",25,K136="пт",26,K136=90,10,K136=85,10,K136=80,9,K136=75,8,K136=70,8,K136=65,7,K136=60,7,K136=55,6,K136=50,6,K136=45,6,K136=40,5,K136=35,4,K136=30,4,K136=25,3,K136=20,2,K136=15,1,K136=10,1,K136=0,0)</f>
        <v>0</v>
      </c>
      <c r="N136" s="3" t="n">
        <f aca="false">IF(L136&lt;=1,0,IF(L136&lt;=10,11,IF(L136&lt;=14,12,IF(L136&lt;=17,13,IF(L136&lt;=20,14,IF(L136&lt;=22,15,IF(L136&lt;=25,16,IF(L136&lt;=27,17,IF(L136&lt;=29,18,IF(L136&lt;=32,19,IF(L136&lt;=34,20,IF(L136&lt;=36,21,IF(L136&lt;=40,22,24)))))))))))))</f>
        <v>19</v>
      </c>
      <c r="P136" s="3" t="n">
        <v>38</v>
      </c>
      <c r="Q136" s="3" t="n">
        <f aca="false">_xlfn.IFS(O136="взв",11,O136="накл",24,O136="прокл",25,O136="пт",26,O136=90,10,O136=85,10,O136=80,9,O136=75,8,O136=70,8,O136=65,7,O136=60,7,O136=55,6,O136=50,6,O136=45,6,O136=40,5,O136=35,4,O136=30,4,O136=25,3,O136=20,2,O136=15,1,O136=10,1,O136=0,0)</f>
        <v>0</v>
      </c>
      <c r="R136" s="3" t="n">
        <f aca="false">IF(P136&lt;=1,0,IF(P136&lt;=10,11,IF(P136&lt;=14,12,IF(P136&lt;=17,13,IF(P136&lt;=20,14,IF(P136&lt;=22,15,IF(P136&lt;=25,16,IF(P136&lt;=27,17,IF(P136&lt;=29,18,IF(P136&lt;=32,19,IF(P136&lt;=34,20,IF(P136&lt;=36,21,IF(P136&lt;=40,22,24)))))))))))))</f>
        <v>22</v>
      </c>
      <c r="S136" s="14" t="n">
        <f aca="false">ROUND((Q136+R136+I136+J136+M136+N136)/3,0)</f>
        <v>20</v>
      </c>
      <c r="T136" s="15" t="n">
        <f aca="false">F136*LOG10(S136+2)</f>
        <v>2.68484536164441</v>
      </c>
    </row>
    <row r="137" customFormat="false" ht="14.65" hidden="false" customHeight="true" outlineLevel="0" collapsed="false">
      <c r="A137" s="12" t="s">
        <v>169</v>
      </c>
      <c r="B137" s="13" t="n">
        <v>38880</v>
      </c>
      <c r="C137" s="3" t="s">
        <v>24</v>
      </c>
      <c r="D137" s="4" t="s">
        <v>155</v>
      </c>
      <c r="E137" s="3" t="n">
        <v>5</v>
      </c>
      <c r="F137" s="3" t="n">
        <v>2</v>
      </c>
      <c r="H137" s="3" t="n">
        <v>40</v>
      </c>
      <c r="I137" s="3" t="n">
        <f aca="false">_xlfn.IFS(G137="взв",11,G137="накл",24,G137="прокл",25,G137="пт",26,G137=90,10,G137=85,10,G137=80,9,G137=75,8,G137=70,8,G137=65,7,G137=60,7,G137=55,6,G137=50,6,G137=45,6,G137=40,5,G137=35,4,G137=30,4,G137=25,3,G137=20,2,G137=15,1,G137=10,1,G137=0,0)</f>
        <v>0</v>
      </c>
      <c r="J137" s="3" t="n">
        <f aca="false">IF(H137&lt;=1,0,IF(H137&lt;=10,11,IF(H137&lt;=14,12,IF(H137&lt;=17,13,IF(H137&lt;=20,14,IF(H137&lt;=22,15,IF(H137&lt;=25,16,IF(H137&lt;=27,17,IF(H137&lt;=29,18,IF(H137&lt;=32,19,IF(H137&lt;=34,20,IF(H137&lt;=36,21,IF(H137&lt;=40,22,24)))))))))))))</f>
        <v>22</v>
      </c>
      <c r="L137" s="3" t="n">
        <v>42</v>
      </c>
      <c r="M137" s="3" t="n">
        <f aca="false">_xlfn.IFS(K137="взв",11,K137="накл",24,K137="прокл",25,K137="пт",26,K137=90,10,K137=85,10,K137=80,9,K137=75,8,K137=70,8,K137=65,7,K137=60,7,K137=55,6,K137=50,6,K137=45,6,K137=40,5,K137=35,4,K137=30,4,K137=25,3,K137=20,2,K137=15,1,K137=10,1,K137=0,0)</f>
        <v>0</v>
      </c>
      <c r="N137" s="3" t="n">
        <f aca="false">IF(L137&lt;=1,0,IF(L137&lt;=10,11,IF(L137&lt;=14,12,IF(L137&lt;=17,13,IF(L137&lt;=20,14,IF(L137&lt;=22,15,IF(L137&lt;=25,16,IF(L137&lt;=27,17,IF(L137&lt;=29,18,IF(L137&lt;=32,19,IF(L137&lt;=34,20,IF(L137&lt;=36,21,IF(L137&lt;=40,22,24)))))))))))))</f>
        <v>24</v>
      </c>
      <c r="P137" s="3" t="n">
        <v>41</v>
      </c>
      <c r="Q137" s="3" t="n">
        <f aca="false">_xlfn.IFS(O137="взв",11,O137="накл",24,O137="прокл",25,O137="пт",26,O137=90,10,O137=85,10,O137=80,9,O137=75,8,O137=70,8,O137=65,7,O137=60,7,O137=55,6,O137=50,6,O137=45,6,O137=40,5,O137=35,4,O137=30,4,O137=25,3,O137=20,2,O137=15,1,O137=10,1,O137=0,0)</f>
        <v>0</v>
      </c>
      <c r="R137" s="3" t="n">
        <f aca="false">IF(P137&lt;=1,0,IF(P137&lt;=10,11,IF(P137&lt;=14,12,IF(P137&lt;=17,13,IF(P137&lt;=20,14,IF(P137&lt;=22,15,IF(P137&lt;=25,16,IF(P137&lt;=27,17,IF(P137&lt;=29,18,IF(P137&lt;=32,19,IF(P137&lt;=34,20,IF(P137&lt;=36,21,IF(P137&lt;=40,22,24)))))))))))))</f>
        <v>24</v>
      </c>
      <c r="S137" s="14" t="n">
        <f aca="false">ROUND((Q137+R137+I137+J137+M137+N137)/3,0)</f>
        <v>23</v>
      </c>
      <c r="T137" s="15" t="n">
        <f aca="false">F137*LOG10(S137+2)</f>
        <v>2.79588001734408</v>
      </c>
    </row>
    <row r="138" customFormat="false" ht="14.65" hidden="false" customHeight="true" outlineLevel="0" collapsed="false">
      <c r="A138" s="12" t="s">
        <v>170</v>
      </c>
      <c r="B138" s="13" t="n">
        <v>38880</v>
      </c>
      <c r="C138" s="3" t="s">
        <v>24</v>
      </c>
      <c r="D138" s="4" t="s">
        <v>155</v>
      </c>
      <c r="E138" s="3" t="s">
        <v>97</v>
      </c>
      <c r="F138" s="3" t="n">
        <v>3</v>
      </c>
      <c r="G138" s="3" t="n">
        <v>45</v>
      </c>
      <c r="I138" s="3" t="n">
        <f aca="false">_xlfn.IFS(G138="взв",11,G138="накл",24,G138="прокл",25,G138="пт",26,G138=90,10,G138=85,10,G138=80,9,G138=75,8,G138=70,8,G138=65,7,G138=60,7,G138=55,6,G138=50,6,G138=45,6,G138=40,5,G138=35,4,G138=30,4,G138=25,3,G138=20,2,G138=15,1,G138=10,1,G138=0,0)</f>
        <v>6</v>
      </c>
      <c r="J138" s="3" t="n">
        <f aca="false">IF(H138&lt;=1,0,IF(H138&lt;=10,11,IF(H138&lt;=14,12,IF(H138&lt;=17,13,IF(H138&lt;=20,14,IF(H138&lt;=22,15,IF(H138&lt;=25,16,IF(H138&lt;=27,17,IF(H138&lt;=29,18,IF(H138&lt;=32,19,IF(H138&lt;=34,20,IF(H138&lt;=36,21,IF(H138&lt;=40,22,24)))))))))))))</f>
        <v>0</v>
      </c>
      <c r="K138" s="3" t="n">
        <v>45</v>
      </c>
      <c r="M138" s="3" t="n">
        <f aca="false">_xlfn.IFS(K138="взв",11,K138="накл",24,K138="прокл",25,K138="пт",26,K138=90,10,K138=85,10,K138=80,9,K138=75,8,K138=70,8,K138=65,7,K138=60,7,K138=55,6,K138=50,6,K138=45,6,K138=40,5,K138=35,4,K138=30,4,K138=25,3,K138=20,2,K138=15,1,K138=10,1,K138=0,0)</f>
        <v>6</v>
      </c>
      <c r="N138" s="3" t="n">
        <f aca="false">IF(L138&lt;=1,0,IF(L138&lt;=10,11,IF(L138&lt;=14,12,IF(L138&lt;=17,13,IF(L138&lt;=20,14,IF(L138&lt;=22,15,IF(L138&lt;=25,16,IF(L138&lt;=27,17,IF(L138&lt;=29,18,IF(L138&lt;=32,19,IF(L138&lt;=34,20,IF(L138&lt;=36,21,IF(L138&lt;=40,22,24)))))))))))))</f>
        <v>0</v>
      </c>
      <c r="O138" s="3" t="n">
        <v>60</v>
      </c>
      <c r="Q138" s="3" t="n">
        <f aca="false">_xlfn.IFS(O138="взв",11,O138="накл",24,O138="прокл",25,O138="пт",26,O138=90,10,O138=85,10,O138=80,9,O138=75,8,O138=70,8,O138=65,7,O138=60,7,O138=55,6,O138=50,6,O138=45,6,O138=40,5,O138=35,4,O138=30,4,O138=25,3,O138=20,2,O138=15,1,O138=10,1,O138=0,0)</f>
        <v>7</v>
      </c>
      <c r="R138" s="3" t="n">
        <f aca="false">IF(P138&lt;=1,0,IF(P138&lt;=10,11,IF(P138&lt;=14,12,IF(P138&lt;=17,13,IF(P138&lt;=20,14,IF(P138&lt;=22,15,IF(P138&lt;=25,16,IF(P138&lt;=27,17,IF(P138&lt;=29,18,IF(P138&lt;=32,19,IF(P138&lt;=34,20,IF(P138&lt;=36,21,IF(P138&lt;=40,22,24)))))))))))))</f>
        <v>0</v>
      </c>
      <c r="S138" s="14" t="n">
        <f aca="false">ROUND((Q138+R138+I138+J138+M138+N138)/3,0)</f>
        <v>6</v>
      </c>
      <c r="T138" s="15" t="n">
        <f aca="false">F138*LOG10(S138+2)</f>
        <v>2.70926996097583</v>
      </c>
    </row>
    <row r="139" customFormat="false" ht="14.65" hidden="false" customHeight="true" outlineLevel="0" collapsed="false">
      <c r="A139" s="12" t="s">
        <v>171</v>
      </c>
      <c r="B139" s="13" t="n">
        <v>38880</v>
      </c>
      <c r="C139" s="3" t="s">
        <v>24</v>
      </c>
      <c r="D139" s="4" t="s">
        <v>155</v>
      </c>
      <c r="E139" s="3" t="n">
        <v>7</v>
      </c>
      <c r="F139" s="3" t="n">
        <v>3</v>
      </c>
      <c r="H139" s="3" t="n">
        <v>31</v>
      </c>
      <c r="I139" s="3" t="n">
        <f aca="false">_xlfn.IFS(G139="взв",11,G139="накл",24,G139="прокл",25,G139="пт",26,G139=90,10,G139=85,10,G139=80,9,G139=75,8,G139=70,8,G139=65,7,G139=60,7,G139=55,6,G139=50,6,G139=45,6,G139=40,5,G139=35,4,G139=30,4,G139=25,3,G139=20,2,G139=15,1,G139=10,1,G139=0,0)</f>
        <v>0</v>
      </c>
      <c r="J139" s="3" t="n">
        <f aca="false">IF(H139&lt;=1,0,IF(H139&lt;=10,11,IF(H139&lt;=14,12,IF(H139&lt;=17,13,IF(H139&lt;=20,14,IF(H139&lt;=22,15,IF(H139&lt;=25,16,IF(H139&lt;=27,17,IF(H139&lt;=29,18,IF(H139&lt;=32,19,IF(H139&lt;=34,20,IF(H139&lt;=36,21,IF(H139&lt;=40,22,24)))))))))))))</f>
        <v>19</v>
      </c>
      <c r="L139" s="3" t="n">
        <v>36</v>
      </c>
      <c r="M139" s="3" t="n">
        <f aca="false">_xlfn.IFS(K139="взв",11,K139="накл",24,K139="прокл",25,K139="пт",26,K139=90,10,K139=85,10,K139=80,9,K139=75,8,K139=70,8,K139=65,7,K139=60,7,K139=55,6,K139=50,6,K139=45,6,K139=40,5,K139=35,4,K139=30,4,K139=25,3,K139=20,2,K139=15,1,K139=10,1,K139=0,0)</f>
        <v>0</v>
      </c>
      <c r="N139" s="3" t="n">
        <f aca="false">IF(L139&lt;=1,0,IF(L139&lt;=10,11,IF(L139&lt;=14,12,IF(L139&lt;=17,13,IF(L139&lt;=20,14,IF(L139&lt;=22,15,IF(L139&lt;=25,16,IF(L139&lt;=27,17,IF(L139&lt;=29,18,IF(L139&lt;=32,19,IF(L139&lt;=34,20,IF(L139&lt;=36,21,IF(L139&lt;=40,22,24)))))))))))))</f>
        <v>21</v>
      </c>
      <c r="P139" s="3" t="n">
        <v>38</v>
      </c>
      <c r="Q139" s="3" t="n">
        <f aca="false">_xlfn.IFS(O139="взв",11,O139="накл",24,O139="прокл",25,O139="пт",26,O139=90,10,O139=85,10,O139=80,9,O139=75,8,O139=70,8,O139=65,7,O139=60,7,O139=55,6,O139=50,6,O139=45,6,O139=40,5,O139=35,4,O139=30,4,O139=25,3,O139=20,2,O139=15,1,O139=10,1,O139=0,0)</f>
        <v>0</v>
      </c>
      <c r="R139" s="3" t="n">
        <f aca="false">IF(P139&lt;=1,0,IF(P139&lt;=10,11,IF(P139&lt;=14,12,IF(P139&lt;=17,13,IF(P139&lt;=20,14,IF(P139&lt;=22,15,IF(P139&lt;=25,16,IF(P139&lt;=27,17,IF(P139&lt;=29,18,IF(P139&lt;=32,19,IF(P139&lt;=34,20,IF(P139&lt;=36,21,IF(P139&lt;=40,22,24)))))))))))))</f>
        <v>22</v>
      </c>
      <c r="S139" s="14" t="n">
        <f aca="false">ROUND((Q139+R139+I139+J139+M139+N139)/3,0)</f>
        <v>21</v>
      </c>
      <c r="T139" s="15" t="n">
        <f aca="false">F139*LOG10(S139+2)</f>
        <v>4.08518350805278</v>
      </c>
    </row>
    <row r="140" customFormat="false" ht="14.65" hidden="false" customHeight="true" outlineLevel="0" collapsed="false">
      <c r="A140" s="12" t="s">
        <v>172</v>
      </c>
      <c r="B140" s="13" t="n">
        <v>38880</v>
      </c>
      <c r="C140" s="3" t="s">
        <v>24</v>
      </c>
      <c r="D140" s="4" t="s">
        <v>155</v>
      </c>
      <c r="E140" s="3" t="n">
        <v>4</v>
      </c>
      <c r="F140" s="3" t="n">
        <v>3</v>
      </c>
      <c r="H140" s="3" t="n">
        <v>35</v>
      </c>
      <c r="I140" s="3" t="n">
        <f aca="false">_xlfn.IFS(G140="взв",11,G140="накл",24,G140="прокл",25,G140="пт",26,G140=90,10,G140=85,10,G140=80,9,G140=75,8,G140=70,8,G140=65,7,G140=60,7,G140=55,6,G140=50,6,G140=45,6,G140=40,5,G140=35,4,G140=30,4,G140=25,3,G140=20,2,G140=15,1,G140=10,1,G140=0,0)</f>
        <v>0</v>
      </c>
      <c r="J140" s="3" t="n">
        <f aca="false">IF(H140&lt;=1,0,IF(H140&lt;=10,11,IF(H140&lt;=14,12,IF(H140&lt;=17,13,IF(H140&lt;=20,14,IF(H140&lt;=22,15,IF(H140&lt;=25,16,IF(H140&lt;=27,17,IF(H140&lt;=29,18,IF(H140&lt;=32,19,IF(H140&lt;=34,20,IF(H140&lt;=36,21,IF(H140&lt;=40,22,24)))))))))))))</f>
        <v>21</v>
      </c>
      <c r="L140" s="3" t="n">
        <v>32</v>
      </c>
      <c r="M140" s="3" t="n">
        <f aca="false">_xlfn.IFS(K140="взв",11,K140="накл",24,K140="прокл",25,K140="пт",26,K140=90,10,K140=85,10,K140=80,9,K140=75,8,K140=70,8,K140=65,7,K140=60,7,K140=55,6,K140=50,6,K140=45,6,K140=40,5,K140=35,4,K140=30,4,K140=25,3,K140=20,2,K140=15,1,K140=10,1,K140=0,0)</f>
        <v>0</v>
      </c>
      <c r="N140" s="3" t="n">
        <f aca="false">IF(L140&lt;=1,0,IF(L140&lt;=10,11,IF(L140&lt;=14,12,IF(L140&lt;=17,13,IF(L140&lt;=20,14,IF(L140&lt;=22,15,IF(L140&lt;=25,16,IF(L140&lt;=27,17,IF(L140&lt;=29,18,IF(L140&lt;=32,19,IF(L140&lt;=34,20,IF(L140&lt;=36,21,IF(L140&lt;=40,22,24)))))))))))))</f>
        <v>19</v>
      </c>
      <c r="P140" s="3" t="n">
        <v>32</v>
      </c>
      <c r="Q140" s="3" t="n">
        <f aca="false">_xlfn.IFS(O140="взв",11,O140="накл",24,O140="прокл",25,O140="пт",26,O140=90,10,O140=85,10,O140=80,9,O140=75,8,O140=70,8,O140=65,7,O140=60,7,O140=55,6,O140=50,6,O140=45,6,O140=40,5,O140=35,4,O140=30,4,O140=25,3,O140=20,2,O140=15,1,O140=10,1,O140=0,0)</f>
        <v>0</v>
      </c>
      <c r="R140" s="3" t="n">
        <f aca="false">IF(P140&lt;=1,0,IF(P140&lt;=10,11,IF(P140&lt;=14,12,IF(P140&lt;=17,13,IF(P140&lt;=20,14,IF(P140&lt;=22,15,IF(P140&lt;=25,16,IF(P140&lt;=27,17,IF(P140&lt;=29,18,IF(P140&lt;=32,19,IF(P140&lt;=34,20,IF(P140&lt;=36,21,IF(P140&lt;=40,22,24)))))))))))))</f>
        <v>19</v>
      </c>
      <c r="S140" s="14" t="n">
        <f aca="false">ROUND((Q140+R140+I140+J140+M140+N140)/3,0)</f>
        <v>20</v>
      </c>
      <c r="T140" s="15" t="n">
        <f aca="false">F140*LOG10(S140+2)</f>
        <v>4.02726804246662</v>
      </c>
    </row>
    <row r="141" customFormat="false" ht="14.65" hidden="false" customHeight="true" outlineLevel="0" collapsed="false">
      <c r="A141" s="12" t="s">
        <v>173</v>
      </c>
      <c r="B141" s="13" t="n">
        <v>38880</v>
      </c>
      <c r="C141" s="3" t="s">
        <v>24</v>
      </c>
      <c r="D141" s="4" t="s">
        <v>155</v>
      </c>
      <c r="E141" s="3" t="n">
        <v>5</v>
      </c>
      <c r="F141" s="3" t="n">
        <v>3</v>
      </c>
      <c r="H141" s="3" t="n">
        <v>22</v>
      </c>
      <c r="I141" s="3" t="n">
        <f aca="false">_xlfn.IFS(G141="взв",11,G141="накл",24,G141="прокл",25,G141="пт",26,G141=90,10,G141=85,10,G141=80,9,G141=75,8,G141=70,8,G141=65,7,G141=60,7,G141=55,6,G141=50,6,G141=45,6,G141=40,5,G141=35,4,G141=30,4,G141=25,3,G141=20,2,G141=15,1,G141=10,1,G141=0,0)</f>
        <v>0</v>
      </c>
      <c r="J141" s="3" t="n">
        <f aca="false">IF(H141&lt;=1,0,IF(H141&lt;=10,11,IF(H141&lt;=14,12,IF(H141&lt;=17,13,IF(H141&lt;=20,14,IF(H141&lt;=22,15,IF(H141&lt;=25,16,IF(H141&lt;=27,17,IF(H141&lt;=29,18,IF(H141&lt;=32,19,IF(H141&lt;=34,20,IF(H141&lt;=36,21,IF(H141&lt;=40,22,24)))))))))))))</f>
        <v>15</v>
      </c>
      <c r="L141" s="3" t="n">
        <v>17</v>
      </c>
      <c r="M141" s="3" t="n">
        <f aca="false">_xlfn.IFS(K141="взв",11,K141="накл",24,K141="прокл",25,K141="пт",26,K141=90,10,K141=85,10,K141=80,9,K141=75,8,K141=70,8,K141=65,7,K141=60,7,K141=55,6,K141=50,6,K141=45,6,K141=40,5,K141=35,4,K141=30,4,K141=25,3,K141=20,2,K141=15,1,K141=10,1,K141=0,0)</f>
        <v>0</v>
      </c>
      <c r="N141" s="3" t="n">
        <f aca="false">IF(L141&lt;=1,0,IF(L141&lt;=10,11,IF(L141&lt;=14,12,IF(L141&lt;=17,13,IF(L141&lt;=20,14,IF(L141&lt;=22,15,IF(L141&lt;=25,16,IF(L141&lt;=27,17,IF(L141&lt;=29,18,IF(L141&lt;=32,19,IF(L141&lt;=34,20,IF(L141&lt;=36,21,IF(L141&lt;=40,22,24)))))))))))))</f>
        <v>13</v>
      </c>
      <c r="P141" s="3" t="n">
        <v>13</v>
      </c>
      <c r="Q141" s="3" t="n">
        <f aca="false">_xlfn.IFS(O141="взв",11,O141="накл",24,O141="прокл",25,O141="пт",26,O141=90,10,O141=85,10,O141=80,9,O141=75,8,O141=70,8,O141=65,7,O141=60,7,O141=55,6,O141=50,6,O141=45,6,O141=40,5,O141=35,4,O141=30,4,O141=25,3,O141=20,2,O141=15,1,O141=10,1,O141=0,0)</f>
        <v>0</v>
      </c>
      <c r="R141" s="3" t="n">
        <f aca="false">IF(P141&lt;=1,0,IF(P141&lt;=10,11,IF(P141&lt;=14,12,IF(P141&lt;=17,13,IF(P141&lt;=20,14,IF(P141&lt;=22,15,IF(P141&lt;=25,16,IF(P141&lt;=27,17,IF(P141&lt;=29,18,IF(P141&lt;=32,19,IF(P141&lt;=34,20,IF(P141&lt;=36,21,IF(P141&lt;=40,22,24)))))))))))))</f>
        <v>12</v>
      </c>
      <c r="S141" s="14" t="n">
        <f aca="false">ROUND((Q141+R141+I141+J141+M141+N141)/3,0)</f>
        <v>13</v>
      </c>
      <c r="T141" s="15" t="n">
        <f aca="false">F141*LOG10(S141+2)</f>
        <v>3.52827377716704</v>
      </c>
    </row>
    <row r="142" customFormat="false" ht="14.65" hidden="false" customHeight="true" outlineLevel="0" collapsed="false">
      <c r="A142" s="12" t="s">
        <v>174</v>
      </c>
      <c r="B142" s="13" t="n">
        <v>38880</v>
      </c>
      <c r="C142" s="3" t="s">
        <v>24</v>
      </c>
      <c r="D142" s="4" t="s">
        <v>155</v>
      </c>
      <c r="E142" s="3" t="n">
        <v>4</v>
      </c>
      <c r="F142" s="3" t="n">
        <v>3</v>
      </c>
      <c r="G142" s="3" t="s">
        <v>27</v>
      </c>
      <c r="I142" s="3" t="n">
        <f aca="false">_xlfn.IFS(G142="взв",11,G142="накл",24,G142="прокл",25,G142="пт",26,G142=90,10,G142=85,10,G142=80,9,G142=75,8,G142=70,8,G142=65,7,G142=60,7,G142=55,6,G142=50,6,G142=45,6,G142=40,5,G142=35,4,G142=30,4,G142=25,3,G142=20,2,G142=15,1,G142=10,1,G142=0,0)</f>
        <v>24</v>
      </c>
      <c r="J142" s="3" t="n">
        <f aca="false">IF(H142&lt;=1,0,IF(H142&lt;=10,11,IF(H142&lt;=14,12,IF(H142&lt;=17,13,IF(H142&lt;=20,14,IF(H142&lt;=22,15,IF(H142&lt;=25,16,IF(H142&lt;=27,17,IF(H142&lt;=29,18,IF(H142&lt;=32,19,IF(H142&lt;=34,20,IF(H142&lt;=36,21,IF(H142&lt;=40,22,24)))))))))))))</f>
        <v>0</v>
      </c>
      <c r="K142" s="3" t="s">
        <v>27</v>
      </c>
      <c r="M142" s="3" t="n">
        <f aca="false">_xlfn.IFS(K142="взв",11,K142="накл",24,K142="прокл",25,K142="пт",26,K142=90,10,K142=85,10,K142=80,9,K142=75,8,K142=70,8,K142=65,7,K142=60,7,K142=55,6,K142=50,6,K142=45,6,K142=40,5,K142=35,4,K142=30,4,K142=25,3,K142=20,2,K142=15,1,K142=10,1,K142=0,0)</f>
        <v>24</v>
      </c>
      <c r="N142" s="3" t="n">
        <f aca="false">IF(L142&lt;=1,0,IF(L142&lt;=10,11,IF(L142&lt;=14,12,IF(L142&lt;=17,13,IF(L142&lt;=20,14,IF(L142&lt;=22,15,IF(L142&lt;=25,16,IF(L142&lt;=27,17,IF(L142&lt;=29,18,IF(L142&lt;=32,19,IF(L142&lt;=34,20,IF(L142&lt;=36,21,IF(L142&lt;=40,22,24)))))))))))))</f>
        <v>0</v>
      </c>
      <c r="O142" s="3" t="s">
        <v>27</v>
      </c>
      <c r="P142" s="0"/>
      <c r="Q142" s="3" t="n">
        <f aca="false">_xlfn.IFS(O142="взв",11,O142="накл",24,O142="прокл",25,O142="пт",26,O142=90,10,O142=85,10,O142=80,9,O142=75,8,O142=70,8,O142=65,7,O142=60,7,O142=55,6,O142=50,6,O142=45,6,O142=40,5,O142=35,4,O142=30,4,O142=25,3,O142=20,2,O142=15,1,O142=10,1,O142=0,0)</f>
        <v>24</v>
      </c>
      <c r="R142" s="3" t="n">
        <f aca="false">IF(P142&lt;=1,0,IF(P142&lt;=10,11,IF(P142&lt;=14,12,IF(P142&lt;=17,13,IF(P142&lt;=20,14,IF(P142&lt;=22,15,IF(P142&lt;=25,16,IF(P142&lt;=27,17,IF(P142&lt;=29,18,IF(P142&lt;=32,19,IF(P142&lt;=34,20,IF(P142&lt;=36,21,IF(P142&lt;=40,22,24)))))))))))))</f>
        <v>0</v>
      </c>
      <c r="S142" s="14" t="n">
        <f aca="false">ROUND((Q142+R142+I142+J142+M142+N142)/3,0)</f>
        <v>24</v>
      </c>
      <c r="T142" s="15" t="n">
        <f aca="false">F142*LOG10(S142+2)</f>
        <v>4.24492004391245</v>
      </c>
    </row>
    <row r="143" customFormat="false" ht="14.65" hidden="false" customHeight="true" outlineLevel="0" collapsed="false">
      <c r="A143" s="12" t="s">
        <v>175</v>
      </c>
      <c r="B143" s="13" t="n">
        <v>38880</v>
      </c>
      <c r="C143" s="3" t="s">
        <v>24</v>
      </c>
      <c r="D143" s="4" t="s">
        <v>155</v>
      </c>
      <c r="E143" s="3" t="n">
        <v>3</v>
      </c>
      <c r="F143" s="3" t="n">
        <v>3</v>
      </c>
      <c r="H143" s="3" t="n">
        <v>34</v>
      </c>
      <c r="I143" s="3" t="n">
        <f aca="false">_xlfn.IFS(G143="взв",11,G143="накл",24,G143="прокл",25,G143="пт",26,G143=90,10,G143=85,10,G143=80,9,G143=75,8,G143=70,8,G143=65,7,G143=60,7,G143=55,6,G143=50,6,G143=45,6,G143=40,5,G143=35,4,G143=30,4,G143=25,3,G143=20,2,G143=15,1,G143=10,1,G143=0,0)</f>
        <v>0</v>
      </c>
      <c r="J143" s="3" t="n">
        <f aca="false">IF(H143&lt;=1,0,IF(H143&lt;=10,11,IF(H143&lt;=14,12,IF(H143&lt;=17,13,IF(H143&lt;=20,14,IF(H143&lt;=22,15,IF(H143&lt;=25,16,IF(H143&lt;=27,17,IF(H143&lt;=29,18,IF(H143&lt;=32,19,IF(H143&lt;=34,20,IF(H143&lt;=36,21,IF(H143&lt;=40,22,24)))))))))))))</f>
        <v>20</v>
      </c>
      <c r="K143" s="3" t="n">
        <v>90</v>
      </c>
      <c r="M143" s="3" t="n">
        <f aca="false">_xlfn.IFS(K143="взв",11,K143="накл",24,K143="прокл",25,K143="пт",26,K143=90,10,K143=85,10,K143=80,9,K143=75,8,K143=70,8,K143=65,7,K143=60,7,K143=55,6,K143=50,6,K143=45,6,K143=40,5,K143=35,4,K143=30,4,K143=25,3,K143=20,2,K143=15,1,K143=10,1,K143=0,0)</f>
        <v>10</v>
      </c>
      <c r="N143" s="3" t="n">
        <f aca="false">IF(L143&lt;=1,0,IF(L143&lt;=10,11,IF(L143&lt;=14,12,IF(L143&lt;=17,13,IF(L143&lt;=20,14,IF(L143&lt;=22,15,IF(L143&lt;=25,16,IF(L143&lt;=27,17,IF(L143&lt;=29,18,IF(L143&lt;=32,19,IF(L143&lt;=34,20,IF(L143&lt;=36,21,IF(L143&lt;=40,22,24)))))))))))))</f>
        <v>0</v>
      </c>
      <c r="O143" s="3" t="n">
        <v>90</v>
      </c>
      <c r="Q143" s="3" t="n">
        <f aca="false">_xlfn.IFS(O143="взв",11,O143="накл",24,O143="прокл",25,O143="пт",26,O143=90,10,O143=85,10,O143=80,9,O143=75,8,O143=70,8,O143=65,7,O143=60,7,O143=55,6,O143=50,6,O143=45,6,O143=40,5,O143=35,4,O143=30,4,O143=25,3,O143=20,2,O143=15,1,O143=10,1,O143=0,0)</f>
        <v>10</v>
      </c>
      <c r="R143" s="3" t="n">
        <f aca="false">IF(P143&lt;=1,0,IF(P143&lt;=10,11,IF(P143&lt;=14,12,IF(P143&lt;=17,13,IF(P143&lt;=20,14,IF(P143&lt;=22,15,IF(P143&lt;=25,16,IF(P143&lt;=27,17,IF(P143&lt;=29,18,IF(P143&lt;=32,19,IF(P143&lt;=34,20,IF(P143&lt;=36,21,IF(P143&lt;=40,22,24)))))))))))))</f>
        <v>0</v>
      </c>
      <c r="S143" s="14" t="n">
        <f aca="false">ROUND((Q143+R143+I143+J143+M143+N143)/3,0)</f>
        <v>13</v>
      </c>
      <c r="T143" s="15" t="n">
        <f aca="false">F143*LOG10(S143+2)</f>
        <v>3.52827377716704</v>
      </c>
    </row>
    <row r="144" customFormat="false" ht="14.65" hidden="false" customHeight="true" outlineLevel="0" collapsed="false">
      <c r="A144" s="12" t="s">
        <v>176</v>
      </c>
      <c r="B144" s="13" t="n">
        <v>38880</v>
      </c>
      <c r="C144" s="3" t="s">
        <v>24</v>
      </c>
      <c r="D144" s="4" t="s">
        <v>155</v>
      </c>
      <c r="E144" s="3" t="n">
        <v>2</v>
      </c>
      <c r="F144" s="3" t="n">
        <v>3</v>
      </c>
      <c r="H144" s="3" t="n">
        <v>36</v>
      </c>
      <c r="I144" s="3" t="n">
        <f aca="false">_xlfn.IFS(G144="взв",11,G144="накл",24,G144="прокл",25,G144="пт",26,G144=90,10,G144=85,10,G144=80,9,G144=75,8,G144=70,8,G144=65,7,G144=60,7,G144=55,6,G144=50,6,G144=45,6,G144=40,5,G144=35,4,G144=30,4,G144=25,3,G144=20,2,G144=15,1,G144=10,1,G144=0,0)</f>
        <v>0</v>
      </c>
      <c r="J144" s="3" t="n">
        <f aca="false">IF(H144&lt;=1,0,IF(H144&lt;=10,11,IF(H144&lt;=14,12,IF(H144&lt;=17,13,IF(H144&lt;=20,14,IF(H144&lt;=22,15,IF(H144&lt;=25,16,IF(H144&lt;=27,17,IF(H144&lt;=29,18,IF(H144&lt;=32,19,IF(H144&lt;=34,20,IF(H144&lt;=36,21,IF(H144&lt;=40,22,24)))))))))))))</f>
        <v>21</v>
      </c>
      <c r="L144" s="3" t="n">
        <v>37</v>
      </c>
      <c r="M144" s="3" t="n">
        <f aca="false">_xlfn.IFS(K144="взв",11,K144="накл",24,K144="прокл",25,K144="пт",26,K144=90,10,K144=85,10,K144=80,9,K144=75,8,K144=70,8,K144=65,7,K144=60,7,K144=55,6,K144=50,6,K144=45,6,K144=40,5,K144=35,4,K144=30,4,K144=25,3,K144=20,2,K144=15,1,K144=10,1,K144=0,0)</f>
        <v>0</v>
      </c>
      <c r="N144" s="3" t="n">
        <f aca="false">IF(L144&lt;=1,0,IF(L144&lt;=10,11,IF(L144&lt;=14,12,IF(L144&lt;=17,13,IF(L144&lt;=20,14,IF(L144&lt;=22,15,IF(L144&lt;=25,16,IF(L144&lt;=27,17,IF(L144&lt;=29,18,IF(L144&lt;=32,19,IF(L144&lt;=34,20,IF(L144&lt;=36,21,IF(L144&lt;=40,22,24)))))))))))))</f>
        <v>22</v>
      </c>
      <c r="Q144" s="3" t="n">
        <f aca="false">_xlfn.IFS(O144="взв",11,O144="накл",24,O144="прокл",25,O144="пт",26,O144=90,10,O144=85,10,O144=80,9,O144=75,8,O144=70,8,O144=65,7,O144=60,7,O144=55,6,O144=50,6,O144=45,6,O144=40,5,O144=35,4,O144=30,4,O144=25,3,O144=20,2,O144=15,1,O144=10,1,O144=0,0)</f>
        <v>0</v>
      </c>
      <c r="R144" s="3" t="n">
        <f aca="false">IF(P144&lt;=1,0,IF(P144&lt;=10,11,IF(P144&lt;=14,12,IF(P144&lt;=17,13,IF(P144&lt;=20,14,IF(P144&lt;=22,15,IF(P144&lt;=25,16,IF(P144&lt;=27,17,IF(P144&lt;=29,18,IF(P144&lt;=32,19,IF(P144&lt;=34,20,IF(P144&lt;=36,21,IF(P144&lt;=40,22,24)))))))))))))</f>
        <v>0</v>
      </c>
      <c r="S144" s="14" t="n">
        <f aca="false">ROUND((Q144+R144+I144+J144+M144+N144)/2,0)</f>
        <v>22</v>
      </c>
      <c r="T144" s="15" t="n">
        <f aca="false">F144*LOG10(S144+2)</f>
        <v>4.14063372513482</v>
      </c>
    </row>
    <row r="145" customFormat="false" ht="14.65" hidden="false" customHeight="true" outlineLevel="0" collapsed="false">
      <c r="A145" s="12" t="s">
        <v>177</v>
      </c>
      <c r="B145" s="13" t="n">
        <v>38880</v>
      </c>
      <c r="C145" s="3" t="s">
        <v>24</v>
      </c>
      <c r="D145" s="4" t="s">
        <v>155</v>
      </c>
      <c r="E145" s="3" t="n">
        <v>6</v>
      </c>
      <c r="F145" s="3" t="n">
        <v>3</v>
      </c>
      <c r="H145" s="3" t="n">
        <v>32</v>
      </c>
      <c r="I145" s="3" t="n">
        <f aca="false">_xlfn.IFS(G145="взв",11,G145="накл",24,G145="прокл",25,G145="пт",26,G145=90,10,G145=85,10,G145=80,9,G145=75,8,G145=70,8,G145=65,7,G145=60,7,G145=55,6,G145=50,6,G145=45,6,G145=40,5,G145=35,4,G145=30,4,G145=25,3,G145=20,2,G145=15,1,G145=10,1,G145=0,0)</f>
        <v>0</v>
      </c>
      <c r="J145" s="3" t="n">
        <f aca="false">IF(H145&lt;=1,0,IF(H145&lt;=10,11,IF(H145&lt;=14,12,IF(H145&lt;=17,13,IF(H145&lt;=20,14,IF(H145&lt;=22,15,IF(H145&lt;=25,16,IF(H145&lt;=27,17,IF(H145&lt;=29,18,IF(H145&lt;=32,19,IF(H145&lt;=34,20,IF(H145&lt;=36,21,IF(H145&lt;=40,22,24)))))))))))))</f>
        <v>19</v>
      </c>
      <c r="L145" s="3" t="n">
        <v>35</v>
      </c>
      <c r="M145" s="3" t="n">
        <f aca="false">_xlfn.IFS(K145="взв",11,K145="накл",24,K145="прокл",25,K145="пт",26,K145=90,10,K145=85,10,K145=80,9,K145=75,8,K145=70,8,K145=65,7,K145=60,7,K145=55,6,K145=50,6,K145=45,6,K145=40,5,K145=35,4,K145=30,4,K145=25,3,K145=20,2,K145=15,1,K145=10,1,K145=0,0)</f>
        <v>0</v>
      </c>
      <c r="N145" s="3" t="n">
        <f aca="false">IF(L145&lt;=1,0,IF(L145&lt;=10,11,IF(L145&lt;=14,12,IF(L145&lt;=17,13,IF(L145&lt;=20,14,IF(L145&lt;=22,15,IF(L145&lt;=25,16,IF(L145&lt;=27,17,IF(L145&lt;=29,18,IF(L145&lt;=32,19,IF(L145&lt;=34,20,IF(L145&lt;=36,21,IF(L145&lt;=40,22,24)))))))))))))</f>
        <v>21</v>
      </c>
      <c r="P145" s="3" t="n">
        <v>34</v>
      </c>
      <c r="Q145" s="3" t="n">
        <f aca="false">_xlfn.IFS(O145="взв",11,O145="накл",24,O145="прокл",25,O145="пт",26,O145=90,10,O145=85,10,O145=80,9,O145=75,8,O145=70,8,O145=65,7,O145=60,7,O145=55,6,O145=50,6,O145=45,6,O145=40,5,O145=35,4,O145=30,4,O145=25,3,O145=20,2,O145=15,1,O145=10,1,O145=0,0)</f>
        <v>0</v>
      </c>
      <c r="R145" s="3" t="n">
        <f aca="false">IF(P145&lt;=1,0,IF(P145&lt;=10,11,IF(P145&lt;=14,12,IF(P145&lt;=17,13,IF(P145&lt;=20,14,IF(P145&lt;=22,15,IF(P145&lt;=25,16,IF(P145&lt;=27,17,IF(P145&lt;=29,18,IF(P145&lt;=32,19,IF(P145&lt;=34,20,IF(P145&lt;=36,21,IF(P145&lt;=40,22,24)))))))))))))</f>
        <v>20</v>
      </c>
      <c r="S145" s="14" t="n">
        <f aca="false">ROUND((Q145+R145+I145+J145+M145+N145)/3,0)</f>
        <v>20</v>
      </c>
      <c r="T145" s="15" t="n">
        <f aca="false">F145*LOG10(S145+2)</f>
        <v>4.02726804246662</v>
      </c>
    </row>
    <row r="146" customFormat="false" ht="14.65" hidden="false" customHeight="true" outlineLevel="0" collapsed="false">
      <c r="A146" s="12" t="s">
        <v>178</v>
      </c>
      <c r="B146" s="13" t="n">
        <v>38880</v>
      </c>
      <c r="C146" s="3" t="s">
        <v>24</v>
      </c>
      <c r="D146" s="4" t="s">
        <v>155</v>
      </c>
      <c r="E146" s="3" t="n">
        <v>3</v>
      </c>
      <c r="F146" s="3" t="n">
        <v>3</v>
      </c>
      <c r="H146" s="3" t="n">
        <v>28</v>
      </c>
      <c r="I146" s="3" t="n">
        <f aca="false">_xlfn.IFS(G146="взв",11,G146="накл",24,G146="прокл",25,G146="пт",26,G146=90,10,G146=85,10,G146=80,9,G146=75,8,G146=70,8,G146=65,7,G146=60,7,G146=55,6,G146=50,6,G146=45,6,G146=40,5,G146=35,4,G146=30,4,G146=25,3,G146=20,2,G146=15,1,G146=10,1,G146=0,0)</f>
        <v>0</v>
      </c>
      <c r="J146" s="3" t="n">
        <f aca="false">IF(H146&lt;=1,0,IF(H146&lt;=10,11,IF(H146&lt;=14,12,IF(H146&lt;=17,13,IF(H146&lt;=20,14,IF(H146&lt;=22,15,IF(H146&lt;=25,16,IF(H146&lt;=27,17,IF(H146&lt;=29,18,IF(H146&lt;=32,19,IF(H146&lt;=34,20,IF(H146&lt;=36,21,IF(H146&lt;=40,22,24)))))))))))))</f>
        <v>18</v>
      </c>
      <c r="L146" s="3" t="n">
        <v>29</v>
      </c>
      <c r="M146" s="3" t="n">
        <f aca="false">_xlfn.IFS(K146="взв",11,K146="накл",24,K146="прокл",25,K146="пт",26,K146=90,10,K146=85,10,K146=80,9,K146=75,8,K146=70,8,K146=65,7,K146=60,7,K146=55,6,K146=50,6,K146=45,6,K146=40,5,K146=35,4,K146=30,4,K146=25,3,K146=20,2,K146=15,1,K146=10,1,K146=0,0)</f>
        <v>0</v>
      </c>
      <c r="N146" s="3" t="n">
        <f aca="false">IF(L146&lt;=1,0,IF(L146&lt;=10,11,IF(L146&lt;=14,12,IF(L146&lt;=17,13,IF(L146&lt;=20,14,IF(L146&lt;=22,15,IF(L146&lt;=25,16,IF(L146&lt;=27,17,IF(L146&lt;=29,18,IF(L146&lt;=32,19,IF(L146&lt;=34,20,IF(L146&lt;=36,21,IF(L146&lt;=40,22,24)))))))))))))</f>
        <v>18</v>
      </c>
      <c r="P146" s="3" t="n">
        <v>33</v>
      </c>
      <c r="Q146" s="3" t="n">
        <f aca="false">_xlfn.IFS(O146="взв",11,O146="накл",24,O146="прокл",25,O146="пт",26,O146=90,10,O146=85,10,O146=80,9,O146=75,8,O146=70,8,O146=65,7,O146=60,7,O146=55,6,O146=50,6,O146=45,6,O146=40,5,O146=35,4,O146=30,4,O146=25,3,O146=20,2,O146=15,1,O146=10,1,O146=0,0)</f>
        <v>0</v>
      </c>
      <c r="R146" s="3" t="n">
        <f aca="false">IF(P146&lt;=1,0,IF(P146&lt;=10,11,IF(P146&lt;=14,12,IF(P146&lt;=17,13,IF(P146&lt;=20,14,IF(P146&lt;=22,15,IF(P146&lt;=25,16,IF(P146&lt;=27,17,IF(P146&lt;=29,18,IF(P146&lt;=32,19,IF(P146&lt;=34,20,IF(P146&lt;=36,21,IF(P146&lt;=40,22,24)))))))))))))</f>
        <v>20</v>
      </c>
      <c r="S146" s="14" t="n">
        <f aca="false">ROUND((Q146+R146+I146+J146+M146+N146)/3,0)</f>
        <v>19</v>
      </c>
      <c r="T146" s="15" t="n">
        <f aca="false">F146*LOG10(S146+2)</f>
        <v>3.96665788420176</v>
      </c>
    </row>
    <row r="147" customFormat="false" ht="14.65" hidden="false" customHeight="true" outlineLevel="0" collapsed="false">
      <c r="A147" s="12" t="s">
        <v>179</v>
      </c>
      <c r="B147" s="13" t="n">
        <v>38880</v>
      </c>
      <c r="C147" s="3" t="s">
        <v>24</v>
      </c>
      <c r="D147" s="4" t="s">
        <v>155</v>
      </c>
      <c r="E147" s="3" t="n">
        <v>4</v>
      </c>
      <c r="F147" s="3" t="n">
        <v>3</v>
      </c>
      <c r="H147" s="3" t="n">
        <v>29</v>
      </c>
      <c r="I147" s="3" t="n">
        <f aca="false">_xlfn.IFS(G147="взв",11,G147="накл",24,G147="прокл",25,G147="пт",26,G147=90,10,G147=85,10,G147=80,9,G147=75,8,G147=70,8,G147=65,7,G147=60,7,G147=55,6,G147=50,6,G147=45,6,G147=40,5,G147=35,4,G147=30,4,G147=25,3,G147=20,2,G147=15,1,G147=10,1,G147=0,0)</f>
        <v>0</v>
      </c>
      <c r="J147" s="3" t="n">
        <f aca="false">IF(H147&lt;=1,0,IF(H147&lt;=10,11,IF(H147&lt;=14,12,IF(H147&lt;=17,13,IF(H147&lt;=20,14,IF(H147&lt;=22,15,IF(H147&lt;=25,16,IF(H147&lt;=27,17,IF(H147&lt;=29,18,IF(H147&lt;=32,19,IF(H147&lt;=34,20,IF(H147&lt;=36,21,IF(H147&lt;=40,22,24)))))))))))))</f>
        <v>18</v>
      </c>
      <c r="L147" s="3" t="n">
        <v>32</v>
      </c>
      <c r="M147" s="3" t="n">
        <f aca="false">_xlfn.IFS(K147="взв",11,K147="накл",24,K147="прокл",25,K147="пт",26,K147=90,10,K147=85,10,K147=80,9,K147=75,8,K147=70,8,K147=65,7,K147=60,7,K147=55,6,K147=50,6,K147=45,6,K147=40,5,K147=35,4,K147=30,4,K147=25,3,K147=20,2,K147=15,1,K147=10,1,K147=0,0)</f>
        <v>0</v>
      </c>
      <c r="N147" s="3" t="n">
        <f aca="false">IF(L147&lt;=1,0,IF(L147&lt;=10,11,IF(L147&lt;=14,12,IF(L147&lt;=17,13,IF(L147&lt;=20,14,IF(L147&lt;=22,15,IF(L147&lt;=25,16,IF(L147&lt;=27,17,IF(L147&lt;=29,18,IF(L147&lt;=32,19,IF(L147&lt;=34,20,IF(L147&lt;=36,21,IF(L147&lt;=40,22,24)))))))))))))</f>
        <v>19</v>
      </c>
      <c r="P147" s="3" t="n">
        <v>34</v>
      </c>
      <c r="Q147" s="3" t="n">
        <f aca="false">_xlfn.IFS(O147="взв",11,O147="накл",24,O147="прокл",25,O147="пт",26,O147=90,10,O147=85,10,O147=80,9,O147=75,8,O147=70,8,O147=65,7,O147=60,7,O147=55,6,O147=50,6,O147=45,6,O147=40,5,O147=35,4,O147=30,4,O147=25,3,O147=20,2,O147=15,1,O147=10,1,O147=0,0)</f>
        <v>0</v>
      </c>
      <c r="R147" s="3" t="n">
        <f aca="false">IF(P147&lt;=1,0,IF(P147&lt;=10,11,IF(P147&lt;=14,12,IF(P147&lt;=17,13,IF(P147&lt;=20,14,IF(P147&lt;=22,15,IF(P147&lt;=25,16,IF(P147&lt;=27,17,IF(P147&lt;=29,18,IF(P147&lt;=32,19,IF(P147&lt;=34,20,IF(P147&lt;=36,21,IF(P147&lt;=40,22,24)))))))))))))</f>
        <v>20</v>
      </c>
      <c r="S147" s="14" t="n">
        <f aca="false">ROUND((Q147+R147+I147+J147+M147+N147)/3,0)</f>
        <v>19</v>
      </c>
      <c r="T147" s="15" t="n">
        <f aca="false">F147*LOG10(S147+2)</f>
        <v>3.96665788420176</v>
      </c>
    </row>
    <row r="148" customFormat="false" ht="14.65" hidden="false" customHeight="true" outlineLevel="0" collapsed="false">
      <c r="A148" s="12" t="s">
        <v>180</v>
      </c>
      <c r="B148" s="13" t="n">
        <v>38880</v>
      </c>
      <c r="C148" s="3" t="s">
        <v>24</v>
      </c>
      <c r="D148" s="4" t="s">
        <v>155</v>
      </c>
      <c r="E148" s="3" t="n">
        <v>3</v>
      </c>
      <c r="F148" s="3" t="n">
        <v>3</v>
      </c>
      <c r="G148" s="3" t="n">
        <v>75</v>
      </c>
      <c r="I148" s="3" t="n">
        <f aca="false">_xlfn.IFS(G148="взв",11,G148="накл",24,G148="прокл",25,G148="пт",26,G148=90,10,G148=85,10,G148=80,9,G148=75,8,G148=70,8,G148=65,7,G148=60,7,G148=55,6,G148=50,6,G148=45,6,G148=40,5,G148=35,4,G148=30,4,G148=25,3,G148=20,2,G148=15,1,G148=10,1,G148=0,0)</f>
        <v>8</v>
      </c>
      <c r="J148" s="3" t="n">
        <f aca="false">IF(H148&lt;=1,0,IF(H148&lt;=10,11,IF(H148&lt;=14,12,IF(H148&lt;=17,13,IF(H148&lt;=20,14,IF(H148&lt;=22,15,IF(H148&lt;=25,16,IF(H148&lt;=27,17,IF(H148&lt;=29,18,IF(H148&lt;=32,19,IF(H148&lt;=34,20,IF(H148&lt;=36,21,IF(H148&lt;=40,22,24)))))))))))))</f>
        <v>0</v>
      </c>
      <c r="K148" s="3" t="n">
        <v>60</v>
      </c>
      <c r="M148" s="3" t="n">
        <f aca="false">_xlfn.IFS(K148="взв",11,K148="накл",24,K148="прокл",25,K148="пт",26,K148=90,10,K148=85,10,K148=80,9,K148=75,8,K148=70,8,K148=65,7,K148=60,7,K148=55,6,K148=50,6,K148=45,6,K148=40,5,K148=35,4,K148=30,4,K148=25,3,K148=20,2,K148=15,1,K148=10,1,K148=0,0)</f>
        <v>7</v>
      </c>
      <c r="N148" s="3" t="n">
        <f aca="false">IF(L148&lt;=1,0,IF(L148&lt;=10,11,IF(L148&lt;=14,12,IF(L148&lt;=17,13,IF(L148&lt;=20,14,IF(L148&lt;=22,15,IF(L148&lt;=25,16,IF(L148&lt;=27,17,IF(L148&lt;=29,18,IF(L148&lt;=32,19,IF(L148&lt;=34,20,IF(L148&lt;=36,21,IF(L148&lt;=40,22,24)))))))))))))</f>
        <v>0</v>
      </c>
      <c r="O148" s="3" t="n">
        <v>45</v>
      </c>
      <c r="Q148" s="3" t="n">
        <f aca="false">_xlfn.IFS(O148="взв",11,O148="накл",24,O148="прокл",25,O148="пт",26,O148=90,10,O148=85,10,O148=80,9,O148=75,8,O148=70,8,O148=65,7,O148=60,7,O148=55,6,O148=50,6,O148=45,6,O148=40,5,O148=35,4,O148=30,4,O148=25,3,O148=20,2,O148=15,1,O148=10,1,O148=0,0)</f>
        <v>6</v>
      </c>
      <c r="R148" s="3" t="n">
        <f aca="false">IF(P148&lt;=1,0,IF(P148&lt;=10,11,IF(P148&lt;=14,12,IF(P148&lt;=17,13,IF(P148&lt;=20,14,IF(P148&lt;=22,15,IF(P148&lt;=25,16,IF(P148&lt;=27,17,IF(P148&lt;=29,18,IF(P148&lt;=32,19,IF(P148&lt;=34,20,IF(P148&lt;=36,21,IF(P148&lt;=40,22,24)))))))))))))</f>
        <v>0</v>
      </c>
      <c r="S148" s="14" t="n">
        <f aca="false">ROUND((Q148+R148+I148+J148+M148+N148)/3,0)</f>
        <v>7</v>
      </c>
      <c r="T148" s="15" t="n">
        <f aca="false">F148*LOG10(S148+2)</f>
        <v>2.86272752831797</v>
      </c>
    </row>
    <row r="149" customFormat="false" ht="14.65" hidden="false" customHeight="true" outlineLevel="0" collapsed="false">
      <c r="A149" s="12" t="s">
        <v>181</v>
      </c>
      <c r="B149" s="13" t="n">
        <v>38880</v>
      </c>
      <c r="C149" s="3" t="s">
        <v>24</v>
      </c>
      <c r="D149" s="4" t="s">
        <v>155</v>
      </c>
      <c r="E149" s="3" t="n">
        <v>5</v>
      </c>
      <c r="F149" s="3" t="n">
        <v>3</v>
      </c>
      <c r="G149" s="3" t="n">
        <v>75</v>
      </c>
      <c r="I149" s="3" t="n">
        <f aca="false">_xlfn.IFS(G149="взв",11,G149="накл",24,G149="прокл",25,G149="пт",26,G149=90,10,G149=85,10,G149=80,9,G149=75,8,G149=70,8,G149=65,7,G149=60,7,G149=55,6,G149=50,6,G149=45,6,G149=40,5,G149=35,4,G149=30,4,G149=25,3,G149=20,2,G149=15,1,G149=10,1,G149=0,0)</f>
        <v>8</v>
      </c>
      <c r="J149" s="3" t="n">
        <f aca="false">IF(H149&lt;=1,0,IF(H149&lt;=10,11,IF(H149&lt;=14,12,IF(H149&lt;=17,13,IF(H149&lt;=20,14,IF(H149&lt;=22,15,IF(H149&lt;=25,16,IF(H149&lt;=27,17,IF(H149&lt;=29,18,IF(H149&lt;=32,19,IF(H149&lt;=34,20,IF(H149&lt;=36,21,IF(H149&lt;=40,22,24)))))))))))))</f>
        <v>0</v>
      </c>
      <c r="K149" s="3" t="n">
        <v>60</v>
      </c>
      <c r="M149" s="3" t="n">
        <f aca="false">_xlfn.IFS(K149="взв",11,K149="накл",24,K149="прокл",25,K149="пт",26,K149=90,10,K149=85,10,K149=80,9,K149=75,8,K149=70,8,K149=65,7,K149=60,7,K149=55,6,K149=50,6,K149=45,6,K149=40,5,K149=35,4,K149=30,4,K149=25,3,K149=20,2,K149=15,1,K149=10,1,K149=0,0)</f>
        <v>7</v>
      </c>
      <c r="N149" s="3" t="n">
        <f aca="false">IF(L149&lt;=1,0,IF(L149&lt;=10,11,IF(L149&lt;=14,12,IF(L149&lt;=17,13,IF(L149&lt;=20,14,IF(L149&lt;=22,15,IF(L149&lt;=25,16,IF(L149&lt;=27,17,IF(L149&lt;=29,18,IF(L149&lt;=32,19,IF(L149&lt;=34,20,IF(L149&lt;=36,21,IF(L149&lt;=40,22,24)))))))))))))</f>
        <v>0</v>
      </c>
      <c r="O149" s="3" t="n">
        <v>45</v>
      </c>
      <c r="Q149" s="3" t="n">
        <f aca="false">_xlfn.IFS(O149="взв",11,O149="накл",24,O149="прокл",25,O149="пт",26,O149=90,10,O149=85,10,O149=80,9,O149=75,8,O149=70,8,O149=65,7,O149=60,7,O149=55,6,O149=50,6,O149=45,6,O149=40,5,O149=35,4,O149=30,4,O149=25,3,O149=20,2,O149=15,1,O149=10,1,O149=0,0)</f>
        <v>6</v>
      </c>
      <c r="R149" s="3" t="n">
        <f aca="false">IF(P149&lt;=1,0,IF(P149&lt;=10,11,IF(P149&lt;=14,12,IF(P149&lt;=17,13,IF(P149&lt;=20,14,IF(P149&lt;=22,15,IF(P149&lt;=25,16,IF(P149&lt;=27,17,IF(P149&lt;=29,18,IF(P149&lt;=32,19,IF(P149&lt;=34,20,IF(P149&lt;=36,21,IF(P149&lt;=40,22,24)))))))))))))</f>
        <v>0</v>
      </c>
      <c r="S149" s="14" t="n">
        <f aca="false">ROUND((Q149+R149+I149+J149+M149+N149)/3,0)</f>
        <v>7</v>
      </c>
      <c r="T149" s="15" t="n">
        <f aca="false">F149*LOG10(S149+2)</f>
        <v>2.86272752831797</v>
      </c>
    </row>
    <row r="150" customFormat="false" ht="14.65" hidden="false" customHeight="true" outlineLevel="0" collapsed="false">
      <c r="A150" s="12" t="s">
        <v>182</v>
      </c>
      <c r="B150" s="13" t="n">
        <v>38880</v>
      </c>
      <c r="C150" s="3" t="s">
        <v>24</v>
      </c>
      <c r="D150" s="4" t="s">
        <v>155</v>
      </c>
      <c r="E150" s="3" t="n">
        <v>5</v>
      </c>
      <c r="F150" s="3" t="n">
        <v>4</v>
      </c>
      <c r="G150" s="3" t="n">
        <v>30</v>
      </c>
      <c r="I150" s="3" t="n">
        <f aca="false">_xlfn.IFS(G150="взв",11,G150="накл",24,G150="прокл",25,G150="пт",26,G150=90,10,G150=85,10,G150=80,9,G150=75,8,G150=70,8,G150=65,7,G150=60,7,G150=55,6,G150=50,6,G150=45,6,G150=40,5,G150=35,4,G150=30,4,G150=25,3,G150=20,2,G150=15,1,G150=10,1,G150=0,0)</f>
        <v>4</v>
      </c>
      <c r="J150" s="3" t="n">
        <f aca="false">IF(H150&lt;=1,0,IF(H150&lt;=10,11,IF(H150&lt;=14,12,IF(H150&lt;=17,13,IF(H150&lt;=20,14,IF(H150&lt;=22,15,IF(H150&lt;=25,16,IF(H150&lt;=27,17,IF(H150&lt;=29,18,IF(H150&lt;=32,19,IF(H150&lt;=34,20,IF(H150&lt;=36,21,IF(H150&lt;=40,22,24)))))))))))))</f>
        <v>0</v>
      </c>
      <c r="K150" s="3" t="n">
        <v>45</v>
      </c>
      <c r="M150" s="3" t="n">
        <f aca="false">_xlfn.IFS(K150="взв",11,K150="накл",24,K150="прокл",25,K150="пт",26,K150=90,10,K150=85,10,K150=80,9,K150=75,8,K150=70,8,K150=65,7,K150=60,7,K150=55,6,K150=50,6,K150=45,6,K150=40,5,K150=35,4,K150=30,4,K150=25,3,K150=20,2,K150=15,1,K150=10,1,K150=0,0)</f>
        <v>6</v>
      </c>
      <c r="N150" s="3" t="n">
        <f aca="false">IF(L150&lt;=1,0,IF(L150&lt;=10,11,IF(L150&lt;=14,12,IF(L150&lt;=17,13,IF(L150&lt;=20,14,IF(L150&lt;=22,15,IF(L150&lt;=25,16,IF(L150&lt;=27,17,IF(L150&lt;=29,18,IF(L150&lt;=32,19,IF(L150&lt;=34,20,IF(L150&lt;=36,21,IF(L150&lt;=40,22,24)))))))))))))</f>
        <v>0</v>
      </c>
      <c r="O150" s="3" t="n">
        <v>45</v>
      </c>
      <c r="Q150" s="3" t="n">
        <f aca="false">_xlfn.IFS(O150="взв",11,O150="накл",24,O150="прокл",25,O150="пт",26,O150=90,10,O150=85,10,O150=80,9,O150=75,8,O150=70,8,O150=65,7,O150=60,7,O150=55,6,O150=50,6,O150=45,6,O150=40,5,O150=35,4,O150=30,4,O150=25,3,O150=20,2,O150=15,1,O150=10,1,O150=0,0)</f>
        <v>6</v>
      </c>
      <c r="R150" s="3" t="n">
        <f aca="false">IF(P150&lt;=1,0,IF(P150&lt;=10,11,IF(P150&lt;=14,12,IF(P150&lt;=17,13,IF(P150&lt;=20,14,IF(P150&lt;=22,15,IF(P150&lt;=25,16,IF(P150&lt;=27,17,IF(P150&lt;=29,18,IF(P150&lt;=32,19,IF(P150&lt;=34,20,IF(P150&lt;=36,21,IF(P150&lt;=40,22,24)))))))))))))</f>
        <v>0</v>
      </c>
      <c r="S150" s="14" t="n">
        <f aca="false">ROUND((Q150+R150+I150+J150+M150+N150)/3,0)</f>
        <v>5</v>
      </c>
      <c r="T150" s="15" t="n">
        <f aca="false">F150*LOG10(S150+2)</f>
        <v>3.38039216005703</v>
      </c>
    </row>
    <row r="151" customFormat="false" ht="14.65" hidden="false" customHeight="true" outlineLevel="0" collapsed="false">
      <c r="A151" s="12" t="s">
        <v>183</v>
      </c>
      <c r="B151" s="13" t="n">
        <v>38880</v>
      </c>
      <c r="C151" s="3" t="s">
        <v>24</v>
      </c>
      <c r="D151" s="4" t="s">
        <v>155</v>
      </c>
      <c r="E151" s="3" t="n">
        <v>5</v>
      </c>
      <c r="F151" s="3" t="n">
        <v>4</v>
      </c>
      <c r="G151" s="3" t="n">
        <v>90</v>
      </c>
      <c r="I151" s="3" t="n">
        <f aca="false">_xlfn.IFS(G151="взв",11,G151="накл",24,G151="прокл",25,G151="пт",26,G151=90,10,G151=85,10,G151=80,9,G151=75,8,G151=70,8,G151=65,7,G151=60,7,G151=55,6,G151=50,6,G151=45,6,G151=40,5,G151=35,4,G151=30,4,G151=25,3,G151=20,2,G151=15,1,G151=10,1,G151=0,0)</f>
        <v>10</v>
      </c>
      <c r="J151" s="3" t="n">
        <f aca="false">IF(H151&lt;=1,0,IF(H151&lt;=10,11,IF(H151&lt;=14,12,IF(H151&lt;=17,13,IF(H151&lt;=20,14,IF(H151&lt;=22,15,IF(H151&lt;=25,16,IF(H151&lt;=27,17,IF(H151&lt;=29,18,IF(H151&lt;=32,19,IF(H151&lt;=34,20,IF(H151&lt;=36,21,IF(H151&lt;=40,22,24)))))))))))))</f>
        <v>0</v>
      </c>
      <c r="K151" s="3" t="n">
        <v>75</v>
      </c>
      <c r="M151" s="3" t="n">
        <f aca="false">_xlfn.IFS(K151="взв",11,K151="накл",24,K151="прокл",25,K151="пт",26,K151=90,10,K151=85,10,K151=80,9,K151=75,8,K151=70,8,K151=65,7,K151=60,7,K151=55,6,K151=50,6,K151=45,6,K151=40,5,K151=35,4,K151=30,4,K151=25,3,K151=20,2,K151=15,1,K151=10,1,K151=0,0)</f>
        <v>8</v>
      </c>
      <c r="N151" s="3" t="n">
        <f aca="false">IF(L151&lt;=1,0,IF(L151&lt;=10,11,IF(L151&lt;=14,12,IF(L151&lt;=17,13,IF(L151&lt;=20,14,IF(L151&lt;=22,15,IF(L151&lt;=25,16,IF(L151&lt;=27,17,IF(L151&lt;=29,18,IF(L151&lt;=32,19,IF(L151&lt;=34,20,IF(L151&lt;=36,21,IF(L151&lt;=40,22,24)))))))))))))</f>
        <v>0</v>
      </c>
      <c r="O151" s="3" t="n">
        <v>75</v>
      </c>
      <c r="Q151" s="3" t="n">
        <f aca="false">_xlfn.IFS(O151="взв",11,O151="накл",24,O151="прокл",25,O151="пт",26,O151=90,10,O151=85,10,O151=80,9,O151=75,8,O151=70,8,O151=65,7,O151=60,7,O151=55,6,O151=50,6,O151=45,6,O151=40,5,O151=35,4,O151=30,4,O151=25,3,O151=20,2,O151=15,1,O151=10,1,O151=0,0)</f>
        <v>8</v>
      </c>
      <c r="R151" s="3" t="n">
        <f aca="false">IF(P151&lt;=1,0,IF(P151&lt;=10,11,IF(P151&lt;=14,12,IF(P151&lt;=17,13,IF(P151&lt;=20,14,IF(P151&lt;=22,15,IF(P151&lt;=25,16,IF(P151&lt;=27,17,IF(P151&lt;=29,18,IF(P151&lt;=32,19,IF(P151&lt;=34,20,IF(P151&lt;=36,21,IF(P151&lt;=40,22,24)))))))))))))</f>
        <v>0</v>
      </c>
      <c r="S151" s="14" t="n">
        <f aca="false">ROUND((Q151+R151+I151+J151+M151+N151)/3,0)</f>
        <v>9</v>
      </c>
      <c r="T151" s="15" t="n">
        <f aca="false">F151*LOG10(S151+2)</f>
        <v>4.1655707406329</v>
      </c>
    </row>
    <row r="152" customFormat="false" ht="14.65" hidden="false" customHeight="true" outlineLevel="0" collapsed="false">
      <c r="A152" s="12" t="s">
        <v>184</v>
      </c>
      <c r="B152" s="13" t="n">
        <v>38880</v>
      </c>
      <c r="C152" s="3" t="s">
        <v>24</v>
      </c>
      <c r="D152" s="4" t="s">
        <v>155</v>
      </c>
      <c r="E152" s="3" t="n">
        <v>4</v>
      </c>
      <c r="F152" s="3" t="n">
        <v>4</v>
      </c>
      <c r="H152" s="3" t="n">
        <v>30</v>
      </c>
      <c r="I152" s="3" t="n">
        <f aca="false">_xlfn.IFS(G152="взв",11,G152="накл",24,G152="прокл",25,G152="пт",26,G152=90,10,G152=85,10,G152=80,9,G152=75,8,G152=70,8,G152=65,7,G152=60,7,G152=55,6,G152=50,6,G152=45,6,G152=40,5,G152=35,4,G152=30,4,G152=25,3,G152=20,2,G152=15,1,G152=10,1,G152=0,0)</f>
        <v>0</v>
      </c>
      <c r="J152" s="3" t="n">
        <f aca="false">IF(H152&lt;=1,0,IF(H152&lt;=10,11,IF(H152&lt;=14,12,IF(H152&lt;=17,13,IF(H152&lt;=20,14,IF(H152&lt;=22,15,IF(H152&lt;=25,16,IF(H152&lt;=27,17,IF(H152&lt;=29,18,IF(H152&lt;=32,19,IF(H152&lt;=34,20,IF(H152&lt;=36,21,IF(H152&lt;=40,22,24)))))))))))))</f>
        <v>19</v>
      </c>
      <c r="L152" s="3" t="n">
        <v>25</v>
      </c>
      <c r="M152" s="3" t="n">
        <f aca="false">_xlfn.IFS(K152="взв",11,K152="накл",24,K152="прокл",25,K152="пт",26,K152=90,10,K152=85,10,K152=80,9,K152=75,8,K152=70,8,K152=65,7,K152=60,7,K152=55,6,K152=50,6,K152=45,6,K152=40,5,K152=35,4,K152=30,4,K152=25,3,K152=20,2,K152=15,1,K152=10,1,K152=0,0)</f>
        <v>0</v>
      </c>
      <c r="N152" s="3" t="n">
        <f aca="false">IF(L152&lt;=1,0,IF(L152&lt;=10,11,IF(L152&lt;=14,12,IF(L152&lt;=17,13,IF(L152&lt;=20,14,IF(L152&lt;=22,15,IF(L152&lt;=25,16,IF(L152&lt;=27,17,IF(L152&lt;=29,18,IF(L152&lt;=32,19,IF(L152&lt;=34,20,IF(L152&lt;=36,21,IF(L152&lt;=40,22,24)))))))))))))</f>
        <v>16</v>
      </c>
      <c r="P152" s="3" t="n">
        <v>29</v>
      </c>
      <c r="Q152" s="3" t="n">
        <f aca="false">_xlfn.IFS(O152="взв",11,O152="накл",24,O152="прокл",25,O152="пт",26,O152=90,10,O152=85,10,O152=80,9,O152=75,8,O152=70,8,O152=65,7,O152=60,7,O152=55,6,O152=50,6,O152=45,6,O152=40,5,O152=35,4,O152=30,4,O152=25,3,O152=20,2,O152=15,1,O152=10,1,O152=0,0)</f>
        <v>0</v>
      </c>
      <c r="R152" s="3" t="n">
        <f aca="false">IF(P152&lt;=1,0,IF(P152&lt;=10,11,IF(P152&lt;=14,12,IF(P152&lt;=17,13,IF(P152&lt;=20,14,IF(P152&lt;=22,15,IF(P152&lt;=25,16,IF(P152&lt;=27,17,IF(P152&lt;=29,18,IF(P152&lt;=32,19,IF(P152&lt;=34,20,IF(P152&lt;=36,21,IF(P152&lt;=40,22,24)))))))))))))</f>
        <v>18</v>
      </c>
      <c r="S152" s="14" t="n">
        <f aca="false">ROUND((Q152+R152+I152+J152+M152+N152)/3,0)</f>
        <v>18</v>
      </c>
      <c r="T152" s="15" t="n">
        <f aca="false">F152*LOG10(S152+2)</f>
        <v>5.20411998265593</v>
      </c>
    </row>
    <row r="153" customFormat="false" ht="14.65" hidden="false" customHeight="true" outlineLevel="0" collapsed="false">
      <c r="A153" s="12" t="s">
        <v>185</v>
      </c>
      <c r="B153" s="13" t="n">
        <v>38880</v>
      </c>
      <c r="C153" s="3" t="s">
        <v>24</v>
      </c>
      <c r="D153" s="4" t="s">
        <v>155</v>
      </c>
      <c r="E153" s="3" t="n">
        <v>4</v>
      </c>
      <c r="F153" s="3" t="n">
        <v>4</v>
      </c>
      <c r="H153" s="3" t="n">
        <v>28</v>
      </c>
      <c r="I153" s="3" t="n">
        <f aca="false">_xlfn.IFS(G153="взв",11,G153="накл",24,G153="прокл",25,G153="пт",26,G153=90,10,G153=85,10,G153=80,9,G153=75,8,G153=70,8,G153=65,7,G153=60,7,G153=55,6,G153=50,6,G153=45,6,G153=40,5,G153=35,4,G153=30,4,G153=25,3,G153=20,2,G153=15,1,G153=10,1,G153=0,0)</f>
        <v>0</v>
      </c>
      <c r="J153" s="3" t="n">
        <f aca="false">IF(H153&lt;=1,0,IF(H153&lt;=10,11,IF(H153&lt;=14,12,IF(H153&lt;=17,13,IF(H153&lt;=20,14,IF(H153&lt;=22,15,IF(H153&lt;=25,16,IF(H153&lt;=27,17,IF(H153&lt;=29,18,IF(H153&lt;=32,19,IF(H153&lt;=34,20,IF(H153&lt;=36,21,IF(H153&lt;=40,22,24)))))))))))))</f>
        <v>18</v>
      </c>
      <c r="L153" s="3" t="n">
        <v>33</v>
      </c>
      <c r="M153" s="3" t="n">
        <f aca="false">_xlfn.IFS(K153="взв",11,K153="накл",24,K153="прокл",25,K153="пт",26,K153=90,10,K153=85,10,K153=80,9,K153=75,8,K153=70,8,K153=65,7,K153=60,7,K153=55,6,K153=50,6,K153=45,6,K153=40,5,K153=35,4,K153=30,4,K153=25,3,K153=20,2,K153=15,1,K153=10,1,K153=0,0)</f>
        <v>0</v>
      </c>
      <c r="N153" s="3" t="n">
        <f aca="false">IF(L153&lt;=1,0,IF(L153&lt;=10,11,IF(L153&lt;=14,12,IF(L153&lt;=17,13,IF(L153&lt;=20,14,IF(L153&lt;=22,15,IF(L153&lt;=25,16,IF(L153&lt;=27,17,IF(L153&lt;=29,18,IF(L153&lt;=32,19,IF(L153&lt;=34,20,IF(L153&lt;=36,21,IF(L153&lt;=40,22,24)))))))))))))</f>
        <v>20</v>
      </c>
      <c r="P153" s="3" t="n">
        <v>31</v>
      </c>
      <c r="Q153" s="3" t="n">
        <f aca="false">_xlfn.IFS(O153="взв",11,O153="накл",24,O153="прокл",25,O153="пт",26,O153=90,10,O153=85,10,O153=80,9,O153=75,8,O153=70,8,O153=65,7,O153=60,7,O153=55,6,O153=50,6,O153=45,6,O153=40,5,O153=35,4,O153=30,4,O153=25,3,O153=20,2,O153=15,1,O153=10,1,O153=0,0)</f>
        <v>0</v>
      </c>
      <c r="R153" s="3" t="n">
        <f aca="false">IF(P153&lt;=1,0,IF(P153&lt;=10,11,IF(P153&lt;=14,12,IF(P153&lt;=17,13,IF(P153&lt;=20,14,IF(P153&lt;=22,15,IF(P153&lt;=25,16,IF(P153&lt;=27,17,IF(P153&lt;=29,18,IF(P153&lt;=32,19,IF(P153&lt;=34,20,IF(P153&lt;=36,21,IF(P153&lt;=40,22,24)))))))))))))</f>
        <v>19</v>
      </c>
      <c r="S153" s="14" t="n">
        <f aca="false">ROUND((Q153+R153+I153+J153+M153+N153)/3,0)</f>
        <v>19</v>
      </c>
      <c r="T153" s="15" t="n">
        <f aca="false">F153*LOG10(S153+2)</f>
        <v>5.28887717893568</v>
      </c>
    </row>
    <row r="154" customFormat="false" ht="14.65" hidden="false" customHeight="true" outlineLevel="0" collapsed="false">
      <c r="A154" s="12" t="s">
        <v>186</v>
      </c>
      <c r="B154" s="13" t="n">
        <v>38880</v>
      </c>
      <c r="C154" s="3" t="s">
        <v>24</v>
      </c>
      <c r="D154" s="4" t="s">
        <v>155</v>
      </c>
      <c r="E154" s="3" t="n">
        <v>3</v>
      </c>
      <c r="F154" s="3" t="n">
        <v>4</v>
      </c>
      <c r="H154" s="3" t="n">
        <v>25</v>
      </c>
      <c r="I154" s="3" t="n">
        <f aca="false">_xlfn.IFS(G154="взв",11,G154="накл",24,G154="прокл",25,G154="пт",26,G154=90,10,G154=85,10,G154=80,9,G154=75,8,G154=70,8,G154=65,7,G154=60,7,G154=55,6,G154=50,6,G154=45,6,G154=40,5,G154=35,4,G154=30,4,G154=25,3,G154=20,2,G154=15,1,G154=10,1,G154=0,0)</f>
        <v>0</v>
      </c>
      <c r="J154" s="3" t="n">
        <f aca="false">IF(H154&lt;=1,0,IF(H154&lt;=10,11,IF(H154&lt;=14,12,IF(H154&lt;=17,13,IF(H154&lt;=20,14,IF(H154&lt;=22,15,IF(H154&lt;=25,16,IF(H154&lt;=27,17,IF(H154&lt;=29,18,IF(H154&lt;=32,19,IF(H154&lt;=34,20,IF(H154&lt;=36,21,IF(H154&lt;=40,22,24)))))))))))))</f>
        <v>16</v>
      </c>
      <c r="L154" s="3" t="n">
        <v>15</v>
      </c>
      <c r="M154" s="3" t="n">
        <f aca="false">_xlfn.IFS(K154="взв",11,K154="накл",24,K154="прокл",25,K154="пт",26,K154=90,10,K154=85,10,K154=80,9,K154=75,8,K154=70,8,K154=65,7,K154=60,7,K154=55,6,K154=50,6,K154=45,6,K154=40,5,K154=35,4,K154=30,4,K154=25,3,K154=20,2,K154=15,1,K154=10,1,K154=0,0)</f>
        <v>0</v>
      </c>
      <c r="N154" s="3" t="n">
        <f aca="false">IF(L154&lt;=1,0,IF(L154&lt;=10,11,IF(L154&lt;=14,12,IF(L154&lt;=17,13,IF(L154&lt;=20,14,IF(L154&lt;=22,15,IF(L154&lt;=25,16,IF(L154&lt;=27,17,IF(L154&lt;=29,18,IF(L154&lt;=32,19,IF(L154&lt;=34,20,IF(L154&lt;=36,21,IF(L154&lt;=40,22,24)))))))))))))</f>
        <v>13</v>
      </c>
      <c r="P154" s="3" t="n">
        <v>10</v>
      </c>
      <c r="Q154" s="3" t="n">
        <f aca="false">_xlfn.IFS(O154="взв",11,O154="накл",24,O154="прокл",25,O154="пт",26,O154=90,10,O154=85,10,O154=80,9,O154=75,8,O154=70,8,O154=65,7,O154=60,7,O154=55,6,O154=50,6,O154=45,6,O154=40,5,O154=35,4,O154=30,4,O154=25,3,O154=20,2,O154=15,1,O154=10,1,O154=0,0)</f>
        <v>0</v>
      </c>
      <c r="R154" s="3" t="n">
        <f aca="false">IF(P154&lt;=1,0,IF(P154&lt;=10,11,IF(P154&lt;=14,12,IF(P154&lt;=17,13,IF(P154&lt;=20,14,IF(P154&lt;=22,15,IF(P154&lt;=25,16,IF(P154&lt;=27,17,IF(P154&lt;=29,18,IF(P154&lt;=32,19,IF(P154&lt;=34,20,IF(P154&lt;=36,21,IF(P154&lt;=40,22,24)))))))))))))</f>
        <v>11</v>
      </c>
      <c r="S154" s="14" t="n">
        <f aca="false">ROUND((Q154+R154+I154+J154+M154+N154)/3,0)</f>
        <v>13</v>
      </c>
      <c r="T154" s="15" t="n">
        <f aca="false">F154*LOG10(S154+2)</f>
        <v>4.70436503622273</v>
      </c>
    </row>
    <row r="155" customFormat="false" ht="14.65" hidden="false" customHeight="true" outlineLevel="0" collapsed="false">
      <c r="A155" s="12" t="s">
        <v>187</v>
      </c>
      <c r="B155" s="13" t="n">
        <v>38880</v>
      </c>
      <c r="C155" s="3" t="s">
        <v>24</v>
      </c>
      <c r="D155" s="4" t="s">
        <v>155</v>
      </c>
      <c r="E155" s="3" t="n">
        <v>4</v>
      </c>
      <c r="F155" s="3" t="n">
        <v>4</v>
      </c>
      <c r="H155" s="3" t="n">
        <v>42</v>
      </c>
      <c r="I155" s="3" t="n">
        <f aca="false">_xlfn.IFS(G155="взв",11,G155="накл",24,G155="прокл",25,G155="пт",26,G155=90,10,G155=85,10,G155=80,9,G155=75,8,G155=70,8,G155=65,7,G155=60,7,G155=55,6,G155=50,6,G155=45,6,G155=40,5,G155=35,4,G155=30,4,G155=25,3,G155=20,2,G155=15,1,G155=10,1,G155=0,0)</f>
        <v>0</v>
      </c>
      <c r="J155" s="3" t="n">
        <f aca="false">IF(H155&lt;=1,0,IF(H155&lt;=10,11,IF(H155&lt;=14,12,IF(H155&lt;=17,13,IF(H155&lt;=20,14,IF(H155&lt;=22,15,IF(H155&lt;=25,16,IF(H155&lt;=27,17,IF(H155&lt;=29,18,IF(H155&lt;=32,19,IF(H155&lt;=34,20,IF(H155&lt;=36,21,IF(H155&lt;=40,22,24)))))))))))))</f>
        <v>24</v>
      </c>
      <c r="K155" s="3" t="s">
        <v>27</v>
      </c>
      <c r="M155" s="3" t="n">
        <f aca="false">_xlfn.IFS(K155="взв",11,K155="накл",24,K155="прокл",25,K155="пт",26,K155=90,10,K155=85,10,K155=80,9,K155=75,8,K155=70,8,K155=65,7,K155=60,7,K155=55,6,K155=50,6,K155=45,6,K155=40,5,K155=35,4,K155=30,4,K155=25,3,K155=20,2,K155=15,1,K155=10,1,K155=0,0)</f>
        <v>24</v>
      </c>
      <c r="N155" s="3" t="n">
        <f aca="false">IF(L155&lt;=1,0,IF(L155&lt;=10,11,IF(L155&lt;=14,12,IF(L155&lt;=17,13,IF(L155&lt;=20,14,IF(L155&lt;=22,15,IF(L155&lt;=25,16,IF(L155&lt;=27,17,IF(L155&lt;=29,18,IF(L155&lt;=32,19,IF(L155&lt;=34,20,IF(L155&lt;=36,21,IF(L155&lt;=40,22,24)))))))))))))</f>
        <v>0</v>
      </c>
      <c r="O155" s="3" t="s">
        <v>27</v>
      </c>
      <c r="P155" s="0"/>
      <c r="Q155" s="3" t="n">
        <f aca="false">_xlfn.IFS(O155="взв",11,O155="накл",24,O155="прокл",25,O155="пт",26,O155=90,10,O155=85,10,O155=80,9,O155=75,8,O155=70,8,O155=65,7,O155=60,7,O155=55,6,O155=50,6,O155=45,6,O155=40,5,O155=35,4,O155=30,4,O155=25,3,O155=20,2,O155=15,1,O155=10,1,O155=0,0)</f>
        <v>24</v>
      </c>
      <c r="R155" s="3" t="n">
        <f aca="false">IF(P155&lt;=1,0,IF(P155&lt;=10,11,IF(P155&lt;=14,12,IF(P155&lt;=17,13,IF(P155&lt;=20,14,IF(P155&lt;=22,15,IF(P155&lt;=25,16,IF(P155&lt;=27,17,IF(P155&lt;=29,18,IF(P155&lt;=32,19,IF(P155&lt;=34,20,IF(P155&lt;=36,21,IF(P155&lt;=40,22,24)))))))))))))</f>
        <v>0</v>
      </c>
      <c r="S155" s="14" t="n">
        <f aca="false">ROUND((Q155+R155+I155+J155+M155+N155)/3,0)</f>
        <v>24</v>
      </c>
      <c r="T155" s="15" t="n">
        <f aca="false">F155*LOG10(S155+2)</f>
        <v>5.65989339188327</v>
      </c>
    </row>
    <row r="156" customFormat="false" ht="14.65" hidden="false" customHeight="true" outlineLevel="0" collapsed="false">
      <c r="A156" s="12" t="s">
        <v>188</v>
      </c>
      <c r="B156" s="13" t="n">
        <v>38880</v>
      </c>
      <c r="C156" s="3" t="s">
        <v>24</v>
      </c>
      <c r="D156" s="4" t="s">
        <v>155</v>
      </c>
      <c r="E156" s="3" t="n">
        <v>5</v>
      </c>
      <c r="F156" s="3" t="n">
        <v>4</v>
      </c>
      <c r="H156" s="3" t="n">
        <v>46</v>
      </c>
      <c r="I156" s="3" t="n">
        <f aca="false">_xlfn.IFS(G156="взв",11,G156="накл",24,G156="прокл",25,G156="пт",26,G156=90,10,G156=85,10,G156=80,9,G156=75,8,G156=70,8,G156=65,7,G156=60,7,G156=55,6,G156=50,6,G156=45,6,G156=40,5,G156=35,4,G156=30,4,G156=25,3,G156=20,2,G156=15,1,G156=10,1,G156=0,0)</f>
        <v>0</v>
      </c>
      <c r="J156" s="3" t="n">
        <f aca="false">IF(H156&lt;=1,0,IF(H156&lt;=10,11,IF(H156&lt;=14,12,IF(H156&lt;=17,13,IF(H156&lt;=20,14,IF(H156&lt;=22,15,IF(H156&lt;=25,16,IF(H156&lt;=27,17,IF(H156&lt;=29,18,IF(H156&lt;=32,19,IF(H156&lt;=34,20,IF(H156&lt;=36,21,IF(H156&lt;=40,22,24)))))))))))))</f>
        <v>24</v>
      </c>
      <c r="L156" s="3" t="n">
        <v>39</v>
      </c>
      <c r="M156" s="3" t="n">
        <f aca="false">_xlfn.IFS(K156="взв",11,K156="накл",24,K156="прокл",25,K156="пт",26,K156=90,10,K156=85,10,K156=80,9,K156=75,8,K156=70,8,K156=65,7,K156=60,7,K156=55,6,K156=50,6,K156=45,6,K156=40,5,K156=35,4,K156=30,4,K156=25,3,K156=20,2,K156=15,1,K156=10,1,K156=0,0)</f>
        <v>0</v>
      </c>
      <c r="N156" s="3" t="n">
        <f aca="false">IF(L156&lt;=1,0,IF(L156&lt;=10,11,IF(L156&lt;=14,12,IF(L156&lt;=17,13,IF(L156&lt;=20,14,IF(L156&lt;=22,15,IF(L156&lt;=25,16,IF(L156&lt;=27,17,IF(L156&lt;=29,18,IF(L156&lt;=32,19,IF(L156&lt;=34,20,IF(L156&lt;=36,21,IF(L156&lt;=40,22,24)))))))))))))</f>
        <v>22</v>
      </c>
      <c r="P156" s="3" t="n">
        <v>44</v>
      </c>
      <c r="Q156" s="3" t="n">
        <f aca="false">_xlfn.IFS(O156="взв",11,O156="накл",24,O156="прокл",25,O156="пт",26,O156=90,10,O156=85,10,O156=80,9,O156=75,8,O156=70,8,O156=65,7,O156=60,7,O156=55,6,O156=50,6,O156=45,6,O156=40,5,O156=35,4,O156=30,4,O156=25,3,O156=20,2,O156=15,1,O156=10,1,O156=0,0)</f>
        <v>0</v>
      </c>
      <c r="R156" s="3" t="n">
        <f aca="false">IF(P156&lt;=1,0,IF(P156&lt;=10,11,IF(P156&lt;=14,12,IF(P156&lt;=17,13,IF(P156&lt;=20,14,IF(P156&lt;=22,15,IF(P156&lt;=25,16,IF(P156&lt;=27,17,IF(P156&lt;=29,18,IF(P156&lt;=32,19,IF(P156&lt;=34,20,IF(P156&lt;=36,21,IF(P156&lt;=40,22,24)))))))))))))</f>
        <v>24</v>
      </c>
      <c r="S156" s="14" t="n">
        <f aca="false">ROUND((Q156+R156+I156+J156+M156+N156)/3,0)</f>
        <v>23</v>
      </c>
      <c r="T156" s="15" t="n">
        <f aca="false">F156*LOG10(S156+2)</f>
        <v>5.59176003468815</v>
      </c>
    </row>
    <row r="157" customFormat="false" ht="14.65" hidden="false" customHeight="true" outlineLevel="0" collapsed="false">
      <c r="A157" s="12" t="s">
        <v>189</v>
      </c>
      <c r="B157" s="13" t="n">
        <v>38880</v>
      </c>
      <c r="C157" s="3" t="s">
        <v>24</v>
      </c>
      <c r="D157" s="4" t="s">
        <v>155</v>
      </c>
      <c r="E157" s="3" t="n">
        <v>5</v>
      </c>
      <c r="F157" s="3" t="n">
        <v>5</v>
      </c>
      <c r="H157" s="3" t="n">
        <v>26</v>
      </c>
      <c r="I157" s="3" t="n">
        <f aca="false">_xlfn.IFS(G157="взв",11,G157="накл",24,G157="прокл",25,G157="пт",26,G157=90,10,G157=85,10,G157=80,9,G157=75,8,G157=70,8,G157=65,7,G157=60,7,G157=55,6,G157=50,6,G157=45,6,G157=40,5,G157=35,4,G157=30,4,G157=25,3,G157=20,2,G157=15,1,G157=10,1,G157=0,0)</f>
        <v>0</v>
      </c>
      <c r="J157" s="3" t="n">
        <f aca="false">IF(H157&lt;=1,0,IF(H157&lt;=10,11,IF(H157&lt;=14,12,IF(H157&lt;=17,13,IF(H157&lt;=20,14,IF(H157&lt;=22,15,IF(H157&lt;=25,16,IF(H157&lt;=27,17,IF(H157&lt;=29,18,IF(H157&lt;=32,19,IF(H157&lt;=34,20,IF(H157&lt;=36,21,IF(H157&lt;=40,22,24)))))))))))))</f>
        <v>17</v>
      </c>
      <c r="L157" s="3" t="n">
        <v>29</v>
      </c>
      <c r="M157" s="3" t="n">
        <f aca="false">_xlfn.IFS(K157="взв",11,K157="накл",24,K157="прокл",25,K157="пт",26,K157=90,10,K157=85,10,K157=80,9,K157=75,8,K157=70,8,K157=65,7,K157=60,7,K157=55,6,K157=50,6,K157=45,6,K157=40,5,K157=35,4,K157=30,4,K157=25,3,K157=20,2,K157=15,1,K157=10,1,K157=0,0)</f>
        <v>0</v>
      </c>
      <c r="N157" s="3" t="n">
        <f aca="false">IF(L157&lt;=1,0,IF(L157&lt;=10,11,IF(L157&lt;=14,12,IF(L157&lt;=17,13,IF(L157&lt;=20,14,IF(L157&lt;=22,15,IF(L157&lt;=25,16,IF(L157&lt;=27,17,IF(L157&lt;=29,18,IF(L157&lt;=32,19,IF(L157&lt;=34,20,IF(L157&lt;=36,21,IF(L157&lt;=40,22,24)))))))))))))</f>
        <v>18</v>
      </c>
      <c r="P157" s="3" t="n">
        <v>26</v>
      </c>
      <c r="Q157" s="3" t="n">
        <f aca="false">_xlfn.IFS(O157="взв",11,O157="накл",24,O157="прокл",25,O157="пт",26,O157=90,10,O157=85,10,O157=80,9,O157=75,8,O157=70,8,O157=65,7,O157=60,7,O157=55,6,O157=50,6,O157=45,6,O157=40,5,O157=35,4,O157=30,4,O157=25,3,O157=20,2,O157=15,1,O157=10,1,O157=0,0)</f>
        <v>0</v>
      </c>
      <c r="R157" s="3" t="n">
        <f aca="false">IF(P157&lt;=1,0,IF(P157&lt;=10,11,IF(P157&lt;=14,12,IF(P157&lt;=17,13,IF(P157&lt;=20,14,IF(P157&lt;=22,15,IF(P157&lt;=25,16,IF(P157&lt;=27,17,IF(P157&lt;=29,18,IF(P157&lt;=32,19,IF(P157&lt;=34,20,IF(P157&lt;=36,21,IF(P157&lt;=40,22,24)))))))))))))</f>
        <v>17</v>
      </c>
      <c r="S157" s="14" t="n">
        <f aca="false">ROUND((Q157+R157+I157+J157+M157+N157)/3,0)</f>
        <v>17</v>
      </c>
      <c r="T157" s="15" t="n">
        <f aca="false">F157*LOG10(S157+2)</f>
        <v>6.39376800476414</v>
      </c>
    </row>
    <row r="158" customFormat="false" ht="14.65" hidden="false" customHeight="true" outlineLevel="0" collapsed="false">
      <c r="A158" s="12" t="s">
        <v>190</v>
      </c>
      <c r="B158" s="13" t="n">
        <v>38880</v>
      </c>
      <c r="C158" s="3" t="s">
        <v>24</v>
      </c>
      <c r="D158" s="4" t="s">
        <v>155</v>
      </c>
      <c r="E158" s="3" t="n">
        <v>5</v>
      </c>
      <c r="F158" s="3" t="n">
        <v>5</v>
      </c>
      <c r="G158" s="3" t="n">
        <v>15</v>
      </c>
      <c r="I158" s="3" t="n">
        <f aca="false">_xlfn.IFS(G158="взв",11,G158="накл",24,G158="прокл",25,G158="пт",26,G158=90,10,G158=85,10,G158=80,9,G158=75,8,G158=70,8,G158=65,7,G158=60,7,G158=55,6,G158=50,6,G158=45,6,G158=40,5,G158=35,4,G158=30,4,G158=25,3,G158=20,2,G158=15,1,G158=10,1,G158=0,0)</f>
        <v>1</v>
      </c>
      <c r="J158" s="3" t="n">
        <f aca="false">IF(H158&lt;=1,0,IF(H158&lt;=10,11,IF(H158&lt;=14,12,IF(H158&lt;=17,13,IF(H158&lt;=20,14,IF(H158&lt;=22,15,IF(H158&lt;=25,16,IF(H158&lt;=27,17,IF(H158&lt;=29,18,IF(H158&lt;=32,19,IF(H158&lt;=34,20,IF(H158&lt;=36,21,IF(H158&lt;=40,22,24)))))))))))))</f>
        <v>0</v>
      </c>
      <c r="K158" s="3" t="n">
        <v>30</v>
      </c>
      <c r="M158" s="3" t="n">
        <f aca="false">_xlfn.IFS(K158="взв",11,K158="накл",24,K158="прокл",25,K158="пт",26,K158=90,10,K158=85,10,K158=80,9,K158=75,8,K158=70,8,K158=65,7,K158=60,7,K158=55,6,K158=50,6,K158=45,6,K158=40,5,K158=35,4,K158=30,4,K158=25,3,K158=20,2,K158=15,1,K158=10,1,K158=0,0)</f>
        <v>4</v>
      </c>
      <c r="N158" s="3" t="n">
        <f aca="false">IF(L158&lt;=1,0,IF(L158&lt;=10,11,IF(L158&lt;=14,12,IF(L158&lt;=17,13,IF(L158&lt;=20,14,IF(L158&lt;=22,15,IF(L158&lt;=25,16,IF(L158&lt;=27,17,IF(L158&lt;=29,18,IF(L158&lt;=32,19,IF(L158&lt;=34,20,IF(L158&lt;=36,21,IF(L158&lt;=40,22,24)))))))))))))</f>
        <v>0</v>
      </c>
      <c r="O158" s="3" t="n">
        <v>15</v>
      </c>
      <c r="Q158" s="3" t="n">
        <f aca="false">_xlfn.IFS(O158="взв",11,O158="накл",24,O158="прокл",25,O158="пт",26,O158=90,10,O158=85,10,O158=80,9,O158=75,8,O158=70,8,O158=65,7,O158=60,7,O158=55,6,O158=50,6,O158=45,6,O158=40,5,O158=35,4,O158=30,4,O158=25,3,O158=20,2,O158=15,1,O158=10,1,O158=0,0)</f>
        <v>1</v>
      </c>
      <c r="R158" s="3" t="n">
        <f aca="false">IF(P158&lt;=1,0,IF(P158&lt;=10,11,IF(P158&lt;=14,12,IF(P158&lt;=17,13,IF(P158&lt;=20,14,IF(P158&lt;=22,15,IF(P158&lt;=25,16,IF(P158&lt;=27,17,IF(P158&lt;=29,18,IF(P158&lt;=32,19,IF(P158&lt;=34,20,IF(P158&lt;=36,21,IF(P158&lt;=40,22,24)))))))))))))</f>
        <v>0</v>
      </c>
      <c r="S158" s="14" t="n">
        <f aca="false">ROUND((Q158+R158+I158+J158+M158+N158)/3,0)</f>
        <v>2</v>
      </c>
      <c r="T158" s="15" t="n">
        <f aca="false">F158*LOG10(S158+2)</f>
        <v>3.01029995663981</v>
      </c>
    </row>
    <row r="159" customFormat="false" ht="14.65" hidden="false" customHeight="true" outlineLevel="0" collapsed="false">
      <c r="A159" s="12" t="s">
        <v>191</v>
      </c>
      <c r="B159" s="13" t="n">
        <v>38880</v>
      </c>
      <c r="C159" s="3" t="s">
        <v>24</v>
      </c>
      <c r="D159" s="4" t="s">
        <v>155</v>
      </c>
      <c r="E159" s="3" t="n">
        <v>4</v>
      </c>
      <c r="F159" s="3" t="n">
        <v>5</v>
      </c>
      <c r="H159" s="3" t="n">
        <v>35</v>
      </c>
      <c r="I159" s="3" t="n">
        <f aca="false">_xlfn.IFS(G159="взв",11,G159="накл",24,G159="прокл",25,G159="пт",26,G159=90,10,G159=85,10,G159=80,9,G159=75,8,G159=70,8,G159=65,7,G159=60,7,G159=55,6,G159=50,6,G159=45,6,G159=40,5,G159=35,4,G159=30,4,G159=25,3,G159=20,2,G159=15,1,G159=10,1,G159=0,0)</f>
        <v>0</v>
      </c>
      <c r="J159" s="3" t="n">
        <f aca="false">IF(H159&lt;=1,0,IF(H159&lt;=10,11,IF(H159&lt;=14,12,IF(H159&lt;=17,13,IF(H159&lt;=20,14,IF(H159&lt;=22,15,IF(H159&lt;=25,16,IF(H159&lt;=27,17,IF(H159&lt;=29,18,IF(H159&lt;=32,19,IF(H159&lt;=34,20,IF(H159&lt;=36,21,IF(H159&lt;=40,22,24)))))))))))))</f>
        <v>21</v>
      </c>
      <c r="L159" s="3" t="n">
        <v>29</v>
      </c>
      <c r="M159" s="3" t="n">
        <f aca="false">_xlfn.IFS(K159="взв",11,K159="накл",24,K159="прокл",25,K159="пт",26,K159=90,10,K159=85,10,K159=80,9,K159=75,8,K159=70,8,K159=65,7,K159=60,7,K159=55,6,K159=50,6,K159=45,6,K159=40,5,K159=35,4,K159=30,4,K159=25,3,K159=20,2,K159=15,1,K159=10,1,K159=0,0)</f>
        <v>0</v>
      </c>
      <c r="N159" s="3" t="n">
        <f aca="false">IF(L159&lt;=1,0,IF(L159&lt;=10,11,IF(L159&lt;=14,12,IF(L159&lt;=17,13,IF(L159&lt;=20,14,IF(L159&lt;=22,15,IF(L159&lt;=25,16,IF(L159&lt;=27,17,IF(L159&lt;=29,18,IF(L159&lt;=32,19,IF(L159&lt;=34,20,IF(L159&lt;=36,21,IF(L159&lt;=40,22,24)))))))))))))</f>
        <v>18</v>
      </c>
      <c r="P159" s="3" t="n">
        <v>35</v>
      </c>
      <c r="Q159" s="3" t="n">
        <f aca="false">_xlfn.IFS(O159="взв",11,O159="накл",24,O159="прокл",25,O159="пт",26,O159=90,10,O159=85,10,O159=80,9,O159=75,8,O159=70,8,O159=65,7,O159=60,7,O159=55,6,O159=50,6,O159=45,6,O159=40,5,O159=35,4,O159=30,4,O159=25,3,O159=20,2,O159=15,1,O159=10,1,O159=0,0)</f>
        <v>0</v>
      </c>
      <c r="R159" s="3" t="n">
        <f aca="false">IF(P159&lt;=1,0,IF(P159&lt;=10,11,IF(P159&lt;=14,12,IF(P159&lt;=17,13,IF(P159&lt;=20,14,IF(P159&lt;=22,15,IF(P159&lt;=25,16,IF(P159&lt;=27,17,IF(P159&lt;=29,18,IF(P159&lt;=32,19,IF(P159&lt;=34,20,IF(P159&lt;=36,21,IF(P159&lt;=40,22,24)))))))))))))</f>
        <v>21</v>
      </c>
      <c r="S159" s="14" t="n">
        <f aca="false">ROUND((Q159+R159+I159+J159+M159+N159)/3,0)</f>
        <v>20</v>
      </c>
      <c r="T159" s="15" t="n">
        <f aca="false">F159*LOG10(S159+2)</f>
        <v>6.71211340411103</v>
      </c>
    </row>
    <row r="160" customFormat="false" ht="14.65" hidden="false" customHeight="true" outlineLevel="0" collapsed="false">
      <c r="A160" s="12" t="s">
        <v>192</v>
      </c>
      <c r="B160" s="13" t="n">
        <v>38880</v>
      </c>
      <c r="C160" s="3" t="s">
        <v>24</v>
      </c>
      <c r="D160" s="4" t="s">
        <v>155</v>
      </c>
      <c r="E160" s="3" t="n">
        <v>5</v>
      </c>
      <c r="F160" s="3" t="n">
        <v>5</v>
      </c>
      <c r="H160" s="3" t="n">
        <v>24</v>
      </c>
      <c r="I160" s="3" t="n">
        <f aca="false">_xlfn.IFS(G160="взв",11,G160="накл",24,G160="прокл",25,G160="пт",26,G160=90,10,G160=85,10,G160=80,9,G160=75,8,G160=70,8,G160=65,7,G160=60,7,G160=55,6,G160=50,6,G160=45,6,G160=40,5,G160=35,4,G160=30,4,G160=25,3,G160=20,2,G160=15,1,G160=10,1,G160=0,0)</f>
        <v>0</v>
      </c>
      <c r="J160" s="3" t="n">
        <f aca="false">IF(H160&lt;=1,0,IF(H160&lt;=10,11,IF(H160&lt;=14,12,IF(H160&lt;=17,13,IF(H160&lt;=20,14,IF(H160&lt;=22,15,IF(H160&lt;=25,16,IF(H160&lt;=27,17,IF(H160&lt;=29,18,IF(H160&lt;=32,19,IF(H160&lt;=34,20,IF(H160&lt;=36,21,IF(H160&lt;=40,22,24)))))))))))))</f>
        <v>16</v>
      </c>
      <c r="L160" s="3" t="n">
        <v>27</v>
      </c>
      <c r="M160" s="3" t="n">
        <f aca="false">_xlfn.IFS(K160="взв",11,K160="накл",24,K160="прокл",25,K160="пт",26,K160=90,10,K160=85,10,K160=80,9,K160=75,8,K160=70,8,K160=65,7,K160=60,7,K160=55,6,K160=50,6,K160=45,6,K160=40,5,K160=35,4,K160=30,4,K160=25,3,K160=20,2,K160=15,1,K160=10,1,K160=0,0)</f>
        <v>0</v>
      </c>
      <c r="N160" s="3" t="n">
        <f aca="false">IF(L160&lt;=1,0,IF(L160&lt;=10,11,IF(L160&lt;=14,12,IF(L160&lt;=17,13,IF(L160&lt;=20,14,IF(L160&lt;=22,15,IF(L160&lt;=25,16,IF(L160&lt;=27,17,IF(L160&lt;=29,18,IF(L160&lt;=32,19,IF(L160&lt;=34,20,IF(L160&lt;=36,21,IF(L160&lt;=40,22,24)))))))))))))</f>
        <v>17</v>
      </c>
      <c r="P160" s="3" t="n">
        <v>31</v>
      </c>
      <c r="Q160" s="3" t="n">
        <f aca="false">_xlfn.IFS(O160="взв",11,O160="накл",24,O160="прокл",25,O160="пт",26,O160=90,10,O160=85,10,O160=80,9,O160=75,8,O160=70,8,O160=65,7,O160=60,7,O160=55,6,O160=50,6,O160=45,6,O160=40,5,O160=35,4,O160=30,4,O160=25,3,O160=20,2,O160=15,1,O160=10,1,O160=0,0)</f>
        <v>0</v>
      </c>
      <c r="R160" s="3" t="n">
        <f aca="false">IF(P160&lt;=1,0,IF(P160&lt;=10,11,IF(P160&lt;=14,12,IF(P160&lt;=17,13,IF(P160&lt;=20,14,IF(P160&lt;=22,15,IF(P160&lt;=25,16,IF(P160&lt;=27,17,IF(P160&lt;=29,18,IF(P160&lt;=32,19,IF(P160&lt;=34,20,IF(P160&lt;=36,21,IF(P160&lt;=40,22,24)))))))))))))</f>
        <v>19</v>
      </c>
      <c r="S160" s="14" t="n">
        <f aca="false">ROUND((Q160+R160+I160+J160+M160+N160)/3,0)</f>
        <v>17</v>
      </c>
      <c r="T160" s="15" t="n">
        <f aca="false">F160*LOG10(S160+2)</f>
        <v>6.39376800476414</v>
      </c>
    </row>
    <row r="161" customFormat="false" ht="14.65" hidden="false" customHeight="true" outlineLevel="0" collapsed="false">
      <c r="A161" s="12" t="s">
        <v>193</v>
      </c>
      <c r="B161" s="13" t="n">
        <v>38880</v>
      </c>
      <c r="C161" s="3" t="s">
        <v>24</v>
      </c>
      <c r="D161" s="4" t="s">
        <v>155</v>
      </c>
      <c r="E161" s="3" t="n">
        <v>4</v>
      </c>
      <c r="F161" s="3" t="n">
        <v>5</v>
      </c>
      <c r="G161" s="3" t="n">
        <v>90</v>
      </c>
      <c r="I161" s="3" t="n">
        <f aca="false">_xlfn.IFS(G161="взв",11,G161="накл",24,G161="прокл",25,G161="пт",26,G161=90,10,G161=85,10,G161=80,9,G161=75,8,G161=70,8,G161=65,7,G161=60,7,G161=55,6,G161=50,6,G161=45,6,G161=40,5,G161=35,4,G161=30,4,G161=25,3,G161=20,2,G161=15,1,G161=10,1,G161=0,0)</f>
        <v>10</v>
      </c>
      <c r="J161" s="3" t="n">
        <f aca="false">IF(H161&lt;=1,0,IF(H161&lt;=10,11,IF(H161&lt;=14,12,IF(H161&lt;=17,13,IF(H161&lt;=20,14,IF(H161&lt;=22,15,IF(H161&lt;=25,16,IF(H161&lt;=27,17,IF(H161&lt;=29,18,IF(H161&lt;=32,19,IF(H161&lt;=34,20,IF(H161&lt;=36,21,IF(H161&lt;=40,22,24)))))))))))))</f>
        <v>0</v>
      </c>
      <c r="K161" s="3" t="n">
        <v>75</v>
      </c>
      <c r="M161" s="3" t="n">
        <f aca="false">_xlfn.IFS(K161="взв",11,K161="накл",24,K161="прокл",25,K161="пт",26,K161=90,10,K161=85,10,K161=80,9,K161=75,8,K161=70,8,K161=65,7,K161=60,7,K161=55,6,K161=50,6,K161=45,6,K161=40,5,K161=35,4,K161=30,4,K161=25,3,K161=20,2,K161=15,1,K161=10,1,K161=0,0)</f>
        <v>8</v>
      </c>
      <c r="N161" s="3" t="n">
        <f aca="false">IF(L161&lt;=1,0,IF(L161&lt;=10,11,IF(L161&lt;=14,12,IF(L161&lt;=17,13,IF(L161&lt;=20,14,IF(L161&lt;=22,15,IF(L161&lt;=25,16,IF(L161&lt;=27,17,IF(L161&lt;=29,18,IF(L161&lt;=32,19,IF(L161&lt;=34,20,IF(L161&lt;=36,21,IF(L161&lt;=40,22,24)))))))))))))</f>
        <v>0</v>
      </c>
      <c r="O161" s="3" t="n">
        <v>75</v>
      </c>
      <c r="Q161" s="3" t="n">
        <f aca="false">_xlfn.IFS(O161="взв",11,O161="накл",24,O161="прокл",25,O161="пт",26,O161=90,10,O161=85,10,O161=80,9,O161=75,8,O161=70,8,O161=65,7,O161=60,7,O161=55,6,O161=50,6,O161=45,6,O161=40,5,O161=35,4,O161=30,4,O161=25,3,O161=20,2,O161=15,1,O161=10,1,O161=0,0)</f>
        <v>8</v>
      </c>
      <c r="R161" s="3" t="n">
        <f aca="false">IF(P161&lt;=1,0,IF(P161&lt;=10,11,IF(P161&lt;=14,12,IF(P161&lt;=17,13,IF(P161&lt;=20,14,IF(P161&lt;=22,15,IF(P161&lt;=25,16,IF(P161&lt;=27,17,IF(P161&lt;=29,18,IF(P161&lt;=32,19,IF(P161&lt;=34,20,IF(P161&lt;=36,21,IF(P161&lt;=40,22,24)))))))))))))</f>
        <v>0</v>
      </c>
      <c r="S161" s="14" t="n">
        <f aca="false">ROUND((Q161+R161+I161+J161+M161+N161)/3,0)</f>
        <v>9</v>
      </c>
      <c r="T161" s="15" t="n">
        <f aca="false">F161*LOG10(S161+2)</f>
        <v>5.20696342579113</v>
      </c>
    </row>
    <row r="162" customFormat="false" ht="14.65" hidden="false" customHeight="true" outlineLevel="0" collapsed="false">
      <c r="A162" s="12" t="s">
        <v>194</v>
      </c>
      <c r="B162" s="13" t="n">
        <v>38880</v>
      </c>
      <c r="C162" s="3" t="s">
        <v>24</v>
      </c>
      <c r="D162" s="4" t="s">
        <v>155</v>
      </c>
      <c r="E162" s="3" t="n">
        <v>4</v>
      </c>
      <c r="F162" s="3" t="n">
        <v>5</v>
      </c>
      <c r="H162" s="3" t="n">
        <v>18</v>
      </c>
      <c r="I162" s="3" t="n">
        <f aca="false">_xlfn.IFS(G162="взв",11,G162="накл",24,G162="прокл",25,G162="пт",26,G162=90,10,G162=85,10,G162=80,9,G162=75,8,G162=70,8,G162=65,7,G162=60,7,G162=55,6,G162=50,6,G162=45,6,G162=40,5,G162=35,4,G162=30,4,G162=25,3,G162=20,2,G162=15,1,G162=10,1,G162=0,0)</f>
        <v>0</v>
      </c>
      <c r="J162" s="3" t="n">
        <f aca="false">IF(H162&lt;=1,0,IF(H162&lt;=10,11,IF(H162&lt;=14,12,IF(H162&lt;=17,13,IF(H162&lt;=20,14,IF(H162&lt;=22,15,IF(H162&lt;=25,16,IF(H162&lt;=27,17,IF(H162&lt;=29,18,IF(H162&lt;=32,19,IF(H162&lt;=34,20,IF(H162&lt;=36,21,IF(H162&lt;=40,22,24)))))))))))))</f>
        <v>14</v>
      </c>
      <c r="L162" s="3" t="n">
        <v>28</v>
      </c>
      <c r="M162" s="3" t="n">
        <f aca="false">_xlfn.IFS(K162="взв",11,K162="накл",24,K162="прокл",25,K162="пт",26,K162=90,10,K162=85,10,K162=80,9,K162=75,8,K162=70,8,K162=65,7,K162=60,7,K162=55,6,K162=50,6,K162=45,6,K162=40,5,K162=35,4,K162=30,4,K162=25,3,K162=20,2,K162=15,1,K162=10,1,K162=0,0)</f>
        <v>0</v>
      </c>
      <c r="N162" s="3" t="n">
        <f aca="false">IF(L162&lt;=1,0,IF(L162&lt;=10,11,IF(L162&lt;=14,12,IF(L162&lt;=17,13,IF(L162&lt;=20,14,IF(L162&lt;=22,15,IF(L162&lt;=25,16,IF(L162&lt;=27,17,IF(L162&lt;=29,18,IF(L162&lt;=32,19,IF(L162&lt;=34,20,IF(L162&lt;=36,21,IF(L162&lt;=40,22,24)))))))))))))</f>
        <v>18</v>
      </c>
      <c r="P162" s="3" t="n">
        <v>25</v>
      </c>
      <c r="Q162" s="3" t="n">
        <f aca="false">_xlfn.IFS(O162="взв",11,O162="накл",24,O162="прокл",25,O162="пт",26,O162=90,10,O162=85,10,O162=80,9,O162=75,8,O162=70,8,O162=65,7,O162=60,7,O162=55,6,O162=50,6,O162=45,6,O162=40,5,O162=35,4,O162=30,4,O162=25,3,O162=20,2,O162=15,1,O162=10,1,O162=0,0)</f>
        <v>0</v>
      </c>
      <c r="R162" s="3" t="n">
        <f aca="false">IF(P162&lt;=1,0,IF(P162&lt;=10,11,IF(P162&lt;=14,12,IF(P162&lt;=17,13,IF(P162&lt;=20,14,IF(P162&lt;=22,15,IF(P162&lt;=25,16,IF(P162&lt;=27,17,IF(P162&lt;=29,18,IF(P162&lt;=32,19,IF(P162&lt;=34,20,IF(P162&lt;=36,21,IF(P162&lt;=40,22,24)))))))))))))</f>
        <v>16</v>
      </c>
      <c r="S162" s="14" t="n">
        <f aca="false">ROUND((Q162+R162+I162+J162+M162+N162)/3,0)</f>
        <v>16</v>
      </c>
      <c r="T162" s="15" t="n">
        <f aca="false">F162*LOG10(S162+2)</f>
        <v>6.27636252551653</v>
      </c>
    </row>
    <row r="163" customFormat="false" ht="14.65" hidden="false" customHeight="true" outlineLevel="0" collapsed="false">
      <c r="A163" s="12" t="s">
        <v>195</v>
      </c>
      <c r="B163" s="13" t="n">
        <v>38880</v>
      </c>
      <c r="C163" s="3" t="s">
        <v>24</v>
      </c>
      <c r="D163" s="4" t="s">
        <v>155</v>
      </c>
      <c r="E163" s="3" t="n">
        <v>5</v>
      </c>
      <c r="F163" s="3" t="n">
        <v>5</v>
      </c>
      <c r="H163" s="3" t="n">
        <v>24</v>
      </c>
      <c r="I163" s="3" t="n">
        <f aca="false">_xlfn.IFS(G163="взв",11,G163="накл",24,G163="прокл",25,G163="пт",26,G163=90,10,G163=85,10,G163=80,9,G163=75,8,G163=70,8,G163=65,7,G163=60,7,G163=55,6,G163=50,6,G163=45,6,G163=40,5,G163=35,4,G163=30,4,G163=25,3,G163=20,2,G163=15,1,G163=10,1,G163=0,0)</f>
        <v>0</v>
      </c>
      <c r="J163" s="3" t="n">
        <f aca="false">IF(H163&lt;=1,0,IF(H163&lt;=10,11,IF(H163&lt;=14,12,IF(H163&lt;=17,13,IF(H163&lt;=20,14,IF(H163&lt;=22,15,IF(H163&lt;=25,16,IF(H163&lt;=27,17,IF(H163&lt;=29,18,IF(H163&lt;=32,19,IF(H163&lt;=34,20,IF(H163&lt;=36,21,IF(H163&lt;=40,22,24)))))))))))))</f>
        <v>16</v>
      </c>
      <c r="L163" s="3" t="n">
        <v>24</v>
      </c>
      <c r="M163" s="3" t="n">
        <f aca="false">_xlfn.IFS(K163="взв",11,K163="накл",24,K163="прокл",25,K163="пт",26,K163=90,10,K163=85,10,K163=80,9,K163=75,8,K163=70,8,K163=65,7,K163=60,7,K163=55,6,K163=50,6,K163=45,6,K163=40,5,K163=35,4,K163=30,4,K163=25,3,K163=20,2,K163=15,1,K163=10,1,K163=0,0)</f>
        <v>0</v>
      </c>
      <c r="N163" s="3" t="n">
        <f aca="false">IF(L163&lt;=1,0,IF(L163&lt;=10,11,IF(L163&lt;=14,12,IF(L163&lt;=17,13,IF(L163&lt;=20,14,IF(L163&lt;=22,15,IF(L163&lt;=25,16,IF(L163&lt;=27,17,IF(L163&lt;=29,18,IF(L163&lt;=32,19,IF(L163&lt;=34,20,IF(L163&lt;=36,21,IF(L163&lt;=40,22,24)))))))))))))</f>
        <v>16</v>
      </c>
      <c r="P163" s="3" t="n">
        <v>26</v>
      </c>
      <c r="Q163" s="3" t="n">
        <f aca="false">_xlfn.IFS(O163="взв",11,O163="накл",24,O163="прокл",25,O163="пт",26,O163=90,10,O163=85,10,O163=80,9,O163=75,8,O163=70,8,O163=65,7,O163=60,7,O163=55,6,O163=50,6,O163=45,6,O163=40,5,O163=35,4,O163=30,4,O163=25,3,O163=20,2,O163=15,1,O163=10,1,O163=0,0)</f>
        <v>0</v>
      </c>
      <c r="R163" s="3" t="n">
        <f aca="false">IF(P163&lt;=1,0,IF(P163&lt;=10,11,IF(P163&lt;=14,12,IF(P163&lt;=17,13,IF(P163&lt;=20,14,IF(P163&lt;=22,15,IF(P163&lt;=25,16,IF(P163&lt;=27,17,IF(P163&lt;=29,18,IF(P163&lt;=32,19,IF(P163&lt;=34,20,IF(P163&lt;=36,21,IF(P163&lt;=40,22,24)))))))))))))</f>
        <v>17</v>
      </c>
      <c r="S163" s="14" t="n">
        <f aca="false">ROUND((Q163+R163+I163+J163+M163+N163)/3,0)</f>
        <v>16</v>
      </c>
      <c r="T163" s="15" t="n">
        <f aca="false">F163*LOG10(S163+2)</f>
        <v>6.27636252551653</v>
      </c>
    </row>
    <row r="164" customFormat="false" ht="14.65" hidden="false" customHeight="true" outlineLevel="0" collapsed="false">
      <c r="A164" s="12" t="s">
        <v>196</v>
      </c>
      <c r="B164" s="13" t="n">
        <v>38880</v>
      </c>
      <c r="C164" s="3" t="s">
        <v>24</v>
      </c>
      <c r="D164" s="4" t="s">
        <v>155</v>
      </c>
      <c r="E164" s="3" t="n">
        <v>5</v>
      </c>
      <c r="F164" s="3" t="n">
        <v>5</v>
      </c>
      <c r="G164" s="3" t="s">
        <v>27</v>
      </c>
      <c r="I164" s="3" t="n">
        <f aca="false">_xlfn.IFS(G164="взв",11,G164="накл",24,G164="прокл",25,G164="пт",26,G164=90,10,G164=85,10,G164=80,9,G164=75,8,G164=70,8,G164=65,7,G164=60,7,G164=55,6,G164=50,6,G164=45,6,G164=40,5,G164=35,4,G164=30,4,G164=25,3,G164=20,2,G164=15,1,G164=10,1,G164=0,0)</f>
        <v>24</v>
      </c>
      <c r="J164" s="3" t="n">
        <f aca="false">IF(H164&lt;=1,0,IF(H164&lt;=10,11,IF(H164&lt;=14,12,IF(H164&lt;=17,13,IF(H164&lt;=20,14,IF(H164&lt;=22,15,IF(H164&lt;=25,16,IF(H164&lt;=27,17,IF(H164&lt;=29,18,IF(H164&lt;=32,19,IF(H164&lt;=34,20,IF(H164&lt;=36,21,IF(H164&lt;=40,22,24)))))))))))))</f>
        <v>0</v>
      </c>
      <c r="K164" s="3" t="s">
        <v>27</v>
      </c>
      <c r="M164" s="3" t="n">
        <f aca="false">_xlfn.IFS(K164="взв",11,K164="накл",24,K164="прокл",25,K164="пт",26,K164=90,10,K164=85,10,K164=80,9,K164=75,8,K164=70,8,K164=65,7,K164=60,7,K164=55,6,K164=50,6,K164=45,6,K164=40,5,K164=35,4,K164=30,4,K164=25,3,K164=20,2,K164=15,1,K164=10,1,K164=0,0)</f>
        <v>24</v>
      </c>
      <c r="N164" s="3" t="n">
        <f aca="false">IF(L164&lt;=1,0,IF(L164&lt;=10,11,IF(L164&lt;=14,12,IF(L164&lt;=17,13,IF(L164&lt;=20,14,IF(L164&lt;=22,15,IF(L164&lt;=25,16,IF(L164&lt;=27,17,IF(L164&lt;=29,18,IF(L164&lt;=32,19,IF(L164&lt;=34,20,IF(L164&lt;=36,21,IF(L164&lt;=40,22,24)))))))))))))</f>
        <v>0</v>
      </c>
      <c r="O164" s="3" t="s">
        <v>27</v>
      </c>
      <c r="P164" s="0"/>
      <c r="Q164" s="3" t="n">
        <f aca="false">_xlfn.IFS(O164="взв",11,O164="накл",24,O164="прокл",25,O164="пт",26,O164=90,10,O164=85,10,O164=80,9,O164=75,8,O164=70,8,O164=65,7,O164=60,7,O164=55,6,O164=50,6,O164=45,6,O164=40,5,O164=35,4,O164=30,4,O164=25,3,O164=20,2,O164=15,1,O164=10,1,O164=0,0)</f>
        <v>24</v>
      </c>
      <c r="R164" s="3" t="n">
        <f aca="false">IF(P164&lt;=1,0,IF(P164&lt;=10,11,IF(P164&lt;=14,12,IF(P164&lt;=17,13,IF(P164&lt;=20,14,IF(P164&lt;=22,15,IF(P164&lt;=25,16,IF(P164&lt;=27,17,IF(P164&lt;=29,18,IF(P164&lt;=32,19,IF(P164&lt;=34,20,IF(P164&lt;=36,21,IF(P164&lt;=40,22,24)))))))))))))</f>
        <v>0</v>
      </c>
      <c r="S164" s="14" t="n">
        <f aca="false">ROUND((Q164+R164+I164+J164+M164+N164)/3,0)</f>
        <v>24</v>
      </c>
      <c r="T164" s="15" t="n">
        <f aca="false">F164*LOG10(S164+2)</f>
        <v>7.07486673985409</v>
      </c>
    </row>
    <row r="165" customFormat="false" ht="14.65" hidden="false" customHeight="true" outlineLevel="0" collapsed="false">
      <c r="A165" s="12" t="s">
        <v>197</v>
      </c>
      <c r="B165" s="13" t="n">
        <v>38880</v>
      </c>
      <c r="C165" s="3" t="s">
        <v>24</v>
      </c>
      <c r="D165" s="4" t="s">
        <v>155</v>
      </c>
      <c r="E165" s="3" t="n">
        <v>2</v>
      </c>
      <c r="F165" s="3" t="n">
        <v>6</v>
      </c>
      <c r="G165" s="3" t="n">
        <v>45</v>
      </c>
      <c r="I165" s="3" t="n">
        <f aca="false">_xlfn.IFS(G165="взв",11,G165="накл",24,G165="прокл",25,G165="пт",26,G165=90,10,G165=85,10,G165=80,9,G165=75,8,G165=70,8,G165=65,7,G165=60,7,G165=55,6,G165=50,6,G165=45,6,G165=40,5,G165=35,4,G165=30,4,G165=25,3,G165=20,2,G165=15,1,G165=10,1,G165=0,0)</f>
        <v>6</v>
      </c>
      <c r="J165" s="3" t="n">
        <f aca="false">IF(H165&lt;=1,0,IF(H165&lt;=10,11,IF(H165&lt;=14,12,IF(H165&lt;=17,13,IF(H165&lt;=20,14,IF(H165&lt;=22,15,IF(H165&lt;=25,16,IF(H165&lt;=27,17,IF(H165&lt;=29,18,IF(H165&lt;=32,19,IF(H165&lt;=34,20,IF(H165&lt;=36,21,IF(H165&lt;=40,22,24)))))))))))))</f>
        <v>0</v>
      </c>
      <c r="K165" s="3" t="n">
        <v>30</v>
      </c>
      <c r="M165" s="3" t="n">
        <f aca="false">_xlfn.IFS(K165="взв",11,K165="накл",24,K165="прокл",25,K165="пт",26,K165=90,10,K165=85,10,K165=80,9,K165=75,8,K165=70,8,K165=65,7,K165=60,7,K165=55,6,K165=50,6,K165=45,6,K165=40,5,K165=35,4,K165=30,4,K165=25,3,K165=20,2,K165=15,1,K165=10,1,K165=0,0)</f>
        <v>4</v>
      </c>
      <c r="N165" s="3" t="n">
        <f aca="false">IF(L165&lt;=1,0,IF(L165&lt;=10,11,IF(L165&lt;=14,12,IF(L165&lt;=17,13,IF(L165&lt;=20,14,IF(L165&lt;=22,15,IF(L165&lt;=25,16,IF(L165&lt;=27,17,IF(L165&lt;=29,18,IF(L165&lt;=32,19,IF(L165&lt;=34,20,IF(L165&lt;=36,21,IF(L165&lt;=40,22,24)))))))))))))</f>
        <v>0</v>
      </c>
      <c r="Q165" s="3" t="n">
        <f aca="false">_xlfn.IFS(O165="взв",11,O165="накл",24,O165="прокл",25,O165="пт",26,O165=90,10,O165=85,10,O165=80,9,O165=75,8,O165=70,8,O165=65,7,O165=60,7,O165=55,6,O165=50,6,O165=45,6,O165=40,5,O165=35,4,O165=30,4,O165=25,3,O165=20,2,O165=15,1,O165=10,1,O165=0,0)</f>
        <v>0</v>
      </c>
      <c r="R165" s="3" t="n">
        <f aca="false">IF(P165&lt;=1,0,IF(P165&lt;=10,11,IF(P165&lt;=14,12,IF(P165&lt;=17,13,IF(P165&lt;=20,14,IF(P165&lt;=22,15,IF(P165&lt;=25,16,IF(P165&lt;=27,17,IF(P165&lt;=29,18,IF(P165&lt;=32,19,IF(P165&lt;=34,20,IF(P165&lt;=36,21,IF(P165&lt;=40,22,24)))))))))))))</f>
        <v>0</v>
      </c>
      <c r="S165" s="14" t="n">
        <f aca="false">ROUND((Q165+R165+I165+J165+M165+N165)/2,0)</f>
        <v>5</v>
      </c>
      <c r="T165" s="15" t="n">
        <f aca="false">F165*LOG10(S165+2)</f>
        <v>5.07058824008554</v>
      </c>
    </row>
    <row r="166" customFormat="false" ht="14.65" hidden="false" customHeight="true" outlineLevel="0" collapsed="false">
      <c r="A166" s="12" t="s">
        <v>198</v>
      </c>
      <c r="B166" s="13" t="n">
        <v>38880</v>
      </c>
      <c r="C166" s="3" t="s">
        <v>24</v>
      </c>
      <c r="D166" s="4" t="s">
        <v>155</v>
      </c>
      <c r="E166" s="3" t="n">
        <v>6</v>
      </c>
      <c r="F166" s="3" t="n">
        <v>6</v>
      </c>
      <c r="G166" s="3" t="s">
        <v>27</v>
      </c>
      <c r="H166" s="0"/>
      <c r="I166" s="3" t="n">
        <f aca="false">_xlfn.IFS(G166="взв",11,G166="накл",24,G166="прокл",25,G166="пт",26,G166=90,10,G166=85,10,G166=80,9,G166=75,8,G166=70,8,G166=65,7,G166=60,7,G166=55,6,G166=50,6,G166=45,6,G166=40,5,G166=35,4,G166=30,4,G166=25,3,G166=20,2,G166=15,1,G166=10,1,G166=0,0)</f>
        <v>24</v>
      </c>
      <c r="J166" s="3" t="n">
        <f aca="false">IF(H166&lt;=1,0,IF(H166&lt;=10,11,IF(H166&lt;=14,12,IF(H166&lt;=17,13,IF(H166&lt;=20,14,IF(H166&lt;=22,15,IF(H166&lt;=25,16,IF(H166&lt;=27,17,IF(H166&lt;=29,18,IF(H166&lt;=32,19,IF(H166&lt;=34,20,IF(H166&lt;=36,21,IF(H166&lt;=40,22,24)))))))))))))</f>
        <v>0</v>
      </c>
      <c r="L166" s="3" t="n">
        <v>44</v>
      </c>
      <c r="M166" s="3" t="n">
        <f aca="false">_xlfn.IFS(K166="взв",11,K166="накл",24,K166="прокл",25,K166="пт",26,K166=90,10,K166=85,10,K166=80,9,K166=75,8,K166=70,8,K166=65,7,K166=60,7,K166=55,6,K166=50,6,K166=45,6,K166=40,5,K166=35,4,K166=30,4,K166=25,3,K166=20,2,K166=15,1,K166=10,1,K166=0,0)</f>
        <v>0</v>
      </c>
      <c r="N166" s="3" t="n">
        <f aca="false">IF(L166&lt;=1,0,IF(L166&lt;=10,11,IF(L166&lt;=14,12,IF(L166&lt;=17,13,IF(L166&lt;=20,14,IF(L166&lt;=22,15,IF(L166&lt;=25,16,IF(L166&lt;=27,17,IF(L166&lt;=29,18,IF(L166&lt;=32,19,IF(L166&lt;=34,20,IF(L166&lt;=36,21,IF(L166&lt;=40,22,24)))))))))))))</f>
        <v>24</v>
      </c>
      <c r="P166" s="3" t="n">
        <v>36</v>
      </c>
      <c r="Q166" s="3" t="n">
        <f aca="false">_xlfn.IFS(O166="взв",11,O166="накл",24,O166="прокл",25,O166="пт",26,O166=90,10,O166=85,10,O166=80,9,O166=75,8,O166=70,8,O166=65,7,O166=60,7,O166=55,6,O166=50,6,O166=45,6,O166=40,5,O166=35,4,O166=30,4,O166=25,3,O166=20,2,O166=15,1,O166=10,1,O166=0,0)</f>
        <v>0</v>
      </c>
      <c r="R166" s="3" t="n">
        <f aca="false">IF(P166&lt;=1,0,IF(P166&lt;=10,11,IF(P166&lt;=14,12,IF(P166&lt;=17,13,IF(P166&lt;=20,14,IF(P166&lt;=22,15,IF(P166&lt;=25,16,IF(P166&lt;=27,17,IF(P166&lt;=29,18,IF(P166&lt;=32,19,IF(P166&lt;=34,20,IF(P166&lt;=36,21,IF(P166&lt;=40,22,24)))))))))))))</f>
        <v>21</v>
      </c>
      <c r="S166" s="14" t="n">
        <f aca="false">ROUND((Q166+R166+I166+J166+M166+N166)/3,0)</f>
        <v>23</v>
      </c>
      <c r="T166" s="15" t="n">
        <f aca="false">F166*LOG10(S166+2)</f>
        <v>8.38764005203223</v>
      </c>
    </row>
    <row r="167" customFormat="false" ht="14.65" hidden="false" customHeight="true" outlineLevel="0" collapsed="false">
      <c r="A167" s="12" t="s">
        <v>199</v>
      </c>
      <c r="B167" s="13" t="n">
        <v>38880</v>
      </c>
      <c r="C167" s="3" t="s">
        <v>24</v>
      </c>
      <c r="D167" s="4" t="s">
        <v>155</v>
      </c>
      <c r="E167" s="3" t="n">
        <v>2</v>
      </c>
      <c r="F167" s="3" t="n">
        <v>6</v>
      </c>
      <c r="H167" s="3" t="n">
        <v>29</v>
      </c>
      <c r="I167" s="3" t="n">
        <f aca="false">_xlfn.IFS(G167="взв",11,G167="накл",24,G167="прокл",25,G167="пт",26,G167=90,10,G167=85,10,G167=80,9,G167=75,8,G167=70,8,G167=65,7,G167=60,7,G167=55,6,G167=50,6,G167=45,6,G167=40,5,G167=35,4,G167=30,4,G167=25,3,G167=20,2,G167=15,1,G167=10,1,G167=0,0)</f>
        <v>0</v>
      </c>
      <c r="J167" s="3" t="n">
        <f aca="false">IF(H167&lt;=1,0,IF(H167&lt;=10,11,IF(H167&lt;=14,12,IF(H167&lt;=17,13,IF(H167&lt;=20,14,IF(H167&lt;=22,15,IF(H167&lt;=25,16,IF(H167&lt;=27,17,IF(H167&lt;=29,18,IF(H167&lt;=32,19,IF(H167&lt;=34,20,IF(H167&lt;=36,21,IF(H167&lt;=40,22,24)))))))))))))</f>
        <v>18</v>
      </c>
      <c r="L167" s="3" t="n">
        <v>33</v>
      </c>
      <c r="M167" s="3" t="n">
        <f aca="false">_xlfn.IFS(K167="взв",11,K167="накл",24,K167="прокл",25,K167="пт",26,K167=90,10,K167=85,10,K167=80,9,K167=75,8,K167=70,8,K167=65,7,K167=60,7,K167=55,6,K167=50,6,K167=45,6,K167=40,5,K167=35,4,K167=30,4,K167=25,3,K167=20,2,K167=15,1,K167=10,1,K167=0,0)</f>
        <v>0</v>
      </c>
      <c r="N167" s="3" t="n">
        <f aca="false">IF(L167&lt;=1,0,IF(L167&lt;=10,11,IF(L167&lt;=14,12,IF(L167&lt;=17,13,IF(L167&lt;=20,14,IF(L167&lt;=22,15,IF(L167&lt;=25,16,IF(L167&lt;=27,17,IF(L167&lt;=29,18,IF(L167&lt;=32,19,IF(L167&lt;=34,20,IF(L167&lt;=36,21,IF(L167&lt;=40,22,24)))))))))))))</f>
        <v>20</v>
      </c>
      <c r="Q167" s="3" t="n">
        <f aca="false">_xlfn.IFS(O167="взв",11,O167="накл",24,O167="прокл",25,O167="пт",26,O167=90,10,O167=85,10,O167=80,9,O167=75,8,O167=70,8,O167=65,7,O167=60,7,O167=55,6,O167=50,6,O167=45,6,O167=40,5,O167=35,4,O167=30,4,O167=25,3,O167=20,2,O167=15,1,O167=10,1,O167=0,0)</f>
        <v>0</v>
      </c>
      <c r="R167" s="3" t="n">
        <f aca="false">IF(P167&lt;=1,0,IF(P167&lt;=10,11,IF(P167&lt;=14,12,IF(P167&lt;=17,13,IF(P167&lt;=20,14,IF(P167&lt;=22,15,IF(P167&lt;=25,16,IF(P167&lt;=27,17,IF(P167&lt;=29,18,IF(P167&lt;=32,19,IF(P167&lt;=34,20,IF(P167&lt;=36,21,IF(P167&lt;=40,22,24)))))))))))))</f>
        <v>0</v>
      </c>
      <c r="S167" s="14" t="n">
        <f aca="false">ROUND((Q167+R167+I167+J167+M167+N167)/2,0)</f>
        <v>19</v>
      </c>
      <c r="T167" s="15" t="n">
        <f aca="false">F167*LOG10(S167+2)</f>
        <v>7.93331576840352</v>
      </c>
    </row>
    <row r="168" customFormat="false" ht="14.65" hidden="false" customHeight="true" outlineLevel="0" collapsed="false">
      <c r="A168" s="12" t="s">
        <v>200</v>
      </c>
      <c r="B168" s="13" t="n">
        <v>38880</v>
      </c>
      <c r="C168" s="3" t="s">
        <v>24</v>
      </c>
      <c r="D168" s="4" t="s">
        <v>155</v>
      </c>
      <c r="E168" s="3" t="n">
        <v>2</v>
      </c>
      <c r="F168" s="3" t="n">
        <v>6</v>
      </c>
      <c r="H168" s="3" t="n">
        <v>37</v>
      </c>
      <c r="I168" s="3" t="n">
        <f aca="false">_xlfn.IFS(G168="взв",11,G168="накл",24,G168="прокл",25,G168="пт",26,G168=90,10,G168=85,10,G168=80,9,G168=75,8,G168=70,8,G168=65,7,G168=60,7,G168=55,6,G168=50,6,G168=45,6,G168=40,5,G168=35,4,G168=30,4,G168=25,3,G168=20,2,G168=15,1,G168=10,1,G168=0,0)</f>
        <v>0</v>
      </c>
      <c r="J168" s="3" t="n">
        <f aca="false">IF(H168&lt;=1,0,IF(H168&lt;=10,11,IF(H168&lt;=14,12,IF(H168&lt;=17,13,IF(H168&lt;=20,14,IF(H168&lt;=22,15,IF(H168&lt;=25,16,IF(H168&lt;=27,17,IF(H168&lt;=29,18,IF(H168&lt;=32,19,IF(H168&lt;=34,20,IF(H168&lt;=36,21,IF(H168&lt;=40,22,24)))))))))))))</f>
        <v>22</v>
      </c>
      <c r="L168" s="3" t="n">
        <v>35</v>
      </c>
      <c r="M168" s="3" t="n">
        <f aca="false">_xlfn.IFS(K168="взв",11,K168="накл",24,K168="прокл",25,K168="пт",26,K168=90,10,K168=85,10,K168=80,9,K168=75,8,K168=70,8,K168=65,7,K168=60,7,K168=55,6,K168=50,6,K168=45,6,K168=40,5,K168=35,4,K168=30,4,K168=25,3,K168=20,2,K168=15,1,K168=10,1,K168=0,0)</f>
        <v>0</v>
      </c>
      <c r="N168" s="3" t="n">
        <f aca="false">IF(L168&lt;=1,0,IF(L168&lt;=10,11,IF(L168&lt;=14,12,IF(L168&lt;=17,13,IF(L168&lt;=20,14,IF(L168&lt;=22,15,IF(L168&lt;=25,16,IF(L168&lt;=27,17,IF(L168&lt;=29,18,IF(L168&lt;=32,19,IF(L168&lt;=34,20,IF(L168&lt;=36,21,IF(L168&lt;=40,22,24)))))))))))))</f>
        <v>21</v>
      </c>
      <c r="Q168" s="3" t="n">
        <f aca="false">_xlfn.IFS(O168="взв",11,O168="накл",24,O168="прокл",25,O168="пт",26,O168=90,10,O168=85,10,O168=80,9,O168=75,8,O168=70,8,O168=65,7,O168=60,7,O168=55,6,O168=50,6,O168=45,6,O168=40,5,O168=35,4,O168=30,4,O168=25,3,O168=20,2,O168=15,1,O168=10,1,O168=0,0)</f>
        <v>0</v>
      </c>
      <c r="R168" s="3" t="n">
        <f aca="false">IF(P168&lt;=1,0,IF(P168&lt;=10,11,IF(P168&lt;=14,12,IF(P168&lt;=17,13,IF(P168&lt;=20,14,IF(P168&lt;=22,15,IF(P168&lt;=25,16,IF(P168&lt;=27,17,IF(P168&lt;=29,18,IF(P168&lt;=32,19,IF(P168&lt;=34,20,IF(P168&lt;=36,21,IF(P168&lt;=40,22,24)))))))))))))</f>
        <v>0</v>
      </c>
      <c r="S168" s="14" t="n">
        <f aca="false">ROUND((Q168+R168+I168+J168+M168+N168)/2,0)</f>
        <v>22</v>
      </c>
      <c r="T168" s="15" t="n">
        <f aca="false">F168*LOG10(S168+2)</f>
        <v>8.28126745026964</v>
      </c>
    </row>
    <row r="169" customFormat="false" ht="14.65" hidden="false" customHeight="true" outlineLevel="0" collapsed="false">
      <c r="A169" s="12" t="s">
        <v>201</v>
      </c>
      <c r="B169" s="13" t="n">
        <v>38880</v>
      </c>
      <c r="C169" s="3" t="s">
        <v>24</v>
      </c>
      <c r="D169" s="4" t="s">
        <v>155</v>
      </c>
      <c r="E169" s="3" t="s">
        <v>97</v>
      </c>
      <c r="F169" s="3" t="n">
        <v>6</v>
      </c>
      <c r="G169" s="3" t="n">
        <v>90</v>
      </c>
      <c r="I169" s="3" t="n">
        <f aca="false">_xlfn.IFS(G169="взв",11,G169="накл",24,G169="прокл",25,G169="пт",26,G169=90,10,G169=85,10,G169=80,9,G169=75,8,G169=70,8,G169=65,7,G169=60,7,G169=55,6,G169=50,6,G169=45,6,G169=40,5,G169=35,4,G169=30,4,G169=25,3,G169=20,2,G169=15,1,G169=10,1,G169=0,0)</f>
        <v>10</v>
      </c>
      <c r="J169" s="3" t="n">
        <f aca="false">IF(H169&lt;=1,0,IF(H169&lt;=10,11,IF(H169&lt;=14,12,IF(H169&lt;=17,13,IF(H169&lt;=20,14,IF(H169&lt;=22,15,IF(H169&lt;=25,16,IF(H169&lt;=27,17,IF(H169&lt;=29,18,IF(H169&lt;=32,19,IF(H169&lt;=34,20,IF(H169&lt;=36,21,IF(H169&lt;=40,22,24)))))))))))))</f>
        <v>0</v>
      </c>
      <c r="K169" s="3" t="n">
        <v>90</v>
      </c>
      <c r="M169" s="3" t="n">
        <f aca="false">_xlfn.IFS(K169="взв",11,K169="накл",24,K169="прокл",25,K169="пт",26,K169=90,10,K169=85,10,K169=80,9,K169=75,8,K169=70,8,K169=65,7,K169=60,7,K169=55,6,K169=50,6,K169=45,6,K169=40,5,K169=35,4,K169=30,4,K169=25,3,K169=20,2,K169=15,1,K169=10,1,K169=0,0)</f>
        <v>10</v>
      </c>
      <c r="N169" s="3" t="n">
        <f aca="false">IF(L169&lt;=1,0,IF(L169&lt;=10,11,IF(L169&lt;=14,12,IF(L169&lt;=17,13,IF(L169&lt;=20,14,IF(L169&lt;=22,15,IF(L169&lt;=25,16,IF(L169&lt;=27,17,IF(L169&lt;=29,18,IF(L169&lt;=32,19,IF(L169&lt;=34,20,IF(L169&lt;=36,21,IF(L169&lt;=40,22,24)))))))))))))</f>
        <v>0</v>
      </c>
      <c r="O169" s="3" t="n">
        <v>75</v>
      </c>
      <c r="Q169" s="3" t="n">
        <f aca="false">_xlfn.IFS(O169="взв",11,O169="накл",24,O169="прокл",25,O169="пт",26,O169=90,10,O169=85,10,O169=80,9,O169=75,8,O169=70,8,O169=65,7,O169=60,7,O169=55,6,O169=50,6,O169=45,6,O169=40,5,O169=35,4,O169=30,4,O169=25,3,O169=20,2,O169=15,1,O169=10,1,O169=0,0)</f>
        <v>8</v>
      </c>
      <c r="R169" s="3" t="n">
        <f aca="false">IF(P169&lt;=1,0,IF(P169&lt;=10,11,IF(P169&lt;=14,12,IF(P169&lt;=17,13,IF(P169&lt;=20,14,IF(P169&lt;=22,15,IF(P169&lt;=25,16,IF(P169&lt;=27,17,IF(P169&lt;=29,18,IF(P169&lt;=32,19,IF(P169&lt;=34,20,IF(P169&lt;=36,21,IF(P169&lt;=40,22,24)))))))))))))</f>
        <v>0</v>
      </c>
      <c r="S169" s="14" t="n">
        <f aca="false">ROUND((Q169+R169+I169+J169+M169+N169)/3,0)</f>
        <v>9</v>
      </c>
      <c r="T169" s="15" t="n">
        <f aca="false">F169*LOG10(S169+2)</f>
        <v>6.24835611094935</v>
      </c>
    </row>
    <row r="170" customFormat="false" ht="14.65" hidden="false" customHeight="true" outlineLevel="0" collapsed="false">
      <c r="A170" s="12" t="s">
        <v>202</v>
      </c>
      <c r="B170" s="13" t="n">
        <v>38880</v>
      </c>
      <c r="C170" s="3" t="s">
        <v>24</v>
      </c>
      <c r="D170" s="4" t="s">
        <v>155</v>
      </c>
      <c r="E170" s="3" t="n">
        <v>3</v>
      </c>
      <c r="F170" s="3" t="n">
        <v>7</v>
      </c>
      <c r="G170" s="3" t="n">
        <v>75</v>
      </c>
      <c r="I170" s="3" t="n">
        <f aca="false">_xlfn.IFS(G170="взв",11,G170="накл",24,G170="прокл",25,G170="пт",26,G170=90,10,G170=85,10,G170=80,9,G170=75,8,G170=70,8,G170=65,7,G170=60,7,G170=55,6,G170=50,6,G170=45,6,G170=40,5,G170=35,4,G170=30,4,G170=25,3,G170=20,2,G170=15,1,G170=10,1,G170=0,0)</f>
        <v>8</v>
      </c>
      <c r="J170" s="3" t="n">
        <f aca="false">IF(H170&lt;=1,0,IF(H170&lt;=10,11,IF(H170&lt;=14,12,IF(H170&lt;=17,13,IF(H170&lt;=20,14,IF(H170&lt;=22,15,IF(H170&lt;=25,16,IF(H170&lt;=27,17,IF(H170&lt;=29,18,IF(H170&lt;=32,19,IF(H170&lt;=34,20,IF(H170&lt;=36,21,IF(H170&lt;=40,22,24)))))))))))))</f>
        <v>0</v>
      </c>
      <c r="K170" s="3" t="n">
        <v>90</v>
      </c>
      <c r="M170" s="3" t="n">
        <f aca="false">_xlfn.IFS(K170="взв",11,K170="накл",24,K170="прокл",25,K170="пт",26,K170=90,10,K170=85,10,K170=80,9,K170=75,8,K170=70,8,K170=65,7,K170=60,7,K170=55,6,K170=50,6,K170=45,6,K170=40,5,K170=35,4,K170=30,4,K170=25,3,K170=20,2,K170=15,1,K170=10,1,K170=0,0)</f>
        <v>10</v>
      </c>
      <c r="N170" s="3" t="n">
        <f aca="false">IF(L170&lt;=1,0,IF(L170&lt;=10,11,IF(L170&lt;=14,12,IF(L170&lt;=17,13,IF(L170&lt;=20,14,IF(L170&lt;=22,15,IF(L170&lt;=25,16,IF(L170&lt;=27,17,IF(L170&lt;=29,18,IF(L170&lt;=32,19,IF(L170&lt;=34,20,IF(L170&lt;=36,21,IF(L170&lt;=40,22,24)))))))))))))</f>
        <v>0</v>
      </c>
      <c r="O170" s="3" t="n">
        <v>60</v>
      </c>
      <c r="Q170" s="3" t="n">
        <f aca="false">_xlfn.IFS(O170="взв",11,O170="накл",24,O170="прокл",25,O170="пт",26,O170=90,10,O170=85,10,O170=80,9,O170=75,8,O170=70,8,O170=65,7,O170=60,7,O170=55,6,O170=50,6,O170=45,6,O170=40,5,O170=35,4,O170=30,4,O170=25,3,O170=20,2,O170=15,1,O170=10,1,O170=0,0)</f>
        <v>7</v>
      </c>
      <c r="R170" s="3" t="n">
        <f aca="false">IF(P170&lt;=1,0,IF(P170&lt;=10,11,IF(P170&lt;=14,12,IF(P170&lt;=17,13,IF(P170&lt;=20,14,IF(P170&lt;=22,15,IF(P170&lt;=25,16,IF(P170&lt;=27,17,IF(P170&lt;=29,18,IF(P170&lt;=32,19,IF(P170&lt;=34,20,IF(P170&lt;=36,21,IF(P170&lt;=40,22,24)))))))))))))</f>
        <v>0</v>
      </c>
      <c r="S170" s="14" t="n">
        <f aca="false">ROUND((Q170+R170+I170+J170+M170+N170)/3,0)</f>
        <v>8</v>
      </c>
      <c r="T170" s="15" t="n">
        <f aca="false">F170*LOG10(S170+2)</f>
        <v>7</v>
      </c>
    </row>
    <row r="171" customFormat="false" ht="14.65" hidden="false" customHeight="true" outlineLevel="0" collapsed="false">
      <c r="A171" s="12" t="s">
        <v>203</v>
      </c>
      <c r="B171" s="13" t="n">
        <v>38880</v>
      </c>
      <c r="C171" s="3" t="s">
        <v>24</v>
      </c>
      <c r="D171" s="4" t="s">
        <v>155</v>
      </c>
      <c r="E171" s="3" t="n">
        <v>6</v>
      </c>
      <c r="F171" s="3" t="n">
        <v>7</v>
      </c>
      <c r="G171" s="3" t="s">
        <v>27</v>
      </c>
      <c r="I171" s="3" t="n">
        <f aca="false">_xlfn.IFS(G171="взв",11,G171="накл",24,G171="прокл",25,G171="пт",26,G171=90,10,G171=85,10,G171=80,9,G171=75,8,G171=70,8,G171=65,7,G171=60,7,G171=55,6,G171=50,6,G171=45,6,G171=40,5,G171=35,4,G171=30,4,G171=25,3,G171=20,2,G171=15,1,G171=10,1,G171=0,0)</f>
        <v>24</v>
      </c>
      <c r="J171" s="3" t="n">
        <f aca="false">IF(H171&lt;=1,0,IF(H171&lt;=10,11,IF(H171&lt;=14,12,IF(H171&lt;=17,13,IF(H171&lt;=20,14,IF(H171&lt;=22,15,IF(H171&lt;=25,16,IF(H171&lt;=27,17,IF(H171&lt;=29,18,IF(H171&lt;=32,19,IF(H171&lt;=34,20,IF(H171&lt;=36,21,IF(H171&lt;=40,22,24)))))))))))))</f>
        <v>0</v>
      </c>
      <c r="K171" s="3" t="s">
        <v>27</v>
      </c>
      <c r="M171" s="3" t="n">
        <f aca="false">_xlfn.IFS(K171="взв",11,K171="накл",24,K171="прокл",25,K171="пт",26,K171=90,10,K171=85,10,K171=80,9,K171=75,8,K171=70,8,K171=65,7,K171=60,7,K171=55,6,K171=50,6,K171=45,6,K171=40,5,K171=35,4,K171=30,4,K171=25,3,K171=20,2,K171=15,1,K171=10,1,K171=0,0)</f>
        <v>24</v>
      </c>
      <c r="N171" s="3" t="n">
        <f aca="false">IF(L171&lt;=1,0,IF(L171&lt;=10,11,IF(L171&lt;=14,12,IF(L171&lt;=17,13,IF(L171&lt;=20,14,IF(L171&lt;=22,15,IF(L171&lt;=25,16,IF(L171&lt;=27,17,IF(L171&lt;=29,18,IF(L171&lt;=32,19,IF(L171&lt;=34,20,IF(L171&lt;=36,21,IF(L171&lt;=40,22,24)))))))))))))</f>
        <v>0</v>
      </c>
      <c r="O171" s="3" t="s">
        <v>27</v>
      </c>
      <c r="P171" s="0"/>
      <c r="Q171" s="3" t="n">
        <f aca="false">_xlfn.IFS(O171="взв",11,O171="накл",24,O171="прокл",25,O171="пт",26,O171=90,10,O171=85,10,O171=80,9,O171=75,8,O171=70,8,O171=65,7,O171=60,7,O171=55,6,O171=50,6,O171=45,6,O171=40,5,O171=35,4,O171=30,4,O171=25,3,O171=20,2,O171=15,1,O171=10,1,O171=0,0)</f>
        <v>24</v>
      </c>
      <c r="R171" s="3" t="n">
        <f aca="false">IF(P171&lt;=1,0,IF(P171&lt;=10,11,IF(P171&lt;=14,12,IF(P171&lt;=17,13,IF(P171&lt;=20,14,IF(P171&lt;=22,15,IF(P171&lt;=25,16,IF(P171&lt;=27,17,IF(P171&lt;=29,18,IF(P171&lt;=32,19,IF(P171&lt;=34,20,IF(P171&lt;=36,21,IF(P171&lt;=40,22,24)))))))))))))</f>
        <v>0</v>
      </c>
      <c r="S171" s="14" t="n">
        <f aca="false">ROUND((Q171+R171+I171+J171+M171+N171)/3,0)</f>
        <v>24</v>
      </c>
      <c r="T171" s="15" t="n">
        <f aca="false">F171*LOG10(S171+2)</f>
        <v>9.90481343579573</v>
      </c>
    </row>
    <row r="172" customFormat="false" ht="14.65" hidden="false" customHeight="true" outlineLevel="0" collapsed="false">
      <c r="A172" s="12" t="s">
        <v>204</v>
      </c>
      <c r="B172" s="13" t="n">
        <v>38880</v>
      </c>
      <c r="C172" s="3" t="s">
        <v>24</v>
      </c>
      <c r="D172" s="4" t="s">
        <v>155</v>
      </c>
      <c r="E172" s="3" t="n">
        <v>4</v>
      </c>
      <c r="F172" s="3" t="n">
        <v>7</v>
      </c>
      <c r="G172" s="3" t="n">
        <v>30</v>
      </c>
      <c r="I172" s="3" t="n">
        <f aca="false">_xlfn.IFS(G172="взв",11,G172="накл",24,G172="прокл",25,G172="пт",26,G172=90,10,G172=85,10,G172=80,9,G172=75,8,G172=70,8,G172=65,7,G172=60,7,G172=55,6,G172=50,6,G172=45,6,G172=40,5,G172=35,4,G172=30,4,G172=25,3,G172=20,2,G172=15,1,G172=10,1,G172=0,0)</f>
        <v>4</v>
      </c>
      <c r="J172" s="3" t="n">
        <f aca="false">IF(H172&lt;=1,0,IF(H172&lt;=10,11,IF(H172&lt;=14,12,IF(H172&lt;=17,13,IF(H172&lt;=20,14,IF(H172&lt;=22,15,IF(H172&lt;=25,16,IF(H172&lt;=27,17,IF(H172&lt;=29,18,IF(H172&lt;=32,19,IF(H172&lt;=34,20,IF(H172&lt;=36,21,IF(H172&lt;=40,22,24)))))))))))))</f>
        <v>0</v>
      </c>
      <c r="K172" s="3" t="n">
        <v>15</v>
      </c>
      <c r="M172" s="3" t="n">
        <f aca="false">_xlfn.IFS(K172="взв",11,K172="накл",24,K172="прокл",25,K172="пт",26,K172=90,10,K172=85,10,K172=80,9,K172=75,8,K172=70,8,K172=65,7,K172=60,7,K172=55,6,K172=50,6,K172=45,6,K172=40,5,K172=35,4,K172=30,4,K172=25,3,K172=20,2,K172=15,1,K172=10,1,K172=0,0)</f>
        <v>1</v>
      </c>
      <c r="N172" s="3" t="n">
        <f aca="false">IF(L172&lt;=1,0,IF(L172&lt;=10,11,IF(L172&lt;=14,12,IF(L172&lt;=17,13,IF(L172&lt;=20,14,IF(L172&lt;=22,15,IF(L172&lt;=25,16,IF(L172&lt;=27,17,IF(L172&lt;=29,18,IF(L172&lt;=32,19,IF(L172&lt;=34,20,IF(L172&lt;=36,21,IF(L172&lt;=40,22,24)))))))))))))</f>
        <v>0</v>
      </c>
      <c r="O172" s="3" t="n">
        <v>15</v>
      </c>
      <c r="Q172" s="3" t="n">
        <f aca="false">_xlfn.IFS(O172="взв",11,O172="накл",24,O172="прокл",25,O172="пт",26,O172=90,10,O172=85,10,O172=80,9,O172=75,8,O172=70,8,O172=65,7,O172=60,7,O172=55,6,O172=50,6,O172=45,6,O172=40,5,O172=35,4,O172=30,4,O172=25,3,O172=20,2,O172=15,1,O172=10,1,O172=0,0)</f>
        <v>1</v>
      </c>
      <c r="R172" s="3" t="n">
        <f aca="false">IF(P172&lt;=1,0,IF(P172&lt;=10,11,IF(P172&lt;=14,12,IF(P172&lt;=17,13,IF(P172&lt;=20,14,IF(P172&lt;=22,15,IF(P172&lt;=25,16,IF(P172&lt;=27,17,IF(P172&lt;=29,18,IF(P172&lt;=32,19,IF(P172&lt;=34,20,IF(P172&lt;=36,21,IF(P172&lt;=40,22,24)))))))))))))</f>
        <v>0</v>
      </c>
      <c r="S172" s="14" t="n">
        <f aca="false">ROUND((Q172+R172+I172+J172+M172+N172)/3,0)</f>
        <v>2</v>
      </c>
      <c r="T172" s="15" t="n">
        <f aca="false">F172*LOG10(S172+2)</f>
        <v>4.21441993929574</v>
      </c>
    </row>
    <row r="173" customFormat="false" ht="14.65" hidden="false" customHeight="true" outlineLevel="0" collapsed="false">
      <c r="A173" s="12" t="s">
        <v>205</v>
      </c>
      <c r="B173" s="13" t="n">
        <v>38880</v>
      </c>
      <c r="C173" s="3" t="s">
        <v>24</v>
      </c>
      <c r="D173" s="4" t="s">
        <v>155</v>
      </c>
      <c r="E173" s="3" t="n">
        <v>5</v>
      </c>
      <c r="F173" s="3" t="n">
        <v>7</v>
      </c>
      <c r="H173" s="3" t="n">
        <v>33</v>
      </c>
      <c r="I173" s="3" t="n">
        <f aca="false">_xlfn.IFS(G173="взв",11,G173="накл",24,G173="прокл",25,G173="пт",26,G173=90,10,G173=85,10,G173=80,9,G173=75,8,G173=70,8,G173=65,7,G173=60,7,G173=55,6,G173=50,6,G173=45,6,G173=40,5,G173=35,4,G173=30,4,G173=25,3,G173=20,2,G173=15,1,G173=10,1,G173=0,0)</f>
        <v>0</v>
      </c>
      <c r="J173" s="3" t="n">
        <f aca="false">IF(H173&lt;=1,0,IF(H173&lt;=10,11,IF(H173&lt;=14,12,IF(H173&lt;=17,13,IF(H173&lt;=20,14,IF(H173&lt;=22,15,IF(H173&lt;=25,16,IF(H173&lt;=27,17,IF(H173&lt;=29,18,IF(H173&lt;=32,19,IF(H173&lt;=34,20,IF(H173&lt;=36,21,IF(H173&lt;=40,22,24)))))))))))))</f>
        <v>20</v>
      </c>
      <c r="L173" s="3" t="n">
        <v>28</v>
      </c>
      <c r="M173" s="3" t="n">
        <f aca="false">_xlfn.IFS(K173="взв",11,K173="накл",24,K173="прокл",25,K173="пт",26,K173=90,10,K173=85,10,K173=80,9,K173=75,8,K173=70,8,K173=65,7,K173=60,7,K173=55,6,K173=50,6,K173=45,6,K173=40,5,K173=35,4,K173=30,4,K173=25,3,K173=20,2,K173=15,1,K173=10,1,K173=0,0)</f>
        <v>0</v>
      </c>
      <c r="N173" s="3" t="n">
        <f aca="false">IF(L173&lt;=1,0,IF(L173&lt;=10,11,IF(L173&lt;=14,12,IF(L173&lt;=17,13,IF(L173&lt;=20,14,IF(L173&lt;=22,15,IF(L173&lt;=25,16,IF(L173&lt;=27,17,IF(L173&lt;=29,18,IF(L173&lt;=32,19,IF(L173&lt;=34,20,IF(L173&lt;=36,21,IF(L173&lt;=40,22,24)))))))))))))</f>
        <v>18</v>
      </c>
      <c r="P173" s="3" t="n">
        <v>32</v>
      </c>
      <c r="Q173" s="3" t="n">
        <f aca="false">_xlfn.IFS(O173="взв",11,O173="накл",24,O173="прокл",25,O173="пт",26,O173=90,10,O173=85,10,O173=80,9,O173=75,8,O173=70,8,O173=65,7,O173=60,7,O173=55,6,O173=50,6,O173=45,6,O173=40,5,O173=35,4,O173=30,4,O173=25,3,O173=20,2,O173=15,1,O173=10,1,O173=0,0)</f>
        <v>0</v>
      </c>
      <c r="R173" s="3" t="n">
        <f aca="false">IF(P173&lt;=1,0,IF(P173&lt;=10,11,IF(P173&lt;=14,12,IF(P173&lt;=17,13,IF(P173&lt;=20,14,IF(P173&lt;=22,15,IF(P173&lt;=25,16,IF(P173&lt;=27,17,IF(P173&lt;=29,18,IF(P173&lt;=32,19,IF(P173&lt;=34,20,IF(P173&lt;=36,21,IF(P173&lt;=40,22,24)))))))))))))</f>
        <v>19</v>
      </c>
      <c r="S173" s="14" t="n">
        <f aca="false">ROUND((Q173+R173+I173+J173+M173+N173)/3,0)</f>
        <v>19</v>
      </c>
      <c r="T173" s="15" t="n">
        <f aca="false">F173*LOG10(S173+2)</f>
        <v>9.25553506313744</v>
      </c>
    </row>
    <row r="174" customFormat="false" ht="14.65" hidden="false" customHeight="true" outlineLevel="0" collapsed="false">
      <c r="A174" s="12" t="s">
        <v>206</v>
      </c>
      <c r="B174" s="13" t="n">
        <v>38880</v>
      </c>
      <c r="C174" s="3" t="s">
        <v>24</v>
      </c>
      <c r="D174" s="4" t="s">
        <v>155</v>
      </c>
      <c r="E174" s="3" t="n">
        <v>5</v>
      </c>
      <c r="F174" s="3" t="n">
        <v>7</v>
      </c>
      <c r="H174" s="3" t="n">
        <v>31</v>
      </c>
      <c r="I174" s="3" t="n">
        <f aca="false">_xlfn.IFS(G174="взв",11,G174="накл",24,G174="прокл",25,G174="пт",26,G174=90,10,G174=85,10,G174=80,9,G174=75,8,G174=70,8,G174=65,7,G174=60,7,G174=55,6,G174=50,6,G174=45,6,G174=40,5,G174=35,4,G174=30,4,G174=25,3,G174=20,2,G174=15,1,G174=10,1,G174=0,0)</f>
        <v>0</v>
      </c>
      <c r="J174" s="3" t="n">
        <f aca="false">IF(H174&lt;=1,0,IF(H174&lt;=10,11,IF(H174&lt;=14,12,IF(H174&lt;=17,13,IF(H174&lt;=20,14,IF(H174&lt;=22,15,IF(H174&lt;=25,16,IF(H174&lt;=27,17,IF(H174&lt;=29,18,IF(H174&lt;=32,19,IF(H174&lt;=34,20,IF(H174&lt;=36,21,IF(H174&lt;=40,22,24)))))))))))))</f>
        <v>19</v>
      </c>
      <c r="L174" s="3" t="n">
        <v>28</v>
      </c>
      <c r="M174" s="3" t="n">
        <f aca="false">_xlfn.IFS(K174="взв",11,K174="накл",24,K174="прокл",25,K174="пт",26,K174=90,10,K174=85,10,K174=80,9,K174=75,8,K174=70,8,K174=65,7,K174=60,7,K174=55,6,K174=50,6,K174=45,6,K174=40,5,K174=35,4,K174=30,4,K174=25,3,K174=20,2,K174=15,1,K174=10,1,K174=0,0)</f>
        <v>0</v>
      </c>
      <c r="N174" s="3" t="n">
        <f aca="false">IF(L174&lt;=1,0,IF(L174&lt;=10,11,IF(L174&lt;=14,12,IF(L174&lt;=17,13,IF(L174&lt;=20,14,IF(L174&lt;=22,15,IF(L174&lt;=25,16,IF(L174&lt;=27,17,IF(L174&lt;=29,18,IF(L174&lt;=32,19,IF(L174&lt;=34,20,IF(L174&lt;=36,21,IF(L174&lt;=40,22,24)))))))))))))</f>
        <v>18</v>
      </c>
      <c r="P174" s="3" t="n">
        <v>29</v>
      </c>
      <c r="Q174" s="3" t="n">
        <f aca="false">_xlfn.IFS(O174="взв",11,O174="накл",24,O174="прокл",25,O174="пт",26,O174=90,10,O174=85,10,O174=80,9,O174=75,8,O174=70,8,O174=65,7,O174=60,7,O174=55,6,O174=50,6,O174=45,6,O174=40,5,O174=35,4,O174=30,4,O174=25,3,O174=20,2,O174=15,1,O174=10,1,O174=0,0)</f>
        <v>0</v>
      </c>
      <c r="R174" s="3" t="n">
        <f aca="false">IF(P174&lt;=1,0,IF(P174&lt;=10,11,IF(P174&lt;=14,12,IF(P174&lt;=17,13,IF(P174&lt;=20,14,IF(P174&lt;=22,15,IF(P174&lt;=25,16,IF(P174&lt;=27,17,IF(P174&lt;=29,18,IF(P174&lt;=32,19,IF(P174&lt;=34,20,IF(P174&lt;=36,21,IF(P174&lt;=40,22,24)))))))))))))</f>
        <v>18</v>
      </c>
      <c r="S174" s="14" t="n">
        <f aca="false">ROUND((Q174+R174+I174+J174+M174+N174)/3,0)</f>
        <v>18</v>
      </c>
      <c r="T174" s="15" t="n">
        <f aca="false">F174*LOG10(S174+2)</f>
        <v>9.10720996964787</v>
      </c>
    </row>
    <row r="175" customFormat="false" ht="14.65" hidden="false" customHeight="true" outlineLevel="0" collapsed="false">
      <c r="A175" s="12" t="s">
        <v>207</v>
      </c>
      <c r="B175" s="13" t="n">
        <v>38880</v>
      </c>
      <c r="C175" s="3" t="s">
        <v>24</v>
      </c>
      <c r="D175" s="4" t="s">
        <v>155</v>
      </c>
      <c r="E175" s="3" t="n">
        <v>6</v>
      </c>
      <c r="F175" s="3" t="n">
        <v>7</v>
      </c>
      <c r="H175" s="3" t="n">
        <v>25</v>
      </c>
      <c r="I175" s="3" t="n">
        <f aca="false">_xlfn.IFS(G175="взв",11,G175="накл",24,G175="прокл",25,G175="пт",26,G175=90,10,G175=85,10,G175=80,9,G175=75,8,G175=70,8,G175=65,7,G175=60,7,G175=55,6,G175=50,6,G175=45,6,G175=40,5,G175=35,4,G175=30,4,G175=25,3,G175=20,2,G175=15,1,G175=10,1,G175=0,0)</f>
        <v>0</v>
      </c>
      <c r="J175" s="3" t="n">
        <f aca="false">IF(H175&lt;=1,0,IF(H175&lt;=10,11,IF(H175&lt;=14,12,IF(H175&lt;=17,13,IF(H175&lt;=20,14,IF(H175&lt;=22,15,IF(H175&lt;=25,16,IF(H175&lt;=27,17,IF(H175&lt;=29,18,IF(H175&lt;=32,19,IF(H175&lt;=34,20,IF(H175&lt;=36,21,IF(H175&lt;=40,22,24)))))))))))))</f>
        <v>16</v>
      </c>
      <c r="L175" s="3" t="n">
        <v>21</v>
      </c>
      <c r="M175" s="3" t="n">
        <f aca="false">_xlfn.IFS(K175="взв",11,K175="накл",24,K175="прокл",25,K175="пт",26,K175=90,10,K175=85,10,K175=80,9,K175=75,8,K175=70,8,K175=65,7,K175=60,7,K175=55,6,K175=50,6,K175=45,6,K175=40,5,K175=35,4,K175=30,4,K175=25,3,K175=20,2,K175=15,1,K175=10,1,K175=0,0)</f>
        <v>0</v>
      </c>
      <c r="N175" s="3" t="n">
        <f aca="false">IF(L175&lt;=1,0,IF(L175&lt;=10,11,IF(L175&lt;=14,12,IF(L175&lt;=17,13,IF(L175&lt;=20,14,IF(L175&lt;=22,15,IF(L175&lt;=25,16,IF(L175&lt;=27,17,IF(L175&lt;=29,18,IF(L175&lt;=32,19,IF(L175&lt;=34,20,IF(L175&lt;=36,21,IF(L175&lt;=40,22,24)))))))))))))</f>
        <v>15</v>
      </c>
      <c r="P175" s="3" t="n">
        <v>30</v>
      </c>
      <c r="Q175" s="3" t="n">
        <f aca="false">_xlfn.IFS(O175="взв",11,O175="накл",24,O175="прокл",25,O175="пт",26,O175=90,10,O175=85,10,O175=80,9,O175=75,8,O175=70,8,O175=65,7,O175=60,7,O175=55,6,O175=50,6,O175=45,6,O175=40,5,O175=35,4,O175=30,4,O175=25,3,O175=20,2,O175=15,1,O175=10,1,O175=0,0)</f>
        <v>0</v>
      </c>
      <c r="R175" s="3" t="n">
        <f aca="false">IF(P175&lt;=1,0,IF(P175&lt;=10,11,IF(P175&lt;=14,12,IF(P175&lt;=17,13,IF(P175&lt;=20,14,IF(P175&lt;=22,15,IF(P175&lt;=25,16,IF(P175&lt;=27,17,IF(P175&lt;=29,18,IF(P175&lt;=32,19,IF(P175&lt;=34,20,IF(P175&lt;=36,21,IF(P175&lt;=40,22,24)))))))))))))</f>
        <v>19</v>
      </c>
      <c r="S175" s="14" t="n">
        <f aca="false">ROUND((Q175+R175+I175+J175+M175+N175)/3,0)</f>
        <v>17</v>
      </c>
      <c r="T175" s="15" t="n">
        <f aca="false">F175*LOG10(S175+2)</f>
        <v>8.9512752066698</v>
      </c>
    </row>
    <row r="176" customFormat="false" ht="14.65" hidden="false" customHeight="true" outlineLevel="0" collapsed="false">
      <c r="A176" s="12" t="s">
        <v>208</v>
      </c>
      <c r="B176" s="13" t="n">
        <v>38880</v>
      </c>
      <c r="C176" s="3" t="s">
        <v>24</v>
      </c>
      <c r="D176" s="4" t="s">
        <v>155</v>
      </c>
      <c r="E176" s="3" t="n">
        <v>3</v>
      </c>
      <c r="F176" s="3" t="n">
        <v>7</v>
      </c>
      <c r="G176" s="3" t="n">
        <v>90</v>
      </c>
      <c r="I176" s="3" t="n">
        <f aca="false">_xlfn.IFS(G176="взв",11,G176="накл",24,G176="прокл",25,G176="пт",26,G176=90,10,G176=85,10,G176=80,9,G176=75,8,G176=70,8,G176=65,7,G176=60,7,G176=55,6,G176=50,6,G176=45,6,G176=40,5,G176=35,4,G176=30,4,G176=25,3,G176=20,2,G176=15,1,G176=10,1,G176=0,0)</f>
        <v>10</v>
      </c>
      <c r="J176" s="3" t="n">
        <f aca="false">IF(H176&lt;=1,0,IF(H176&lt;=10,11,IF(H176&lt;=14,12,IF(H176&lt;=17,13,IF(H176&lt;=20,14,IF(H176&lt;=22,15,IF(H176&lt;=25,16,IF(H176&lt;=27,17,IF(H176&lt;=29,18,IF(H176&lt;=32,19,IF(H176&lt;=34,20,IF(H176&lt;=36,21,IF(H176&lt;=40,22,24)))))))))))))</f>
        <v>0</v>
      </c>
      <c r="K176" s="3" t="n">
        <v>90</v>
      </c>
      <c r="M176" s="3" t="n">
        <f aca="false">_xlfn.IFS(K176="взв",11,K176="накл",24,K176="прокл",25,K176="пт",26,K176=90,10,K176=85,10,K176=80,9,K176=75,8,K176=70,8,K176=65,7,K176=60,7,K176=55,6,K176=50,6,K176=45,6,K176=40,5,K176=35,4,K176=30,4,K176=25,3,K176=20,2,K176=15,1,K176=10,1,K176=0,0)</f>
        <v>10</v>
      </c>
      <c r="N176" s="3" t="n">
        <f aca="false">IF(L176&lt;=1,0,IF(L176&lt;=10,11,IF(L176&lt;=14,12,IF(L176&lt;=17,13,IF(L176&lt;=20,14,IF(L176&lt;=22,15,IF(L176&lt;=25,16,IF(L176&lt;=27,17,IF(L176&lt;=29,18,IF(L176&lt;=32,19,IF(L176&lt;=34,20,IF(L176&lt;=36,21,IF(L176&lt;=40,22,24)))))))))))))</f>
        <v>0</v>
      </c>
      <c r="O176" s="3" t="n">
        <v>90</v>
      </c>
      <c r="Q176" s="3" t="n">
        <f aca="false">_xlfn.IFS(O176="взв",11,O176="накл",24,O176="прокл",25,O176="пт",26,O176=90,10,O176=85,10,O176=80,9,O176=75,8,O176=70,8,O176=65,7,O176=60,7,O176=55,6,O176=50,6,O176=45,6,O176=40,5,O176=35,4,O176=30,4,O176=25,3,O176=20,2,O176=15,1,O176=10,1,O176=0,0)</f>
        <v>10</v>
      </c>
      <c r="R176" s="3" t="n">
        <f aca="false">IF(P176&lt;=1,0,IF(P176&lt;=10,11,IF(P176&lt;=14,12,IF(P176&lt;=17,13,IF(P176&lt;=20,14,IF(P176&lt;=22,15,IF(P176&lt;=25,16,IF(P176&lt;=27,17,IF(P176&lt;=29,18,IF(P176&lt;=32,19,IF(P176&lt;=34,20,IF(P176&lt;=36,21,IF(P176&lt;=40,22,24)))))))))))))</f>
        <v>0</v>
      </c>
      <c r="S176" s="14" t="n">
        <f aca="false">ROUND((Q176+R176+I176+J176+M176+N176)/3,0)</f>
        <v>10</v>
      </c>
      <c r="T176" s="15" t="n">
        <f aca="false">F176*LOG10(S176+2)</f>
        <v>7.55426872233337</v>
      </c>
    </row>
    <row r="177" customFormat="false" ht="14.65" hidden="false" customHeight="true" outlineLevel="0" collapsed="false">
      <c r="A177" s="12" t="s">
        <v>209</v>
      </c>
      <c r="B177" s="13" t="n">
        <v>38880</v>
      </c>
      <c r="C177" s="3" t="s">
        <v>24</v>
      </c>
      <c r="D177" s="4" t="s">
        <v>155</v>
      </c>
      <c r="E177" s="3" t="n">
        <v>3</v>
      </c>
      <c r="F177" s="3" t="n">
        <v>7</v>
      </c>
      <c r="G177" s="3" t="n">
        <v>60</v>
      </c>
      <c r="I177" s="3" t="n">
        <f aca="false">_xlfn.IFS(G177="взв",11,G177="накл",24,G177="прокл",25,G177="пт",26,G177=90,10,G177=85,10,G177=80,9,G177=75,8,G177=70,8,G177=65,7,G177=60,7,G177=55,6,G177=50,6,G177=45,6,G177=40,5,G177=35,4,G177=30,4,G177=25,3,G177=20,2,G177=15,1,G177=10,1,G177=0,0)</f>
        <v>7</v>
      </c>
      <c r="J177" s="3" t="n">
        <f aca="false">IF(H177&lt;=1,0,IF(H177&lt;=10,11,IF(H177&lt;=14,12,IF(H177&lt;=17,13,IF(H177&lt;=20,14,IF(H177&lt;=22,15,IF(H177&lt;=25,16,IF(H177&lt;=27,17,IF(H177&lt;=29,18,IF(H177&lt;=32,19,IF(H177&lt;=34,20,IF(H177&lt;=36,21,IF(H177&lt;=40,22,24)))))))))))))</f>
        <v>0</v>
      </c>
      <c r="K177" s="3" t="n">
        <v>60</v>
      </c>
      <c r="M177" s="3" t="n">
        <f aca="false">_xlfn.IFS(K177="взв",11,K177="накл",24,K177="прокл",25,K177="пт",26,K177=90,10,K177=85,10,K177=80,9,K177=75,8,K177=70,8,K177=65,7,K177=60,7,K177=55,6,K177=50,6,K177=45,6,K177=40,5,K177=35,4,K177=30,4,K177=25,3,K177=20,2,K177=15,1,K177=10,1,K177=0,0)</f>
        <v>7</v>
      </c>
      <c r="N177" s="3" t="n">
        <f aca="false">IF(L177&lt;=1,0,IF(L177&lt;=10,11,IF(L177&lt;=14,12,IF(L177&lt;=17,13,IF(L177&lt;=20,14,IF(L177&lt;=22,15,IF(L177&lt;=25,16,IF(L177&lt;=27,17,IF(L177&lt;=29,18,IF(L177&lt;=32,19,IF(L177&lt;=34,20,IF(L177&lt;=36,21,IF(L177&lt;=40,22,24)))))))))))))</f>
        <v>0</v>
      </c>
      <c r="O177" s="3" t="n">
        <v>60</v>
      </c>
      <c r="Q177" s="3" t="n">
        <f aca="false">_xlfn.IFS(O177="взв",11,O177="накл",24,O177="прокл",25,O177="пт",26,O177=90,10,O177=85,10,O177=80,9,O177=75,8,O177=70,8,O177=65,7,O177=60,7,O177=55,6,O177=50,6,O177=45,6,O177=40,5,O177=35,4,O177=30,4,O177=25,3,O177=20,2,O177=15,1,O177=10,1,O177=0,0)</f>
        <v>7</v>
      </c>
      <c r="R177" s="3" t="n">
        <f aca="false">IF(P177&lt;=1,0,IF(P177&lt;=10,11,IF(P177&lt;=14,12,IF(P177&lt;=17,13,IF(P177&lt;=20,14,IF(P177&lt;=22,15,IF(P177&lt;=25,16,IF(P177&lt;=27,17,IF(P177&lt;=29,18,IF(P177&lt;=32,19,IF(P177&lt;=34,20,IF(P177&lt;=36,21,IF(P177&lt;=40,22,24)))))))))))))</f>
        <v>0</v>
      </c>
      <c r="S177" s="14" t="n">
        <f aca="false">ROUND((Q177+R177+I177+J177+M177+N177)/3,0)</f>
        <v>7</v>
      </c>
      <c r="T177" s="15" t="n">
        <f aca="false">F177*LOG10(S177+2)</f>
        <v>6.67969756607527</v>
      </c>
    </row>
    <row r="178" customFormat="false" ht="14.65" hidden="false" customHeight="true" outlineLevel="0" collapsed="false">
      <c r="A178" s="12" t="s">
        <v>210</v>
      </c>
      <c r="B178" s="13" t="n">
        <v>38880</v>
      </c>
      <c r="C178" s="3" t="s">
        <v>24</v>
      </c>
      <c r="D178" s="4" t="s">
        <v>155</v>
      </c>
      <c r="E178" s="3" t="n">
        <v>3</v>
      </c>
      <c r="F178" s="3" t="n">
        <v>7</v>
      </c>
      <c r="G178" s="3" t="n">
        <v>90</v>
      </c>
      <c r="I178" s="3" t="n">
        <f aca="false">_xlfn.IFS(G178="взв",11,G178="накл",24,G178="прокл",25,G178="пт",26,G178=90,10,G178=85,10,G178=80,9,G178=75,8,G178=70,8,G178=65,7,G178=60,7,G178=55,6,G178=50,6,G178=45,6,G178=40,5,G178=35,4,G178=30,4,G178=25,3,G178=20,2,G178=15,1,G178=10,1,G178=0,0)</f>
        <v>10</v>
      </c>
      <c r="J178" s="3" t="n">
        <f aca="false">IF(H178&lt;=1,0,IF(H178&lt;=10,11,IF(H178&lt;=14,12,IF(H178&lt;=17,13,IF(H178&lt;=20,14,IF(H178&lt;=22,15,IF(H178&lt;=25,16,IF(H178&lt;=27,17,IF(H178&lt;=29,18,IF(H178&lt;=32,19,IF(H178&lt;=34,20,IF(H178&lt;=36,21,IF(H178&lt;=40,22,24)))))))))))))</f>
        <v>0</v>
      </c>
      <c r="K178" s="3" t="n">
        <v>75</v>
      </c>
      <c r="M178" s="3" t="n">
        <f aca="false">_xlfn.IFS(K178="взв",11,K178="накл",24,K178="прокл",25,K178="пт",26,K178=90,10,K178=85,10,K178=80,9,K178=75,8,K178=70,8,K178=65,7,K178=60,7,K178=55,6,K178=50,6,K178=45,6,K178=40,5,K178=35,4,K178=30,4,K178=25,3,K178=20,2,K178=15,1,K178=10,1,K178=0,0)</f>
        <v>8</v>
      </c>
      <c r="N178" s="3" t="n">
        <f aca="false">IF(L178&lt;=1,0,IF(L178&lt;=10,11,IF(L178&lt;=14,12,IF(L178&lt;=17,13,IF(L178&lt;=20,14,IF(L178&lt;=22,15,IF(L178&lt;=25,16,IF(L178&lt;=27,17,IF(L178&lt;=29,18,IF(L178&lt;=32,19,IF(L178&lt;=34,20,IF(L178&lt;=36,21,IF(L178&lt;=40,22,24)))))))))))))</f>
        <v>0</v>
      </c>
      <c r="O178" s="3" t="n">
        <v>90</v>
      </c>
      <c r="Q178" s="3" t="n">
        <f aca="false">_xlfn.IFS(O178="взв",11,O178="накл",24,O178="прокл",25,O178="пт",26,O178=90,10,O178=85,10,O178=80,9,O178=75,8,O178=70,8,O178=65,7,O178=60,7,O178=55,6,O178=50,6,O178=45,6,O178=40,5,O178=35,4,O178=30,4,O178=25,3,O178=20,2,O178=15,1,O178=10,1,O178=0,0)</f>
        <v>10</v>
      </c>
      <c r="R178" s="3" t="n">
        <f aca="false">IF(P178&lt;=1,0,IF(P178&lt;=10,11,IF(P178&lt;=14,12,IF(P178&lt;=17,13,IF(P178&lt;=20,14,IF(P178&lt;=22,15,IF(P178&lt;=25,16,IF(P178&lt;=27,17,IF(P178&lt;=29,18,IF(P178&lt;=32,19,IF(P178&lt;=34,20,IF(P178&lt;=36,21,IF(P178&lt;=40,22,24)))))))))))))</f>
        <v>0</v>
      </c>
      <c r="S178" s="14" t="n">
        <f aca="false">ROUND((Q178+R178+I178+J178+M178+N178)/3,0)</f>
        <v>9</v>
      </c>
      <c r="T178" s="15" t="n">
        <f aca="false">F178*LOG10(S178+2)</f>
        <v>7.28974879610758</v>
      </c>
    </row>
    <row r="179" customFormat="false" ht="14.65" hidden="false" customHeight="true" outlineLevel="0" collapsed="false">
      <c r="A179" s="12" t="s">
        <v>211</v>
      </c>
      <c r="B179" s="13" t="n">
        <v>38880</v>
      </c>
      <c r="C179" s="3" t="s">
        <v>24</v>
      </c>
      <c r="D179" s="4" t="s">
        <v>155</v>
      </c>
      <c r="E179" s="3" t="n">
        <v>4</v>
      </c>
      <c r="F179" s="3" t="n">
        <v>7</v>
      </c>
      <c r="G179" s="3" t="n">
        <v>60</v>
      </c>
      <c r="I179" s="3" t="n">
        <f aca="false">_xlfn.IFS(G179="взв",11,G179="накл",24,G179="прокл",25,G179="пт",26,G179=90,10,G179=85,10,G179=80,9,G179=75,8,G179=70,8,G179=65,7,G179=60,7,G179=55,6,G179=50,6,G179=45,6,G179=40,5,G179=35,4,G179=30,4,G179=25,3,G179=20,2,G179=15,1,G179=10,1,G179=0,0)</f>
        <v>7</v>
      </c>
      <c r="J179" s="3" t="n">
        <f aca="false">IF(H179&lt;=1,0,IF(H179&lt;=10,11,IF(H179&lt;=14,12,IF(H179&lt;=17,13,IF(H179&lt;=20,14,IF(H179&lt;=22,15,IF(H179&lt;=25,16,IF(H179&lt;=27,17,IF(H179&lt;=29,18,IF(H179&lt;=32,19,IF(H179&lt;=34,20,IF(H179&lt;=36,21,IF(H179&lt;=40,22,24)))))))))))))</f>
        <v>0</v>
      </c>
      <c r="K179" s="3" t="n">
        <v>60</v>
      </c>
      <c r="M179" s="3" t="n">
        <f aca="false">_xlfn.IFS(K179="взв",11,K179="накл",24,K179="прокл",25,K179="пт",26,K179=90,10,K179=85,10,K179=80,9,K179=75,8,K179=70,8,K179=65,7,K179=60,7,K179=55,6,K179=50,6,K179=45,6,K179=40,5,K179=35,4,K179=30,4,K179=25,3,K179=20,2,K179=15,1,K179=10,1,K179=0,0)</f>
        <v>7</v>
      </c>
      <c r="N179" s="3" t="n">
        <f aca="false">IF(L179&lt;=1,0,IF(L179&lt;=10,11,IF(L179&lt;=14,12,IF(L179&lt;=17,13,IF(L179&lt;=20,14,IF(L179&lt;=22,15,IF(L179&lt;=25,16,IF(L179&lt;=27,17,IF(L179&lt;=29,18,IF(L179&lt;=32,19,IF(L179&lt;=34,20,IF(L179&lt;=36,21,IF(L179&lt;=40,22,24)))))))))))))</f>
        <v>0</v>
      </c>
      <c r="O179" s="3" t="n">
        <v>45</v>
      </c>
      <c r="Q179" s="3" t="n">
        <f aca="false">_xlfn.IFS(O179="взв",11,O179="накл",24,O179="прокл",25,O179="пт",26,O179=90,10,O179=85,10,O179=80,9,O179=75,8,O179=70,8,O179=65,7,O179=60,7,O179=55,6,O179=50,6,O179=45,6,O179=40,5,O179=35,4,O179=30,4,O179=25,3,O179=20,2,O179=15,1,O179=10,1,O179=0,0)</f>
        <v>6</v>
      </c>
      <c r="R179" s="3" t="n">
        <f aca="false">IF(P179&lt;=1,0,IF(P179&lt;=10,11,IF(P179&lt;=14,12,IF(P179&lt;=17,13,IF(P179&lt;=20,14,IF(P179&lt;=22,15,IF(P179&lt;=25,16,IF(P179&lt;=27,17,IF(P179&lt;=29,18,IF(P179&lt;=32,19,IF(P179&lt;=34,20,IF(P179&lt;=36,21,IF(P179&lt;=40,22,24)))))))))))))</f>
        <v>0</v>
      </c>
      <c r="S179" s="14" t="n">
        <f aca="false">ROUND((Q179+R179+I179+J179+M179+N179)/3,0)</f>
        <v>7</v>
      </c>
      <c r="T179" s="15" t="n">
        <f aca="false">F179*LOG10(S179+2)</f>
        <v>6.67969756607527</v>
      </c>
    </row>
    <row r="180" customFormat="false" ht="14.65" hidden="false" customHeight="true" outlineLevel="0" collapsed="false">
      <c r="A180" s="12" t="s">
        <v>212</v>
      </c>
      <c r="B180" s="13" t="n">
        <v>38880</v>
      </c>
      <c r="C180" s="3" t="s">
        <v>24</v>
      </c>
      <c r="D180" s="4" t="s">
        <v>155</v>
      </c>
      <c r="E180" s="3" t="n">
        <v>3</v>
      </c>
      <c r="F180" s="3" t="n">
        <v>10</v>
      </c>
      <c r="G180" s="3" t="n">
        <v>90</v>
      </c>
      <c r="I180" s="3" t="n">
        <f aca="false">_xlfn.IFS(G180="взв",11,G180="накл",24,G180="прокл",25,G180="пт",26,G180=90,10,G180=85,10,G180=80,9,G180=75,8,G180=70,8,G180=65,7,G180=60,7,G180=55,6,G180=50,6,G180=45,6,G180=40,5,G180=35,4,G180=30,4,G180=25,3,G180=20,2,G180=15,1,G180=10,1,G180=0,0)</f>
        <v>10</v>
      </c>
      <c r="J180" s="3" t="n">
        <f aca="false">IF(H180&lt;=1,0,IF(H180&lt;=10,11,IF(H180&lt;=14,12,IF(H180&lt;=17,13,IF(H180&lt;=20,14,IF(H180&lt;=22,15,IF(H180&lt;=25,16,IF(H180&lt;=27,17,IF(H180&lt;=29,18,IF(H180&lt;=32,19,IF(H180&lt;=34,20,IF(H180&lt;=36,21,IF(H180&lt;=40,22,24)))))))))))))</f>
        <v>0</v>
      </c>
      <c r="K180" s="3" t="n">
        <v>90</v>
      </c>
      <c r="M180" s="3" t="n">
        <f aca="false">_xlfn.IFS(K180="взв",11,K180="накл",24,K180="прокл",25,K180="пт",26,K180=90,10,K180=85,10,K180=80,9,K180=75,8,K180=70,8,K180=65,7,K180=60,7,K180=55,6,K180=50,6,K180=45,6,K180=40,5,K180=35,4,K180=30,4,K180=25,3,K180=20,2,K180=15,1,K180=10,1,K180=0,0)</f>
        <v>10</v>
      </c>
      <c r="N180" s="3" t="n">
        <f aca="false">IF(L180&lt;=1,0,IF(L180&lt;=10,11,IF(L180&lt;=14,12,IF(L180&lt;=17,13,IF(L180&lt;=20,14,IF(L180&lt;=22,15,IF(L180&lt;=25,16,IF(L180&lt;=27,17,IF(L180&lt;=29,18,IF(L180&lt;=32,19,IF(L180&lt;=34,20,IF(L180&lt;=36,21,IF(L180&lt;=40,22,24)))))))))))))</f>
        <v>0</v>
      </c>
      <c r="P180" s="3" t="n">
        <v>29</v>
      </c>
      <c r="Q180" s="3" t="n">
        <f aca="false">_xlfn.IFS(O180="взв",11,O180="накл",24,O180="прокл",25,O180="пт",26,O180=90,10,O180=85,10,O180=80,9,O180=75,8,O180=70,8,O180=65,7,O180=60,7,O180=55,6,O180=50,6,O180=45,6,O180=40,5,O180=35,4,O180=30,4,O180=25,3,O180=20,2,O180=15,1,O180=10,1,O180=0,0)</f>
        <v>0</v>
      </c>
      <c r="R180" s="3" t="n">
        <f aca="false">IF(P180&lt;=1,0,IF(P180&lt;=10,11,IF(P180&lt;=14,12,IF(P180&lt;=17,13,IF(P180&lt;=20,14,IF(P180&lt;=22,15,IF(P180&lt;=25,16,IF(P180&lt;=27,17,IF(P180&lt;=29,18,IF(P180&lt;=32,19,IF(P180&lt;=34,20,IF(P180&lt;=36,21,IF(P180&lt;=40,22,24)))))))))))))</f>
        <v>18</v>
      </c>
      <c r="S180" s="14" t="n">
        <f aca="false">ROUND((Q180+R180+I180+J180+M180+N180)/3,0)</f>
        <v>13</v>
      </c>
      <c r="T180" s="15" t="n">
        <f aca="false">F180*LOG10(S180+2)</f>
        <v>11.7609125905568</v>
      </c>
    </row>
    <row r="181" customFormat="false" ht="14.65" hidden="false" customHeight="true" outlineLevel="0" collapsed="false">
      <c r="A181" s="12" t="s">
        <v>213</v>
      </c>
      <c r="B181" s="13" t="n">
        <v>38880</v>
      </c>
      <c r="C181" s="3" t="s">
        <v>24</v>
      </c>
      <c r="D181" s="4" t="s">
        <v>155</v>
      </c>
      <c r="E181" s="3" t="n">
        <v>3</v>
      </c>
      <c r="F181" s="3" t="n">
        <v>10</v>
      </c>
      <c r="G181" s="3" t="n">
        <v>90</v>
      </c>
      <c r="I181" s="3" t="n">
        <f aca="false">_xlfn.IFS(G181="взв",11,G181="накл",24,G181="прокл",25,G181="пт",26,G181=90,10,G181=85,10,G181=80,9,G181=75,8,G181=70,8,G181=65,7,G181=60,7,G181=55,6,G181=50,6,G181=45,6,G181=40,5,G181=35,4,G181=30,4,G181=25,3,G181=20,2,G181=15,1,G181=10,1,G181=0,0)</f>
        <v>10</v>
      </c>
      <c r="J181" s="3" t="n">
        <f aca="false">IF(H181&lt;=1,0,IF(H181&lt;=10,11,IF(H181&lt;=14,12,IF(H181&lt;=17,13,IF(H181&lt;=20,14,IF(H181&lt;=22,15,IF(H181&lt;=25,16,IF(H181&lt;=27,17,IF(H181&lt;=29,18,IF(H181&lt;=32,19,IF(H181&lt;=34,20,IF(H181&lt;=36,21,IF(H181&lt;=40,22,24)))))))))))))</f>
        <v>0</v>
      </c>
      <c r="K181" s="3" t="n">
        <v>75</v>
      </c>
      <c r="M181" s="3" t="n">
        <f aca="false">_xlfn.IFS(K181="взв",11,K181="накл",24,K181="прокл",25,K181="пт",26,K181=90,10,K181=85,10,K181=80,9,K181=75,8,K181=70,8,K181=65,7,K181=60,7,K181=55,6,K181=50,6,K181=45,6,K181=40,5,K181=35,4,K181=30,4,K181=25,3,K181=20,2,K181=15,1,K181=10,1,K181=0,0)</f>
        <v>8</v>
      </c>
      <c r="N181" s="3" t="n">
        <f aca="false">IF(L181&lt;=1,0,IF(L181&lt;=10,11,IF(L181&lt;=14,12,IF(L181&lt;=17,13,IF(L181&lt;=20,14,IF(L181&lt;=22,15,IF(L181&lt;=25,16,IF(L181&lt;=27,17,IF(L181&lt;=29,18,IF(L181&lt;=32,19,IF(L181&lt;=34,20,IF(L181&lt;=36,21,IF(L181&lt;=40,22,24)))))))))))))</f>
        <v>0</v>
      </c>
      <c r="O181" s="3" t="n">
        <v>75</v>
      </c>
      <c r="Q181" s="3" t="n">
        <f aca="false">_xlfn.IFS(O181="взв",11,O181="накл",24,O181="прокл",25,O181="пт",26,O181=90,10,O181=85,10,O181=80,9,O181=75,8,O181=70,8,O181=65,7,O181=60,7,O181=55,6,O181=50,6,O181=45,6,O181=40,5,O181=35,4,O181=30,4,O181=25,3,O181=20,2,O181=15,1,O181=10,1,O181=0,0)</f>
        <v>8</v>
      </c>
      <c r="R181" s="3" t="n">
        <f aca="false">IF(P181&lt;=1,0,IF(P181&lt;=10,11,IF(P181&lt;=14,12,IF(P181&lt;=17,13,IF(P181&lt;=20,14,IF(P181&lt;=22,15,IF(P181&lt;=25,16,IF(P181&lt;=27,17,IF(P181&lt;=29,18,IF(P181&lt;=32,19,IF(P181&lt;=34,20,IF(P181&lt;=36,21,IF(P181&lt;=40,22,24)))))))))))))</f>
        <v>0</v>
      </c>
      <c r="S181" s="14" t="n">
        <f aca="false">ROUND((Q181+R181+I181+J181+M181+N181)/3,0)</f>
        <v>9</v>
      </c>
      <c r="T181" s="15" t="n">
        <f aca="false">F181*LOG10(S181+2)</f>
        <v>10.4139268515823</v>
      </c>
    </row>
    <row r="182" customFormat="false" ht="14.65" hidden="false" customHeight="true" outlineLevel="0" collapsed="false">
      <c r="A182" s="12" t="s">
        <v>214</v>
      </c>
      <c r="B182" s="13" t="n">
        <v>38880</v>
      </c>
      <c r="C182" s="3" t="s">
        <v>24</v>
      </c>
      <c r="D182" s="4" t="s">
        <v>155</v>
      </c>
      <c r="E182" s="3" t="n">
        <v>4</v>
      </c>
      <c r="F182" s="3" t="n">
        <v>10</v>
      </c>
      <c r="H182" s="3" t="n">
        <v>18</v>
      </c>
      <c r="I182" s="3" t="n">
        <f aca="false">_xlfn.IFS(G182="взв",11,G182="накл",24,G182="прокл",25,G182="пт",26,G182=90,10,G182=85,10,G182=80,9,G182=75,8,G182=70,8,G182=65,7,G182=60,7,G182=55,6,G182=50,6,G182=45,6,G182=40,5,G182=35,4,G182=30,4,G182=25,3,G182=20,2,G182=15,1,G182=10,1,G182=0,0)</f>
        <v>0</v>
      </c>
      <c r="J182" s="3" t="n">
        <f aca="false">IF(H182&lt;=1,0,IF(H182&lt;=10,11,IF(H182&lt;=14,12,IF(H182&lt;=17,13,IF(H182&lt;=20,14,IF(H182&lt;=22,15,IF(H182&lt;=25,16,IF(H182&lt;=27,17,IF(H182&lt;=29,18,IF(H182&lt;=32,19,IF(H182&lt;=34,20,IF(H182&lt;=36,21,IF(H182&lt;=40,22,24)))))))))))))</f>
        <v>14</v>
      </c>
      <c r="K182" s="3" t="n">
        <v>90</v>
      </c>
      <c r="M182" s="3" t="n">
        <f aca="false">_xlfn.IFS(K182="взв",11,K182="накл",24,K182="прокл",25,K182="пт",26,K182=90,10,K182=85,10,K182=80,9,K182=75,8,K182=70,8,K182=65,7,K182=60,7,K182=55,6,K182=50,6,K182=45,6,K182=40,5,K182=35,4,K182=30,4,K182=25,3,K182=20,2,K182=15,1,K182=10,1,K182=0,0)</f>
        <v>10</v>
      </c>
      <c r="N182" s="3" t="n">
        <f aca="false">IF(L182&lt;=1,0,IF(L182&lt;=10,11,IF(L182&lt;=14,12,IF(L182&lt;=17,13,IF(L182&lt;=20,14,IF(L182&lt;=22,15,IF(L182&lt;=25,16,IF(L182&lt;=27,17,IF(L182&lt;=29,18,IF(L182&lt;=32,19,IF(L182&lt;=34,20,IF(L182&lt;=36,21,IF(L182&lt;=40,22,24)))))))))))))</f>
        <v>0</v>
      </c>
      <c r="O182" s="3" t="n">
        <v>90</v>
      </c>
      <c r="Q182" s="3" t="n">
        <f aca="false">_xlfn.IFS(O182="взв",11,O182="накл",24,O182="прокл",25,O182="пт",26,O182=90,10,O182=85,10,O182=80,9,O182=75,8,O182=70,8,O182=65,7,O182=60,7,O182=55,6,O182=50,6,O182=45,6,O182=40,5,O182=35,4,O182=30,4,O182=25,3,O182=20,2,O182=15,1,O182=10,1,O182=0,0)</f>
        <v>10</v>
      </c>
      <c r="R182" s="3" t="n">
        <f aca="false">IF(P182&lt;=1,0,IF(P182&lt;=10,11,IF(P182&lt;=14,12,IF(P182&lt;=17,13,IF(P182&lt;=20,14,IF(P182&lt;=22,15,IF(P182&lt;=25,16,IF(P182&lt;=27,17,IF(P182&lt;=29,18,IF(P182&lt;=32,19,IF(P182&lt;=34,20,IF(P182&lt;=36,21,IF(P182&lt;=40,22,24)))))))))))))</f>
        <v>0</v>
      </c>
      <c r="S182" s="14" t="n">
        <f aca="false">ROUND((Q182+R182+I182+J182+M182+N182)/3,0)</f>
        <v>11</v>
      </c>
      <c r="T182" s="15" t="n">
        <f aca="false">F182*LOG10(S182+2)</f>
        <v>11.1394335230684</v>
      </c>
    </row>
    <row r="183" customFormat="false" ht="14.65" hidden="false" customHeight="true" outlineLevel="0" collapsed="false">
      <c r="A183" s="12" t="s">
        <v>215</v>
      </c>
      <c r="B183" s="13" t="n">
        <v>38880</v>
      </c>
      <c r="C183" s="3" t="s">
        <v>24</v>
      </c>
      <c r="D183" s="4" t="s">
        <v>155</v>
      </c>
      <c r="E183" s="3" t="n">
        <v>4</v>
      </c>
      <c r="F183" s="3" t="n">
        <v>10</v>
      </c>
      <c r="G183" s="3" t="n">
        <v>45</v>
      </c>
      <c r="I183" s="3" t="n">
        <f aca="false">_xlfn.IFS(G183="взв",11,G183="накл",24,G183="прокл",25,G183="пт",26,G183=90,10,G183=85,10,G183=80,9,G183=75,8,G183=70,8,G183=65,7,G183=60,7,G183=55,6,G183=50,6,G183=45,6,G183=40,5,G183=35,4,G183=30,4,G183=25,3,G183=20,2,G183=15,1,G183=10,1,G183=0,0)</f>
        <v>6</v>
      </c>
      <c r="J183" s="3" t="n">
        <f aca="false">IF(H183&lt;=1,0,IF(H183&lt;=10,11,IF(H183&lt;=14,12,IF(H183&lt;=17,13,IF(H183&lt;=20,14,IF(H183&lt;=22,15,IF(H183&lt;=25,16,IF(H183&lt;=27,17,IF(H183&lt;=29,18,IF(H183&lt;=32,19,IF(H183&lt;=34,20,IF(H183&lt;=36,21,IF(H183&lt;=40,22,24)))))))))))))</f>
        <v>0</v>
      </c>
      <c r="K183" s="3" t="n">
        <v>45</v>
      </c>
      <c r="M183" s="3" t="n">
        <f aca="false">_xlfn.IFS(K183="взв",11,K183="накл",24,K183="прокл",25,K183="пт",26,K183=90,10,K183=85,10,K183=80,9,K183=75,8,K183=70,8,K183=65,7,K183=60,7,K183=55,6,K183=50,6,K183=45,6,K183=40,5,K183=35,4,K183=30,4,K183=25,3,K183=20,2,K183=15,1,K183=10,1,K183=0,0)</f>
        <v>6</v>
      </c>
      <c r="N183" s="3" t="n">
        <f aca="false">IF(L183&lt;=1,0,IF(L183&lt;=10,11,IF(L183&lt;=14,12,IF(L183&lt;=17,13,IF(L183&lt;=20,14,IF(L183&lt;=22,15,IF(L183&lt;=25,16,IF(L183&lt;=27,17,IF(L183&lt;=29,18,IF(L183&lt;=32,19,IF(L183&lt;=34,20,IF(L183&lt;=36,21,IF(L183&lt;=40,22,24)))))))))))))</f>
        <v>0</v>
      </c>
      <c r="O183" s="3" t="n">
        <v>45</v>
      </c>
      <c r="Q183" s="3" t="n">
        <f aca="false">_xlfn.IFS(O183="взв",11,O183="накл",24,O183="прокл",25,O183="пт",26,O183=90,10,O183=85,10,O183=80,9,O183=75,8,O183=70,8,O183=65,7,O183=60,7,O183=55,6,O183=50,6,O183=45,6,O183=40,5,O183=35,4,O183=30,4,O183=25,3,O183=20,2,O183=15,1,O183=10,1,O183=0,0)</f>
        <v>6</v>
      </c>
      <c r="R183" s="3" t="n">
        <f aca="false">IF(P183&lt;=1,0,IF(P183&lt;=10,11,IF(P183&lt;=14,12,IF(P183&lt;=17,13,IF(P183&lt;=20,14,IF(P183&lt;=22,15,IF(P183&lt;=25,16,IF(P183&lt;=27,17,IF(P183&lt;=29,18,IF(P183&lt;=32,19,IF(P183&lt;=34,20,IF(P183&lt;=36,21,IF(P183&lt;=40,22,24)))))))))))))</f>
        <v>0</v>
      </c>
      <c r="S183" s="14" t="n">
        <f aca="false">ROUND((Q183+R183+I183+J183+M183+N183)/3,0)</f>
        <v>6</v>
      </c>
      <c r="T183" s="15" t="n">
        <f aca="false">F183*LOG10(S183+2)</f>
        <v>9.03089986991944</v>
      </c>
    </row>
    <row r="184" customFormat="false" ht="14.65" hidden="false" customHeight="true" outlineLevel="0" collapsed="false">
      <c r="A184" s="12" t="s">
        <v>216</v>
      </c>
      <c r="B184" s="13" t="n">
        <v>38880</v>
      </c>
      <c r="C184" s="3" t="s">
        <v>24</v>
      </c>
      <c r="D184" s="4" t="s">
        <v>155</v>
      </c>
      <c r="E184" s="3" t="n">
        <v>3</v>
      </c>
      <c r="F184" s="3" t="n">
        <v>12</v>
      </c>
      <c r="G184" s="3" t="n">
        <v>0</v>
      </c>
      <c r="I184" s="3" t="n">
        <f aca="false">_xlfn.IFS(G184="взв",11,G184="накл",24,G184="прокл",25,G184="пт",26,G184=90,10,G184=85,10,G184=80,9,G184=75,8,G184=70,8,G184=65,7,G184=60,7,G184=55,6,G184=50,6,G184=45,6,G184=40,5,G184=35,4,G184=30,4,G184=25,3,G184=20,2,G184=15,1,G184=10,1,G184=0,0)</f>
        <v>0</v>
      </c>
      <c r="J184" s="3" t="n">
        <f aca="false">IF(H184&lt;=1,0,IF(H184&lt;=10,11,IF(H184&lt;=14,12,IF(H184&lt;=17,13,IF(H184&lt;=20,14,IF(H184&lt;=22,15,IF(H184&lt;=25,16,IF(H184&lt;=27,17,IF(H184&lt;=29,18,IF(H184&lt;=32,19,IF(H184&lt;=34,20,IF(H184&lt;=36,21,IF(H184&lt;=40,22,24)))))))))))))</f>
        <v>0</v>
      </c>
      <c r="K184" s="3" t="n">
        <v>15</v>
      </c>
      <c r="M184" s="3" t="n">
        <f aca="false">_xlfn.IFS(K184="взв",11,K184="накл",24,K184="прокл",25,K184="пт",26,K184=90,10,K184=85,10,K184=80,9,K184=75,8,K184=70,8,K184=65,7,K184=60,7,K184=55,6,K184=50,6,K184=45,6,K184=40,5,K184=35,4,K184=30,4,K184=25,3,K184=20,2,K184=15,1,K184=10,1,K184=0,0)</f>
        <v>1</v>
      </c>
      <c r="N184" s="3" t="n">
        <f aca="false">IF(L184&lt;=1,0,IF(L184&lt;=10,11,IF(L184&lt;=14,12,IF(L184&lt;=17,13,IF(L184&lt;=20,14,IF(L184&lt;=22,15,IF(L184&lt;=25,16,IF(L184&lt;=27,17,IF(L184&lt;=29,18,IF(L184&lt;=32,19,IF(L184&lt;=34,20,IF(L184&lt;=36,21,IF(L184&lt;=40,22,24)))))))))))))</f>
        <v>0</v>
      </c>
      <c r="O184" s="3" t="n">
        <v>15</v>
      </c>
      <c r="Q184" s="3" t="n">
        <f aca="false">_xlfn.IFS(O184="взв",11,O184="накл",24,O184="прокл",25,O184="пт",26,O184=90,10,O184=85,10,O184=80,9,O184=75,8,O184=70,8,O184=65,7,O184=60,7,O184=55,6,O184=50,6,O184=45,6,O184=40,5,O184=35,4,O184=30,4,O184=25,3,O184=20,2,O184=15,1,O184=10,1,O184=0,0)</f>
        <v>1</v>
      </c>
      <c r="R184" s="3" t="n">
        <f aca="false">IF(P184&lt;=1,0,IF(P184&lt;=10,11,IF(P184&lt;=14,12,IF(P184&lt;=17,13,IF(P184&lt;=20,14,IF(P184&lt;=22,15,IF(P184&lt;=25,16,IF(P184&lt;=27,17,IF(P184&lt;=29,18,IF(P184&lt;=32,19,IF(P184&lt;=34,20,IF(P184&lt;=36,21,IF(P184&lt;=40,22,24)))))))))))))</f>
        <v>0</v>
      </c>
      <c r="S184" s="14" t="n">
        <f aca="false">ROUND((Q184+R184+I184+J184+M184+N184)/3,0)</f>
        <v>1</v>
      </c>
      <c r="T184" s="15" t="n">
        <f aca="false">F184*LOG10(S184+2)</f>
        <v>5.72545505663595</v>
      </c>
    </row>
    <row r="185" customFormat="false" ht="14.65" hidden="false" customHeight="true" outlineLevel="0" collapsed="false">
      <c r="A185" s="12" t="s">
        <v>217</v>
      </c>
      <c r="B185" s="13" t="n">
        <v>38880</v>
      </c>
      <c r="C185" s="3" t="s">
        <v>24</v>
      </c>
      <c r="D185" s="4" t="s">
        <v>155</v>
      </c>
      <c r="E185" s="3" t="n">
        <v>4</v>
      </c>
      <c r="F185" s="3" t="n">
        <v>12</v>
      </c>
      <c r="H185" s="3" t="n">
        <v>37</v>
      </c>
      <c r="I185" s="3" t="n">
        <f aca="false">_xlfn.IFS(G185="взв",11,G185="накл",24,G185="прокл",25,G185="пт",26,G185=90,10,G185=85,10,G185=80,9,G185=75,8,G185=70,8,G185=65,7,G185=60,7,G185=55,6,G185=50,6,G185=45,6,G185=40,5,G185=35,4,G185=30,4,G185=25,3,G185=20,2,G185=15,1,G185=10,1,G185=0,0)</f>
        <v>0</v>
      </c>
      <c r="J185" s="3" t="n">
        <f aca="false">IF(H185&lt;=1,0,IF(H185&lt;=10,11,IF(H185&lt;=14,12,IF(H185&lt;=17,13,IF(H185&lt;=20,14,IF(H185&lt;=22,15,IF(H185&lt;=25,16,IF(H185&lt;=27,17,IF(H185&lt;=29,18,IF(H185&lt;=32,19,IF(H185&lt;=34,20,IF(H185&lt;=36,21,IF(H185&lt;=40,22,24)))))))))))))</f>
        <v>22</v>
      </c>
      <c r="L185" s="3" t="n">
        <v>36</v>
      </c>
      <c r="M185" s="3" t="n">
        <f aca="false">_xlfn.IFS(K185="взв",11,K185="накл",24,K185="прокл",25,K185="пт",26,K185=90,10,K185=85,10,K185=80,9,K185=75,8,K185=70,8,K185=65,7,K185=60,7,K185=55,6,K185=50,6,K185=45,6,K185=40,5,K185=35,4,K185=30,4,K185=25,3,K185=20,2,K185=15,1,K185=10,1,K185=0,0)</f>
        <v>0</v>
      </c>
      <c r="N185" s="3" t="n">
        <f aca="false">IF(L185&lt;=1,0,IF(L185&lt;=10,11,IF(L185&lt;=14,12,IF(L185&lt;=17,13,IF(L185&lt;=20,14,IF(L185&lt;=22,15,IF(L185&lt;=25,16,IF(L185&lt;=27,17,IF(L185&lt;=29,18,IF(L185&lt;=32,19,IF(L185&lt;=34,20,IF(L185&lt;=36,21,IF(L185&lt;=40,22,24)))))))))))))</f>
        <v>21</v>
      </c>
      <c r="P185" s="3" t="n">
        <v>38</v>
      </c>
      <c r="Q185" s="3" t="n">
        <f aca="false">_xlfn.IFS(O185="взв",11,O185="накл",24,O185="прокл",25,O185="пт",26,O185=90,10,O185=85,10,O185=80,9,O185=75,8,O185=70,8,O185=65,7,O185=60,7,O185=55,6,O185=50,6,O185=45,6,O185=40,5,O185=35,4,O185=30,4,O185=25,3,O185=20,2,O185=15,1,O185=10,1,O185=0,0)</f>
        <v>0</v>
      </c>
      <c r="R185" s="3" t="n">
        <f aca="false">IF(P185&lt;=1,0,IF(P185&lt;=10,11,IF(P185&lt;=14,12,IF(P185&lt;=17,13,IF(P185&lt;=20,14,IF(P185&lt;=22,15,IF(P185&lt;=25,16,IF(P185&lt;=27,17,IF(P185&lt;=29,18,IF(P185&lt;=32,19,IF(P185&lt;=34,20,IF(P185&lt;=36,21,IF(P185&lt;=40,22,24)))))))))))))</f>
        <v>22</v>
      </c>
      <c r="S185" s="14" t="n">
        <f aca="false">ROUND((Q185+R185+I185+J185+M185+N185)/3,0)</f>
        <v>22</v>
      </c>
      <c r="T185" s="15" t="n">
        <f aca="false">F185*LOG10(S185+2)</f>
        <v>16.5625349005393</v>
      </c>
    </row>
    <row r="186" customFormat="false" ht="14.65" hidden="false" customHeight="true" outlineLevel="0" collapsed="false">
      <c r="A186" s="12" t="s">
        <v>218</v>
      </c>
      <c r="B186" s="13" t="n">
        <v>38880</v>
      </c>
      <c r="C186" s="3" t="s">
        <v>24</v>
      </c>
      <c r="D186" s="4" t="s">
        <v>155</v>
      </c>
      <c r="E186" s="3" t="n">
        <v>3</v>
      </c>
      <c r="F186" s="3" t="n">
        <v>12</v>
      </c>
      <c r="G186" s="3" t="n">
        <v>45</v>
      </c>
      <c r="I186" s="3" t="n">
        <f aca="false">_xlfn.IFS(G186="взв",11,G186="накл",24,G186="прокл",25,G186="пт",26,G186=90,10,G186=85,10,G186=80,9,G186=75,8,G186=70,8,G186=65,7,G186=60,7,G186=55,6,G186=50,6,G186=45,6,G186=40,5,G186=35,4,G186=30,4,G186=25,3,G186=20,2,G186=15,1,G186=10,1,G186=0,0)</f>
        <v>6</v>
      </c>
      <c r="J186" s="3" t="n">
        <f aca="false">IF(H186&lt;=1,0,IF(H186&lt;=10,11,IF(H186&lt;=14,12,IF(H186&lt;=17,13,IF(H186&lt;=20,14,IF(H186&lt;=22,15,IF(H186&lt;=25,16,IF(H186&lt;=27,17,IF(H186&lt;=29,18,IF(H186&lt;=32,19,IF(H186&lt;=34,20,IF(H186&lt;=36,21,IF(H186&lt;=40,22,24)))))))))))))</f>
        <v>0</v>
      </c>
      <c r="K186" s="3" t="n">
        <v>45</v>
      </c>
      <c r="M186" s="3" t="n">
        <f aca="false">_xlfn.IFS(K186="взв",11,K186="накл",24,K186="прокл",25,K186="пт",26,K186=90,10,K186=85,10,K186=80,9,K186=75,8,K186=70,8,K186=65,7,K186=60,7,K186=55,6,K186=50,6,K186=45,6,K186=40,5,K186=35,4,K186=30,4,K186=25,3,K186=20,2,K186=15,1,K186=10,1,K186=0,0)</f>
        <v>6</v>
      </c>
      <c r="N186" s="3" t="n">
        <f aca="false">IF(L186&lt;=1,0,IF(L186&lt;=10,11,IF(L186&lt;=14,12,IF(L186&lt;=17,13,IF(L186&lt;=20,14,IF(L186&lt;=22,15,IF(L186&lt;=25,16,IF(L186&lt;=27,17,IF(L186&lt;=29,18,IF(L186&lt;=32,19,IF(L186&lt;=34,20,IF(L186&lt;=36,21,IF(L186&lt;=40,22,24)))))))))))))</f>
        <v>0</v>
      </c>
      <c r="O186" s="3" t="n">
        <v>45</v>
      </c>
      <c r="Q186" s="3" t="n">
        <f aca="false">_xlfn.IFS(O186="взв",11,O186="накл",24,O186="прокл",25,O186="пт",26,O186=90,10,O186=85,10,O186=80,9,O186=75,8,O186=70,8,O186=65,7,O186=60,7,O186=55,6,O186=50,6,O186=45,6,O186=40,5,O186=35,4,O186=30,4,O186=25,3,O186=20,2,O186=15,1,O186=10,1,O186=0,0)</f>
        <v>6</v>
      </c>
      <c r="R186" s="3" t="n">
        <f aca="false">IF(P186&lt;=1,0,IF(P186&lt;=10,11,IF(P186&lt;=14,12,IF(P186&lt;=17,13,IF(P186&lt;=20,14,IF(P186&lt;=22,15,IF(P186&lt;=25,16,IF(P186&lt;=27,17,IF(P186&lt;=29,18,IF(P186&lt;=32,19,IF(P186&lt;=34,20,IF(P186&lt;=36,21,IF(P186&lt;=40,22,24)))))))))))))</f>
        <v>0</v>
      </c>
      <c r="S186" s="14" t="n">
        <f aca="false">ROUND((Q186+R186+I186+J186+M186+N186)/3,0)</f>
        <v>6</v>
      </c>
      <c r="T186" s="15" t="n">
        <f aca="false">F186*LOG10(S186+2)</f>
        <v>10.8370798439033</v>
      </c>
    </row>
    <row r="187" customFormat="false" ht="14.65" hidden="false" customHeight="true" outlineLevel="0" collapsed="false">
      <c r="A187" s="12" t="s">
        <v>219</v>
      </c>
      <c r="B187" s="13" t="n">
        <v>38880</v>
      </c>
      <c r="C187" s="3" t="s">
        <v>24</v>
      </c>
      <c r="D187" s="4" t="s">
        <v>155</v>
      </c>
      <c r="E187" s="3" t="n">
        <v>2</v>
      </c>
      <c r="F187" s="3" t="n">
        <v>12</v>
      </c>
      <c r="H187" s="3" t="n">
        <v>37</v>
      </c>
      <c r="I187" s="3" t="n">
        <f aca="false">_xlfn.IFS(G187="взв",11,G187="накл",24,G187="прокл",25,G187="пт",26,G187=90,10,G187=85,10,G187=80,9,G187=75,8,G187=70,8,G187=65,7,G187=60,7,G187=55,6,G187=50,6,G187=45,6,G187=40,5,G187=35,4,G187=30,4,G187=25,3,G187=20,2,G187=15,1,G187=10,1,G187=0,0)</f>
        <v>0</v>
      </c>
      <c r="J187" s="3" t="n">
        <f aca="false">IF(H187&lt;=1,0,IF(H187&lt;=10,11,IF(H187&lt;=14,12,IF(H187&lt;=17,13,IF(H187&lt;=20,14,IF(H187&lt;=22,15,IF(H187&lt;=25,16,IF(H187&lt;=27,17,IF(H187&lt;=29,18,IF(H187&lt;=32,19,IF(H187&lt;=34,20,IF(H187&lt;=36,21,IF(H187&lt;=40,22,24)))))))))))))</f>
        <v>22</v>
      </c>
      <c r="L187" s="3" t="n">
        <v>40</v>
      </c>
      <c r="M187" s="3" t="n">
        <f aca="false">_xlfn.IFS(K187="взв",11,K187="накл",24,K187="прокл",25,K187="пт",26,K187=90,10,K187=85,10,K187=80,9,K187=75,8,K187=70,8,K187=65,7,K187=60,7,K187=55,6,K187=50,6,K187=45,6,K187=40,5,K187=35,4,K187=30,4,K187=25,3,K187=20,2,K187=15,1,K187=10,1,K187=0,0)</f>
        <v>0</v>
      </c>
      <c r="N187" s="3" t="n">
        <f aca="false">IF(L187&lt;=1,0,IF(L187&lt;=10,11,IF(L187&lt;=14,12,IF(L187&lt;=17,13,IF(L187&lt;=20,14,IF(L187&lt;=22,15,IF(L187&lt;=25,16,IF(L187&lt;=27,17,IF(L187&lt;=29,18,IF(L187&lt;=32,19,IF(L187&lt;=34,20,IF(L187&lt;=36,21,IF(L187&lt;=40,22,24)))))))))))))</f>
        <v>22</v>
      </c>
      <c r="Q187" s="3" t="n">
        <f aca="false">_xlfn.IFS(O187="взв",11,O187="накл",24,O187="прокл",25,O187="пт",26,O187=90,10,O187=85,10,O187=80,9,O187=75,8,O187=70,8,O187=65,7,O187=60,7,O187=55,6,O187=50,6,O187=45,6,O187=40,5,O187=35,4,O187=30,4,O187=25,3,O187=20,2,O187=15,1,O187=10,1,O187=0,0)</f>
        <v>0</v>
      </c>
      <c r="R187" s="3" t="n">
        <f aca="false">IF(P187&lt;=1,0,IF(P187&lt;=10,11,IF(P187&lt;=14,12,IF(P187&lt;=17,13,IF(P187&lt;=20,14,IF(P187&lt;=22,15,IF(P187&lt;=25,16,IF(P187&lt;=27,17,IF(P187&lt;=29,18,IF(P187&lt;=32,19,IF(P187&lt;=34,20,IF(P187&lt;=36,21,IF(P187&lt;=40,22,24)))))))))))))</f>
        <v>0</v>
      </c>
      <c r="S187" s="14" t="n">
        <f aca="false">ROUND((Q187+R187+I187+J187+M187+N187)/3,0)</f>
        <v>15</v>
      </c>
      <c r="T187" s="15" t="n">
        <f aca="false">F187*LOG10(S187+2)</f>
        <v>14.7653870565393</v>
      </c>
    </row>
    <row r="188" customFormat="false" ht="14.65" hidden="false" customHeight="true" outlineLevel="0" collapsed="false">
      <c r="A188" s="12" t="s">
        <v>220</v>
      </c>
      <c r="B188" s="13" t="n">
        <v>38880</v>
      </c>
      <c r="C188" s="3" t="s">
        <v>24</v>
      </c>
      <c r="D188" s="4" t="s">
        <v>155</v>
      </c>
      <c r="E188" s="3" t="n">
        <v>5</v>
      </c>
      <c r="F188" s="3" t="n">
        <v>0</v>
      </c>
      <c r="G188" s="3" t="s">
        <v>27</v>
      </c>
      <c r="I188" s="3" t="n">
        <f aca="false">_xlfn.IFS(G188="взв",11,G188="накл",24,G188="прокл",25,G188="пт",26,G188=90,10,G188=85,10,G188=80,9,G188=75,8,G188=70,8,G188=65,7,G188=60,7,G188=55,6,G188=50,6,G188=45,6,G188=40,5,G188=35,4,G188=30,4,G188=25,3,G188=20,2,G188=15,1,G188=10,1,G188=0,0)</f>
        <v>24</v>
      </c>
      <c r="J188" s="3" t="n">
        <f aca="false">IF(H188&lt;=1,0,IF(H188&lt;=10,11,IF(H188&lt;=14,12,IF(H188&lt;=17,13,IF(H188&lt;=20,14,IF(H188&lt;=22,15,IF(H188&lt;=25,16,IF(H188&lt;=27,17,IF(H188&lt;=29,18,IF(H188&lt;=32,19,IF(H188&lt;=34,20,IF(H188&lt;=36,21,IF(H188&lt;=40,22,24)))))))))))))</f>
        <v>0</v>
      </c>
      <c r="K188" s="3" t="s">
        <v>38</v>
      </c>
      <c r="M188" s="3" t="n">
        <f aca="false">_xlfn.IFS(K188="взв",11,K188="накл",24,K188="прокл",25,K188="пт",26,K188=90,10,K188=85,10,K188=80,9,K188=75,8,K188=70,8,K188=65,7,K188=60,7,K188=55,6,K188=50,6,K188=45,6,K188=40,5,K188=35,4,K188=30,4,K188=25,3,K188=20,2,K188=15,1,K188=10,1,K188=0,0)</f>
        <v>26</v>
      </c>
      <c r="N188" s="3" t="n">
        <f aca="false">IF(L188&lt;=1,0,IF(L188&lt;=10,11,IF(L188&lt;=14,12,IF(L188&lt;=17,13,IF(L188&lt;=20,14,IF(L188&lt;=22,15,IF(L188&lt;=25,16,IF(L188&lt;=27,17,IF(L188&lt;=29,18,IF(L188&lt;=32,19,IF(L188&lt;=34,20,IF(L188&lt;=36,21,IF(L188&lt;=40,22,24)))))))))))))</f>
        <v>0</v>
      </c>
      <c r="O188" s="3" t="s">
        <v>38</v>
      </c>
      <c r="Q188" s="3" t="n">
        <f aca="false">_xlfn.IFS(O188="взв",11,O188="накл",24,O188="прокл",25,O188="пт",26,O188=90,10,O188=85,10,O188=80,9,O188=75,8,O188=70,8,O188=65,7,O188=60,7,O188=55,6,O188=50,6,O188=45,6,O188=40,5,O188=35,4,O188=30,4,O188=25,3,O188=20,2,O188=15,1,O188=10,1,O188=0,0)</f>
        <v>26</v>
      </c>
      <c r="R188" s="3" t="n">
        <f aca="false">IF(P188&lt;=1,0,IF(P188&lt;=10,11,IF(P188&lt;=14,12,IF(P188&lt;=17,13,IF(P188&lt;=20,14,IF(P188&lt;=22,15,IF(P188&lt;=25,16,IF(P188&lt;=27,17,IF(P188&lt;=29,18,IF(P188&lt;=32,19,IF(P188&lt;=34,20,IF(P188&lt;=36,21,IF(P188&lt;=40,22,24)))))))))))))</f>
        <v>0</v>
      </c>
      <c r="S188" s="14" t="n">
        <f aca="false">ROUND((Q188+R188+I188+J188+M188+N188)/3,0)</f>
        <v>25</v>
      </c>
      <c r="T188" s="15" t="n">
        <f aca="false">F188*LOG10(S188+2)</f>
        <v>0</v>
      </c>
    </row>
    <row r="189" customFormat="false" ht="14.65" hidden="false" customHeight="true" outlineLevel="0" collapsed="false">
      <c r="A189" s="12" t="s">
        <v>221</v>
      </c>
      <c r="B189" s="13" t="n">
        <v>38880</v>
      </c>
      <c r="C189" s="3" t="s">
        <v>24</v>
      </c>
      <c r="D189" s="4" t="s">
        <v>155</v>
      </c>
      <c r="E189" s="3" t="n">
        <v>4</v>
      </c>
      <c r="F189" s="3" t="n">
        <v>0</v>
      </c>
      <c r="H189" s="3" t="n">
        <v>32</v>
      </c>
      <c r="I189" s="3" t="n">
        <f aca="false">_xlfn.IFS(G189="взв",11,G189="накл",24,G189="прокл",25,G189="пт",26,G189=90,10,G189=85,10,G189=80,9,G189=75,8,G189=70,8,G189=65,7,G189=60,7,G189=55,6,G189=50,6,G189=45,6,G189=40,5,G189=35,4,G189=30,4,G189=25,3,G189=20,2,G189=15,1,G189=10,1,G189=0,0)</f>
        <v>0</v>
      </c>
      <c r="J189" s="3" t="n">
        <f aca="false">IF(H189&lt;=1,0,IF(H189&lt;=10,11,IF(H189&lt;=14,12,IF(H189&lt;=17,13,IF(H189&lt;=20,14,IF(H189&lt;=22,15,IF(H189&lt;=25,16,IF(H189&lt;=27,17,IF(H189&lt;=29,18,IF(H189&lt;=32,19,IF(H189&lt;=34,20,IF(H189&lt;=36,21,IF(H189&lt;=40,22,24)))))))))))))</f>
        <v>19</v>
      </c>
      <c r="L189" s="3" t="n">
        <v>36</v>
      </c>
      <c r="M189" s="3" t="n">
        <f aca="false">_xlfn.IFS(K189="взв",11,K189="накл",24,K189="прокл",25,K189="пт",26,K189=90,10,K189=85,10,K189=80,9,K189=75,8,K189=70,8,K189=65,7,K189=60,7,K189=55,6,K189=50,6,K189=45,6,K189=40,5,K189=35,4,K189=30,4,K189=25,3,K189=20,2,K189=15,1,K189=10,1,K189=0,0)</f>
        <v>0</v>
      </c>
      <c r="N189" s="3" t="n">
        <f aca="false">IF(L189&lt;=1,0,IF(L189&lt;=10,11,IF(L189&lt;=14,12,IF(L189&lt;=17,13,IF(L189&lt;=20,14,IF(L189&lt;=22,15,IF(L189&lt;=25,16,IF(L189&lt;=27,17,IF(L189&lt;=29,18,IF(L189&lt;=32,19,IF(L189&lt;=34,20,IF(L189&lt;=36,21,IF(L189&lt;=40,22,24)))))))))))))</f>
        <v>21</v>
      </c>
      <c r="P189" s="3" t="n">
        <v>32</v>
      </c>
      <c r="Q189" s="3" t="n">
        <f aca="false">_xlfn.IFS(O189="взв",11,O189="накл",24,O189="прокл",25,O189="пт",26,O189=90,10,O189=85,10,O189=80,9,O189=75,8,O189=70,8,O189=65,7,O189=60,7,O189=55,6,O189=50,6,O189=45,6,O189=40,5,O189=35,4,O189=30,4,O189=25,3,O189=20,2,O189=15,1,O189=10,1,O189=0,0)</f>
        <v>0</v>
      </c>
      <c r="R189" s="3" t="n">
        <f aca="false">IF(P189&lt;=1,0,IF(P189&lt;=10,11,IF(P189&lt;=14,12,IF(P189&lt;=17,13,IF(P189&lt;=20,14,IF(P189&lt;=22,15,IF(P189&lt;=25,16,IF(P189&lt;=27,17,IF(P189&lt;=29,18,IF(P189&lt;=32,19,IF(P189&lt;=34,20,IF(P189&lt;=36,21,IF(P189&lt;=40,22,24)))))))))))))</f>
        <v>19</v>
      </c>
      <c r="S189" s="14" t="n">
        <f aca="false">ROUND((Q189+R189+I189+J189+M189+N189)/3,0)</f>
        <v>20</v>
      </c>
      <c r="T189" s="15" t="n">
        <f aca="false">F189*LOG10(S189+2)</f>
        <v>0</v>
      </c>
    </row>
    <row r="190" customFormat="false" ht="14.65" hidden="false" customHeight="true" outlineLevel="0" collapsed="false">
      <c r="A190" s="12" t="s">
        <v>222</v>
      </c>
      <c r="B190" s="13" t="n">
        <v>38880</v>
      </c>
      <c r="C190" s="3" t="s">
        <v>24</v>
      </c>
      <c r="D190" s="4" t="s">
        <v>155</v>
      </c>
      <c r="E190" s="3" t="n">
        <v>5</v>
      </c>
      <c r="F190" s="3" t="n">
        <v>0</v>
      </c>
      <c r="H190" s="3" t="n">
        <v>21</v>
      </c>
      <c r="I190" s="3" t="n">
        <f aca="false">_xlfn.IFS(G190="взв",11,G190="накл",24,G190="прокл",25,G190="пт",26,G190=90,10,G190=85,10,G190=80,9,G190=75,8,G190=70,8,G190=65,7,G190=60,7,G190=55,6,G190=50,6,G190=45,6,G190=40,5,G190=35,4,G190=30,4,G190=25,3,G190=20,2,G190=15,1,G190=10,1,G190=0,0)</f>
        <v>0</v>
      </c>
      <c r="J190" s="3" t="n">
        <f aca="false">IF(H190&lt;=1,0,IF(H190&lt;=10,11,IF(H190&lt;=14,12,IF(H190&lt;=17,13,IF(H190&lt;=20,14,IF(H190&lt;=22,15,IF(H190&lt;=25,16,IF(H190&lt;=27,17,IF(H190&lt;=29,18,IF(H190&lt;=32,19,IF(H190&lt;=34,20,IF(H190&lt;=36,21,IF(H190&lt;=40,22,24)))))))))))))</f>
        <v>15</v>
      </c>
      <c r="L190" s="3" t="n">
        <v>22</v>
      </c>
      <c r="M190" s="3" t="n">
        <f aca="false">_xlfn.IFS(K190="взв",11,K190="накл",24,K190="прокл",25,K190="пт",26,K190=90,10,K190=85,10,K190=80,9,K190=75,8,K190=70,8,K190=65,7,K190=60,7,K190=55,6,K190=50,6,K190=45,6,K190=40,5,K190=35,4,K190=30,4,K190=25,3,K190=20,2,K190=15,1,K190=10,1,K190=0,0)</f>
        <v>0</v>
      </c>
      <c r="N190" s="3" t="n">
        <f aca="false">IF(L190&lt;=1,0,IF(L190&lt;=10,11,IF(L190&lt;=14,12,IF(L190&lt;=17,13,IF(L190&lt;=20,14,IF(L190&lt;=22,15,IF(L190&lt;=25,16,IF(L190&lt;=27,17,IF(L190&lt;=29,18,IF(L190&lt;=32,19,IF(L190&lt;=34,20,IF(L190&lt;=36,21,IF(L190&lt;=40,22,24)))))))))))))</f>
        <v>15</v>
      </c>
      <c r="P190" s="3" t="n">
        <v>22</v>
      </c>
      <c r="Q190" s="3" t="n">
        <f aca="false">_xlfn.IFS(O190="взв",11,O190="накл",24,O190="прокл",25,O190="пт",26,O190=90,10,O190=85,10,O190=80,9,O190=75,8,O190=70,8,O190=65,7,O190=60,7,O190=55,6,O190=50,6,O190=45,6,O190=40,5,O190=35,4,O190=30,4,O190=25,3,O190=20,2,O190=15,1,O190=10,1,O190=0,0)</f>
        <v>0</v>
      </c>
      <c r="R190" s="3" t="n">
        <f aca="false">IF(P190&lt;=1,0,IF(P190&lt;=10,11,IF(P190&lt;=14,12,IF(P190&lt;=17,13,IF(P190&lt;=20,14,IF(P190&lt;=22,15,IF(P190&lt;=25,16,IF(P190&lt;=27,17,IF(P190&lt;=29,18,IF(P190&lt;=32,19,IF(P190&lt;=34,20,IF(P190&lt;=36,21,IF(P190&lt;=40,22,24)))))))))))))</f>
        <v>15</v>
      </c>
      <c r="S190" s="14" t="n">
        <f aca="false">ROUND((Q190+R190+I190+J190+M190+N190)/3,0)</f>
        <v>15</v>
      </c>
      <c r="T190" s="15" t="n">
        <f aca="false">F190*LOG10(S190+2)</f>
        <v>0</v>
      </c>
    </row>
    <row r="191" customFormat="false" ht="14.65" hidden="false" customHeight="true" outlineLevel="0" collapsed="false">
      <c r="A191" s="12" t="s">
        <v>223</v>
      </c>
      <c r="B191" s="13" t="n">
        <v>38880</v>
      </c>
      <c r="C191" s="3" t="s">
        <v>24</v>
      </c>
      <c r="D191" s="4" t="s">
        <v>155</v>
      </c>
      <c r="E191" s="3" t="n">
        <v>5</v>
      </c>
      <c r="F191" s="3" t="n">
        <v>0</v>
      </c>
      <c r="G191" s="3" t="s">
        <v>38</v>
      </c>
      <c r="I191" s="3" t="n">
        <f aca="false">_xlfn.IFS(G191="взв",11,G191="накл",24,G191="прокл",25,G191="пт",26,G191=90,10,G191=85,10,G191=80,9,G191=75,8,G191=70,8,G191=65,7,G191=60,7,G191=55,6,G191=50,6,G191=45,6,G191=40,5,G191=35,4,G191=30,4,G191=25,3,G191=20,2,G191=15,1,G191=10,1,G191=0,0)</f>
        <v>26</v>
      </c>
      <c r="J191" s="3" t="n">
        <f aca="false">IF(H191&lt;=1,0,IF(H191&lt;=10,11,IF(H191&lt;=14,12,IF(H191&lt;=17,13,IF(H191&lt;=20,14,IF(H191&lt;=22,15,IF(H191&lt;=25,16,IF(H191&lt;=27,17,IF(H191&lt;=29,18,IF(H191&lt;=32,19,IF(H191&lt;=34,20,IF(H191&lt;=36,21,IF(H191&lt;=40,22,24)))))))))))))</f>
        <v>0</v>
      </c>
      <c r="K191" s="3" t="s">
        <v>47</v>
      </c>
      <c r="M191" s="3" t="n">
        <f aca="false">_xlfn.IFS(K191="взв",11,K191="накл",24,K191="прокл",25,K191="пт",26,K191=90,10,K191=85,10,K191=80,9,K191=75,8,K191=70,8,K191=65,7,K191=60,7,K191=55,6,K191=50,6,K191=45,6,K191=40,5,K191=35,4,K191=30,4,K191=25,3,K191=20,2,K191=15,1,K191=10,1,K191=0,0)</f>
        <v>25</v>
      </c>
      <c r="N191" s="3" t="n">
        <f aca="false">IF(L191&lt;=1,0,IF(L191&lt;=10,11,IF(L191&lt;=14,12,IF(L191&lt;=17,13,IF(L191&lt;=20,14,IF(L191&lt;=22,15,IF(L191&lt;=25,16,IF(L191&lt;=27,17,IF(L191&lt;=29,18,IF(L191&lt;=32,19,IF(L191&lt;=34,20,IF(L191&lt;=36,21,IF(L191&lt;=40,22,24)))))))))))))</f>
        <v>0</v>
      </c>
      <c r="O191" s="3" t="s">
        <v>27</v>
      </c>
      <c r="P191" s="0"/>
      <c r="Q191" s="3" t="n">
        <f aca="false">_xlfn.IFS(O191="взв",11,O191="накл",24,O191="прокл",25,O191="пт",26,O191=90,10,O191=85,10,O191=80,9,O191=75,8,O191=70,8,O191=65,7,O191=60,7,O191=55,6,O191=50,6,O191=45,6,O191=40,5,O191=35,4,O191=30,4,O191=25,3,O191=20,2,O191=15,1,O191=10,1,O191=0,0)</f>
        <v>24</v>
      </c>
      <c r="R191" s="3" t="n">
        <f aca="false">IF(P191&lt;=1,0,IF(P191&lt;=10,11,IF(P191&lt;=14,12,IF(P191&lt;=17,13,IF(P191&lt;=20,14,IF(P191&lt;=22,15,IF(P191&lt;=25,16,IF(P191&lt;=27,17,IF(P191&lt;=29,18,IF(P191&lt;=32,19,IF(P191&lt;=34,20,IF(P191&lt;=36,21,IF(P191&lt;=40,22,24)))))))))))))</f>
        <v>0</v>
      </c>
      <c r="S191" s="14" t="n">
        <f aca="false">ROUND((Q191+R191+I191+J191+M191+N191)/3,0)</f>
        <v>25</v>
      </c>
      <c r="T191" s="15" t="n">
        <f aca="false">F191*LOG10(S191+2)</f>
        <v>0</v>
      </c>
    </row>
    <row r="192" customFormat="false" ht="14.65" hidden="false" customHeight="true" outlineLevel="0" collapsed="false">
      <c r="A192" s="12" t="s">
        <v>224</v>
      </c>
      <c r="B192" s="13" t="n">
        <v>38880</v>
      </c>
      <c r="C192" s="3" t="s">
        <v>24</v>
      </c>
      <c r="D192" s="4" t="s">
        <v>155</v>
      </c>
      <c r="E192" s="3" t="n">
        <v>6</v>
      </c>
      <c r="F192" s="3" t="n">
        <v>0</v>
      </c>
      <c r="G192" s="3" t="n">
        <v>45</v>
      </c>
      <c r="I192" s="3" t="n">
        <f aca="false">_xlfn.IFS(G192="взв",11,G192="накл",24,G192="прокл",25,G192="пт",26,G192=90,10,G192=85,10,G192=80,9,G192=75,8,G192=70,8,G192=65,7,G192=60,7,G192=55,6,G192=50,6,G192=45,6,G192=40,5,G192=35,4,G192=30,4,G192=25,3,G192=20,2,G192=15,1,G192=10,1,G192=0,0)</f>
        <v>6</v>
      </c>
      <c r="J192" s="3" t="n">
        <f aca="false">IF(H192&lt;=1,0,IF(H192&lt;=10,11,IF(H192&lt;=14,12,IF(H192&lt;=17,13,IF(H192&lt;=20,14,IF(H192&lt;=22,15,IF(H192&lt;=25,16,IF(H192&lt;=27,17,IF(H192&lt;=29,18,IF(H192&lt;=32,19,IF(H192&lt;=34,20,IF(H192&lt;=36,21,IF(H192&lt;=40,22,24)))))))))))))</f>
        <v>0</v>
      </c>
      <c r="K192" s="3" t="n">
        <v>30</v>
      </c>
      <c r="M192" s="3" t="n">
        <f aca="false">_xlfn.IFS(K192="взв",11,K192="накл",24,K192="прокл",25,K192="пт",26,K192=90,10,K192=85,10,K192=80,9,K192=75,8,K192=70,8,K192=65,7,K192=60,7,K192=55,6,K192=50,6,K192=45,6,K192=40,5,K192=35,4,K192=30,4,K192=25,3,K192=20,2,K192=15,1,K192=10,1,K192=0,0)</f>
        <v>4</v>
      </c>
      <c r="N192" s="3" t="n">
        <f aca="false">IF(L192&lt;=1,0,IF(L192&lt;=10,11,IF(L192&lt;=14,12,IF(L192&lt;=17,13,IF(L192&lt;=20,14,IF(L192&lt;=22,15,IF(L192&lt;=25,16,IF(L192&lt;=27,17,IF(L192&lt;=29,18,IF(L192&lt;=32,19,IF(L192&lt;=34,20,IF(L192&lt;=36,21,IF(L192&lt;=40,22,24)))))))))))))</f>
        <v>0</v>
      </c>
      <c r="O192" s="3" t="n">
        <v>30</v>
      </c>
      <c r="Q192" s="3" t="n">
        <f aca="false">_xlfn.IFS(O192="взв",11,O192="накл",24,O192="прокл",25,O192="пт",26,O192=90,10,O192=85,10,O192=80,9,O192=75,8,O192=70,8,O192=65,7,O192=60,7,O192=55,6,O192=50,6,O192=45,6,O192=40,5,O192=35,4,O192=30,4,O192=25,3,O192=20,2,O192=15,1,O192=10,1,O192=0,0)</f>
        <v>4</v>
      </c>
      <c r="R192" s="3" t="n">
        <f aca="false">IF(P192&lt;=1,0,IF(P192&lt;=10,11,IF(P192&lt;=14,12,IF(P192&lt;=17,13,IF(P192&lt;=20,14,IF(P192&lt;=22,15,IF(P192&lt;=25,16,IF(P192&lt;=27,17,IF(P192&lt;=29,18,IF(P192&lt;=32,19,IF(P192&lt;=34,20,IF(P192&lt;=36,21,IF(P192&lt;=40,22,24)))))))))))))</f>
        <v>0</v>
      </c>
      <c r="S192" s="14" t="n">
        <f aca="false">ROUND((Q192+R192+I192+J192+M192+N192)/3,0)</f>
        <v>5</v>
      </c>
      <c r="T192" s="15" t="n">
        <f aca="false">F192*LOG10(S192+2)</f>
        <v>0</v>
      </c>
    </row>
    <row r="193" customFormat="false" ht="14.65" hidden="false" customHeight="true" outlineLevel="0" collapsed="false">
      <c r="A193" s="12" t="s">
        <v>225</v>
      </c>
      <c r="B193" s="13" t="n">
        <v>38880</v>
      </c>
      <c r="C193" s="3" t="s">
        <v>24</v>
      </c>
      <c r="D193" s="4" t="s">
        <v>155</v>
      </c>
      <c r="E193" s="3" t="n">
        <v>4</v>
      </c>
      <c r="F193" s="3" t="n">
        <v>0</v>
      </c>
      <c r="H193" s="3" t="n">
        <v>21</v>
      </c>
      <c r="I193" s="3" t="n">
        <f aca="false">_xlfn.IFS(G193="взв",11,G193="накл",24,G193="прокл",25,G193="пт",26,G193=90,10,G193=85,10,G193=80,9,G193=75,8,G193=70,8,G193=65,7,G193=60,7,G193=55,6,G193=50,6,G193=45,6,G193=40,5,G193=35,4,G193=30,4,G193=25,3,G193=20,2,G193=15,1,G193=10,1,G193=0,0)</f>
        <v>0</v>
      </c>
      <c r="J193" s="3" t="n">
        <f aca="false">IF(H193&lt;=1,0,IF(H193&lt;=10,11,IF(H193&lt;=14,12,IF(H193&lt;=17,13,IF(H193&lt;=20,14,IF(H193&lt;=22,15,IF(H193&lt;=25,16,IF(H193&lt;=27,17,IF(H193&lt;=29,18,IF(H193&lt;=32,19,IF(H193&lt;=34,20,IF(H193&lt;=36,21,IF(H193&lt;=40,22,24)))))))))))))</f>
        <v>15</v>
      </c>
      <c r="L193" s="3" t="n">
        <v>26</v>
      </c>
      <c r="M193" s="3" t="n">
        <f aca="false">_xlfn.IFS(K193="взв",11,K193="накл",24,K193="прокл",25,K193="пт",26,K193=90,10,K193=85,10,K193=80,9,K193=75,8,K193=70,8,K193=65,7,K193=60,7,K193=55,6,K193=50,6,K193=45,6,K193=40,5,K193=35,4,K193=30,4,K193=25,3,K193=20,2,K193=15,1,K193=10,1,K193=0,0)</f>
        <v>0</v>
      </c>
      <c r="N193" s="3" t="n">
        <f aca="false">IF(L193&lt;=1,0,IF(L193&lt;=10,11,IF(L193&lt;=14,12,IF(L193&lt;=17,13,IF(L193&lt;=20,14,IF(L193&lt;=22,15,IF(L193&lt;=25,16,IF(L193&lt;=27,17,IF(L193&lt;=29,18,IF(L193&lt;=32,19,IF(L193&lt;=34,20,IF(L193&lt;=36,21,IF(L193&lt;=40,22,24)))))))))))))</f>
        <v>17</v>
      </c>
      <c r="O193" s="3" t="n">
        <v>90</v>
      </c>
      <c r="Q193" s="3" t="n">
        <f aca="false">_xlfn.IFS(O193="взв",11,O193="накл",24,O193="прокл",25,O193="пт",26,O193=90,10,O193=85,10,O193=80,9,O193=75,8,O193=70,8,O193=65,7,O193=60,7,O193=55,6,O193=50,6,O193=45,6,O193=40,5,O193=35,4,O193=30,4,O193=25,3,O193=20,2,O193=15,1,O193=10,1,O193=0,0)</f>
        <v>10</v>
      </c>
      <c r="R193" s="3" t="n">
        <f aca="false">IF(P193&lt;=1,0,IF(P193&lt;=10,11,IF(P193&lt;=14,12,IF(P193&lt;=17,13,IF(P193&lt;=20,14,IF(P193&lt;=22,15,IF(P193&lt;=25,16,IF(P193&lt;=27,17,IF(P193&lt;=29,18,IF(P193&lt;=32,19,IF(P193&lt;=34,20,IF(P193&lt;=36,21,IF(P193&lt;=40,22,24)))))))))))))</f>
        <v>0</v>
      </c>
      <c r="S193" s="14" t="n">
        <f aca="false">ROUND((Q193+R193+I193+J193+M193+N193)/3,0)</f>
        <v>14</v>
      </c>
      <c r="T193" s="15" t="n">
        <f aca="false">F193*LOG10(S193+2)</f>
        <v>0</v>
      </c>
    </row>
    <row r="194" customFormat="false" ht="14.65" hidden="false" customHeight="true" outlineLevel="0" collapsed="false">
      <c r="A194" s="12" t="s">
        <v>226</v>
      </c>
      <c r="B194" s="13" t="n">
        <v>38880</v>
      </c>
      <c r="C194" s="3" t="s">
        <v>24</v>
      </c>
      <c r="D194" s="4" t="s">
        <v>155</v>
      </c>
      <c r="E194" s="3" t="n">
        <v>4</v>
      </c>
      <c r="F194" s="3" t="n">
        <v>0</v>
      </c>
      <c r="H194" s="3" t="n">
        <v>34</v>
      </c>
      <c r="I194" s="3" t="n">
        <f aca="false">_xlfn.IFS(G194="взв",11,G194="накл",24,G194="прокл",25,G194="пт",26,G194=90,10,G194=85,10,G194=80,9,G194=75,8,G194=70,8,G194=65,7,G194=60,7,G194=55,6,G194=50,6,G194=45,6,G194=40,5,G194=35,4,G194=30,4,G194=25,3,G194=20,2,G194=15,1,G194=10,1,G194=0,0)</f>
        <v>0</v>
      </c>
      <c r="J194" s="3" t="n">
        <f aca="false">IF(H194&lt;=1,0,IF(H194&lt;=10,11,IF(H194&lt;=14,12,IF(H194&lt;=17,13,IF(H194&lt;=20,14,IF(H194&lt;=22,15,IF(H194&lt;=25,16,IF(H194&lt;=27,17,IF(H194&lt;=29,18,IF(H194&lt;=32,19,IF(H194&lt;=34,20,IF(H194&lt;=36,21,IF(H194&lt;=40,22,24)))))))))))))</f>
        <v>20</v>
      </c>
      <c r="L194" s="3" t="n">
        <v>33</v>
      </c>
      <c r="M194" s="3" t="n">
        <f aca="false">_xlfn.IFS(K194="взв",11,K194="накл",24,K194="прокл",25,K194="пт",26,K194=90,10,K194=85,10,K194=80,9,K194=75,8,K194=70,8,K194=65,7,K194=60,7,K194=55,6,K194=50,6,K194=45,6,K194=40,5,K194=35,4,K194=30,4,K194=25,3,K194=20,2,K194=15,1,K194=10,1,K194=0,0)</f>
        <v>0</v>
      </c>
      <c r="N194" s="3" t="n">
        <f aca="false">IF(L194&lt;=1,0,IF(L194&lt;=10,11,IF(L194&lt;=14,12,IF(L194&lt;=17,13,IF(L194&lt;=20,14,IF(L194&lt;=22,15,IF(L194&lt;=25,16,IF(L194&lt;=27,17,IF(L194&lt;=29,18,IF(L194&lt;=32,19,IF(L194&lt;=34,20,IF(L194&lt;=36,21,IF(L194&lt;=40,22,24)))))))))))))</f>
        <v>20</v>
      </c>
      <c r="P194" s="3" t="n">
        <v>31</v>
      </c>
      <c r="Q194" s="3" t="n">
        <f aca="false">_xlfn.IFS(O194="взв",11,O194="накл",24,O194="прокл",25,O194="пт",26,O194=90,10,O194=85,10,O194=80,9,O194=75,8,O194=70,8,O194=65,7,O194=60,7,O194=55,6,O194=50,6,O194=45,6,O194=40,5,O194=35,4,O194=30,4,O194=25,3,O194=20,2,O194=15,1,O194=10,1,O194=0,0)</f>
        <v>0</v>
      </c>
      <c r="R194" s="3" t="n">
        <f aca="false">IF(P194&lt;=1,0,IF(P194&lt;=10,11,IF(P194&lt;=14,12,IF(P194&lt;=17,13,IF(P194&lt;=20,14,IF(P194&lt;=22,15,IF(P194&lt;=25,16,IF(P194&lt;=27,17,IF(P194&lt;=29,18,IF(P194&lt;=32,19,IF(P194&lt;=34,20,IF(P194&lt;=36,21,IF(P194&lt;=40,22,24)))))))))))))</f>
        <v>19</v>
      </c>
      <c r="S194" s="14" t="n">
        <f aca="false">ROUND((Q194+R194+I194+J194+M194+N194)/3,0)</f>
        <v>20</v>
      </c>
      <c r="T194" s="15" t="n">
        <f aca="false">F194*LOG10(S194+2)</f>
        <v>0</v>
      </c>
    </row>
    <row r="195" customFormat="false" ht="14.65" hidden="false" customHeight="true" outlineLevel="0" collapsed="false">
      <c r="A195" s="12" t="s">
        <v>227</v>
      </c>
      <c r="B195" s="16" t="n">
        <v>38895</v>
      </c>
      <c r="C195" s="17" t="s">
        <v>228</v>
      </c>
      <c r="D195" s="4" t="s">
        <v>229</v>
      </c>
      <c r="E195" s="3" t="n">
        <v>6</v>
      </c>
      <c r="F195" s="3" t="n">
        <v>1</v>
      </c>
      <c r="G195" s="3" t="n">
        <v>90</v>
      </c>
      <c r="I195" s="3" t="n">
        <f aca="false">_xlfn.IFS(G195="взв",11,G195="накл",24,G195="прокл",25,G195="пт",26,G195=90,10,G195=85,10,G195=80,9,G195=75,8,G195=70,8,G195=65,7,G195=60,7,G195=55,6,G195=50,6,G195=45,6,G195=40,5,G195=35,4,G195=30,4,G195=25,3,G195=20,2,G195=15,1,G195=10,1,G195=0,0)</f>
        <v>10</v>
      </c>
      <c r="J195" s="3" t="n">
        <f aca="false">IF(H195&lt;=1,0,IF(H195&lt;=10,11,IF(H195&lt;=14,12,IF(H195&lt;=17,13,IF(H195&lt;=20,14,IF(H195&lt;=22,15,IF(H195&lt;=25,16,IF(H195&lt;=27,17,IF(H195&lt;=29,18,IF(H195&lt;=32,19,IF(H195&lt;=34,20,IF(H195&lt;=36,21,IF(H195&lt;=40,22,24)))))))))))))</f>
        <v>0</v>
      </c>
      <c r="K195" s="3" t="n">
        <v>90</v>
      </c>
      <c r="M195" s="3" t="n">
        <f aca="false">_xlfn.IFS(K195="взв",11,K195="накл",24,K195="прокл",25,K195="пт",26,K195=90,10,K195=85,10,K195=80,9,K195=75,8,K195=70,8,K195=65,7,K195=60,7,K195=55,6,K195=50,6,K195=45,6,K195=40,5,K195=35,4,K195=30,4,K195=25,3,K195=20,2,K195=15,1,K195=10,1,K195=0,0)</f>
        <v>10</v>
      </c>
      <c r="N195" s="3" t="n">
        <f aca="false">IF(L195&lt;=1,0,IF(L195&lt;=10,11,IF(L195&lt;=14,12,IF(L195&lt;=17,13,IF(L195&lt;=20,14,IF(L195&lt;=22,15,IF(L195&lt;=25,16,IF(L195&lt;=27,17,IF(L195&lt;=29,18,IF(L195&lt;=32,19,IF(L195&lt;=34,20,IF(L195&lt;=36,21,IF(L195&lt;=40,22,24)))))))))))))</f>
        <v>0</v>
      </c>
      <c r="O195" s="3" t="n">
        <v>90</v>
      </c>
      <c r="Q195" s="3" t="n">
        <f aca="false">_xlfn.IFS(O195="взв",11,O195="накл",24,O195="прокл",25,O195="пт",26,O195=90,10,O195=85,10,O195=80,9,O195=75,8,O195=70,8,O195=65,7,O195=60,7,O195=55,6,O195=50,6,O195=45,6,O195=40,5,O195=35,4,O195=30,4,O195=25,3,O195=20,2,O195=15,1,O195=10,1,O195=0,0)</f>
        <v>10</v>
      </c>
      <c r="R195" s="3" t="n">
        <f aca="false">IF(P195&lt;=1,0,IF(P195&lt;=10,11,IF(P195&lt;=14,12,IF(P195&lt;=17,13,IF(P195&lt;=20,14,IF(P195&lt;=22,15,IF(P195&lt;=25,16,IF(P195&lt;=27,17,IF(P195&lt;=29,18,IF(P195&lt;=32,19,IF(P195&lt;=34,20,IF(P195&lt;=36,21,IF(P195&lt;=40,22,24)))))))))))))</f>
        <v>0</v>
      </c>
      <c r="S195" s="14" t="n">
        <f aca="false">ROUND((Q195+R195+I195+J195+M195+N195)/3,0)</f>
        <v>10</v>
      </c>
      <c r="T195" s="15" t="n">
        <f aca="false">F195*LOG10(S195+2)</f>
        <v>1.07918124604762</v>
      </c>
    </row>
    <row r="196" customFormat="false" ht="14.65" hidden="false" customHeight="true" outlineLevel="0" collapsed="false">
      <c r="A196" s="12" t="s">
        <v>230</v>
      </c>
      <c r="B196" s="16" t="n">
        <v>38895</v>
      </c>
      <c r="C196" s="17" t="s">
        <v>228</v>
      </c>
      <c r="D196" s="4" t="s">
        <v>229</v>
      </c>
      <c r="E196" s="3" t="n">
        <v>5</v>
      </c>
      <c r="F196" s="3" t="n">
        <v>3</v>
      </c>
      <c r="H196" s="3" t="n">
        <v>34</v>
      </c>
      <c r="I196" s="3" t="n">
        <f aca="false">_xlfn.IFS(G196="взв",11,G196="накл",24,G196="прокл",25,G196="пт",26,G196=90,10,G196=85,10,G196=80,9,G196=75,8,G196=70,8,G196=65,7,G196=60,7,G196=55,6,G196=50,6,G196=45,6,G196=40,5,G196=35,4,G196=30,4,G196=25,3,G196=20,2,G196=15,1,G196=10,1,G196=0,0)</f>
        <v>0</v>
      </c>
      <c r="J196" s="3" t="n">
        <f aca="false">IF(H196&lt;=1,0,IF(H196&lt;=10,11,IF(H196&lt;=14,12,IF(H196&lt;=17,13,IF(H196&lt;=20,14,IF(H196&lt;=22,15,IF(H196&lt;=25,16,IF(H196&lt;=27,17,IF(H196&lt;=29,18,IF(H196&lt;=32,19,IF(H196&lt;=34,20,IF(H196&lt;=36,21,IF(H196&lt;=40,22,24)))))))))))))</f>
        <v>20</v>
      </c>
      <c r="L196" s="3" t="s">
        <v>27</v>
      </c>
      <c r="M196" s="3" t="n">
        <f aca="false">_xlfn.IFS(K196="взв",11,K196="накл",24,K196="прокл",25,K196="пт",26,K196=90,10,K196=85,10,K196=80,9,K196=75,8,K196=70,8,K196=65,7,K196=60,7,K196=55,6,K196=50,6,K196=45,6,K196=40,5,K196=35,4,K196=30,4,K196=25,3,K196=20,2,K196=15,1,K196=10,1,K196=0,0)</f>
        <v>0</v>
      </c>
      <c r="N196" s="3" t="n">
        <f aca="false">IF(L196&lt;=1,0,IF(L196&lt;=10,11,IF(L196&lt;=14,12,IF(L196&lt;=17,13,IF(L196&lt;=20,14,IF(L196&lt;=22,15,IF(L196&lt;=25,16,IF(L196&lt;=27,17,IF(L196&lt;=29,18,IF(L196&lt;=32,19,IF(L196&lt;=34,20,IF(L196&lt;=36,21,IF(L196&lt;=40,22,24)))))))))))))</f>
        <v>24</v>
      </c>
      <c r="Q196" s="3" t="n">
        <f aca="false">_xlfn.IFS(O196="взв",11,O196="накл",24,O196="прокл",25,O196="пт",26,O196=90,10,O196=85,10,O196=80,9,O196=75,8,O196=70,8,O196=65,7,O196=60,7,O196=55,6,O196=50,6,O196=45,6,O196=40,5,O196=35,4,O196=30,4,O196=25,3,O196=20,2,O196=15,1,O196=10,1,O196=0,0)</f>
        <v>0</v>
      </c>
      <c r="R196" s="3" t="n">
        <f aca="false">IF(P196&lt;=1,0,IF(P196&lt;=10,11,IF(P196&lt;=14,12,IF(P196&lt;=17,13,IF(P196&lt;=20,14,IF(P196&lt;=22,15,IF(P196&lt;=25,16,IF(P196&lt;=27,17,IF(P196&lt;=29,18,IF(P196&lt;=32,19,IF(P196&lt;=34,20,IF(P196&lt;=36,21,IF(P196&lt;=40,22,24)))))))))))))</f>
        <v>0</v>
      </c>
      <c r="S196" s="14" t="n">
        <f aca="false">ROUND((Q196+R196+I196+J196+M196+N196)/2,0)</f>
        <v>22</v>
      </c>
      <c r="T196" s="15" t="n">
        <f aca="false">F196*LOG10(S196+2)</f>
        <v>4.14063372513482</v>
      </c>
    </row>
    <row r="197" customFormat="false" ht="14.65" hidden="false" customHeight="true" outlineLevel="0" collapsed="false">
      <c r="A197" s="12" t="s">
        <v>231</v>
      </c>
      <c r="B197" s="16" t="n">
        <v>38895</v>
      </c>
      <c r="C197" s="17" t="s">
        <v>228</v>
      </c>
      <c r="D197" s="4" t="s">
        <v>229</v>
      </c>
      <c r="E197" s="3" t="n">
        <v>2</v>
      </c>
      <c r="F197" s="3" t="n">
        <v>3</v>
      </c>
      <c r="H197" s="3" t="n">
        <v>33</v>
      </c>
      <c r="I197" s="3" t="n">
        <f aca="false">_xlfn.IFS(G197="взв",11,G197="накл",24,G197="прокл",25,G197="пт",26,G197=90,10,G197=85,10,G197=80,9,G197=75,8,G197=70,8,G197=65,7,G197=60,7,G197=55,6,G197=50,6,G197=45,6,G197=40,5,G197=35,4,G197=30,4,G197=25,3,G197=20,2,G197=15,1,G197=10,1,G197=0,0)</f>
        <v>0</v>
      </c>
      <c r="J197" s="3" t="n">
        <f aca="false">IF(H197&lt;=1,0,IF(H197&lt;=10,11,IF(H197&lt;=14,12,IF(H197&lt;=17,13,IF(H197&lt;=20,14,IF(H197&lt;=22,15,IF(H197&lt;=25,16,IF(H197&lt;=27,17,IF(H197&lt;=29,18,IF(H197&lt;=32,19,IF(H197&lt;=34,20,IF(H197&lt;=36,21,IF(H197&lt;=40,22,24)))))))))))))</f>
        <v>20</v>
      </c>
      <c r="L197" s="3" t="n">
        <v>31</v>
      </c>
      <c r="M197" s="3" t="n">
        <f aca="false">_xlfn.IFS(K197="взв",11,K197="накл",24,K197="прокл",25,K197="пт",26,K197=90,10,K197=85,10,K197=80,9,K197=75,8,K197=70,8,K197=65,7,K197=60,7,K197=55,6,K197=50,6,K197=45,6,K197=40,5,K197=35,4,K197=30,4,K197=25,3,K197=20,2,K197=15,1,K197=10,1,K197=0,0)</f>
        <v>0</v>
      </c>
      <c r="N197" s="3" t="n">
        <f aca="false">IF(L197&lt;=1,0,IF(L197&lt;=10,11,IF(L197&lt;=14,12,IF(L197&lt;=17,13,IF(L197&lt;=20,14,IF(L197&lt;=22,15,IF(L197&lt;=25,16,IF(L197&lt;=27,17,IF(L197&lt;=29,18,IF(L197&lt;=32,19,IF(L197&lt;=34,20,IF(L197&lt;=36,21,IF(L197&lt;=40,22,24)))))))))))))</f>
        <v>19</v>
      </c>
      <c r="Q197" s="3" t="n">
        <f aca="false">_xlfn.IFS(O197="взв",11,O197="накл",24,O197="прокл",25,O197="пт",26,O197=90,10,O197=85,10,O197=80,9,O197=75,8,O197=70,8,O197=65,7,O197=60,7,O197=55,6,O197=50,6,O197=45,6,O197=40,5,O197=35,4,O197=30,4,O197=25,3,O197=20,2,O197=15,1,O197=10,1,O197=0,0)</f>
        <v>0</v>
      </c>
      <c r="R197" s="3" t="n">
        <f aca="false">IF(P197&lt;=1,0,IF(P197&lt;=10,11,IF(P197&lt;=14,12,IF(P197&lt;=17,13,IF(P197&lt;=20,14,IF(P197&lt;=22,15,IF(P197&lt;=25,16,IF(P197&lt;=27,17,IF(P197&lt;=29,18,IF(P197&lt;=32,19,IF(P197&lt;=34,20,IF(P197&lt;=36,21,IF(P197&lt;=40,22,24)))))))))))))</f>
        <v>0</v>
      </c>
      <c r="S197" s="14" t="n">
        <f aca="false">ROUND((Q197+R197+I197+J197+M197+N197)/2,0)</f>
        <v>20</v>
      </c>
      <c r="T197" s="15" t="n">
        <f aca="false">F197*LOG10(S197+2)</f>
        <v>4.02726804246662</v>
      </c>
    </row>
    <row r="198" customFormat="false" ht="14.65" hidden="false" customHeight="true" outlineLevel="0" collapsed="false">
      <c r="A198" s="12" t="s">
        <v>232</v>
      </c>
      <c r="B198" s="16" t="n">
        <v>38895</v>
      </c>
      <c r="C198" s="17" t="s">
        <v>228</v>
      </c>
      <c r="D198" s="4" t="s">
        <v>229</v>
      </c>
      <c r="E198" s="3" t="n">
        <v>5</v>
      </c>
      <c r="F198" s="3" t="n">
        <v>3</v>
      </c>
      <c r="H198" s="3" t="n">
        <v>36</v>
      </c>
      <c r="I198" s="3" t="n">
        <f aca="false">_xlfn.IFS(G198="взв",11,G198="накл",24,G198="прокл",25,G198="пт",26,G198=90,10,G198=85,10,G198=80,9,G198=75,8,G198=70,8,G198=65,7,G198=60,7,G198=55,6,G198=50,6,G198=45,6,G198=40,5,G198=35,4,G198=30,4,G198=25,3,G198=20,2,G198=15,1,G198=10,1,G198=0,0)</f>
        <v>0</v>
      </c>
      <c r="J198" s="3" t="n">
        <f aca="false">IF(H198&lt;=1,0,IF(H198&lt;=10,11,IF(H198&lt;=14,12,IF(H198&lt;=17,13,IF(H198&lt;=20,14,IF(H198&lt;=22,15,IF(H198&lt;=25,16,IF(H198&lt;=27,17,IF(H198&lt;=29,18,IF(H198&lt;=32,19,IF(H198&lt;=34,20,IF(H198&lt;=36,21,IF(H198&lt;=40,22,24)))))))))))))</f>
        <v>21</v>
      </c>
      <c r="L198" s="3" t="n">
        <v>33</v>
      </c>
      <c r="M198" s="3" t="n">
        <f aca="false">_xlfn.IFS(K198="взв",11,K198="накл",24,K198="прокл",25,K198="пт",26,K198=90,10,K198=85,10,K198=80,9,K198=75,8,K198=70,8,K198=65,7,K198=60,7,K198=55,6,K198=50,6,K198=45,6,K198=40,5,K198=35,4,K198=30,4,K198=25,3,K198=20,2,K198=15,1,K198=10,1,K198=0,0)</f>
        <v>0</v>
      </c>
      <c r="N198" s="3" t="n">
        <f aca="false">IF(L198&lt;=1,0,IF(L198&lt;=10,11,IF(L198&lt;=14,12,IF(L198&lt;=17,13,IF(L198&lt;=20,14,IF(L198&lt;=22,15,IF(L198&lt;=25,16,IF(L198&lt;=27,17,IF(L198&lt;=29,18,IF(L198&lt;=32,19,IF(L198&lt;=34,20,IF(L198&lt;=36,21,IF(L198&lt;=40,22,24)))))))))))))</f>
        <v>20</v>
      </c>
      <c r="P198" s="3" t="n">
        <v>37</v>
      </c>
      <c r="Q198" s="3" t="n">
        <f aca="false">_xlfn.IFS(O198="взв",11,O198="накл",24,O198="прокл",25,O198="пт",26,O198=90,10,O198=85,10,O198=80,9,O198=75,8,O198=70,8,O198=65,7,O198=60,7,O198=55,6,O198=50,6,O198=45,6,O198=40,5,O198=35,4,O198=30,4,O198=25,3,O198=20,2,O198=15,1,O198=10,1,O198=0,0)</f>
        <v>0</v>
      </c>
      <c r="R198" s="3" t="n">
        <f aca="false">IF(P198&lt;=1,0,IF(P198&lt;=10,11,IF(P198&lt;=14,12,IF(P198&lt;=17,13,IF(P198&lt;=20,14,IF(P198&lt;=22,15,IF(P198&lt;=25,16,IF(P198&lt;=27,17,IF(P198&lt;=29,18,IF(P198&lt;=32,19,IF(P198&lt;=34,20,IF(P198&lt;=36,21,IF(P198&lt;=40,22,24)))))))))))))</f>
        <v>22</v>
      </c>
      <c r="S198" s="14" t="n">
        <f aca="false">ROUND((Q198+R198+I198+J198+M198+N198)/3,0)</f>
        <v>21</v>
      </c>
      <c r="T198" s="15" t="n">
        <f aca="false">F198*LOG10(S198+2)</f>
        <v>4.08518350805278</v>
      </c>
    </row>
    <row r="199" customFormat="false" ht="14.65" hidden="false" customHeight="true" outlineLevel="0" collapsed="false">
      <c r="A199" s="12" t="s">
        <v>233</v>
      </c>
      <c r="B199" s="16" t="n">
        <v>38895</v>
      </c>
      <c r="C199" s="17" t="s">
        <v>228</v>
      </c>
      <c r="D199" s="4" t="s">
        <v>229</v>
      </c>
      <c r="E199" s="3" t="n">
        <v>4</v>
      </c>
      <c r="F199" s="3" t="n">
        <v>4</v>
      </c>
      <c r="H199" s="3" t="n">
        <v>32</v>
      </c>
      <c r="I199" s="3" t="n">
        <f aca="false">_xlfn.IFS(G199="взв",11,G199="накл",24,G199="прокл",25,G199="пт",26,G199=90,10,G199=85,10,G199=80,9,G199=75,8,G199=70,8,G199=65,7,G199=60,7,G199=55,6,G199=50,6,G199=45,6,G199=40,5,G199=35,4,G199=30,4,G199=25,3,G199=20,2,G199=15,1,G199=10,1,G199=0,0)</f>
        <v>0</v>
      </c>
      <c r="J199" s="3" t="n">
        <f aca="false">IF(H199&lt;=1,0,IF(H199&lt;=10,11,IF(H199&lt;=14,12,IF(H199&lt;=17,13,IF(H199&lt;=20,14,IF(H199&lt;=22,15,IF(H199&lt;=25,16,IF(H199&lt;=27,17,IF(H199&lt;=29,18,IF(H199&lt;=32,19,IF(H199&lt;=34,20,IF(H199&lt;=36,21,IF(H199&lt;=40,22,24)))))))))))))</f>
        <v>19</v>
      </c>
      <c r="L199" s="3" t="n">
        <v>34</v>
      </c>
      <c r="M199" s="3" t="n">
        <f aca="false">_xlfn.IFS(K199="взв",11,K199="накл",24,K199="прокл",25,K199="пт",26,K199=90,10,K199=85,10,K199=80,9,K199=75,8,K199=70,8,K199=65,7,K199=60,7,K199=55,6,K199=50,6,K199=45,6,K199=40,5,K199=35,4,K199=30,4,K199=25,3,K199=20,2,K199=15,1,K199=10,1,K199=0,0)</f>
        <v>0</v>
      </c>
      <c r="N199" s="3" t="n">
        <f aca="false">IF(L199&lt;=1,0,IF(L199&lt;=10,11,IF(L199&lt;=14,12,IF(L199&lt;=17,13,IF(L199&lt;=20,14,IF(L199&lt;=22,15,IF(L199&lt;=25,16,IF(L199&lt;=27,17,IF(L199&lt;=29,18,IF(L199&lt;=32,19,IF(L199&lt;=34,20,IF(L199&lt;=36,21,IF(L199&lt;=40,22,24)))))))))))))</f>
        <v>20</v>
      </c>
      <c r="Q199" s="3" t="n">
        <f aca="false">_xlfn.IFS(O199="взв",11,O199="накл",24,O199="прокл",25,O199="пт",26,O199=90,10,O199=85,10,O199=80,9,O199=75,8,O199=70,8,O199=65,7,O199=60,7,O199=55,6,O199=50,6,O199=45,6,O199=40,5,O199=35,4,O199=30,4,O199=25,3,O199=20,2,O199=15,1,O199=10,1,O199=0,0)</f>
        <v>0</v>
      </c>
      <c r="R199" s="3" t="n">
        <f aca="false">IF(P199&lt;=1,0,IF(P199&lt;=10,11,IF(P199&lt;=14,12,IF(P199&lt;=17,13,IF(P199&lt;=20,14,IF(P199&lt;=22,15,IF(P199&lt;=25,16,IF(P199&lt;=27,17,IF(P199&lt;=29,18,IF(P199&lt;=32,19,IF(P199&lt;=34,20,IF(P199&lt;=36,21,IF(P199&lt;=40,22,24)))))))))))))</f>
        <v>0</v>
      </c>
      <c r="S199" s="14" t="n">
        <f aca="false">ROUND((Q199+R199+I199+J199+M199+N199)/2,0)</f>
        <v>20</v>
      </c>
      <c r="T199" s="15" t="n">
        <f aca="false">F199*LOG10(S199+2)</f>
        <v>5.36969072328883</v>
      </c>
    </row>
    <row r="200" customFormat="false" ht="14.65" hidden="false" customHeight="true" outlineLevel="0" collapsed="false">
      <c r="A200" s="12" t="s">
        <v>234</v>
      </c>
      <c r="B200" s="16" t="n">
        <v>38895</v>
      </c>
      <c r="C200" s="17" t="s">
        <v>228</v>
      </c>
      <c r="D200" s="4" t="s">
        <v>229</v>
      </c>
      <c r="E200" s="3" t="n">
        <v>3</v>
      </c>
      <c r="F200" s="3" t="n">
        <v>4</v>
      </c>
      <c r="H200" s="3" t="n">
        <v>26</v>
      </c>
      <c r="I200" s="3" t="n">
        <f aca="false">_xlfn.IFS(G200="взв",11,G200="накл",24,G200="прокл",25,G200="пт",26,G200=90,10,G200=85,10,G200=80,9,G200=75,8,G200=70,8,G200=65,7,G200=60,7,G200=55,6,G200=50,6,G200=45,6,G200=40,5,G200=35,4,G200=30,4,G200=25,3,G200=20,2,G200=15,1,G200=10,1,G200=0,0)</f>
        <v>0</v>
      </c>
      <c r="J200" s="3" t="n">
        <f aca="false">IF(H200&lt;=1,0,IF(H200&lt;=10,11,IF(H200&lt;=14,12,IF(H200&lt;=17,13,IF(H200&lt;=20,14,IF(H200&lt;=22,15,IF(H200&lt;=25,16,IF(H200&lt;=27,17,IF(H200&lt;=29,18,IF(H200&lt;=32,19,IF(H200&lt;=34,20,IF(H200&lt;=36,21,IF(H200&lt;=40,22,24)))))))))))))</f>
        <v>17</v>
      </c>
      <c r="L200" s="3" t="n">
        <v>26</v>
      </c>
      <c r="M200" s="3" t="n">
        <f aca="false">_xlfn.IFS(K200="взв",11,K200="накл",24,K200="прокл",25,K200="пт",26,K200=90,10,K200=85,10,K200=80,9,K200=75,8,K200=70,8,K200=65,7,K200=60,7,K200=55,6,K200=50,6,K200=45,6,K200=40,5,K200=35,4,K200=30,4,K200=25,3,K200=20,2,K200=15,1,K200=10,1,K200=0,0)</f>
        <v>0</v>
      </c>
      <c r="N200" s="3" t="n">
        <f aca="false">IF(L200&lt;=1,0,IF(L200&lt;=10,11,IF(L200&lt;=14,12,IF(L200&lt;=17,13,IF(L200&lt;=20,14,IF(L200&lt;=22,15,IF(L200&lt;=25,16,IF(L200&lt;=27,17,IF(L200&lt;=29,18,IF(L200&lt;=32,19,IF(L200&lt;=34,20,IF(L200&lt;=36,21,IF(L200&lt;=40,22,24)))))))))))))</f>
        <v>17</v>
      </c>
      <c r="P200" s="3" t="n">
        <v>31</v>
      </c>
      <c r="Q200" s="3" t="n">
        <f aca="false">_xlfn.IFS(O200="взв",11,O200="накл",24,O200="прокл",25,O200="пт",26,O200=90,10,O200=85,10,O200=80,9,O200=75,8,O200=70,8,O200=65,7,O200=60,7,O200=55,6,O200=50,6,O200=45,6,O200=40,5,O200=35,4,O200=30,4,O200=25,3,O200=20,2,O200=15,1,O200=10,1,O200=0,0)</f>
        <v>0</v>
      </c>
      <c r="R200" s="3" t="n">
        <f aca="false">IF(P200&lt;=1,0,IF(P200&lt;=10,11,IF(P200&lt;=14,12,IF(P200&lt;=17,13,IF(P200&lt;=20,14,IF(P200&lt;=22,15,IF(P200&lt;=25,16,IF(P200&lt;=27,17,IF(P200&lt;=29,18,IF(P200&lt;=32,19,IF(P200&lt;=34,20,IF(P200&lt;=36,21,IF(P200&lt;=40,22,24)))))))))))))</f>
        <v>19</v>
      </c>
      <c r="S200" s="14" t="n">
        <f aca="false">ROUND((Q200+R200+I200+J200+M200+N200)/3,0)</f>
        <v>18</v>
      </c>
      <c r="T200" s="15" t="n">
        <f aca="false">F200*LOG10(S200+2)</f>
        <v>5.20411998265593</v>
      </c>
    </row>
    <row r="201" customFormat="false" ht="14.65" hidden="false" customHeight="true" outlineLevel="0" collapsed="false">
      <c r="A201" s="12" t="s">
        <v>235</v>
      </c>
      <c r="B201" s="16" t="n">
        <v>38895</v>
      </c>
      <c r="C201" s="17" t="s">
        <v>228</v>
      </c>
      <c r="D201" s="4" t="s">
        <v>229</v>
      </c>
      <c r="E201" s="3" t="n">
        <v>5</v>
      </c>
      <c r="F201" s="3" t="n">
        <v>4</v>
      </c>
      <c r="H201" s="3" t="n">
        <v>27</v>
      </c>
      <c r="I201" s="3" t="n">
        <f aca="false">_xlfn.IFS(G201="взв",11,G201="накл",24,G201="прокл",25,G201="пт",26,G201=90,10,G201=85,10,G201=80,9,G201=75,8,G201=70,8,G201=65,7,G201=60,7,G201=55,6,G201=50,6,G201=45,6,G201=40,5,G201=35,4,G201=30,4,G201=25,3,G201=20,2,G201=15,1,G201=10,1,G201=0,0)</f>
        <v>0</v>
      </c>
      <c r="J201" s="3" t="n">
        <f aca="false">IF(H201&lt;=1,0,IF(H201&lt;=10,11,IF(H201&lt;=14,12,IF(H201&lt;=17,13,IF(H201&lt;=20,14,IF(H201&lt;=22,15,IF(H201&lt;=25,16,IF(H201&lt;=27,17,IF(H201&lt;=29,18,IF(H201&lt;=32,19,IF(H201&lt;=34,20,IF(H201&lt;=36,21,IF(H201&lt;=40,22,24)))))))))))))</f>
        <v>17</v>
      </c>
      <c r="L201" s="3" t="n">
        <v>30</v>
      </c>
      <c r="M201" s="3" t="n">
        <f aca="false">_xlfn.IFS(K201="взв",11,K201="накл",24,K201="прокл",25,K201="пт",26,K201=90,10,K201=85,10,K201=80,9,K201=75,8,K201=70,8,K201=65,7,K201=60,7,K201=55,6,K201=50,6,K201=45,6,K201=40,5,K201=35,4,K201=30,4,K201=25,3,K201=20,2,K201=15,1,K201=10,1,K201=0,0)</f>
        <v>0</v>
      </c>
      <c r="N201" s="3" t="n">
        <f aca="false">IF(L201&lt;=1,0,IF(L201&lt;=10,11,IF(L201&lt;=14,12,IF(L201&lt;=17,13,IF(L201&lt;=20,14,IF(L201&lt;=22,15,IF(L201&lt;=25,16,IF(L201&lt;=27,17,IF(L201&lt;=29,18,IF(L201&lt;=32,19,IF(L201&lt;=34,20,IF(L201&lt;=36,21,IF(L201&lt;=40,22,24)))))))))))))</f>
        <v>19</v>
      </c>
      <c r="P201" s="3" t="n">
        <v>31</v>
      </c>
      <c r="Q201" s="3" t="n">
        <f aca="false">_xlfn.IFS(O201="взв",11,O201="накл",24,O201="прокл",25,O201="пт",26,O201=90,10,O201=85,10,O201=80,9,O201=75,8,O201=70,8,O201=65,7,O201=60,7,O201=55,6,O201=50,6,O201=45,6,O201=40,5,O201=35,4,O201=30,4,O201=25,3,O201=20,2,O201=15,1,O201=10,1,O201=0,0)</f>
        <v>0</v>
      </c>
      <c r="R201" s="3" t="n">
        <f aca="false">IF(P201&lt;=1,0,IF(P201&lt;=10,11,IF(P201&lt;=14,12,IF(P201&lt;=17,13,IF(P201&lt;=20,14,IF(P201&lt;=22,15,IF(P201&lt;=25,16,IF(P201&lt;=27,17,IF(P201&lt;=29,18,IF(P201&lt;=32,19,IF(P201&lt;=34,20,IF(P201&lt;=36,21,IF(P201&lt;=40,22,24)))))))))))))</f>
        <v>19</v>
      </c>
      <c r="S201" s="14" t="n">
        <f aca="false">ROUND((Q201+R201+I201+J201+M201+N201)/3,0)</f>
        <v>18</v>
      </c>
      <c r="T201" s="15" t="n">
        <f aca="false">F201*LOG10(S201+2)</f>
        <v>5.20411998265593</v>
      </c>
    </row>
    <row r="202" customFormat="false" ht="14.65" hidden="false" customHeight="true" outlineLevel="0" collapsed="false">
      <c r="A202" s="12" t="s">
        <v>236</v>
      </c>
      <c r="B202" s="16" t="n">
        <v>38895</v>
      </c>
      <c r="C202" s="17" t="s">
        <v>228</v>
      </c>
      <c r="D202" s="4" t="s">
        <v>229</v>
      </c>
      <c r="E202" s="3" t="n">
        <v>7</v>
      </c>
      <c r="F202" s="3" t="n">
        <v>5</v>
      </c>
      <c r="H202" s="3" t="n">
        <v>35</v>
      </c>
      <c r="I202" s="3" t="n">
        <f aca="false">_xlfn.IFS(G202="взв",11,G202="накл",24,G202="прокл",25,G202="пт",26,G202=90,10,G202=85,10,G202=80,9,G202=75,8,G202=70,8,G202=65,7,G202=60,7,G202=55,6,G202=50,6,G202=45,6,G202=40,5,G202=35,4,G202=30,4,G202=25,3,G202=20,2,G202=15,1,G202=10,1,G202=0,0)</f>
        <v>0</v>
      </c>
      <c r="J202" s="3" t="n">
        <f aca="false">IF(H202&lt;=1,0,IF(H202&lt;=10,11,IF(H202&lt;=14,12,IF(H202&lt;=17,13,IF(H202&lt;=20,14,IF(H202&lt;=22,15,IF(H202&lt;=25,16,IF(H202&lt;=27,17,IF(H202&lt;=29,18,IF(H202&lt;=32,19,IF(H202&lt;=34,20,IF(H202&lt;=36,21,IF(H202&lt;=40,22,24)))))))))))))</f>
        <v>21</v>
      </c>
      <c r="L202" s="3" t="n">
        <v>30</v>
      </c>
      <c r="M202" s="3" t="n">
        <f aca="false">_xlfn.IFS(K202="взв",11,K202="накл",24,K202="прокл",25,K202="пт",26,K202=90,10,K202=85,10,K202=80,9,K202=75,8,K202=70,8,K202=65,7,K202=60,7,K202=55,6,K202=50,6,K202=45,6,K202=40,5,K202=35,4,K202=30,4,K202=25,3,K202=20,2,K202=15,1,K202=10,1,K202=0,0)</f>
        <v>0</v>
      </c>
      <c r="N202" s="3" t="n">
        <f aca="false">IF(L202&lt;=1,0,IF(L202&lt;=10,11,IF(L202&lt;=14,12,IF(L202&lt;=17,13,IF(L202&lt;=20,14,IF(L202&lt;=22,15,IF(L202&lt;=25,16,IF(L202&lt;=27,17,IF(L202&lt;=29,18,IF(L202&lt;=32,19,IF(L202&lt;=34,20,IF(L202&lt;=36,21,IF(L202&lt;=40,22,24)))))))))))))</f>
        <v>19</v>
      </c>
      <c r="P202" s="3" t="n">
        <v>32</v>
      </c>
      <c r="Q202" s="3" t="n">
        <f aca="false">_xlfn.IFS(O202="взв",11,O202="накл",24,O202="прокл",25,O202="пт",26,O202=90,10,O202=85,10,O202=80,9,O202=75,8,O202=70,8,O202=65,7,O202=60,7,O202=55,6,O202=50,6,O202=45,6,O202=40,5,O202=35,4,O202=30,4,O202=25,3,O202=20,2,O202=15,1,O202=10,1,O202=0,0)</f>
        <v>0</v>
      </c>
      <c r="R202" s="3" t="n">
        <f aca="false">IF(P202&lt;=1,0,IF(P202&lt;=10,11,IF(P202&lt;=14,12,IF(P202&lt;=17,13,IF(P202&lt;=20,14,IF(P202&lt;=22,15,IF(P202&lt;=25,16,IF(P202&lt;=27,17,IF(P202&lt;=29,18,IF(P202&lt;=32,19,IF(P202&lt;=34,20,IF(P202&lt;=36,21,IF(P202&lt;=40,22,24)))))))))))))</f>
        <v>19</v>
      </c>
      <c r="S202" s="14" t="n">
        <f aca="false">ROUND((Q202+R202+I202+J202+M202+N202)/3,0)</f>
        <v>20</v>
      </c>
      <c r="T202" s="15" t="n">
        <f aca="false">F202*LOG10(S202+2)</f>
        <v>6.71211340411103</v>
      </c>
    </row>
    <row r="203" customFormat="false" ht="14.65" hidden="false" customHeight="true" outlineLevel="0" collapsed="false">
      <c r="A203" s="12" t="s">
        <v>237</v>
      </c>
      <c r="B203" s="16" t="n">
        <v>38895</v>
      </c>
      <c r="C203" s="17" t="s">
        <v>228</v>
      </c>
      <c r="D203" s="4" t="s">
        <v>229</v>
      </c>
      <c r="E203" s="3" t="n">
        <v>5</v>
      </c>
      <c r="F203" s="3" t="n">
        <v>6</v>
      </c>
      <c r="H203" s="3" t="n">
        <v>21</v>
      </c>
      <c r="I203" s="3" t="n">
        <f aca="false">_xlfn.IFS(G203="взв",11,G203="накл",24,G203="прокл",25,G203="пт",26,G203=90,10,G203=85,10,G203=80,9,G203=75,8,G203=70,8,G203=65,7,G203=60,7,G203=55,6,G203=50,6,G203=45,6,G203=40,5,G203=35,4,G203=30,4,G203=25,3,G203=20,2,G203=15,1,G203=10,1,G203=0,0)</f>
        <v>0</v>
      </c>
      <c r="J203" s="3" t="n">
        <f aca="false">IF(H203&lt;=1,0,IF(H203&lt;=10,11,IF(H203&lt;=14,12,IF(H203&lt;=17,13,IF(H203&lt;=20,14,IF(H203&lt;=22,15,IF(H203&lt;=25,16,IF(H203&lt;=27,17,IF(H203&lt;=29,18,IF(H203&lt;=32,19,IF(H203&lt;=34,20,IF(H203&lt;=36,21,IF(H203&lt;=40,22,24)))))))))))))</f>
        <v>15</v>
      </c>
      <c r="L203" s="3" t="n">
        <v>31</v>
      </c>
      <c r="M203" s="3" t="n">
        <f aca="false">_xlfn.IFS(K203="взв",11,K203="накл",24,K203="прокл",25,K203="пт",26,K203=90,10,K203=85,10,K203=80,9,K203=75,8,K203=70,8,K203=65,7,K203=60,7,K203=55,6,K203=50,6,K203=45,6,K203=40,5,K203=35,4,K203=30,4,K203=25,3,K203=20,2,K203=15,1,K203=10,1,K203=0,0)</f>
        <v>0</v>
      </c>
      <c r="N203" s="3" t="n">
        <f aca="false">IF(L203&lt;=1,0,IF(L203&lt;=10,11,IF(L203&lt;=14,12,IF(L203&lt;=17,13,IF(L203&lt;=20,14,IF(L203&lt;=22,15,IF(L203&lt;=25,16,IF(L203&lt;=27,17,IF(L203&lt;=29,18,IF(L203&lt;=32,19,IF(L203&lt;=34,20,IF(L203&lt;=36,21,IF(L203&lt;=40,22,24)))))))))))))</f>
        <v>19</v>
      </c>
      <c r="P203" s="3" t="n">
        <v>31</v>
      </c>
      <c r="Q203" s="3" t="n">
        <f aca="false">_xlfn.IFS(O203="взв",11,O203="накл",24,O203="прокл",25,O203="пт",26,O203=90,10,O203=85,10,O203=80,9,O203=75,8,O203=70,8,O203=65,7,O203=60,7,O203=55,6,O203=50,6,O203=45,6,O203=40,5,O203=35,4,O203=30,4,O203=25,3,O203=20,2,O203=15,1,O203=10,1,O203=0,0)</f>
        <v>0</v>
      </c>
      <c r="R203" s="3" t="n">
        <f aca="false">IF(P203&lt;=1,0,IF(P203&lt;=10,11,IF(P203&lt;=14,12,IF(P203&lt;=17,13,IF(P203&lt;=20,14,IF(P203&lt;=22,15,IF(P203&lt;=25,16,IF(P203&lt;=27,17,IF(P203&lt;=29,18,IF(P203&lt;=32,19,IF(P203&lt;=34,20,IF(P203&lt;=36,21,IF(P203&lt;=40,22,24)))))))))))))</f>
        <v>19</v>
      </c>
      <c r="S203" s="14" t="n">
        <f aca="false">ROUND((Q203+R203+I203+J203+M203+N203)/3,0)</f>
        <v>18</v>
      </c>
      <c r="T203" s="15" t="n">
        <f aca="false">F203*LOG10(S203+2)</f>
        <v>7.80617997398389</v>
      </c>
    </row>
    <row r="204" customFormat="false" ht="14.65" hidden="false" customHeight="true" outlineLevel="0" collapsed="false">
      <c r="A204" s="12" t="s">
        <v>238</v>
      </c>
      <c r="B204" s="16" t="n">
        <v>38895</v>
      </c>
      <c r="C204" s="17" t="s">
        <v>228</v>
      </c>
      <c r="D204" s="4" t="s">
        <v>229</v>
      </c>
      <c r="E204" s="3" t="n">
        <v>5</v>
      </c>
      <c r="F204" s="3" t="n">
        <v>7</v>
      </c>
      <c r="G204" s="3" t="n">
        <v>90</v>
      </c>
      <c r="I204" s="3" t="n">
        <f aca="false">_xlfn.IFS(G204="взв",11,G204="накл",24,G204="прокл",25,G204="пт",26,G204=90,10,G204=85,10,G204=80,9,G204=75,8,G204=70,8,G204=65,7,G204=60,7,G204=55,6,G204=50,6,G204=45,6,G204=40,5,G204=35,4,G204=30,4,G204=25,3,G204=20,2,G204=15,1,G204=10,1,G204=0,0)</f>
        <v>10</v>
      </c>
      <c r="J204" s="3" t="n">
        <f aca="false">IF(H204&lt;=1,0,IF(H204&lt;=10,11,IF(H204&lt;=14,12,IF(H204&lt;=17,13,IF(H204&lt;=20,14,IF(H204&lt;=22,15,IF(H204&lt;=25,16,IF(H204&lt;=27,17,IF(H204&lt;=29,18,IF(H204&lt;=32,19,IF(H204&lt;=34,20,IF(H204&lt;=36,21,IF(H204&lt;=40,22,24)))))))))))))</f>
        <v>0</v>
      </c>
      <c r="K204" s="3" t="n">
        <v>75</v>
      </c>
      <c r="M204" s="3" t="n">
        <f aca="false">_xlfn.IFS(K204="взв",11,K204="накл",24,K204="прокл",25,K204="пт",26,K204=90,10,K204=85,10,K204=80,9,K204=75,8,K204=70,8,K204=65,7,K204=60,7,K204=55,6,K204=50,6,K204=45,6,K204=40,5,K204=35,4,K204=30,4,K204=25,3,K204=20,2,K204=15,1,K204=10,1,K204=0,0)</f>
        <v>8</v>
      </c>
      <c r="N204" s="3" t="n">
        <f aca="false">IF(L204&lt;=1,0,IF(L204&lt;=10,11,IF(L204&lt;=14,12,IF(L204&lt;=17,13,IF(L204&lt;=20,14,IF(L204&lt;=22,15,IF(L204&lt;=25,16,IF(L204&lt;=27,17,IF(L204&lt;=29,18,IF(L204&lt;=32,19,IF(L204&lt;=34,20,IF(L204&lt;=36,21,IF(L204&lt;=40,22,24)))))))))))))</f>
        <v>0</v>
      </c>
      <c r="O204" s="3" t="n">
        <v>75</v>
      </c>
      <c r="Q204" s="3" t="n">
        <f aca="false">_xlfn.IFS(O204="взв",11,O204="накл",24,O204="прокл",25,O204="пт",26,O204=90,10,O204=85,10,O204=80,9,O204=75,8,O204=70,8,O204=65,7,O204=60,7,O204=55,6,O204=50,6,O204=45,6,O204=40,5,O204=35,4,O204=30,4,O204=25,3,O204=20,2,O204=15,1,O204=10,1,O204=0,0)</f>
        <v>8</v>
      </c>
      <c r="R204" s="3" t="n">
        <f aca="false">IF(P204&lt;=1,0,IF(P204&lt;=10,11,IF(P204&lt;=14,12,IF(P204&lt;=17,13,IF(P204&lt;=20,14,IF(P204&lt;=22,15,IF(P204&lt;=25,16,IF(P204&lt;=27,17,IF(P204&lt;=29,18,IF(P204&lt;=32,19,IF(P204&lt;=34,20,IF(P204&lt;=36,21,IF(P204&lt;=40,22,24)))))))))))))</f>
        <v>0</v>
      </c>
      <c r="S204" s="14" t="n">
        <f aca="false">ROUND((Q204+R204+I204+J204+M204+N204)/3,0)</f>
        <v>9</v>
      </c>
      <c r="T204" s="15" t="n">
        <f aca="false">F204*LOG10(S204+2)</f>
        <v>7.28974879610758</v>
      </c>
    </row>
    <row r="205" customFormat="false" ht="14.65" hidden="false" customHeight="true" outlineLevel="0" collapsed="false">
      <c r="A205" s="12" t="s">
        <v>239</v>
      </c>
      <c r="B205" s="16" t="n">
        <v>38895</v>
      </c>
      <c r="C205" s="17" t="s">
        <v>228</v>
      </c>
      <c r="D205" s="4" t="s">
        <v>229</v>
      </c>
      <c r="E205" s="3" t="n">
        <v>6</v>
      </c>
      <c r="F205" s="3" t="n">
        <v>8</v>
      </c>
      <c r="H205" s="3" t="n">
        <v>34</v>
      </c>
      <c r="I205" s="3" t="n">
        <f aca="false">_xlfn.IFS(G205="взв",11,G205="накл",24,G205="прокл",25,G205="пт",26,G205=90,10,G205=85,10,G205=80,9,G205=75,8,G205=70,8,G205=65,7,G205=60,7,G205=55,6,G205=50,6,G205=45,6,G205=40,5,G205=35,4,G205=30,4,G205=25,3,G205=20,2,G205=15,1,G205=10,1,G205=0,0)</f>
        <v>0</v>
      </c>
      <c r="J205" s="3" t="n">
        <f aca="false">IF(H205&lt;=1,0,IF(H205&lt;=10,11,IF(H205&lt;=14,12,IF(H205&lt;=17,13,IF(H205&lt;=20,14,IF(H205&lt;=22,15,IF(H205&lt;=25,16,IF(H205&lt;=27,17,IF(H205&lt;=29,18,IF(H205&lt;=32,19,IF(H205&lt;=34,20,IF(H205&lt;=36,21,IF(H205&lt;=40,22,24)))))))))))))</f>
        <v>20</v>
      </c>
      <c r="L205" s="3" t="n">
        <v>32</v>
      </c>
      <c r="M205" s="3" t="n">
        <f aca="false">_xlfn.IFS(K205="взв",11,K205="накл",24,K205="прокл",25,K205="пт",26,K205=90,10,K205=85,10,K205=80,9,K205=75,8,K205=70,8,K205=65,7,K205=60,7,K205=55,6,K205=50,6,K205=45,6,K205=40,5,K205=35,4,K205=30,4,K205=25,3,K205=20,2,K205=15,1,K205=10,1,K205=0,0)</f>
        <v>0</v>
      </c>
      <c r="N205" s="3" t="n">
        <f aca="false">IF(L205&lt;=1,0,IF(L205&lt;=10,11,IF(L205&lt;=14,12,IF(L205&lt;=17,13,IF(L205&lt;=20,14,IF(L205&lt;=22,15,IF(L205&lt;=25,16,IF(L205&lt;=27,17,IF(L205&lt;=29,18,IF(L205&lt;=32,19,IF(L205&lt;=34,20,IF(L205&lt;=36,21,IF(L205&lt;=40,22,24)))))))))))))</f>
        <v>19</v>
      </c>
      <c r="P205" s="3" t="n">
        <v>34</v>
      </c>
      <c r="Q205" s="3" t="n">
        <f aca="false">_xlfn.IFS(O205="взв",11,O205="накл",24,O205="прокл",25,O205="пт",26,O205=90,10,O205=85,10,O205=80,9,O205=75,8,O205=70,8,O205=65,7,O205=60,7,O205=55,6,O205=50,6,O205=45,6,O205=40,5,O205=35,4,O205=30,4,O205=25,3,O205=20,2,O205=15,1,O205=10,1,O205=0,0)</f>
        <v>0</v>
      </c>
      <c r="R205" s="3" t="n">
        <f aca="false">IF(P205&lt;=1,0,IF(P205&lt;=10,11,IF(P205&lt;=14,12,IF(P205&lt;=17,13,IF(P205&lt;=20,14,IF(P205&lt;=22,15,IF(P205&lt;=25,16,IF(P205&lt;=27,17,IF(P205&lt;=29,18,IF(P205&lt;=32,19,IF(P205&lt;=34,20,IF(P205&lt;=36,21,IF(P205&lt;=40,22,24)))))))))))))</f>
        <v>20</v>
      </c>
      <c r="S205" s="14" t="n">
        <f aca="false">ROUND((Q205+R205+I205+J205+M205+N205)/3,0)</f>
        <v>20</v>
      </c>
      <c r="T205" s="15" t="n">
        <f aca="false">F205*LOG10(S205+2)</f>
        <v>10.7393814465777</v>
      </c>
    </row>
    <row r="206" customFormat="false" ht="14.65" hidden="false" customHeight="true" outlineLevel="0" collapsed="false">
      <c r="A206" s="12" t="s">
        <v>240</v>
      </c>
      <c r="B206" s="16" t="n">
        <v>38895</v>
      </c>
      <c r="C206" s="17" t="s">
        <v>228</v>
      </c>
      <c r="D206" s="4" t="s">
        <v>229</v>
      </c>
      <c r="E206" s="3" t="n">
        <v>2</v>
      </c>
      <c r="F206" s="3" t="n">
        <v>15</v>
      </c>
      <c r="H206" s="3" t="n">
        <v>27</v>
      </c>
      <c r="I206" s="3" t="n">
        <f aca="false">_xlfn.IFS(G206="взв",11,G206="накл",24,G206="прокл",25,G206="пт",26,G206=90,10,G206=85,10,G206=80,9,G206=75,8,G206=70,8,G206=65,7,G206=60,7,G206=55,6,G206=50,6,G206=45,6,G206=40,5,G206=35,4,G206=30,4,G206=25,3,G206=20,2,G206=15,1,G206=10,1,G206=0,0)</f>
        <v>0</v>
      </c>
      <c r="J206" s="3" t="n">
        <f aca="false">IF(H206&lt;=1,0,IF(H206&lt;=10,11,IF(H206&lt;=14,12,IF(H206&lt;=17,13,IF(H206&lt;=20,14,IF(H206&lt;=22,15,IF(H206&lt;=25,16,IF(H206&lt;=27,17,IF(H206&lt;=29,18,IF(H206&lt;=32,19,IF(H206&lt;=34,20,IF(H206&lt;=36,21,IF(H206&lt;=40,22,24)))))))))))))</f>
        <v>17</v>
      </c>
      <c r="L206" s="3" t="n">
        <v>35</v>
      </c>
      <c r="M206" s="3" t="n">
        <f aca="false">_xlfn.IFS(K206="взв",11,K206="накл",24,K206="прокл",25,K206="пт",26,K206=90,10,K206=85,10,K206=80,9,K206=75,8,K206=70,8,K206=65,7,K206=60,7,K206=55,6,K206=50,6,K206=45,6,K206=40,5,K206=35,4,K206=30,4,K206=25,3,K206=20,2,K206=15,1,K206=10,1,K206=0,0)</f>
        <v>0</v>
      </c>
      <c r="N206" s="3" t="n">
        <f aca="false">IF(L206&lt;=1,0,IF(L206&lt;=10,11,IF(L206&lt;=14,12,IF(L206&lt;=17,13,IF(L206&lt;=20,14,IF(L206&lt;=22,15,IF(L206&lt;=25,16,IF(L206&lt;=27,17,IF(L206&lt;=29,18,IF(L206&lt;=32,19,IF(L206&lt;=34,20,IF(L206&lt;=36,21,IF(L206&lt;=40,22,24)))))))))))))</f>
        <v>21</v>
      </c>
      <c r="Q206" s="3" t="n">
        <f aca="false">_xlfn.IFS(O206="взв",11,O206="накл",24,O206="прокл",25,O206="пт",26,O206=90,10,O206=85,10,O206=80,9,O206=75,8,O206=70,8,O206=65,7,O206=60,7,O206=55,6,O206=50,6,O206=45,6,O206=40,5,O206=35,4,O206=30,4,O206=25,3,O206=20,2,O206=15,1,O206=10,1,O206=0,0)</f>
        <v>0</v>
      </c>
      <c r="R206" s="3" t="n">
        <f aca="false">IF(P206&lt;=1,0,IF(P206&lt;=10,11,IF(P206&lt;=14,12,IF(P206&lt;=17,13,IF(P206&lt;=20,14,IF(P206&lt;=22,15,IF(P206&lt;=25,16,IF(P206&lt;=27,17,IF(P206&lt;=29,18,IF(P206&lt;=32,19,IF(P206&lt;=34,20,IF(P206&lt;=36,21,IF(P206&lt;=40,22,24)))))))))))))</f>
        <v>0</v>
      </c>
      <c r="S206" s="14" t="n">
        <f aca="false">ROUND((Q206+R206+I206+J206+M206+N206)/2,0)</f>
        <v>19</v>
      </c>
      <c r="T206" s="15" t="n">
        <f aca="false">F206*LOG10(S206+2)</f>
        <v>19.8332894210088</v>
      </c>
    </row>
    <row r="207" customFormat="false" ht="14.65" hidden="false" customHeight="true" outlineLevel="0" collapsed="false">
      <c r="A207" s="12" t="s">
        <v>241</v>
      </c>
      <c r="B207" s="16" t="n">
        <v>38895</v>
      </c>
      <c r="C207" s="17" t="s">
        <v>228</v>
      </c>
      <c r="D207" s="4" t="s">
        <v>229</v>
      </c>
      <c r="E207" s="3" t="n">
        <v>4</v>
      </c>
      <c r="F207" s="3" t="n">
        <v>25</v>
      </c>
      <c r="H207" s="3" t="n">
        <v>27</v>
      </c>
      <c r="I207" s="3" t="n">
        <f aca="false">_xlfn.IFS(G207="взв",11,G207="накл",24,G207="прокл",25,G207="пт",26,G207=90,10,G207=85,10,G207=80,9,G207=75,8,G207=70,8,G207=65,7,G207=60,7,G207=55,6,G207=50,6,G207=45,6,G207=40,5,G207=35,4,G207=30,4,G207=25,3,G207=20,2,G207=15,1,G207=10,1,G207=0,0)</f>
        <v>0</v>
      </c>
      <c r="J207" s="3" t="n">
        <f aca="false">IF(H207&lt;=1,0,IF(H207&lt;=10,11,IF(H207&lt;=14,12,IF(H207&lt;=17,13,IF(H207&lt;=20,14,IF(H207&lt;=22,15,IF(H207&lt;=25,16,IF(H207&lt;=27,17,IF(H207&lt;=29,18,IF(H207&lt;=32,19,IF(H207&lt;=34,20,IF(H207&lt;=36,21,IF(H207&lt;=40,22,24)))))))))))))</f>
        <v>17</v>
      </c>
      <c r="L207" s="3" t="n">
        <v>30</v>
      </c>
      <c r="M207" s="3" t="n">
        <f aca="false">_xlfn.IFS(K207="взв",11,K207="накл",24,K207="прокл",25,K207="пт",26,K207=90,10,K207=85,10,K207=80,9,K207=75,8,K207=70,8,K207=65,7,K207=60,7,K207=55,6,K207=50,6,K207=45,6,K207=40,5,K207=35,4,K207=30,4,K207=25,3,K207=20,2,K207=15,1,K207=10,1,K207=0,0)</f>
        <v>0</v>
      </c>
      <c r="N207" s="3" t="n">
        <f aca="false">IF(L207&lt;=1,0,IF(L207&lt;=10,11,IF(L207&lt;=14,12,IF(L207&lt;=17,13,IF(L207&lt;=20,14,IF(L207&lt;=22,15,IF(L207&lt;=25,16,IF(L207&lt;=27,17,IF(L207&lt;=29,18,IF(L207&lt;=32,19,IF(L207&lt;=34,20,IF(L207&lt;=36,21,IF(L207&lt;=40,22,24)))))))))))))</f>
        <v>19</v>
      </c>
      <c r="P207" s="3" t="n">
        <v>30</v>
      </c>
      <c r="Q207" s="3" t="n">
        <f aca="false">_xlfn.IFS(O207="взв",11,O207="накл",24,O207="прокл",25,O207="пт",26,O207=90,10,O207=85,10,O207=80,9,O207=75,8,O207=70,8,O207=65,7,O207=60,7,O207=55,6,O207=50,6,O207=45,6,O207=40,5,O207=35,4,O207=30,4,O207=25,3,O207=20,2,O207=15,1,O207=10,1,O207=0,0)</f>
        <v>0</v>
      </c>
      <c r="R207" s="3" t="n">
        <f aca="false">IF(P207&lt;=1,0,IF(P207&lt;=10,11,IF(P207&lt;=14,12,IF(P207&lt;=17,13,IF(P207&lt;=20,14,IF(P207&lt;=22,15,IF(P207&lt;=25,16,IF(P207&lt;=27,17,IF(P207&lt;=29,18,IF(P207&lt;=32,19,IF(P207&lt;=34,20,IF(P207&lt;=36,21,IF(P207&lt;=40,22,24)))))))))))))</f>
        <v>19</v>
      </c>
      <c r="S207" s="14" t="n">
        <f aca="false">ROUND((Q207+R207+I207+J207+M207+N207)/3,0)</f>
        <v>18</v>
      </c>
      <c r="T207" s="15" t="n">
        <f aca="false">F207*LOG10(S207+2)</f>
        <v>32.5257498915995</v>
      </c>
    </row>
    <row r="208" customFormat="false" ht="14.65" hidden="false" customHeight="true" outlineLevel="0" collapsed="false">
      <c r="A208" s="12" t="s">
        <v>242</v>
      </c>
      <c r="B208" s="16" t="n">
        <v>38895</v>
      </c>
      <c r="C208" s="17" t="s">
        <v>228</v>
      </c>
      <c r="D208" s="4" t="s">
        <v>229</v>
      </c>
      <c r="E208" s="3" t="n">
        <v>5</v>
      </c>
      <c r="F208" s="3" t="n">
        <v>20</v>
      </c>
      <c r="G208" s="3" t="n">
        <v>75</v>
      </c>
      <c r="I208" s="3" t="n">
        <f aca="false">_xlfn.IFS(G208="взв",11,G208="накл",24,G208="прокл",25,G208="пт",26,G208=90,10,G208=85,10,G208=80,9,G208=75,8,G208=70,8,G208=65,7,G208=60,7,G208=55,6,G208=50,6,G208=45,6,G208=40,5,G208=35,4,G208=30,4,G208=25,3,G208=20,2,G208=15,1,G208=10,1,G208=0,0)</f>
        <v>8</v>
      </c>
      <c r="J208" s="3" t="n">
        <f aca="false">IF(H208&lt;=1,0,IF(H208&lt;=10,11,IF(H208&lt;=14,12,IF(H208&lt;=17,13,IF(H208&lt;=20,14,IF(H208&lt;=22,15,IF(H208&lt;=25,16,IF(H208&lt;=27,17,IF(H208&lt;=29,18,IF(H208&lt;=32,19,IF(H208&lt;=34,20,IF(H208&lt;=36,21,IF(H208&lt;=40,22,24)))))))))))))</f>
        <v>0</v>
      </c>
      <c r="K208" s="3" t="n">
        <v>75</v>
      </c>
      <c r="M208" s="3" t="n">
        <f aca="false">_xlfn.IFS(K208="взв",11,K208="накл",24,K208="прокл",25,K208="пт",26,K208=90,10,K208=85,10,K208=80,9,K208=75,8,K208=70,8,K208=65,7,K208=60,7,K208=55,6,K208=50,6,K208=45,6,K208=40,5,K208=35,4,K208=30,4,K208=25,3,K208=20,2,K208=15,1,K208=10,1,K208=0,0)</f>
        <v>8</v>
      </c>
      <c r="N208" s="3" t="n">
        <f aca="false">IF(L208&lt;=1,0,IF(L208&lt;=10,11,IF(L208&lt;=14,12,IF(L208&lt;=17,13,IF(L208&lt;=20,14,IF(L208&lt;=22,15,IF(L208&lt;=25,16,IF(L208&lt;=27,17,IF(L208&lt;=29,18,IF(L208&lt;=32,19,IF(L208&lt;=34,20,IF(L208&lt;=36,21,IF(L208&lt;=40,22,24)))))))))))))</f>
        <v>0</v>
      </c>
      <c r="O208" s="3" t="n">
        <v>60</v>
      </c>
      <c r="Q208" s="3" t="n">
        <f aca="false">_xlfn.IFS(O208="взв",11,O208="накл",24,O208="прокл",25,O208="пт",26,O208=90,10,O208=85,10,O208=80,9,O208=75,8,O208=70,8,O208=65,7,O208=60,7,O208=55,6,O208=50,6,O208=45,6,O208=40,5,O208=35,4,O208=30,4,O208=25,3,O208=20,2,O208=15,1,O208=10,1,O208=0,0)</f>
        <v>7</v>
      </c>
      <c r="R208" s="3" t="n">
        <f aca="false">IF(P208&lt;=1,0,IF(P208&lt;=10,11,IF(P208&lt;=14,12,IF(P208&lt;=17,13,IF(P208&lt;=20,14,IF(P208&lt;=22,15,IF(P208&lt;=25,16,IF(P208&lt;=27,17,IF(P208&lt;=29,18,IF(P208&lt;=32,19,IF(P208&lt;=34,20,IF(P208&lt;=36,21,IF(P208&lt;=40,22,24)))))))))))))</f>
        <v>0</v>
      </c>
      <c r="S208" s="14" t="n">
        <f aca="false">ROUND((Q208+R208+I208+J208+M208+N208)/3,0)</f>
        <v>8</v>
      </c>
      <c r="T208" s="15" t="n">
        <f aca="false">F208*LOG10(S208+2)</f>
        <v>20</v>
      </c>
    </row>
    <row r="209" customFormat="false" ht="14.65" hidden="false" customHeight="true" outlineLevel="0" collapsed="false">
      <c r="A209" s="12" t="s">
        <v>243</v>
      </c>
      <c r="B209" s="16" t="n">
        <v>38889</v>
      </c>
      <c r="C209" s="17" t="s">
        <v>228</v>
      </c>
      <c r="D209" s="4" t="s">
        <v>244</v>
      </c>
      <c r="E209" s="3" t="n">
        <v>5</v>
      </c>
      <c r="F209" s="3" t="n">
        <v>1</v>
      </c>
      <c r="H209" s="3" t="n">
        <v>32</v>
      </c>
      <c r="I209" s="3" t="n">
        <f aca="false">_xlfn.IFS(G209="взв",11,G209="накл",24,G209="прокл",25,G209="пт",26,G209=90,10,G209=85,10,G209=80,9,G209=75,8,G209=70,8,G209=65,7,G209=60,7,G209=55,6,G209=50,6,G209=45,6,G209=40,5,G209=35,4,G209=30,4,G209=25,3,G209=20,2,G209=15,1,G209=10,1,G209=0,0)</f>
        <v>0</v>
      </c>
      <c r="J209" s="3" t="n">
        <f aca="false">IF(H209&lt;=1,0,IF(H209&lt;=10,11,IF(H209&lt;=14,12,IF(H209&lt;=17,13,IF(H209&lt;=20,14,IF(H209&lt;=22,15,IF(H209&lt;=25,16,IF(H209&lt;=27,17,IF(H209&lt;=29,18,IF(H209&lt;=32,19,IF(H209&lt;=34,20,IF(H209&lt;=36,21,IF(H209&lt;=40,22,24)))))))))))))</f>
        <v>19</v>
      </c>
      <c r="L209" s="3" t="n">
        <v>33</v>
      </c>
      <c r="M209" s="3" t="n">
        <f aca="false">_xlfn.IFS(K209="взв",11,K209="накл",24,K209="прокл",25,K209="пт",26,K209=90,10,K209=85,10,K209=80,9,K209=75,8,K209=70,8,K209=65,7,K209=60,7,K209=55,6,K209=50,6,K209=45,6,K209=40,5,K209=35,4,K209=30,4,K209=25,3,K209=20,2,K209=15,1,K209=10,1,K209=0,0)</f>
        <v>0</v>
      </c>
      <c r="N209" s="3" t="n">
        <f aca="false">IF(L209&lt;=1,0,IF(L209&lt;=10,11,IF(L209&lt;=14,12,IF(L209&lt;=17,13,IF(L209&lt;=20,14,IF(L209&lt;=22,15,IF(L209&lt;=25,16,IF(L209&lt;=27,17,IF(L209&lt;=29,18,IF(L209&lt;=32,19,IF(L209&lt;=34,20,IF(L209&lt;=36,21,IF(L209&lt;=40,22,24)))))))))))))</f>
        <v>20</v>
      </c>
      <c r="P209" s="3" t="n">
        <v>32</v>
      </c>
      <c r="Q209" s="3" t="n">
        <f aca="false">_xlfn.IFS(O209="взв",11,O209="накл",24,O209="прокл",25,O209="пт",26,O209=90,10,O209=85,10,O209=80,9,O209=75,8,O209=70,8,O209=65,7,O209=60,7,O209=55,6,O209=50,6,O209=45,6,O209=40,5,O209=35,4,O209=30,4,O209=25,3,O209=20,2,O209=15,1,O209=10,1,O209=0,0)</f>
        <v>0</v>
      </c>
      <c r="R209" s="3" t="n">
        <f aca="false">IF(P209&lt;=1,0,IF(P209&lt;=10,11,IF(P209&lt;=14,12,IF(P209&lt;=17,13,IF(P209&lt;=20,14,IF(P209&lt;=22,15,IF(P209&lt;=25,16,IF(P209&lt;=27,17,IF(P209&lt;=29,18,IF(P209&lt;=32,19,IF(P209&lt;=34,20,IF(P209&lt;=36,21,IF(P209&lt;=40,22,24)))))))))))))</f>
        <v>19</v>
      </c>
      <c r="S209" s="14" t="n">
        <f aca="false">ROUND((Q209+R209+I209+J209+M209+N209)/3,0)</f>
        <v>19</v>
      </c>
      <c r="T209" s="15" t="n">
        <f aca="false">F209*LOG10(S209+2)</f>
        <v>1.32221929473392</v>
      </c>
    </row>
    <row r="210" customFormat="false" ht="14.65" hidden="false" customHeight="true" outlineLevel="0" collapsed="false">
      <c r="A210" s="12" t="s">
        <v>245</v>
      </c>
      <c r="B210" s="16" t="n">
        <v>38889</v>
      </c>
      <c r="C210" s="17" t="s">
        <v>228</v>
      </c>
      <c r="D210" s="4" t="s">
        <v>244</v>
      </c>
      <c r="E210" s="3" t="n">
        <v>6</v>
      </c>
      <c r="F210" s="3" t="n">
        <v>1.5</v>
      </c>
      <c r="H210" s="3" t="n">
        <v>17</v>
      </c>
      <c r="I210" s="3" t="n">
        <f aca="false">_xlfn.IFS(G210="взв",11,G210="накл",24,G210="прокл",25,G210="пт",26,G210=90,10,G210=85,10,G210=80,9,G210=75,8,G210=70,8,G210=65,7,G210=60,7,G210=55,6,G210=50,6,G210=45,6,G210=40,5,G210=35,4,G210=30,4,G210=25,3,G210=20,2,G210=15,1,G210=10,1,G210=0,0)</f>
        <v>0</v>
      </c>
      <c r="J210" s="3" t="n">
        <f aca="false">IF(H210&lt;=1,0,IF(H210&lt;=10,11,IF(H210&lt;=14,12,IF(H210&lt;=17,13,IF(H210&lt;=20,14,IF(H210&lt;=22,15,IF(H210&lt;=25,16,IF(H210&lt;=27,17,IF(H210&lt;=29,18,IF(H210&lt;=32,19,IF(H210&lt;=34,20,IF(H210&lt;=36,21,IF(H210&lt;=40,22,24)))))))))))))</f>
        <v>13</v>
      </c>
      <c r="L210" s="3" t="n">
        <v>20</v>
      </c>
      <c r="M210" s="3" t="n">
        <f aca="false">_xlfn.IFS(K210="взв",11,K210="накл",24,K210="прокл",25,K210="пт",26,K210=90,10,K210=85,10,K210=80,9,K210=75,8,K210=70,8,K210=65,7,K210=60,7,K210=55,6,K210=50,6,K210=45,6,K210=40,5,K210=35,4,K210=30,4,K210=25,3,K210=20,2,K210=15,1,K210=10,1,K210=0,0)</f>
        <v>0</v>
      </c>
      <c r="N210" s="3" t="n">
        <f aca="false">IF(L210&lt;=1,0,IF(L210&lt;=10,11,IF(L210&lt;=14,12,IF(L210&lt;=17,13,IF(L210&lt;=20,14,IF(L210&lt;=22,15,IF(L210&lt;=25,16,IF(L210&lt;=27,17,IF(L210&lt;=29,18,IF(L210&lt;=32,19,IF(L210&lt;=34,20,IF(L210&lt;=36,21,IF(L210&lt;=40,22,24)))))))))))))</f>
        <v>14</v>
      </c>
      <c r="O210" s="3" t="s">
        <v>50</v>
      </c>
      <c r="Q210" s="3" t="n">
        <f aca="false">_xlfn.IFS(O210="взв",11,O210="накл",24,O210="прокл",25,O210="пт",26,O210=90,10,O210=85,10,O210=80,9,O210=75,8,O210=70,8,O210=65,7,O210=60,7,O210=55,6,O210=50,6,O210=45,6,O210=40,5,O210=35,4,O210=30,4,O210=25,3,O210=20,2,O210=15,1,O210=10,1,O210=0,0)</f>
        <v>11</v>
      </c>
      <c r="R210" s="3" t="n">
        <f aca="false">IF(P210&lt;=1,0,IF(P210&lt;=10,11,IF(P210&lt;=14,12,IF(P210&lt;=17,13,IF(P210&lt;=20,14,IF(P210&lt;=22,15,IF(P210&lt;=25,16,IF(P210&lt;=27,17,IF(P210&lt;=29,18,IF(P210&lt;=32,19,IF(P210&lt;=34,20,IF(P210&lt;=36,21,IF(P210&lt;=40,22,24)))))))))))))</f>
        <v>0</v>
      </c>
      <c r="S210" s="14" t="n">
        <f aca="false">ROUND((Q210+R210+I210+J210+M210+N210)/3,0)</f>
        <v>13</v>
      </c>
      <c r="T210" s="15" t="n">
        <f aca="false">F210*LOG10(S210+2)</f>
        <v>1.76413688858352</v>
      </c>
    </row>
    <row r="211" customFormat="false" ht="14.65" hidden="false" customHeight="true" outlineLevel="0" collapsed="false">
      <c r="A211" s="12" t="s">
        <v>246</v>
      </c>
      <c r="B211" s="16" t="n">
        <v>38889</v>
      </c>
      <c r="C211" s="17" t="s">
        <v>228</v>
      </c>
      <c r="D211" s="4" t="s">
        <v>244</v>
      </c>
      <c r="E211" s="3" t="n">
        <v>3</v>
      </c>
      <c r="F211" s="3" t="n">
        <v>2</v>
      </c>
      <c r="H211" s="3" t="n">
        <v>34</v>
      </c>
      <c r="I211" s="3" t="n">
        <f aca="false">_xlfn.IFS(G211="взв",11,G211="накл",24,G211="прокл",25,G211="пт",26,G211=90,10,G211=85,10,G211=80,9,G211=75,8,G211=70,8,G211=65,7,G211=60,7,G211=55,6,G211=50,6,G211=45,6,G211=40,5,G211=35,4,G211=30,4,G211=25,3,G211=20,2,G211=15,1,G211=10,1,G211=0,0)</f>
        <v>0</v>
      </c>
      <c r="J211" s="3" t="n">
        <f aca="false">IF(H211&lt;=1,0,IF(H211&lt;=10,11,IF(H211&lt;=14,12,IF(H211&lt;=17,13,IF(H211&lt;=20,14,IF(H211&lt;=22,15,IF(H211&lt;=25,16,IF(H211&lt;=27,17,IF(H211&lt;=29,18,IF(H211&lt;=32,19,IF(H211&lt;=34,20,IF(H211&lt;=36,21,IF(H211&lt;=40,22,24)))))))))))))</f>
        <v>20</v>
      </c>
      <c r="L211" s="3" t="n">
        <v>39</v>
      </c>
      <c r="M211" s="3" t="n">
        <f aca="false">_xlfn.IFS(K211="взв",11,K211="накл",24,K211="прокл",25,K211="пт",26,K211=90,10,K211=85,10,K211=80,9,K211=75,8,K211=70,8,K211=65,7,K211=60,7,K211=55,6,K211=50,6,K211=45,6,K211=40,5,K211=35,4,K211=30,4,K211=25,3,K211=20,2,K211=15,1,K211=10,1,K211=0,0)</f>
        <v>0</v>
      </c>
      <c r="N211" s="3" t="n">
        <f aca="false">IF(L211&lt;=1,0,IF(L211&lt;=10,11,IF(L211&lt;=14,12,IF(L211&lt;=17,13,IF(L211&lt;=20,14,IF(L211&lt;=22,15,IF(L211&lt;=25,16,IF(L211&lt;=27,17,IF(L211&lt;=29,18,IF(L211&lt;=32,19,IF(L211&lt;=34,20,IF(L211&lt;=36,21,IF(L211&lt;=40,22,24)))))))))))))</f>
        <v>22</v>
      </c>
      <c r="P211" s="3" t="n">
        <v>37</v>
      </c>
      <c r="Q211" s="3" t="n">
        <f aca="false">_xlfn.IFS(O211="взв",11,O211="накл",24,O211="прокл",25,O211="пт",26,O211=90,10,O211=85,10,O211=80,9,O211=75,8,O211=70,8,O211=65,7,O211=60,7,O211=55,6,O211=50,6,O211=45,6,O211=40,5,O211=35,4,O211=30,4,O211=25,3,O211=20,2,O211=15,1,O211=10,1,O211=0,0)</f>
        <v>0</v>
      </c>
      <c r="R211" s="3" t="n">
        <f aca="false">IF(P211&lt;=1,0,IF(P211&lt;=10,11,IF(P211&lt;=14,12,IF(P211&lt;=17,13,IF(P211&lt;=20,14,IF(P211&lt;=22,15,IF(P211&lt;=25,16,IF(P211&lt;=27,17,IF(P211&lt;=29,18,IF(P211&lt;=32,19,IF(P211&lt;=34,20,IF(P211&lt;=36,21,IF(P211&lt;=40,22,24)))))))))))))</f>
        <v>22</v>
      </c>
      <c r="S211" s="14" t="n">
        <f aca="false">ROUND((Q211+R211+I211+J211+M211+N211)/3,0)</f>
        <v>21</v>
      </c>
      <c r="T211" s="15" t="n">
        <f aca="false">F211*LOG10(S211+2)</f>
        <v>2.72345567203519</v>
      </c>
    </row>
    <row r="212" customFormat="false" ht="14.65" hidden="false" customHeight="true" outlineLevel="0" collapsed="false">
      <c r="A212" s="12" t="s">
        <v>247</v>
      </c>
      <c r="B212" s="16" t="n">
        <v>38889</v>
      </c>
      <c r="C212" s="17" t="s">
        <v>228</v>
      </c>
      <c r="D212" s="4" t="s">
        <v>244</v>
      </c>
      <c r="E212" s="3" t="n">
        <v>3</v>
      </c>
      <c r="F212" s="3" t="n">
        <v>2</v>
      </c>
      <c r="H212" s="3" t="n">
        <v>33</v>
      </c>
      <c r="I212" s="3" t="n">
        <f aca="false">_xlfn.IFS(G212="взв",11,G212="накл",24,G212="прокл",25,G212="пт",26,G212=90,10,G212=85,10,G212=80,9,G212=75,8,G212=70,8,G212=65,7,G212=60,7,G212=55,6,G212=50,6,G212=45,6,G212=40,5,G212=35,4,G212=30,4,G212=25,3,G212=20,2,G212=15,1,G212=10,1,G212=0,0)</f>
        <v>0</v>
      </c>
      <c r="J212" s="3" t="n">
        <f aca="false">IF(H212&lt;=1,0,IF(H212&lt;=10,11,IF(H212&lt;=14,12,IF(H212&lt;=17,13,IF(H212&lt;=20,14,IF(H212&lt;=22,15,IF(H212&lt;=25,16,IF(H212&lt;=27,17,IF(H212&lt;=29,18,IF(H212&lt;=32,19,IF(H212&lt;=34,20,IF(H212&lt;=36,21,IF(H212&lt;=40,22,24)))))))))))))</f>
        <v>20</v>
      </c>
      <c r="L212" s="3" t="n">
        <v>38</v>
      </c>
      <c r="M212" s="3" t="n">
        <f aca="false">_xlfn.IFS(K212="взв",11,K212="накл",24,K212="прокл",25,K212="пт",26,K212=90,10,K212=85,10,K212=80,9,K212=75,8,K212=70,8,K212=65,7,K212=60,7,K212=55,6,K212=50,6,K212=45,6,K212=40,5,K212=35,4,K212=30,4,K212=25,3,K212=20,2,K212=15,1,K212=10,1,K212=0,0)</f>
        <v>0</v>
      </c>
      <c r="N212" s="3" t="n">
        <f aca="false">IF(L212&lt;=1,0,IF(L212&lt;=10,11,IF(L212&lt;=14,12,IF(L212&lt;=17,13,IF(L212&lt;=20,14,IF(L212&lt;=22,15,IF(L212&lt;=25,16,IF(L212&lt;=27,17,IF(L212&lt;=29,18,IF(L212&lt;=32,19,IF(L212&lt;=34,20,IF(L212&lt;=36,21,IF(L212&lt;=40,22,24)))))))))))))</f>
        <v>22</v>
      </c>
      <c r="P212" s="3" t="n">
        <v>36</v>
      </c>
      <c r="Q212" s="3" t="n">
        <f aca="false">_xlfn.IFS(O212="взв",11,O212="накл",24,O212="прокл",25,O212="пт",26,O212=90,10,O212=85,10,O212=80,9,O212=75,8,O212=70,8,O212=65,7,O212=60,7,O212=55,6,O212=50,6,O212=45,6,O212=40,5,O212=35,4,O212=30,4,O212=25,3,O212=20,2,O212=15,1,O212=10,1,O212=0,0)</f>
        <v>0</v>
      </c>
      <c r="R212" s="3" t="n">
        <f aca="false">IF(P212&lt;=1,0,IF(P212&lt;=10,11,IF(P212&lt;=14,12,IF(P212&lt;=17,13,IF(P212&lt;=20,14,IF(P212&lt;=22,15,IF(P212&lt;=25,16,IF(P212&lt;=27,17,IF(P212&lt;=29,18,IF(P212&lt;=32,19,IF(P212&lt;=34,20,IF(P212&lt;=36,21,IF(P212&lt;=40,22,24)))))))))))))</f>
        <v>21</v>
      </c>
      <c r="S212" s="14" t="n">
        <f aca="false">ROUND((Q212+R212+I212+J212+M212+N212)/3,0)</f>
        <v>21</v>
      </c>
      <c r="T212" s="15" t="n">
        <f aca="false">F212*LOG10(S212+2)</f>
        <v>2.72345567203519</v>
      </c>
    </row>
    <row r="213" customFormat="false" ht="14.65" hidden="false" customHeight="true" outlineLevel="0" collapsed="false">
      <c r="A213" s="12" t="s">
        <v>248</v>
      </c>
      <c r="B213" s="16" t="n">
        <v>38889</v>
      </c>
      <c r="C213" s="17" t="s">
        <v>228</v>
      </c>
      <c r="D213" s="4" t="s">
        <v>244</v>
      </c>
      <c r="E213" s="3" t="n">
        <v>4</v>
      </c>
      <c r="F213" s="3" t="n">
        <v>3</v>
      </c>
      <c r="H213" s="3" t="n">
        <v>31</v>
      </c>
      <c r="I213" s="3" t="n">
        <f aca="false">_xlfn.IFS(G213="взв",11,G213="накл",24,G213="прокл",25,G213="пт",26,G213=90,10,G213=85,10,G213=80,9,G213=75,8,G213=70,8,G213=65,7,G213=60,7,G213=55,6,G213=50,6,G213=45,6,G213=40,5,G213=35,4,G213=30,4,G213=25,3,G213=20,2,G213=15,1,G213=10,1,G213=0,0)</f>
        <v>0</v>
      </c>
      <c r="J213" s="3" t="n">
        <f aca="false">IF(H213&lt;=1,0,IF(H213&lt;=10,11,IF(H213&lt;=14,12,IF(H213&lt;=17,13,IF(H213&lt;=20,14,IF(H213&lt;=22,15,IF(H213&lt;=25,16,IF(H213&lt;=27,17,IF(H213&lt;=29,18,IF(H213&lt;=32,19,IF(H213&lt;=34,20,IF(H213&lt;=36,21,IF(H213&lt;=40,22,24)))))))))))))</f>
        <v>19</v>
      </c>
      <c r="L213" s="3" t="n">
        <v>37</v>
      </c>
      <c r="M213" s="3" t="n">
        <f aca="false">_xlfn.IFS(K213="взв",11,K213="накл",24,K213="прокл",25,K213="пт",26,K213=90,10,K213=85,10,K213=80,9,K213=75,8,K213=70,8,K213=65,7,K213=60,7,K213=55,6,K213=50,6,K213=45,6,K213=40,5,K213=35,4,K213=30,4,K213=25,3,K213=20,2,K213=15,1,K213=10,1,K213=0,0)</f>
        <v>0</v>
      </c>
      <c r="N213" s="3" t="n">
        <f aca="false">IF(L213&lt;=1,0,IF(L213&lt;=10,11,IF(L213&lt;=14,12,IF(L213&lt;=17,13,IF(L213&lt;=20,14,IF(L213&lt;=22,15,IF(L213&lt;=25,16,IF(L213&lt;=27,17,IF(L213&lt;=29,18,IF(L213&lt;=32,19,IF(L213&lt;=34,20,IF(L213&lt;=36,21,IF(L213&lt;=40,22,24)))))))))))))</f>
        <v>22</v>
      </c>
      <c r="P213" s="3" t="n">
        <v>35</v>
      </c>
      <c r="Q213" s="3" t="n">
        <f aca="false">_xlfn.IFS(O213="взв",11,O213="накл",24,O213="прокл",25,O213="пт",26,O213=90,10,O213=85,10,O213=80,9,O213=75,8,O213=70,8,O213=65,7,O213=60,7,O213=55,6,O213=50,6,O213=45,6,O213=40,5,O213=35,4,O213=30,4,O213=25,3,O213=20,2,O213=15,1,O213=10,1,O213=0,0)</f>
        <v>0</v>
      </c>
      <c r="R213" s="3" t="n">
        <f aca="false">IF(P213&lt;=1,0,IF(P213&lt;=10,11,IF(P213&lt;=14,12,IF(P213&lt;=17,13,IF(P213&lt;=20,14,IF(P213&lt;=22,15,IF(P213&lt;=25,16,IF(P213&lt;=27,17,IF(P213&lt;=29,18,IF(P213&lt;=32,19,IF(P213&lt;=34,20,IF(P213&lt;=36,21,IF(P213&lt;=40,22,24)))))))))))))</f>
        <v>21</v>
      </c>
      <c r="S213" s="14" t="n">
        <f aca="false">ROUND((Q213+R213+I213+J213+M213+N213)/3,0)</f>
        <v>21</v>
      </c>
      <c r="T213" s="15" t="n">
        <f aca="false">F213*LOG10(S213+2)</f>
        <v>4.08518350805278</v>
      </c>
    </row>
    <row r="214" customFormat="false" ht="14.65" hidden="false" customHeight="true" outlineLevel="0" collapsed="false">
      <c r="A214" s="12" t="s">
        <v>249</v>
      </c>
      <c r="B214" s="16" t="n">
        <v>38889</v>
      </c>
      <c r="C214" s="17" t="s">
        <v>228</v>
      </c>
      <c r="D214" s="4" t="s">
        <v>244</v>
      </c>
      <c r="E214" s="3" t="n">
        <v>6</v>
      </c>
      <c r="F214" s="3" t="n">
        <v>3</v>
      </c>
      <c r="G214" s="3" t="n">
        <v>90</v>
      </c>
      <c r="I214" s="3" t="n">
        <f aca="false">_xlfn.IFS(G214="взв",11,G214="накл",24,G214="прокл",25,G214="пт",26,G214=90,10,G214=85,10,G214=80,9,G214=75,8,G214=70,8,G214=65,7,G214=60,7,G214=55,6,G214=50,6,G214=45,6,G214=40,5,G214=35,4,G214=30,4,G214=25,3,G214=20,2,G214=15,1,G214=10,1,G214=0,0)</f>
        <v>10</v>
      </c>
      <c r="J214" s="3" t="n">
        <f aca="false">IF(H214&lt;=1,0,IF(H214&lt;=10,11,IF(H214&lt;=14,12,IF(H214&lt;=17,13,IF(H214&lt;=20,14,IF(H214&lt;=22,15,IF(H214&lt;=25,16,IF(H214&lt;=27,17,IF(H214&lt;=29,18,IF(H214&lt;=32,19,IF(H214&lt;=34,20,IF(H214&lt;=36,21,IF(H214&lt;=40,22,24)))))))))))))</f>
        <v>0</v>
      </c>
      <c r="K214" s="3" t="n">
        <v>45</v>
      </c>
      <c r="M214" s="3" t="n">
        <f aca="false">_xlfn.IFS(K214="взв",11,K214="накл",24,K214="прокл",25,K214="пт",26,K214=90,10,K214=85,10,K214=80,9,K214=75,8,K214=70,8,K214=65,7,K214=60,7,K214=55,6,K214=50,6,K214=45,6,K214=40,5,K214=35,4,K214=30,4,K214=25,3,K214=20,2,K214=15,1,K214=10,1,K214=0,0)</f>
        <v>6</v>
      </c>
      <c r="N214" s="3" t="n">
        <f aca="false">IF(L214&lt;=1,0,IF(L214&lt;=10,11,IF(L214&lt;=14,12,IF(L214&lt;=17,13,IF(L214&lt;=20,14,IF(L214&lt;=22,15,IF(L214&lt;=25,16,IF(L214&lt;=27,17,IF(L214&lt;=29,18,IF(L214&lt;=32,19,IF(L214&lt;=34,20,IF(L214&lt;=36,21,IF(L214&lt;=40,22,24)))))))))))))</f>
        <v>0</v>
      </c>
      <c r="O214" s="3" t="n">
        <v>90</v>
      </c>
      <c r="Q214" s="3" t="n">
        <f aca="false">_xlfn.IFS(O214="взв",11,O214="накл",24,O214="прокл",25,O214="пт",26,O214=90,10,O214=85,10,O214=80,9,O214=75,8,O214=70,8,O214=65,7,O214=60,7,O214=55,6,O214=50,6,O214=45,6,O214=40,5,O214=35,4,O214=30,4,O214=25,3,O214=20,2,O214=15,1,O214=10,1,O214=0,0)</f>
        <v>10</v>
      </c>
      <c r="R214" s="3" t="n">
        <f aca="false">IF(P214&lt;=1,0,IF(P214&lt;=10,11,IF(P214&lt;=14,12,IF(P214&lt;=17,13,IF(P214&lt;=20,14,IF(P214&lt;=22,15,IF(P214&lt;=25,16,IF(P214&lt;=27,17,IF(P214&lt;=29,18,IF(P214&lt;=32,19,IF(P214&lt;=34,20,IF(P214&lt;=36,21,IF(P214&lt;=40,22,24)))))))))))))</f>
        <v>0</v>
      </c>
      <c r="S214" s="14" t="n">
        <f aca="false">ROUND((Q214+R214+I214+J214+M214+N214)/3,0)</f>
        <v>9</v>
      </c>
      <c r="T214" s="15" t="n">
        <f aca="false">F214*LOG10(S214+2)</f>
        <v>3.12417805547468</v>
      </c>
    </row>
    <row r="215" customFormat="false" ht="14.65" hidden="false" customHeight="true" outlineLevel="0" collapsed="false">
      <c r="A215" s="12" t="s">
        <v>250</v>
      </c>
      <c r="B215" s="16" t="n">
        <v>38889</v>
      </c>
      <c r="C215" s="17" t="s">
        <v>228</v>
      </c>
      <c r="D215" s="4" t="s">
        <v>244</v>
      </c>
      <c r="E215" s="3" t="n">
        <v>2</v>
      </c>
      <c r="F215" s="3" t="n">
        <v>4</v>
      </c>
      <c r="G215" s="3" t="s">
        <v>38</v>
      </c>
      <c r="I215" s="3" t="n">
        <f aca="false">_xlfn.IFS(G215="взв",11,G215="накл",24,G215="прокл",25,G215="пт",26,G215=90,10,G215=85,10,G215=80,9,G215=75,8,G215=70,8,G215=65,7,G215=60,7,G215=55,6,G215=50,6,G215=45,6,G215=40,5,G215=35,4,G215=30,4,G215=25,3,G215=20,2,G215=15,1,G215=10,1,G215=0,0)</f>
        <v>26</v>
      </c>
      <c r="J215" s="3" t="n">
        <f aca="false">IF(H215&lt;=1,0,IF(H215&lt;=10,11,IF(H215&lt;=14,12,IF(H215&lt;=17,13,IF(H215&lt;=20,14,IF(H215&lt;=22,15,IF(H215&lt;=25,16,IF(H215&lt;=27,17,IF(H215&lt;=29,18,IF(H215&lt;=32,19,IF(H215&lt;=34,20,IF(H215&lt;=36,21,IF(H215&lt;=40,22,24)))))))))))))</f>
        <v>0</v>
      </c>
      <c r="K215" s="3" t="s">
        <v>38</v>
      </c>
      <c r="M215" s="3" t="n">
        <f aca="false">_xlfn.IFS(K215="взв",11,K215="накл",24,K215="прокл",25,K215="пт",26,K215=90,10,K215=85,10,K215=80,9,K215=75,8,K215=70,8,K215=65,7,K215=60,7,K215=55,6,K215=50,6,K215=45,6,K215=40,5,K215=35,4,K215=30,4,K215=25,3,K215=20,2,K215=15,1,K215=10,1,K215=0,0)</f>
        <v>26</v>
      </c>
      <c r="N215" s="3" t="n">
        <f aca="false">IF(L215&lt;=1,0,IF(L215&lt;=10,11,IF(L215&lt;=14,12,IF(L215&lt;=17,13,IF(L215&lt;=20,14,IF(L215&lt;=22,15,IF(L215&lt;=25,16,IF(L215&lt;=27,17,IF(L215&lt;=29,18,IF(L215&lt;=32,19,IF(L215&lt;=34,20,IF(L215&lt;=36,21,IF(L215&lt;=40,22,24)))))))))))))</f>
        <v>0</v>
      </c>
      <c r="O215" s="3" t="s">
        <v>38</v>
      </c>
      <c r="Q215" s="3" t="n">
        <f aca="false">_xlfn.IFS(O215="взв",11,O215="накл",24,O215="прокл",25,O215="пт",26,O215=90,10,O215=85,10,O215=80,9,O215=75,8,O215=70,8,O215=65,7,O215=60,7,O215=55,6,O215=50,6,O215=45,6,O215=40,5,O215=35,4,O215=30,4,O215=25,3,O215=20,2,O215=15,1,O215=10,1,O215=0,0)</f>
        <v>26</v>
      </c>
      <c r="R215" s="3" t="n">
        <f aca="false">IF(P215&lt;=1,0,IF(P215&lt;=10,11,IF(P215&lt;=14,12,IF(P215&lt;=17,13,IF(P215&lt;=20,14,IF(P215&lt;=22,15,IF(P215&lt;=25,16,IF(P215&lt;=27,17,IF(P215&lt;=29,18,IF(P215&lt;=32,19,IF(P215&lt;=34,20,IF(P215&lt;=36,21,IF(P215&lt;=40,22,24)))))))))))))</f>
        <v>0</v>
      </c>
      <c r="S215" s="14" t="n">
        <f aca="false">ROUND((Q215+R215+I215+J215+M215+N215)/3,0)</f>
        <v>26</v>
      </c>
      <c r="T215" s="15" t="n">
        <f aca="false">F215*LOG10(S215+2)</f>
        <v>5.78863212536888</v>
      </c>
    </row>
    <row r="216" customFormat="false" ht="14.65" hidden="false" customHeight="true" outlineLevel="0" collapsed="false">
      <c r="A216" s="12" t="s">
        <v>251</v>
      </c>
      <c r="B216" s="16" t="n">
        <v>38889</v>
      </c>
      <c r="C216" s="17" t="s">
        <v>228</v>
      </c>
      <c r="D216" s="4" t="s">
        <v>244</v>
      </c>
      <c r="E216" s="3" t="n">
        <v>5</v>
      </c>
      <c r="F216" s="3" t="n">
        <v>4</v>
      </c>
      <c r="H216" s="3" t="n">
        <v>31</v>
      </c>
      <c r="I216" s="3" t="n">
        <f aca="false">_xlfn.IFS(G216="взв",11,G216="накл",24,G216="прокл",25,G216="пт",26,G216=90,10,G216=85,10,G216=80,9,G216=75,8,G216=70,8,G216=65,7,G216=60,7,G216=55,6,G216=50,6,G216=45,6,G216=40,5,G216=35,4,G216=30,4,G216=25,3,G216=20,2,G216=15,1,G216=10,1,G216=0,0)</f>
        <v>0</v>
      </c>
      <c r="J216" s="3" t="n">
        <f aca="false">IF(H216&lt;=1,0,IF(H216&lt;=10,11,IF(H216&lt;=14,12,IF(H216&lt;=17,13,IF(H216&lt;=20,14,IF(H216&lt;=22,15,IF(H216&lt;=25,16,IF(H216&lt;=27,17,IF(H216&lt;=29,18,IF(H216&lt;=32,19,IF(H216&lt;=34,20,IF(H216&lt;=36,21,IF(H216&lt;=40,22,24)))))))))))))</f>
        <v>19</v>
      </c>
      <c r="L216" s="3" t="n">
        <v>29</v>
      </c>
      <c r="M216" s="3" t="n">
        <f aca="false">_xlfn.IFS(K216="взв",11,K216="накл",24,K216="прокл",25,K216="пт",26,K216=90,10,K216=85,10,K216=80,9,K216=75,8,K216=70,8,K216=65,7,K216=60,7,K216=55,6,K216=50,6,K216=45,6,K216=40,5,K216=35,4,K216=30,4,K216=25,3,K216=20,2,K216=15,1,K216=10,1,K216=0,0)</f>
        <v>0</v>
      </c>
      <c r="N216" s="3" t="n">
        <f aca="false">IF(L216&lt;=1,0,IF(L216&lt;=10,11,IF(L216&lt;=14,12,IF(L216&lt;=17,13,IF(L216&lt;=20,14,IF(L216&lt;=22,15,IF(L216&lt;=25,16,IF(L216&lt;=27,17,IF(L216&lt;=29,18,IF(L216&lt;=32,19,IF(L216&lt;=34,20,IF(L216&lt;=36,21,IF(L216&lt;=40,22,24)))))))))))))</f>
        <v>18</v>
      </c>
      <c r="P216" s="3" t="n">
        <v>30</v>
      </c>
      <c r="Q216" s="3" t="n">
        <f aca="false">_xlfn.IFS(O216="взв",11,O216="накл",24,O216="прокл",25,O216="пт",26,O216=90,10,O216=85,10,O216=80,9,O216=75,8,O216=70,8,O216=65,7,O216=60,7,O216=55,6,O216=50,6,O216=45,6,O216=40,5,O216=35,4,O216=30,4,O216=25,3,O216=20,2,O216=15,1,O216=10,1,O216=0,0)</f>
        <v>0</v>
      </c>
      <c r="R216" s="3" t="n">
        <f aca="false">IF(P216&lt;=1,0,IF(P216&lt;=10,11,IF(P216&lt;=14,12,IF(P216&lt;=17,13,IF(P216&lt;=20,14,IF(P216&lt;=22,15,IF(P216&lt;=25,16,IF(P216&lt;=27,17,IF(P216&lt;=29,18,IF(P216&lt;=32,19,IF(P216&lt;=34,20,IF(P216&lt;=36,21,IF(P216&lt;=40,22,24)))))))))))))</f>
        <v>19</v>
      </c>
      <c r="S216" s="14" t="n">
        <f aca="false">ROUND((Q216+R216+I216+J216+M216+N216)/3,0)</f>
        <v>19</v>
      </c>
      <c r="T216" s="15" t="n">
        <f aca="false">F216*LOG10(S216+2)</f>
        <v>5.28887717893568</v>
      </c>
    </row>
    <row r="217" customFormat="false" ht="14.65" hidden="false" customHeight="true" outlineLevel="0" collapsed="false">
      <c r="A217" s="12" t="s">
        <v>252</v>
      </c>
      <c r="B217" s="16" t="n">
        <v>38889</v>
      </c>
      <c r="C217" s="17" t="s">
        <v>228</v>
      </c>
      <c r="D217" s="4" t="s">
        <v>244</v>
      </c>
      <c r="E217" s="3" t="n">
        <v>5</v>
      </c>
      <c r="F217" s="3" t="n">
        <v>4</v>
      </c>
      <c r="H217" s="3" t="n">
        <v>33</v>
      </c>
      <c r="I217" s="3" t="n">
        <f aca="false">_xlfn.IFS(G217="взв",11,G217="накл",24,G217="прокл",25,G217="пт",26,G217=90,10,G217=85,10,G217=80,9,G217=75,8,G217=70,8,G217=65,7,G217=60,7,G217=55,6,G217=50,6,G217=45,6,G217=40,5,G217=35,4,G217=30,4,G217=25,3,G217=20,2,G217=15,1,G217=10,1,G217=0,0)</f>
        <v>0</v>
      </c>
      <c r="J217" s="3" t="n">
        <f aca="false">IF(H217&lt;=1,0,IF(H217&lt;=10,11,IF(H217&lt;=14,12,IF(H217&lt;=17,13,IF(H217&lt;=20,14,IF(H217&lt;=22,15,IF(H217&lt;=25,16,IF(H217&lt;=27,17,IF(H217&lt;=29,18,IF(H217&lt;=32,19,IF(H217&lt;=34,20,IF(H217&lt;=36,21,IF(H217&lt;=40,22,24)))))))))))))</f>
        <v>20</v>
      </c>
      <c r="L217" s="3" t="n">
        <v>28</v>
      </c>
      <c r="M217" s="3" t="n">
        <f aca="false">_xlfn.IFS(K217="взв",11,K217="накл",24,K217="прокл",25,K217="пт",26,K217=90,10,K217=85,10,K217=80,9,K217=75,8,K217=70,8,K217=65,7,K217=60,7,K217=55,6,K217=50,6,K217=45,6,K217=40,5,K217=35,4,K217=30,4,K217=25,3,K217=20,2,K217=15,1,K217=10,1,K217=0,0)</f>
        <v>0</v>
      </c>
      <c r="N217" s="3" t="n">
        <f aca="false">IF(L217&lt;=1,0,IF(L217&lt;=10,11,IF(L217&lt;=14,12,IF(L217&lt;=17,13,IF(L217&lt;=20,14,IF(L217&lt;=22,15,IF(L217&lt;=25,16,IF(L217&lt;=27,17,IF(L217&lt;=29,18,IF(L217&lt;=32,19,IF(L217&lt;=34,20,IF(L217&lt;=36,21,IF(L217&lt;=40,22,24)))))))))))))</f>
        <v>18</v>
      </c>
      <c r="P217" s="3" t="n">
        <v>25</v>
      </c>
      <c r="Q217" s="3" t="n">
        <f aca="false">_xlfn.IFS(O217="взв",11,O217="накл",24,O217="прокл",25,O217="пт",26,O217=90,10,O217=85,10,O217=80,9,O217=75,8,O217=70,8,O217=65,7,O217=60,7,O217=55,6,O217=50,6,O217=45,6,O217=40,5,O217=35,4,O217=30,4,O217=25,3,O217=20,2,O217=15,1,O217=10,1,O217=0,0)</f>
        <v>0</v>
      </c>
      <c r="R217" s="3" t="n">
        <f aca="false">IF(P217&lt;=1,0,IF(P217&lt;=10,11,IF(P217&lt;=14,12,IF(P217&lt;=17,13,IF(P217&lt;=20,14,IF(P217&lt;=22,15,IF(P217&lt;=25,16,IF(P217&lt;=27,17,IF(P217&lt;=29,18,IF(P217&lt;=32,19,IF(P217&lt;=34,20,IF(P217&lt;=36,21,IF(P217&lt;=40,22,24)))))))))))))</f>
        <v>16</v>
      </c>
      <c r="S217" s="14" t="n">
        <f aca="false">ROUND((Q217+R217+I217+J217+M217+N217)/3,0)</f>
        <v>18</v>
      </c>
      <c r="T217" s="15" t="n">
        <f aca="false">F217*LOG10(S217+2)</f>
        <v>5.20411998265593</v>
      </c>
    </row>
    <row r="218" customFormat="false" ht="14.65" hidden="false" customHeight="true" outlineLevel="0" collapsed="false">
      <c r="A218" s="12" t="s">
        <v>253</v>
      </c>
      <c r="B218" s="16" t="n">
        <v>38889</v>
      </c>
      <c r="C218" s="17" t="s">
        <v>228</v>
      </c>
      <c r="D218" s="4" t="s">
        <v>244</v>
      </c>
      <c r="E218" s="3" t="n">
        <v>4</v>
      </c>
      <c r="F218" s="3" t="n">
        <v>4</v>
      </c>
      <c r="H218" s="3" t="n">
        <v>41</v>
      </c>
      <c r="I218" s="3" t="n">
        <f aca="false">_xlfn.IFS(G218="взв",11,G218="накл",24,G218="прокл",25,G218="пт",26,G218=90,10,G218=85,10,G218=80,9,G218=75,8,G218=70,8,G218=65,7,G218=60,7,G218=55,6,G218=50,6,G218=45,6,G218=40,5,G218=35,4,G218=30,4,G218=25,3,G218=20,2,G218=15,1,G218=10,1,G218=0,0)</f>
        <v>0</v>
      </c>
      <c r="J218" s="3" t="n">
        <f aca="false">IF(H218&lt;=1,0,IF(H218&lt;=10,11,IF(H218&lt;=14,12,IF(H218&lt;=17,13,IF(H218&lt;=20,14,IF(H218&lt;=22,15,IF(H218&lt;=25,16,IF(H218&lt;=27,17,IF(H218&lt;=29,18,IF(H218&lt;=32,19,IF(H218&lt;=34,20,IF(H218&lt;=36,21,IF(H218&lt;=40,22,24)))))))))))))</f>
        <v>24</v>
      </c>
      <c r="L218" s="3" t="s">
        <v>254</v>
      </c>
      <c r="M218" s="3" t="n">
        <f aca="false">_xlfn.IFS(K218="взв",11,K218="накл",24,K218="прокл",25,K218="пт",26,K218=90,10,K218=85,10,K218=80,9,K218=75,8,K218=70,8,K218=65,7,K218=60,7,K218=55,6,K218=50,6,K218=45,6,K218=40,5,K218=35,4,K218=30,4,K218=25,3,K218=20,2,K218=15,1,K218=10,1,K218=0,0)</f>
        <v>0</v>
      </c>
      <c r="N218" s="3" t="n">
        <f aca="false">IF(L218&lt;=1,0,IF(L218&lt;=10,11,IF(L218&lt;=14,12,IF(L218&lt;=17,13,IF(L218&lt;=20,14,IF(L218&lt;=22,15,IF(L218&lt;=25,16,IF(L218&lt;=27,17,IF(L218&lt;=29,18,IF(L218&lt;=32,19,IF(L218&lt;=34,20,IF(L218&lt;=36,21,IF(L218&lt;=40,22,24)))))))))))))</f>
        <v>24</v>
      </c>
      <c r="P218" s="3" t="n">
        <v>34</v>
      </c>
      <c r="Q218" s="3" t="n">
        <f aca="false">_xlfn.IFS(O218="взв",11,O218="накл",24,O218="прокл",25,O218="пт",26,O218=90,10,O218=85,10,O218=80,9,O218=75,8,O218=70,8,O218=65,7,O218=60,7,O218=55,6,O218=50,6,O218=45,6,O218=40,5,O218=35,4,O218=30,4,O218=25,3,O218=20,2,O218=15,1,O218=10,1,O218=0,0)</f>
        <v>0</v>
      </c>
      <c r="R218" s="3" t="n">
        <f aca="false">IF(P218&lt;=1,0,IF(P218&lt;=10,11,IF(P218&lt;=14,12,IF(P218&lt;=17,13,IF(P218&lt;=20,14,IF(P218&lt;=22,15,IF(P218&lt;=25,16,IF(P218&lt;=27,17,IF(P218&lt;=29,18,IF(P218&lt;=32,19,IF(P218&lt;=34,20,IF(P218&lt;=36,21,IF(P218&lt;=40,22,24)))))))))))))</f>
        <v>20</v>
      </c>
      <c r="S218" s="14" t="n">
        <f aca="false">ROUND((Q218+R218+I218+J218+M218+N218)/3,0)</f>
        <v>23</v>
      </c>
      <c r="T218" s="15" t="n">
        <f aca="false">F218*LOG10(S218+2)</f>
        <v>5.59176003468815</v>
      </c>
    </row>
    <row r="219" customFormat="false" ht="14.65" hidden="false" customHeight="true" outlineLevel="0" collapsed="false">
      <c r="A219" s="12" t="s">
        <v>255</v>
      </c>
      <c r="B219" s="16" t="n">
        <v>38889</v>
      </c>
      <c r="C219" s="17" t="s">
        <v>228</v>
      </c>
      <c r="D219" s="4" t="s">
        <v>244</v>
      </c>
      <c r="E219" s="3" t="n">
        <v>8</v>
      </c>
      <c r="F219" s="3" t="n">
        <v>4</v>
      </c>
      <c r="H219" s="3" t="n">
        <v>34</v>
      </c>
      <c r="I219" s="3" t="n">
        <f aca="false">_xlfn.IFS(G219="взв",11,G219="накл",24,G219="прокл",25,G219="пт",26,G219=90,10,G219=85,10,G219=80,9,G219=75,8,G219=70,8,G219=65,7,G219=60,7,G219=55,6,G219=50,6,G219=45,6,G219=40,5,G219=35,4,G219=30,4,G219=25,3,G219=20,2,G219=15,1,G219=10,1,G219=0,0)</f>
        <v>0</v>
      </c>
      <c r="J219" s="3" t="n">
        <f aca="false">IF(H219&lt;=1,0,IF(H219&lt;=10,11,IF(H219&lt;=14,12,IF(H219&lt;=17,13,IF(H219&lt;=20,14,IF(H219&lt;=22,15,IF(H219&lt;=25,16,IF(H219&lt;=27,17,IF(H219&lt;=29,18,IF(H219&lt;=32,19,IF(H219&lt;=34,20,IF(H219&lt;=36,21,IF(H219&lt;=40,22,24)))))))))))))</f>
        <v>20</v>
      </c>
      <c r="L219" s="3" t="n">
        <v>32</v>
      </c>
      <c r="M219" s="3" t="n">
        <f aca="false">_xlfn.IFS(K219="взв",11,K219="накл",24,K219="прокл",25,K219="пт",26,K219=90,10,K219=85,10,K219=80,9,K219=75,8,K219=70,8,K219=65,7,K219=60,7,K219=55,6,K219=50,6,K219=45,6,K219=40,5,K219=35,4,K219=30,4,K219=25,3,K219=20,2,K219=15,1,K219=10,1,K219=0,0)</f>
        <v>0</v>
      </c>
      <c r="N219" s="3" t="n">
        <f aca="false">IF(L219&lt;=1,0,IF(L219&lt;=10,11,IF(L219&lt;=14,12,IF(L219&lt;=17,13,IF(L219&lt;=20,14,IF(L219&lt;=22,15,IF(L219&lt;=25,16,IF(L219&lt;=27,17,IF(L219&lt;=29,18,IF(L219&lt;=32,19,IF(L219&lt;=34,20,IF(L219&lt;=36,21,IF(L219&lt;=40,22,24)))))))))))))</f>
        <v>19</v>
      </c>
      <c r="P219" s="3" t="n">
        <v>27</v>
      </c>
      <c r="Q219" s="3" t="n">
        <f aca="false">_xlfn.IFS(O219="взв",11,O219="накл",24,O219="прокл",25,O219="пт",26,O219=90,10,O219=85,10,O219=80,9,O219=75,8,O219=70,8,O219=65,7,O219=60,7,O219=55,6,O219=50,6,O219=45,6,O219=40,5,O219=35,4,O219=30,4,O219=25,3,O219=20,2,O219=15,1,O219=10,1,O219=0,0)</f>
        <v>0</v>
      </c>
      <c r="R219" s="3" t="n">
        <f aca="false">IF(P219&lt;=1,0,IF(P219&lt;=10,11,IF(P219&lt;=14,12,IF(P219&lt;=17,13,IF(P219&lt;=20,14,IF(P219&lt;=22,15,IF(P219&lt;=25,16,IF(P219&lt;=27,17,IF(P219&lt;=29,18,IF(P219&lt;=32,19,IF(P219&lt;=34,20,IF(P219&lt;=36,21,IF(P219&lt;=40,22,24)))))))))))))</f>
        <v>17</v>
      </c>
      <c r="S219" s="14" t="n">
        <f aca="false">ROUND((Q219+R219+I219+J219+M219+N219)/3,0)</f>
        <v>19</v>
      </c>
      <c r="T219" s="15" t="n">
        <f aca="false">F219*LOG10(S219+2)</f>
        <v>5.28887717893568</v>
      </c>
    </row>
    <row r="220" customFormat="false" ht="14.65" hidden="false" customHeight="true" outlineLevel="0" collapsed="false">
      <c r="A220" s="12" t="s">
        <v>256</v>
      </c>
      <c r="B220" s="16" t="n">
        <v>38889</v>
      </c>
      <c r="C220" s="17" t="s">
        <v>228</v>
      </c>
      <c r="D220" s="4" t="s">
        <v>244</v>
      </c>
      <c r="E220" s="3" t="n">
        <v>6</v>
      </c>
      <c r="F220" s="3" t="n">
        <v>4</v>
      </c>
      <c r="H220" s="3" t="n">
        <v>14</v>
      </c>
      <c r="I220" s="3" t="n">
        <f aca="false">_xlfn.IFS(G220="взв",11,G220="накл",24,G220="прокл",25,G220="пт",26,G220=90,10,G220=85,10,G220=80,9,G220=75,8,G220=70,8,G220=65,7,G220=60,7,G220=55,6,G220=50,6,G220=45,6,G220=40,5,G220=35,4,G220=30,4,G220=25,3,G220=20,2,G220=15,1,G220=10,1,G220=0,0)</f>
        <v>0</v>
      </c>
      <c r="J220" s="3" t="n">
        <f aca="false">IF(H220&lt;=1,0,IF(H220&lt;=10,11,IF(H220&lt;=14,12,IF(H220&lt;=17,13,IF(H220&lt;=20,14,IF(H220&lt;=22,15,IF(H220&lt;=25,16,IF(H220&lt;=27,17,IF(H220&lt;=29,18,IF(H220&lt;=32,19,IF(H220&lt;=34,20,IF(H220&lt;=36,21,IF(H220&lt;=40,22,24)))))))))))))</f>
        <v>12</v>
      </c>
      <c r="K220" s="3" t="n">
        <v>90</v>
      </c>
      <c r="M220" s="3" t="n">
        <f aca="false">_xlfn.IFS(K220="взв",11,K220="накл",24,K220="прокл",25,K220="пт",26,K220=90,10,K220=85,10,K220=80,9,K220=75,8,K220=70,8,K220=65,7,K220=60,7,K220=55,6,K220=50,6,K220=45,6,K220=40,5,K220=35,4,K220=30,4,K220=25,3,K220=20,2,K220=15,1,K220=10,1,K220=0,0)</f>
        <v>10</v>
      </c>
      <c r="N220" s="3" t="n">
        <f aca="false">IF(L220&lt;=1,0,IF(L220&lt;=10,11,IF(L220&lt;=14,12,IF(L220&lt;=17,13,IF(L220&lt;=20,14,IF(L220&lt;=22,15,IF(L220&lt;=25,16,IF(L220&lt;=27,17,IF(L220&lt;=29,18,IF(L220&lt;=32,19,IF(L220&lt;=34,20,IF(L220&lt;=36,21,IF(L220&lt;=40,22,24)))))))))))))</f>
        <v>0</v>
      </c>
      <c r="O220" s="3" t="s">
        <v>50</v>
      </c>
      <c r="Q220" s="3" t="n">
        <f aca="false">_xlfn.IFS(O220="взв",11,O220="накл",24,O220="прокл",25,O220="пт",26,O220=90,10,O220=85,10,O220=80,9,O220=75,8,O220=70,8,O220=65,7,O220=60,7,O220=55,6,O220=50,6,O220=45,6,O220=40,5,O220=35,4,O220=30,4,O220=25,3,O220=20,2,O220=15,1,O220=10,1,O220=0,0)</f>
        <v>11</v>
      </c>
      <c r="R220" s="3" t="n">
        <f aca="false">IF(P220&lt;=1,0,IF(P220&lt;=10,11,IF(P220&lt;=14,12,IF(P220&lt;=17,13,IF(P220&lt;=20,14,IF(P220&lt;=22,15,IF(P220&lt;=25,16,IF(P220&lt;=27,17,IF(P220&lt;=29,18,IF(P220&lt;=32,19,IF(P220&lt;=34,20,IF(P220&lt;=36,21,IF(P220&lt;=40,22,24)))))))))))))</f>
        <v>0</v>
      </c>
      <c r="S220" s="14" t="n">
        <f aca="false">ROUND((Q220+R220+I220+J220+M220+N220)/3,0)</f>
        <v>11</v>
      </c>
      <c r="T220" s="15" t="n">
        <f aca="false">F220*LOG10(S220+2)</f>
        <v>4.45577340922735</v>
      </c>
    </row>
    <row r="221" customFormat="false" ht="14.65" hidden="false" customHeight="true" outlineLevel="0" collapsed="false">
      <c r="A221" s="12" t="s">
        <v>257</v>
      </c>
      <c r="B221" s="16" t="n">
        <v>38889</v>
      </c>
      <c r="C221" s="17" t="s">
        <v>228</v>
      </c>
      <c r="D221" s="4" t="s">
        <v>244</v>
      </c>
      <c r="E221" s="3" t="n">
        <v>6</v>
      </c>
      <c r="F221" s="3" t="n">
        <v>4</v>
      </c>
      <c r="H221" s="3" t="n">
        <v>27</v>
      </c>
      <c r="I221" s="3" t="n">
        <f aca="false">_xlfn.IFS(G221="взв",11,G221="накл",24,G221="прокл",25,G221="пт",26,G221=90,10,G221=85,10,G221=80,9,G221=75,8,G221=70,8,G221=65,7,G221=60,7,G221=55,6,G221=50,6,G221=45,6,G221=40,5,G221=35,4,G221=30,4,G221=25,3,G221=20,2,G221=15,1,G221=10,1,G221=0,0)</f>
        <v>0</v>
      </c>
      <c r="J221" s="3" t="n">
        <f aca="false">IF(H221&lt;=1,0,IF(H221&lt;=10,11,IF(H221&lt;=14,12,IF(H221&lt;=17,13,IF(H221&lt;=20,14,IF(H221&lt;=22,15,IF(H221&lt;=25,16,IF(H221&lt;=27,17,IF(H221&lt;=29,18,IF(H221&lt;=32,19,IF(H221&lt;=34,20,IF(H221&lt;=36,21,IF(H221&lt;=40,22,24)))))))))))))</f>
        <v>17</v>
      </c>
      <c r="L221" s="3" t="n">
        <v>32</v>
      </c>
      <c r="M221" s="3" t="n">
        <f aca="false">_xlfn.IFS(K221="взв",11,K221="накл",24,K221="прокл",25,K221="пт",26,K221=90,10,K221=85,10,K221=80,9,K221=75,8,K221=70,8,K221=65,7,K221=60,7,K221=55,6,K221=50,6,K221=45,6,K221=40,5,K221=35,4,K221=30,4,K221=25,3,K221=20,2,K221=15,1,K221=10,1,K221=0,0)</f>
        <v>0</v>
      </c>
      <c r="N221" s="3" t="n">
        <f aca="false">IF(L221&lt;=1,0,IF(L221&lt;=10,11,IF(L221&lt;=14,12,IF(L221&lt;=17,13,IF(L221&lt;=20,14,IF(L221&lt;=22,15,IF(L221&lt;=25,16,IF(L221&lt;=27,17,IF(L221&lt;=29,18,IF(L221&lt;=32,19,IF(L221&lt;=34,20,IF(L221&lt;=36,21,IF(L221&lt;=40,22,24)))))))))))))</f>
        <v>19</v>
      </c>
      <c r="P221" s="3" t="n">
        <v>23</v>
      </c>
      <c r="Q221" s="3" t="n">
        <f aca="false">_xlfn.IFS(O221="взв",11,O221="накл",24,O221="прокл",25,O221="пт",26,O221=90,10,O221=85,10,O221=80,9,O221=75,8,O221=70,8,O221=65,7,O221=60,7,O221=55,6,O221=50,6,O221=45,6,O221=40,5,O221=35,4,O221=30,4,O221=25,3,O221=20,2,O221=15,1,O221=10,1,O221=0,0)</f>
        <v>0</v>
      </c>
      <c r="R221" s="3" t="n">
        <f aca="false">IF(P221&lt;=1,0,IF(P221&lt;=10,11,IF(P221&lt;=14,12,IF(P221&lt;=17,13,IF(P221&lt;=20,14,IF(P221&lt;=22,15,IF(P221&lt;=25,16,IF(P221&lt;=27,17,IF(P221&lt;=29,18,IF(P221&lt;=32,19,IF(P221&lt;=34,20,IF(P221&lt;=36,21,IF(P221&lt;=40,22,24)))))))))))))</f>
        <v>16</v>
      </c>
      <c r="S221" s="14" t="n">
        <f aca="false">ROUND((Q221+R221+I221+J221+M221+N221)/3,0)</f>
        <v>17</v>
      </c>
      <c r="T221" s="15" t="n">
        <f aca="false">F221*LOG10(S221+2)</f>
        <v>5.11501440381132</v>
      </c>
    </row>
    <row r="222" customFormat="false" ht="14.65" hidden="false" customHeight="true" outlineLevel="0" collapsed="false">
      <c r="A222" s="12" t="s">
        <v>258</v>
      </c>
      <c r="B222" s="16" t="n">
        <v>38889</v>
      </c>
      <c r="C222" s="17" t="s">
        <v>228</v>
      </c>
      <c r="D222" s="4" t="s">
        <v>244</v>
      </c>
      <c r="E222" s="3" t="n">
        <v>6</v>
      </c>
      <c r="F222" s="3" t="n">
        <v>5</v>
      </c>
      <c r="H222" s="3" t="n">
        <v>22</v>
      </c>
      <c r="I222" s="3" t="n">
        <f aca="false">_xlfn.IFS(G222="взв",11,G222="накл",24,G222="прокл",25,G222="пт",26,G222=90,10,G222=85,10,G222=80,9,G222=75,8,G222=70,8,G222=65,7,G222=60,7,G222=55,6,G222=50,6,G222=45,6,G222=40,5,G222=35,4,G222=30,4,G222=25,3,G222=20,2,G222=15,1,G222=10,1,G222=0,0)</f>
        <v>0</v>
      </c>
      <c r="J222" s="3" t="n">
        <f aca="false">IF(H222&lt;=1,0,IF(H222&lt;=10,11,IF(H222&lt;=14,12,IF(H222&lt;=17,13,IF(H222&lt;=20,14,IF(H222&lt;=22,15,IF(H222&lt;=25,16,IF(H222&lt;=27,17,IF(H222&lt;=29,18,IF(H222&lt;=32,19,IF(H222&lt;=34,20,IF(H222&lt;=36,21,IF(H222&lt;=40,22,24)))))))))))))</f>
        <v>15</v>
      </c>
      <c r="L222" s="3" t="n">
        <v>23</v>
      </c>
      <c r="M222" s="3" t="n">
        <f aca="false">_xlfn.IFS(K222="взв",11,K222="накл",24,K222="прокл",25,K222="пт",26,K222=90,10,K222=85,10,K222=80,9,K222=75,8,K222=70,8,K222=65,7,K222=60,7,K222=55,6,K222=50,6,K222=45,6,K222=40,5,K222=35,4,K222=30,4,K222=25,3,K222=20,2,K222=15,1,K222=10,1,K222=0,0)</f>
        <v>0</v>
      </c>
      <c r="N222" s="3" t="n">
        <f aca="false">IF(L222&lt;=1,0,IF(L222&lt;=10,11,IF(L222&lt;=14,12,IF(L222&lt;=17,13,IF(L222&lt;=20,14,IF(L222&lt;=22,15,IF(L222&lt;=25,16,IF(L222&lt;=27,17,IF(L222&lt;=29,18,IF(L222&lt;=32,19,IF(L222&lt;=34,20,IF(L222&lt;=36,21,IF(L222&lt;=40,22,24)))))))))))))</f>
        <v>16</v>
      </c>
      <c r="P222" s="3" t="n">
        <v>21</v>
      </c>
      <c r="Q222" s="3" t="n">
        <f aca="false">_xlfn.IFS(O222="взв",11,O222="накл",24,O222="прокл",25,O222="пт",26,O222=90,10,O222=85,10,O222=80,9,O222=75,8,O222=70,8,O222=65,7,O222=60,7,O222=55,6,O222=50,6,O222=45,6,O222=40,5,O222=35,4,O222=30,4,O222=25,3,O222=20,2,O222=15,1,O222=10,1,O222=0,0)</f>
        <v>0</v>
      </c>
      <c r="R222" s="3" t="n">
        <f aca="false">IF(P222&lt;=1,0,IF(P222&lt;=10,11,IF(P222&lt;=14,12,IF(P222&lt;=17,13,IF(P222&lt;=20,14,IF(P222&lt;=22,15,IF(P222&lt;=25,16,IF(P222&lt;=27,17,IF(P222&lt;=29,18,IF(P222&lt;=32,19,IF(P222&lt;=34,20,IF(P222&lt;=36,21,IF(P222&lt;=40,22,24)))))))))))))</f>
        <v>15</v>
      </c>
      <c r="S222" s="14" t="n">
        <f aca="false">ROUND((Q222+R222+I222+J222+M222+N222)/3,0)</f>
        <v>15</v>
      </c>
      <c r="T222" s="15" t="n">
        <f aca="false">F222*LOG10(S222+2)</f>
        <v>6.15224460689137</v>
      </c>
    </row>
    <row r="223" customFormat="false" ht="14.65" hidden="false" customHeight="true" outlineLevel="0" collapsed="false">
      <c r="A223" s="12" t="s">
        <v>259</v>
      </c>
      <c r="B223" s="16" t="n">
        <v>38889</v>
      </c>
      <c r="C223" s="17" t="s">
        <v>228</v>
      </c>
      <c r="D223" s="4" t="s">
        <v>244</v>
      </c>
      <c r="E223" s="3" t="n">
        <v>4</v>
      </c>
      <c r="F223" s="3" t="n">
        <v>5</v>
      </c>
      <c r="H223" s="3" t="n">
        <v>34</v>
      </c>
      <c r="I223" s="3" t="n">
        <f aca="false">_xlfn.IFS(G223="взв",11,G223="накл",24,G223="прокл",25,G223="пт",26,G223=90,10,G223=85,10,G223=80,9,G223=75,8,G223=70,8,G223=65,7,G223=60,7,G223=55,6,G223=50,6,G223=45,6,G223=40,5,G223=35,4,G223=30,4,G223=25,3,G223=20,2,G223=15,1,G223=10,1,G223=0,0)</f>
        <v>0</v>
      </c>
      <c r="J223" s="3" t="n">
        <f aca="false">IF(H223&lt;=1,0,IF(H223&lt;=10,11,IF(H223&lt;=14,12,IF(H223&lt;=17,13,IF(H223&lt;=20,14,IF(H223&lt;=22,15,IF(H223&lt;=25,16,IF(H223&lt;=27,17,IF(H223&lt;=29,18,IF(H223&lt;=32,19,IF(H223&lt;=34,20,IF(H223&lt;=36,21,IF(H223&lt;=40,22,24)))))))))))))</f>
        <v>20</v>
      </c>
      <c r="L223" s="3" t="n">
        <v>33</v>
      </c>
      <c r="M223" s="3" t="n">
        <f aca="false">_xlfn.IFS(K223="взв",11,K223="накл",24,K223="прокл",25,K223="пт",26,K223=90,10,K223=85,10,K223=80,9,K223=75,8,K223=70,8,K223=65,7,K223=60,7,K223=55,6,K223=50,6,K223=45,6,K223=40,5,K223=35,4,K223=30,4,K223=25,3,K223=20,2,K223=15,1,K223=10,1,K223=0,0)</f>
        <v>0</v>
      </c>
      <c r="N223" s="3" t="n">
        <f aca="false">IF(L223&lt;=1,0,IF(L223&lt;=10,11,IF(L223&lt;=14,12,IF(L223&lt;=17,13,IF(L223&lt;=20,14,IF(L223&lt;=22,15,IF(L223&lt;=25,16,IF(L223&lt;=27,17,IF(L223&lt;=29,18,IF(L223&lt;=32,19,IF(L223&lt;=34,20,IF(L223&lt;=36,21,IF(L223&lt;=40,22,24)))))))))))))</f>
        <v>20</v>
      </c>
      <c r="P223" s="3" t="n">
        <v>36</v>
      </c>
      <c r="Q223" s="3" t="n">
        <f aca="false">_xlfn.IFS(O223="взв",11,O223="накл",24,O223="прокл",25,O223="пт",26,O223=90,10,O223=85,10,O223=80,9,O223=75,8,O223=70,8,O223=65,7,O223=60,7,O223=55,6,O223=50,6,O223=45,6,O223=40,5,O223=35,4,O223=30,4,O223=25,3,O223=20,2,O223=15,1,O223=10,1,O223=0,0)</f>
        <v>0</v>
      </c>
      <c r="R223" s="3" t="n">
        <f aca="false">IF(P223&lt;=1,0,IF(P223&lt;=10,11,IF(P223&lt;=14,12,IF(P223&lt;=17,13,IF(P223&lt;=20,14,IF(P223&lt;=22,15,IF(P223&lt;=25,16,IF(P223&lt;=27,17,IF(P223&lt;=29,18,IF(P223&lt;=32,19,IF(P223&lt;=34,20,IF(P223&lt;=36,21,IF(P223&lt;=40,22,24)))))))))))))</f>
        <v>21</v>
      </c>
      <c r="S223" s="14" t="n">
        <f aca="false">ROUND((Q223+R223+I223+J223+M223+N223)/3,0)</f>
        <v>20</v>
      </c>
      <c r="T223" s="15" t="n">
        <f aca="false">F223*LOG10(S223+2)</f>
        <v>6.71211340411103</v>
      </c>
    </row>
    <row r="224" customFormat="false" ht="14.65" hidden="false" customHeight="true" outlineLevel="0" collapsed="false">
      <c r="A224" s="12" t="s">
        <v>260</v>
      </c>
      <c r="B224" s="16" t="n">
        <v>38889</v>
      </c>
      <c r="C224" s="17" t="s">
        <v>228</v>
      </c>
      <c r="D224" s="4" t="s">
        <v>244</v>
      </c>
      <c r="E224" s="3" t="n">
        <v>5</v>
      </c>
      <c r="F224" s="3" t="n">
        <v>5</v>
      </c>
      <c r="G224" s="3" t="n">
        <v>75</v>
      </c>
      <c r="I224" s="3" t="n">
        <f aca="false">_xlfn.IFS(G224="взв",11,G224="накл",24,G224="прокл",25,G224="пт",26,G224=90,10,G224=85,10,G224=80,9,G224=75,8,G224=70,8,G224=65,7,G224=60,7,G224=55,6,G224=50,6,G224=45,6,G224=40,5,G224=35,4,G224=30,4,G224=25,3,G224=20,2,G224=15,1,G224=10,1,G224=0,0)</f>
        <v>8</v>
      </c>
      <c r="J224" s="3" t="n">
        <f aca="false">IF(H224&lt;=1,0,IF(H224&lt;=10,11,IF(H224&lt;=14,12,IF(H224&lt;=17,13,IF(H224&lt;=20,14,IF(H224&lt;=22,15,IF(H224&lt;=25,16,IF(H224&lt;=27,17,IF(H224&lt;=29,18,IF(H224&lt;=32,19,IF(H224&lt;=34,20,IF(H224&lt;=36,21,IF(H224&lt;=40,22,24)))))))))))))</f>
        <v>0</v>
      </c>
      <c r="K224" s="3" t="n">
        <v>45</v>
      </c>
      <c r="M224" s="3" t="n">
        <f aca="false">_xlfn.IFS(K224="взв",11,K224="накл",24,K224="прокл",25,K224="пт",26,K224=90,10,K224=85,10,K224=80,9,K224=75,8,K224=70,8,K224=65,7,K224=60,7,K224=55,6,K224=50,6,K224=45,6,K224=40,5,K224=35,4,K224=30,4,K224=25,3,K224=20,2,K224=15,1,K224=10,1,K224=0,0)</f>
        <v>6</v>
      </c>
      <c r="N224" s="3" t="n">
        <f aca="false">IF(L224&lt;=1,0,IF(L224&lt;=10,11,IF(L224&lt;=14,12,IF(L224&lt;=17,13,IF(L224&lt;=20,14,IF(L224&lt;=22,15,IF(L224&lt;=25,16,IF(L224&lt;=27,17,IF(L224&lt;=29,18,IF(L224&lt;=32,19,IF(L224&lt;=34,20,IF(L224&lt;=36,21,IF(L224&lt;=40,22,24)))))))))))))</f>
        <v>0</v>
      </c>
      <c r="O224" s="3" t="n">
        <v>75</v>
      </c>
      <c r="Q224" s="3" t="n">
        <f aca="false">_xlfn.IFS(O224="взв",11,O224="накл",24,O224="прокл",25,O224="пт",26,O224=90,10,O224=85,10,O224=80,9,O224=75,8,O224=70,8,O224=65,7,O224=60,7,O224=55,6,O224=50,6,O224=45,6,O224=40,5,O224=35,4,O224=30,4,O224=25,3,O224=20,2,O224=15,1,O224=10,1,O224=0,0)</f>
        <v>8</v>
      </c>
      <c r="R224" s="3" t="n">
        <f aca="false">IF(P224&lt;=1,0,IF(P224&lt;=10,11,IF(P224&lt;=14,12,IF(P224&lt;=17,13,IF(P224&lt;=20,14,IF(P224&lt;=22,15,IF(P224&lt;=25,16,IF(P224&lt;=27,17,IF(P224&lt;=29,18,IF(P224&lt;=32,19,IF(P224&lt;=34,20,IF(P224&lt;=36,21,IF(P224&lt;=40,22,24)))))))))))))</f>
        <v>0</v>
      </c>
      <c r="S224" s="14" t="n">
        <f aca="false">ROUND((Q224+R224+I224+J224+M224+N224)/3,0)</f>
        <v>7</v>
      </c>
      <c r="T224" s="15" t="n">
        <f aca="false">F224*LOG10(S224+2)</f>
        <v>4.77121254719662</v>
      </c>
    </row>
    <row r="225" customFormat="false" ht="14.65" hidden="false" customHeight="true" outlineLevel="0" collapsed="false">
      <c r="A225" s="12" t="s">
        <v>261</v>
      </c>
      <c r="B225" s="16" t="n">
        <v>38889</v>
      </c>
      <c r="C225" s="17" t="s">
        <v>228</v>
      </c>
      <c r="D225" s="4" t="s">
        <v>244</v>
      </c>
      <c r="E225" s="3" t="n">
        <v>4</v>
      </c>
      <c r="F225" s="3" t="n">
        <v>5</v>
      </c>
      <c r="G225" s="3" t="n">
        <v>45</v>
      </c>
      <c r="I225" s="3" t="n">
        <f aca="false">_xlfn.IFS(G225="взв",11,G225="накл",24,G225="прокл",25,G225="пт",26,G225=90,10,G225=85,10,G225=80,9,G225=75,8,G225=70,8,G225=65,7,G225=60,7,G225=55,6,G225=50,6,G225=45,6,G225=40,5,G225=35,4,G225=30,4,G225=25,3,G225=20,2,G225=15,1,G225=10,1,G225=0,0)</f>
        <v>6</v>
      </c>
      <c r="J225" s="3" t="n">
        <f aca="false">IF(H225&lt;=1,0,IF(H225&lt;=10,11,IF(H225&lt;=14,12,IF(H225&lt;=17,13,IF(H225&lt;=20,14,IF(H225&lt;=22,15,IF(H225&lt;=25,16,IF(H225&lt;=27,17,IF(H225&lt;=29,18,IF(H225&lt;=32,19,IF(H225&lt;=34,20,IF(H225&lt;=36,21,IF(H225&lt;=40,22,24)))))))))))))</f>
        <v>0</v>
      </c>
      <c r="K225" s="3" t="n">
        <v>45</v>
      </c>
      <c r="M225" s="3" t="n">
        <f aca="false">_xlfn.IFS(K225="взв",11,K225="накл",24,K225="прокл",25,K225="пт",26,K225=90,10,K225=85,10,K225=80,9,K225=75,8,K225=70,8,K225=65,7,K225=60,7,K225=55,6,K225=50,6,K225=45,6,K225=40,5,K225=35,4,K225=30,4,K225=25,3,K225=20,2,K225=15,1,K225=10,1,K225=0,0)</f>
        <v>6</v>
      </c>
      <c r="N225" s="3" t="n">
        <f aca="false">IF(L225&lt;=1,0,IF(L225&lt;=10,11,IF(L225&lt;=14,12,IF(L225&lt;=17,13,IF(L225&lt;=20,14,IF(L225&lt;=22,15,IF(L225&lt;=25,16,IF(L225&lt;=27,17,IF(L225&lt;=29,18,IF(L225&lt;=32,19,IF(L225&lt;=34,20,IF(L225&lt;=36,21,IF(L225&lt;=40,22,24)))))))))))))</f>
        <v>0</v>
      </c>
      <c r="O225" s="3" t="n">
        <v>60</v>
      </c>
      <c r="Q225" s="3" t="n">
        <f aca="false">_xlfn.IFS(O225="взв",11,O225="накл",24,O225="прокл",25,O225="пт",26,O225=90,10,O225=85,10,O225=80,9,O225=75,8,O225=70,8,O225=65,7,O225=60,7,O225=55,6,O225=50,6,O225=45,6,O225=40,5,O225=35,4,O225=30,4,O225=25,3,O225=20,2,O225=15,1,O225=10,1,O225=0,0)</f>
        <v>7</v>
      </c>
      <c r="R225" s="3" t="n">
        <f aca="false">IF(P225&lt;=1,0,IF(P225&lt;=10,11,IF(P225&lt;=14,12,IF(P225&lt;=17,13,IF(P225&lt;=20,14,IF(P225&lt;=22,15,IF(P225&lt;=25,16,IF(P225&lt;=27,17,IF(P225&lt;=29,18,IF(P225&lt;=32,19,IF(P225&lt;=34,20,IF(P225&lt;=36,21,IF(P225&lt;=40,22,24)))))))))))))</f>
        <v>0</v>
      </c>
      <c r="S225" s="14" t="n">
        <f aca="false">ROUND((Q225+R225+I225+J225+M225+N225)/3,0)</f>
        <v>6</v>
      </c>
      <c r="T225" s="15" t="n">
        <f aca="false">F225*LOG10(S225+2)</f>
        <v>4.51544993495972</v>
      </c>
    </row>
    <row r="226" customFormat="false" ht="14.65" hidden="false" customHeight="true" outlineLevel="0" collapsed="false">
      <c r="A226" s="12" t="s">
        <v>262</v>
      </c>
      <c r="B226" s="16" t="n">
        <v>38889</v>
      </c>
      <c r="C226" s="17" t="s">
        <v>228</v>
      </c>
      <c r="D226" s="4" t="s">
        <v>244</v>
      </c>
      <c r="E226" s="3" t="n">
        <v>5</v>
      </c>
      <c r="F226" s="3" t="n">
        <v>5</v>
      </c>
      <c r="G226" s="3" t="s">
        <v>38</v>
      </c>
      <c r="I226" s="3" t="n">
        <f aca="false">_xlfn.IFS(G226="взв",11,G226="накл",24,G226="прокл",25,G226="пт",26,G226=90,10,G226=85,10,G226=80,9,G226=75,8,G226=70,8,G226=65,7,G226=60,7,G226=55,6,G226=50,6,G226=45,6,G226=40,5,G226=35,4,G226=30,4,G226=25,3,G226=20,2,G226=15,1,G226=10,1,G226=0,0)</f>
        <v>26</v>
      </c>
      <c r="J226" s="3" t="n">
        <f aca="false">IF(H226&lt;=1,0,IF(H226&lt;=10,11,IF(H226&lt;=14,12,IF(H226&lt;=17,13,IF(H226&lt;=20,14,IF(H226&lt;=22,15,IF(H226&lt;=25,16,IF(H226&lt;=27,17,IF(H226&lt;=29,18,IF(H226&lt;=32,19,IF(H226&lt;=34,20,IF(H226&lt;=36,21,IF(H226&lt;=40,22,24)))))))))))))</f>
        <v>0</v>
      </c>
      <c r="M226" s="3" t="n">
        <f aca="false">_xlfn.IFS(K226="взв",11,K226="накл",24,K226="прокл",25,K226="пт",26,K226=90,10,K226=85,10,K226=80,9,K226=75,8,K226=70,8,K226=65,7,K226=60,7,K226=55,6,K226=50,6,K226=45,6,K226=40,5,K226=35,4,K226=30,4,K226=25,3,K226=20,2,K226=15,1,K226=10,1,K226=0,0)</f>
        <v>0</v>
      </c>
      <c r="N226" s="3" t="n">
        <f aca="false">IF(L226&lt;=1,0,IF(L226&lt;=10,11,IF(L226&lt;=14,12,IF(L226&lt;=17,13,IF(L226&lt;=20,14,IF(L226&lt;=22,15,IF(L226&lt;=25,16,IF(L226&lt;=27,17,IF(L226&lt;=29,18,IF(L226&lt;=32,19,IF(L226&lt;=34,20,IF(L226&lt;=36,21,IF(L226&lt;=40,22,24)))))))))))))</f>
        <v>0</v>
      </c>
      <c r="Q226" s="3" t="n">
        <f aca="false">_xlfn.IFS(O226="взв",11,O226="накл",24,O226="прокл",25,O226="пт",26,O226=90,10,O226=85,10,O226=80,9,O226=75,8,O226=70,8,O226=65,7,O226=60,7,O226=55,6,O226=50,6,O226=45,6,O226=40,5,O226=35,4,O226=30,4,O226=25,3,O226=20,2,O226=15,1,O226=10,1,O226=0,0)</f>
        <v>0</v>
      </c>
      <c r="R226" s="3" t="n">
        <f aca="false">IF(P226&lt;=1,0,IF(P226&lt;=10,11,IF(P226&lt;=14,12,IF(P226&lt;=17,13,IF(P226&lt;=20,14,IF(P226&lt;=22,15,IF(P226&lt;=25,16,IF(P226&lt;=27,17,IF(P226&lt;=29,18,IF(P226&lt;=32,19,IF(P226&lt;=34,20,IF(P226&lt;=36,21,IF(P226&lt;=40,22,24)))))))))))))</f>
        <v>0</v>
      </c>
      <c r="S226" s="14" t="n">
        <v>26</v>
      </c>
      <c r="T226" s="15" t="n">
        <f aca="false">F226*LOG10(S226+2)</f>
        <v>7.2357901567111</v>
      </c>
    </row>
    <row r="227" customFormat="false" ht="14.65" hidden="false" customHeight="true" outlineLevel="0" collapsed="false">
      <c r="A227" s="12" t="s">
        <v>263</v>
      </c>
      <c r="B227" s="16" t="n">
        <v>38889</v>
      </c>
      <c r="C227" s="17" t="s">
        <v>228</v>
      </c>
      <c r="D227" s="4" t="s">
        <v>244</v>
      </c>
      <c r="E227" s="3" t="n">
        <v>5</v>
      </c>
      <c r="F227" s="3" t="n">
        <v>5</v>
      </c>
      <c r="H227" s="3" t="n">
        <v>41</v>
      </c>
      <c r="I227" s="3" t="n">
        <f aca="false">_xlfn.IFS(G227="взв",11,G227="накл",24,G227="прокл",25,G227="пт",26,G227=90,10,G227=85,10,G227=80,9,G227=75,8,G227=70,8,G227=65,7,G227=60,7,G227=55,6,G227=50,6,G227=45,6,G227=40,5,G227=35,4,G227=30,4,G227=25,3,G227=20,2,G227=15,1,G227=10,1,G227=0,0)</f>
        <v>0</v>
      </c>
      <c r="J227" s="3" t="n">
        <f aca="false">IF(H227&lt;=1,0,IF(H227&lt;=10,11,IF(H227&lt;=14,12,IF(H227&lt;=17,13,IF(H227&lt;=20,14,IF(H227&lt;=22,15,IF(H227&lt;=25,16,IF(H227&lt;=27,17,IF(H227&lt;=29,18,IF(H227&lt;=32,19,IF(H227&lt;=34,20,IF(H227&lt;=36,21,IF(H227&lt;=40,22,24)))))))))))))</f>
        <v>24</v>
      </c>
      <c r="L227" s="3" t="n">
        <v>32</v>
      </c>
      <c r="M227" s="3" t="n">
        <f aca="false">_xlfn.IFS(K227="взв",11,K227="накл",24,K227="прокл",25,K227="пт",26,K227=90,10,K227=85,10,K227=80,9,K227=75,8,K227=70,8,K227=65,7,K227=60,7,K227=55,6,K227=50,6,K227=45,6,K227=40,5,K227=35,4,K227=30,4,K227=25,3,K227=20,2,K227=15,1,K227=10,1,K227=0,0)</f>
        <v>0</v>
      </c>
      <c r="N227" s="3" t="n">
        <f aca="false">IF(L227&lt;=1,0,IF(L227&lt;=10,11,IF(L227&lt;=14,12,IF(L227&lt;=17,13,IF(L227&lt;=20,14,IF(L227&lt;=22,15,IF(L227&lt;=25,16,IF(L227&lt;=27,17,IF(L227&lt;=29,18,IF(L227&lt;=32,19,IF(L227&lt;=34,20,IF(L227&lt;=36,21,IF(L227&lt;=40,22,24)))))))))))))</f>
        <v>19</v>
      </c>
      <c r="P227" s="3" t="n">
        <v>33</v>
      </c>
      <c r="Q227" s="3" t="n">
        <f aca="false">_xlfn.IFS(O227="взв",11,O227="накл",24,O227="прокл",25,O227="пт",26,O227=90,10,O227=85,10,O227=80,9,O227=75,8,O227=70,8,O227=65,7,O227=60,7,O227=55,6,O227=50,6,O227=45,6,O227=40,5,O227=35,4,O227=30,4,O227=25,3,O227=20,2,O227=15,1,O227=10,1,O227=0,0)</f>
        <v>0</v>
      </c>
      <c r="R227" s="3" t="n">
        <f aca="false">IF(P227&lt;=1,0,IF(P227&lt;=10,11,IF(P227&lt;=14,12,IF(P227&lt;=17,13,IF(P227&lt;=20,14,IF(P227&lt;=22,15,IF(P227&lt;=25,16,IF(P227&lt;=27,17,IF(P227&lt;=29,18,IF(P227&lt;=32,19,IF(P227&lt;=34,20,IF(P227&lt;=36,21,IF(P227&lt;=40,22,24)))))))))))))</f>
        <v>20</v>
      </c>
      <c r="S227" s="14" t="n">
        <f aca="false">ROUND((Q227+R227+I227+J227+M227+N227)/3,0)</f>
        <v>21</v>
      </c>
      <c r="T227" s="15" t="n">
        <f aca="false">F227*LOG10(S227+2)</f>
        <v>6.80863918008796</v>
      </c>
    </row>
    <row r="228" customFormat="false" ht="14.65" hidden="false" customHeight="true" outlineLevel="0" collapsed="false">
      <c r="A228" s="12" t="s">
        <v>264</v>
      </c>
      <c r="B228" s="16" t="n">
        <v>38889</v>
      </c>
      <c r="C228" s="17" t="s">
        <v>228</v>
      </c>
      <c r="D228" s="4" t="s">
        <v>244</v>
      </c>
      <c r="E228" s="3" t="n">
        <v>7</v>
      </c>
      <c r="F228" s="3" t="n">
        <v>5</v>
      </c>
      <c r="G228" s="3" t="n">
        <v>75</v>
      </c>
      <c r="I228" s="3" t="n">
        <f aca="false">_xlfn.IFS(G228="взв",11,G228="накл",24,G228="прокл",25,G228="пт",26,G228=90,10,G228=85,10,G228=80,9,G228=75,8,G228=70,8,G228=65,7,G228=60,7,G228=55,6,G228=50,6,G228=45,6,G228=40,5,G228=35,4,G228=30,4,G228=25,3,G228=20,2,G228=15,1,G228=10,1,G228=0,0)</f>
        <v>8</v>
      </c>
      <c r="J228" s="3" t="n">
        <f aca="false">IF(H228&lt;=1,0,IF(H228&lt;=10,11,IF(H228&lt;=14,12,IF(H228&lt;=17,13,IF(H228&lt;=20,14,IF(H228&lt;=22,15,IF(H228&lt;=25,16,IF(H228&lt;=27,17,IF(H228&lt;=29,18,IF(H228&lt;=32,19,IF(H228&lt;=34,20,IF(H228&lt;=36,21,IF(H228&lt;=40,22,24)))))))))))))</f>
        <v>0</v>
      </c>
      <c r="K228" s="3" t="n">
        <v>60</v>
      </c>
      <c r="M228" s="3" t="n">
        <f aca="false">_xlfn.IFS(K228="взв",11,K228="накл",24,K228="прокл",25,K228="пт",26,K228=90,10,K228=85,10,K228=80,9,K228=75,8,K228=70,8,K228=65,7,K228=60,7,K228=55,6,K228=50,6,K228=45,6,K228=40,5,K228=35,4,K228=30,4,K228=25,3,K228=20,2,K228=15,1,K228=10,1,K228=0,0)</f>
        <v>7</v>
      </c>
      <c r="N228" s="3" t="n">
        <f aca="false">IF(L228&lt;=1,0,IF(L228&lt;=10,11,IF(L228&lt;=14,12,IF(L228&lt;=17,13,IF(L228&lt;=20,14,IF(L228&lt;=22,15,IF(L228&lt;=25,16,IF(L228&lt;=27,17,IF(L228&lt;=29,18,IF(L228&lt;=32,19,IF(L228&lt;=34,20,IF(L228&lt;=36,21,IF(L228&lt;=40,22,24)))))))))))))</f>
        <v>0</v>
      </c>
      <c r="O228" s="3" t="n">
        <v>60</v>
      </c>
      <c r="Q228" s="3" t="n">
        <f aca="false">_xlfn.IFS(O228="взв",11,O228="накл",24,O228="прокл",25,O228="пт",26,O228=90,10,O228=85,10,O228=80,9,O228=75,8,O228=70,8,O228=65,7,O228=60,7,O228=55,6,O228=50,6,O228=45,6,O228=40,5,O228=35,4,O228=30,4,O228=25,3,O228=20,2,O228=15,1,O228=10,1,O228=0,0)</f>
        <v>7</v>
      </c>
      <c r="R228" s="3" t="n">
        <f aca="false">IF(P228&lt;=1,0,IF(P228&lt;=10,11,IF(P228&lt;=14,12,IF(P228&lt;=17,13,IF(P228&lt;=20,14,IF(P228&lt;=22,15,IF(P228&lt;=25,16,IF(P228&lt;=27,17,IF(P228&lt;=29,18,IF(P228&lt;=32,19,IF(P228&lt;=34,20,IF(P228&lt;=36,21,IF(P228&lt;=40,22,24)))))))))))))</f>
        <v>0</v>
      </c>
      <c r="S228" s="14" t="n">
        <f aca="false">ROUND((Q228+R228+I228+J228+M228+N228)/3,0)</f>
        <v>7</v>
      </c>
      <c r="T228" s="15" t="n">
        <f aca="false">F228*LOG10(S228+2)</f>
        <v>4.77121254719662</v>
      </c>
    </row>
    <row r="229" customFormat="false" ht="14.65" hidden="false" customHeight="true" outlineLevel="0" collapsed="false">
      <c r="A229" s="12" t="s">
        <v>265</v>
      </c>
      <c r="B229" s="16" t="n">
        <v>38889</v>
      </c>
      <c r="C229" s="17" t="s">
        <v>228</v>
      </c>
      <c r="D229" s="4" t="s">
        <v>244</v>
      </c>
      <c r="E229" s="3" t="n">
        <v>3</v>
      </c>
      <c r="F229" s="3" t="n">
        <v>5</v>
      </c>
      <c r="G229" s="3" t="n">
        <v>90</v>
      </c>
      <c r="I229" s="3" t="n">
        <f aca="false">_xlfn.IFS(G229="взв",11,G229="накл",24,G229="прокл",25,G229="пт",26,G229=90,10,G229=85,10,G229=80,9,G229=75,8,G229=70,8,G229=65,7,G229=60,7,G229=55,6,G229=50,6,G229=45,6,G229=40,5,G229=35,4,G229=30,4,G229=25,3,G229=20,2,G229=15,1,G229=10,1,G229=0,0)</f>
        <v>10</v>
      </c>
      <c r="J229" s="3" t="n">
        <f aca="false">IF(H229&lt;=1,0,IF(H229&lt;=10,11,IF(H229&lt;=14,12,IF(H229&lt;=17,13,IF(H229&lt;=20,14,IF(H229&lt;=22,15,IF(H229&lt;=25,16,IF(H229&lt;=27,17,IF(H229&lt;=29,18,IF(H229&lt;=32,19,IF(H229&lt;=34,20,IF(H229&lt;=36,21,IF(H229&lt;=40,22,24)))))))))))))</f>
        <v>0</v>
      </c>
      <c r="K229" s="3" t="n">
        <v>45</v>
      </c>
      <c r="M229" s="3" t="n">
        <f aca="false">_xlfn.IFS(K229="взв",11,K229="накл",24,K229="прокл",25,K229="пт",26,K229=90,10,K229=85,10,K229=80,9,K229=75,8,K229=70,8,K229=65,7,K229=60,7,K229=55,6,K229=50,6,K229=45,6,K229=40,5,K229=35,4,K229=30,4,K229=25,3,K229=20,2,K229=15,1,K229=10,1,K229=0,0)</f>
        <v>6</v>
      </c>
      <c r="N229" s="3" t="n">
        <f aca="false">IF(L229&lt;=1,0,IF(L229&lt;=10,11,IF(L229&lt;=14,12,IF(L229&lt;=17,13,IF(L229&lt;=20,14,IF(L229&lt;=22,15,IF(L229&lt;=25,16,IF(L229&lt;=27,17,IF(L229&lt;=29,18,IF(L229&lt;=32,19,IF(L229&lt;=34,20,IF(L229&lt;=36,21,IF(L229&lt;=40,22,24)))))))))))))</f>
        <v>0</v>
      </c>
      <c r="O229" s="3" t="n">
        <v>60</v>
      </c>
      <c r="Q229" s="3" t="n">
        <f aca="false">_xlfn.IFS(O229="взв",11,O229="накл",24,O229="прокл",25,O229="пт",26,O229=90,10,O229=85,10,O229=80,9,O229=75,8,O229=70,8,O229=65,7,O229=60,7,O229=55,6,O229=50,6,O229=45,6,O229=40,5,O229=35,4,O229=30,4,O229=25,3,O229=20,2,O229=15,1,O229=10,1,O229=0,0)</f>
        <v>7</v>
      </c>
      <c r="R229" s="3" t="n">
        <f aca="false">IF(P229&lt;=1,0,IF(P229&lt;=10,11,IF(P229&lt;=14,12,IF(P229&lt;=17,13,IF(P229&lt;=20,14,IF(P229&lt;=22,15,IF(P229&lt;=25,16,IF(P229&lt;=27,17,IF(P229&lt;=29,18,IF(P229&lt;=32,19,IF(P229&lt;=34,20,IF(P229&lt;=36,21,IF(P229&lt;=40,22,24)))))))))))))</f>
        <v>0</v>
      </c>
      <c r="S229" s="14" t="n">
        <f aca="false">ROUND((Q229+R229+I229+J229+M229+N229)/3,0)</f>
        <v>8</v>
      </c>
      <c r="T229" s="15" t="n">
        <f aca="false">F229*LOG10(S229+2)</f>
        <v>5</v>
      </c>
    </row>
    <row r="230" customFormat="false" ht="14.65" hidden="false" customHeight="true" outlineLevel="0" collapsed="false">
      <c r="A230" s="12" t="s">
        <v>266</v>
      </c>
      <c r="B230" s="16" t="n">
        <v>38889</v>
      </c>
      <c r="C230" s="17" t="s">
        <v>228</v>
      </c>
      <c r="D230" s="4" t="s">
        <v>244</v>
      </c>
      <c r="E230" s="3" t="n">
        <v>6</v>
      </c>
      <c r="F230" s="3" t="n">
        <v>5</v>
      </c>
      <c r="H230" s="3" t="n">
        <v>35</v>
      </c>
      <c r="I230" s="3" t="n">
        <f aca="false">_xlfn.IFS(G230="взв",11,G230="накл",24,G230="прокл",25,G230="пт",26,G230=90,10,G230=85,10,G230=80,9,G230=75,8,G230=70,8,G230=65,7,G230=60,7,G230=55,6,G230=50,6,G230=45,6,G230=40,5,G230=35,4,G230=30,4,G230=25,3,G230=20,2,G230=15,1,G230=10,1,G230=0,0)</f>
        <v>0</v>
      </c>
      <c r="J230" s="3" t="n">
        <f aca="false">IF(H230&lt;=1,0,IF(H230&lt;=10,11,IF(H230&lt;=14,12,IF(H230&lt;=17,13,IF(H230&lt;=20,14,IF(H230&lt;=22,15,IF(H230&lt;=25,16,IF(H230&lt;=27,17,IF(H230&lt;=29,18,IF(H230&lt;=32,19,IF(H230&lt;=34,20,IF(H230&lt;=36,21,IF(H230&lt;=40,22,24)))))))))))))</f>
        <v>21</v>
      </c>
      <c r="L230" s="3" t="n">
        <v>33</v>
      </c>
      <c r="M230" s="3" t="n">
        <f aca="false">_xlfn.IFS(K230="взв",11,K230="накл",24,K230="прокл",25,K230="пт",26,K230=90,10,K230=85,10,K230=80,9,K230=75,8,K230=70,8,K230=65,7,K230=60,7,K230=55,6,K230=50,6,K230=45,6,K230=40,5,K230=35,4,K230=30,4,K230=25,3,K230=20,2,K230=15,1,K230=10,1,K230=0,0)</f>
        <v>0</v>
      </c>
      <c r="N230" s="3" t="n">
        <f aca="false">IF(L230&lt;=1,0,IF(L230&lt;=10,11,IF(L230&lt;=14,12,IF(L230&lt;=17,13,IF(L230&lt;=20,14,IF(L230&lt;=22,15,IF(L230&lt;=25,16,IF(L230&lt;=27,17,IF(L230&lt;=29,18,IF(L230&lt;=32,19,IF(L230&lt;=34,20,IF(L230&lt;=36,21,IF(L230&lt;=40,22,24)))))))))))))</f>
        <v>20</v>
      </c>
      <c r="P230" s="3" t="n">
        <v>34</v>
      </c>
      <c r="Q230" s="3" t="n">
        <f aca="false">_xlfn.IFS(O230="взв",11,O230="накл",24,O230="прокл",25,O230="пт",26,O230=90,10,O230=85,10,O230=80,9,O230=75,8,O230=70,8,O230=65,7,O230=60,7,O230=55,6,O230=50,6,O230=45,6,O230=40,5,O230=35,4,O230=30,4,O230=25,3,O230=20,2,O230=15,1,O230=10,1,O230=0,0)</f>
        <v>0</v>
      </c>
      <c r="R230" s="3" t="n">
        <f aca="false">IF(P230&lt;=1,0,IF(P230&lt;=10,11,IF(P230&lt;=14,12,IF(P230&lt;=17,13,IF(P230&lt;=20,14,IF(P230&lt;=22,15,IF(P230&lt;=25,16,IF(P230&lt;=27,17,IF(P230&lt;=29,18,IF(P230&lt;=32,19,IF(P230&lt;=34,20,IF(P230&lt;=36,21,IF(P230&lt;=40,22,24)))))))))))))</f>
        <v>20</v>
      </c>
      <c r="S230" s="14" t="n">
        <f aca="false">ROUND((Q230+R230+I230+J230+M230+N230)/3,0)</f>
        <v>20</v>
      </c>
      <c r="T230" s="15" t="n">
        <f aca="false">F230*LOG10(S230+2)</f>
        <v>6.71211340411103</v>
      </c>
    </row>
    <row r="231" customFormat="false" ht="14.65" hidden="false" customHeight="true" outlineLevel="0" collapsed="false">
      <c r="A231" s="12" t="s">
        <v>267</v>
      </c>
      <c r="B231" s="16" t="n">
        <v>38889</v>
      </c>
      <c r="C231" s="17" t="s">
        <v>228</v>
      </c>
      <c r="D231" s="4" t="s">
        <v>244</v>
      </c>
      <c r="E231" s="3" t="n">
        <v>8</v>
      </c>
      <c r="F231" s="3" t="n">
        <v>6</v>
      </c>
      <c r="H231" s="3" t="n">
        <v>32</v>
      </c>
      <c r="I231" s="3" t="n">
        <f aca="false">_xlfn.IFS(G231="взв",11,G231="накл",24,G231="прокл",25,G231="пт",26,G231=90,10,G231=85,10,G231=80,9,G231=75,8,G231=70,8,G231=65,7,G231=60,7,G231=55,6,G231=50,6,G231=45,6,G231=40,5,G231=35,4,G231=30,4,G231=25,3,G231=20,2,G231=15,1,G231=10,1,G231=0,0)</f>
        <v>0</v>
      </c>
      <c r="J231" s="3" t="n">
        <f aca="false">IF(H231&lt;=1,0,IF(H231&lt;=10,11,IF(H231&lt;=14,12,IF(H231&lt;=17,13,IF(H231&lt;=20,14,IF(H231&lt;=22,15,IF(H231&lt;=25,16,IF(H231&lt;=27,17,IF(H231&lt;=29,18,IF(H231&lt;=32,19,IF(H231&lt;=34,20,IF(H231&lt;=36,21,IF(H231&lt;=40,22,24)))))))))))))</f>
        <v>19</v>
      </c>
      <c r="L231" s="3" t="n">
        <v>32</v>
      </c>
      <c r="M231" s="3" t="n">
        <f aca="false">_xlfn.IFS(K231="взв",11,K231="накл",24,K231="прокл",25,K231="пт",26,K231=90,10,K231=85,10,K231=80,9,K231=75,8,K231=70,8,K231=65,7,K231=60,7,K231=55,6,K231=50,6,K231=45,6,K231=40,5,K231=35,4,K231=30,4,K231=25,3,K231=20,2,K231=15,1,K231=10,1,K231=0,0)</f>
        <v>0</v>
      </c>
      <c r="N231" s="3" t="n">
        <f aca="false">IF(L231&lt;=1,0,IF(L231&lt;=10,11,IF(L231&lt;=14,12,IF(L231&lt;=17,13,IF(L231&lt;=20,14,IF(L231&lt;=22,15,IF(L231&lt;=25,16,IF(L231&lt;=27,17,IF(L231&lt;=29,18,IF(L231&lt;=32,19,IF(L231&lt;=34,20,IF(L231&lt;=36,21,IF(L231&lt;=40,22,24)))))))))))))</f>
        <v>19</v>
      </c>
      <c r="P231" s="3" t="n">
        <v>35</v>
      </c>
      <c r="Q231" s="3" t="n">
        <f aca="false">_xlfn.IFS(O231="взв",11,O231="накл",24,O231="прокл",25,O231="пт",26,O231=90,10,O231=85,10,O231=80,9,O231=75,8,O231=70,8,O231=65,7,O231=60,7,O231=55,6,O231=50,6,O231=45,6,O231=40,5,O231=35,4,O231=30,4,O231=25,3,O231=20,2,O231=15,1,O231=10,1,O231=0,0)</f>
        <v>0</v>
      </c>
      <c r="R231" s="3" t="n">
        <f aca="false">IF(P231&lt;=1,0,IF(P231&lt;=10,11,IF(P231&lt;=14,12,IF(P231&lt;=17,13,IF(P231&lt;=20,14,IF(P231&lt;=22,15,IF(P231&lt;=25,16,IF(P231&lt;=27,17,IF(P231&lt;=29,18,IF(P231&lt;=32,19,IF(P231&lt;=34,20,IF(P231&lt;=36,21,IF(P231&lt;=40,22,24)))))))))))))</f>
        <v>21</v>
      </c>
      <c r="S231" s="14" t="n">
        <f aca="false">ROUND((Q231+R231+I231+J231+M231+N231)/3,0)</f>
        <v>20</v>
      </c>
      <c r="T231" s="15" t="n">
        <f aca="false">F231*LOG10(S231+2)</f>
        <v>8.05453608493324</v>
      </c>
    </row>
    <row r="232" customFormat="false" ht="14.65" hidden="false" customHeight="true" outlineLevel="0" collapsed="false">
      <c r="A232" s="12" t="s">
        <v>268</v>
      </c>
      <c r="B232" s="16" t="n">
        <v>38889</v>
      </c>
      <c r="C232" s="17" t="s">
        <v>228</v>
      </c>
      <c r="D232" s="4" t="s">
        <v>244</v>
      </c>
      <c r="E232" s="3" t="n">
        <v>6</v>
      </c>
      <c r="F232" s="3" t="n">
        <v>6</v>
      </c>
      <c r="H232" s="3" t="n">
        <v>34</v>
      </c>
      <c r="I232" s="3" t="n">
        <f aca="false">_xlfn.IFS(G232="взв",11,G232="накл",24,G232="прокл",25,G232="пт",26,G232=90,10,G232=85,10,G232=80,9,G232=75,8,G232=70,8,G232=65,7,G232=60,7,G232=55,6,G232=50,6,G232=45,6,G232=40,5,G232=35,4,G232=30,4,G232=25,3,G232=20,2,G232=15,1,G232=10,1,G232=0,0)</f>
        <v>0</v>
      </c>
      <c r="J232" s="3" t="n">
        <f aca="false">IF(H232&lt;=1,0,IF(H232&lt;=10,11,IF(H232&lt;=14,12,IF(H232&lt;=17,13,IF(H232&lt;=20,14,IF(H232&lt;=22,15,IF(H232&lt;=25,16,IF(H232&lt;=27,17,IF(H232&lt;=29,18,IF(H232&lt;=32,19,IF(H232&lt;=34,20,IF(H232&lt;=36,21,IF(H232&lt;=40,22,24)))))))))))))</f>
        <v>20</v>
      </c>
      <c r="L232" s="3" t="n">
        <v>24</v>
      </c>
      <c r="M232" s="3" t="n">
        <f aca="false">_xlfn.IFS(K232="взв",11,K232="накл",24,K232="прокл",25,K232="пт",26,K232=90,10,K232=85,10,K232=80,9,K232=75,8,K232=70,8,K232=65,7,K232=60,7,K232=55,6,K232=50,6,K232=45,6,K232=40,5,K232=35,4,K232=30,4,K232=25,3,K232=20,2,K232=15,1,K232=10,1,K232=0,0)</f>
        <v>0</v>
      </c>
      <c r="N232" s="3" t="n">
        <f aca="false">IF(L232&lt;=1,0,IF(L232&lt;=10,11,IF(L232&lt;=14,12,IF(L232&lt;=17,13,IF(L232&lt;=20,14,IF(L232&lt;=22,15,IF(L232&lt;=25,16,IF(L232&lt;=27,17,IF(L232&lt;=29,18,IF(L232&lt;=32,19,IF(L232&lt;=34,20,IF(L232&lt;=36,21,IF(L232&lt;=40,22,24)))))))))))))</f>
        <v>16</v>
      </c>
      <c r="P232" s="3" t="n">
        <v>27</v>
      </c>
      <c r="Q232" s="3" t="n">
        <f aca="false">_xlfn.IFS(O232="взв",11,O232="накл",24,O232="прокл",25,O232="пт",26,O232=90,10,O232=85,10,O232=80,9,O232=75,8,O232=70,8,O232=65,7,O232=60,7,O232=55,6,O232=50,6,O232=45,6,O232=40,5,O232=35,4,O232=30,4,O232=25,3,O232=20,2,O232=15,1,O232=10,1,O232=0,0)</f>
        <v>0</v>
      </c>
      <c r="R232" s="3" t="n">
        <f aca="false">IF(P232&lt;=1,0,IF(P232&lt;=10,11,IF(P232&lt;=14,12,IF(P232&lt;=17,13,IF(P232&lt;=20,14,IF(P232&lt;=22,15,IF(P232&lt;=25,16,IF(P232&lt;=27,17,IF(P232&lt;=29,18,IF(P232&lt;=32,19,IF(P232&lt;=34,20,IF(P232&lt;=36,21,IF(P232&lt;=40,22,24)))))))))))))</f>
        <v>17</v>
      </c>
      <c r="S232" s="14" t="n">
        <f aca="false">ROUND((Q232+R232+I232+J232+M232+N232)/3,0)</f>
        <v>18</v>
      </c>
      <c r="T232" s="15" t="n">
        <f aca="false">F232*LOG10(S232+2)</f>
        <v>7.80617997398389</v>
      </c>
    </row>
    <row r="233" customFormat="false" ht="14.65" hidden="false" customHeight="true" outlineLevel="0" collapsed="false">
      <c r="A233" s="12" t="s">
        <v>269</v>
      </c>
      <c r="B233" s="16" t="n">
        <v>38889</v>
      </c>
      <c r="C233" s="17" t="s">
        <v>228</v>
      </c>
      <c r="D233" s="4" t="s">
        <v>244</v>
      </c>
      <c r="E233" s="3" t="n">
        <v>6</v>
      </c>
      <c r="F233" s="3" t="n">
        <v>6</v>
      </c>
      <c r="G233" s="3" t="n">
        <v>90</v>
      </c>
      <c r="I233" s="3" t="n">
        <f aca="false">_xlfn.IFS(G233="взв",11,G233="накл",24,G233="прокл",25,G233="пт",26,G233=90,10,G233=85,10,G233=80,9,G233=75,8,G233=70,8,G233=65,7,G233=60,7,G233=55,6,G233=50,6,G233=45,6,G233=40,5,G233=35,4,G233=30,4,G233=25,3,G233=20,2,G233=15,1,G233=10,1,G233=0,0)</f>
        <v>10</v>
      </c>
      <c r="J233" s="3" t="n">
        <f aca="false">IF(H233&lt;=1,0,IF(H233&lt;=10,11,IF(H233&lt;=14,12,IF(H233&lt;=17,13,IF(H233&lt;=20,14,IF(H233&lt;=22,15,IF(H233&lt;=25,16,IF(H233&lt;=27,17,IF(H233&lt;=29,18,IF(H233&lt;=32,19,IF(H233&lt;=34,20,IF(H233&lt;=36,21,IF(H233&lt;=40,22,24)))))))))))))</f>
        <v>0</v>
      </c>
      <c r="K233" s="3" t="n">
        <v>90</v>
      </c>
      <c r="M233" s="3" t="n">
        <f aca="false">_xlfn.IFS(K233="взв",11,K233="накл",24,K233="прокл",25,K233="пт",26,K233=90,10,K233=85,10,K233=80,9,K233=75,8,K233=70,8,K233=65,7,K233=60,7,K233=55,6,K233=50,6,K233=45,6,K233=40,5,K233=35,4,K233=30,4,K233=25,3,K233=20,2,K233=15,1,K233=10,1,K233=0,0)</f>
        <v>10</v>
      </c>
      <c r="N233" s="3" t="n">
        <f aca="false">IF(L233&lt;=1,0,IF(L233&lt;=10,11,IF(L233&lt;=14,12,IF(L233&lt;=17,13,IF(L233&lt;=20,14,IF(L233&lt;=22,15,IF(L233&lt;=25,16,IF(L233&lt;=27,17,IF(L233&lt;=29,18,IF(L233&lt;=32,19,IF(L233&lt;=34,20,IF(L233&lt;=36,21,IF(L233&lt;=40,22,24)))))))))))))</f>
        <v>0</v>
      </c>
      <c r="O233" s="3" t="n">
        <v>90</v>
      </c>
      <c r="Q233" s="3" t="n">
        <f aca="false">_xlfn.IFS(O233="взв",11,O233="накл",24,O233="прокл",25,O233="пт",26,O233=90,10,O233=85,10,O233=80,9,O233=75,8,O233=70,8,O233=65,7,O233=60,7,O233=55,6,O233=50,6,O233=45,6,O233=40,5,O233=35,4,O233=30,4,O233=25,3,O233=20,2,O233=15,1,O233=10,1,O233=0,0)</f>
        <v>10</v>
      </c>
      <c r="R233" s="3" t="n">
        <f aca="false">IF(P233&lt;=1,0,IF(P233&lt;=10,11,IF(P233&lt;=14,12,IF(P233&lt;=17,13,IF(P233&lt;=20,14,IF(P233&lt;=22,15,IF(P233&lt;=25,16,IF(P233&lt;=27,17,IF(P233&lt;=29,18,IF(P233&lt;=32,19,IF(P233&lt;=34,20,IF(P233&lt;=36,21,IF(P233&lt;=40,22,24)))))))))))))</f>
        <v>0</v>
      </c>
      <c r="S233" s="14" t="n">
        <f aca="false">ROUND((Q233+R233+I233+J233+M233+N233)/3,0)</f>
        <v>10</v>
      </c>
      <c r="T233" s="15" t="n">
        <f aca="false">F233*LOG10(S233+2)</f>
        <v>6.47508747628575</v>
      </c>
    </row>
    <row r="234" customFormat="false" ht="14.65" hidden="false" customHeight="true" outlineLevel="0" collapsed="false">
      <c r="A234" s="12" t="s">
        <v>270</v>
      </c>
      <c r="B234" s="16" t="n">
        <v>38889</v>
      </c>
      <c r="C234" s="17" t="s">
        <v>228</v>
      </c>
      <c r="D234" s="4" t="s">
        <v>244</v>
      </c>
      <c r="E234" s="3" t="n">
        <v>4</v>
      </c>
      <c r="F234" s="3" t="n">
        <v>6</v>
      </c>
      <c r="H234" s="3" t="n">
        <v>39</v>
      </c>
      <c r="I234" s="3" t="n">
        <f aca="false">_xlfn.IFS(G234="взв",11,G234="накл",24,G234="прокл",25,G234="пт",26,G234=90,10,G234=85,10,G234=80,9,G234=75,8,G234=70,8,G234=65,7,G234=60,7,G234=55,6,G234=50,6,G234=45,6,G234=40,5,G234=35,4,G234=30,4,G234=25,3,G234=20,2,G234=15,1,G234=10,1,G234=0,0)</f>
        <v>0</v>
      </c>
      <c r="J234" s="3" t="n">
        <f aca="false">IF(H234&lt;=1,0,IF(H234&lt;=10,11,IF(H234&lt;=14,12,IF(H234&lt;=17,13,IF(H234&lt;=20,14,IF(H234&lt;=22,15,IF(H234&lt;=25,16,IF(H234&lt;=27,17,IF(H234&lt;=29,18,IF(H234&lt;=32,19,IF(H234&lt;=34,20,IF(H234&lt;=36,21,IF(H234&lt;=40,22,24)))))))))))))</f>
        <v>22</v>
      </c>
      <c r="L234" s="3" t="n">
        <v>36</v>
      </c>
      <c r="M234" s="3" t="n">
        <f aca="false">_xlfn.IFS(K234="взв",11,K234="накл",24,K234="прокл",25,K234="пт",26,K234=90,10,K234=85,10,K234=80,9,K234=75,8,K234=70,8,K234=65,7,K234=60,7,K234=55,6,K234=50,6,K234=45,6,K234=40,5,K234=35,4,K234=30,4,K234=25,3,K234=20,2,K234=15,1,K234=10,1,K234=0,0)</f>
        <v>0</v>
      </c>
      <c r="N234" s="3" t="n">
        <f aca="false">IF(L234&lt;=1,0,IF(L234&lt;=10,11,IF(L234&lt;=14,12,IF(L234&lt;=17,13,IF(L234&lt;=20,14,IF(L234&lt;=22,15,IF(L234&lt;=25,16,IF(L234&lt;=27,17,IF(L234&lt;=29,18,IF(L234&lt;=32,19,IF(L234&lt;=34,20,IF(L234&lt;=36,21,IF(L234&lt;=40,22,24)))))))))))))</f>
        <v>21</v>
      </c>
      <c r="P234" s="3" t="n">
        <v>32</v>
      </c>
      <c r="Q234" s="3" t="n">
        <f aca="false">_xlfn.IFS(O234="взв",11,O234="накл",24,O234="прокл",25,O234="пт",26,O234=90,10,O234=85,10,O234=80,9,O234=75,8,O234=70,8,O234=65,7,O234=60,7,O234=55,6,O234=50,6,O234=45,6,O234=40,5,O234=35,4,O234=30,4,O234=25,3,O234=20,2,O234=15,1,O234=10,1,O234=0,0)</f>
        <v>0</v>
      </c>
      <c r="R234" s="3" t="n">
        <f aca="false">IF(P234&lt;=1,0,IF(P234&lt;=10,11,IF(P234&lt;=14,12,IF(P234&lt;=17,13,IF(P234&lt;=20,14,IF(P234&lt;=22,15,IF(P234&lt;=25,16,IF(P234&lt;=27,17,IF(P234&lt;=29,18,IF(P234&lt;=32,19,IF(P234&lt;=34,20,IF(P234&lt;=36,21,IF(P234&lt;=40,22,24)))))))))))))</f>
        <v>19</v>
      </c>
      <c r="S234" s="14" t="n">
        <f aca="false">ROUND((Q234+R234+I234+J234+M234+N234)/3,0)</f>
        <v>21</v>
      </c>
      <c r="T234" s="15" t="n">
        <f aca="false">F234*LOG10(S234+2)</f>
        <v>8.17036701610556</v>
      </c>
    </row>
    <row r="235" customFormat="false" ht="14.65" hidden="false" customHeight="true" outlineLevel="0" collapsed="false">
      <c r="A235" s="12" t="s">
        <v>271</v>
      </c>
      <c r="B235" s="16" t="n">
        <v>38889</v>
      </c>
      <c r="C235" s="17" t="s">
        <v>228</v>
      </c>
      <c r="D235" s="4" t="s">
        <v>244</v>
      </c>
      <c r="E235" s="3" t="n">
        <v>5</v>
      </c>
      <c r="F235" s="3" t="n">
        <v>6</v>
      </c>
      <c r="G235" s="3" t="n">
        <v>45</v>
      </c>
      <c r="I235" s="3" t="n">
        <f aca="false">_xlfn.IFS(G235="взв",11,G235="накл",24,G235="прокл",25,G235="пт",26,G235=90,10,G235=85,10,G235=80,9,G235=75,8,G235=70,8,G235=65,7,G235=60,7,G235=55,6,G235=50,6,G235=45,6,G235=40,5,G235=35,4,G235=30,4,G235=25,3,G235=20,2,G235=15,1,G235=10,1,G235=0,0)</f>
        <v>6</v>
      </c>
      <c r="J235" s="3" t="n">
        <f aca="false">IF(H235&lt;=1,0,IF(H235&lt;=10,11,IF(H235&lt;=14,12,IF(H235&lt;=17,13,IF(H235&lt;=20,14,IF(H235&lt;=22,15,IF(H235&lt;=25,16,IF(H235&lt;=27,17,IF(H235&lt;=29,18,IF(H235&lt;=32,19,IF(H235&lt;=34,20,IF(H235&lt;=36,21,IF(H235&lt;=40,22,24)))))))))))))</f>
        <v>0</v>
      </c>
      <c r="K235" s="3" t="n">
        <v>45</v>
      </c>
      <c r="M235" s="3" t="n">
        <f aca="false">_xlfn.IFS(K235="взв",11,K235="накл",24,K235="прокл",25,K235="пт",26,K235=90,10,K235=85,10,K235=80,9,K235=75,8,K235=70,8,K235=65,7,K235=60,7,K235=55,6,K235=50,6,K235=45,6,K235=40,5,K235=35,4,K235=30,4,K235=25,3,K235=20,2,K235=15,1,K235=10,1,K235=0,0)</f>
        <v>6</v>
      </c>
      <c r="N235" s="3" t="n">
        <f aca="false">IF(L235&lt;=1,0,IF(L235&lt;=10,11,IF(L235&lt;=14,12,IF(L235&lt;=17,13,IF(L235&lt;=20,14,IF(L235&lt;=22,15,IF(L235&lt;=25,16,IF(L235&lt;=27,17,IF(L235&lt;=29,18,IF(L235&lt;=32,19,IF(L235&lt;=34,20,IF(L235&lt;=36,21,IF(L235&lt;=40,22,24)))))))))))))</f>
        <v>0</v>
      </c>
      <c r="O235" s="3" t="n">
        <v>15</v>
      </c>
      <c r="Q235" s="3" t="n">
        <f aca="false">_xlfn.IFS(O235="взв",11,O235="накл",24,O235="прокл",25,O235="пт",26,O235=90,10,O235=85,10,O235=80,9,O235=75,8,O235=70,8,O235=65,7,O235=60,7,O235=55,6,O235=50,6,O235=45,6,O235=40,5,O235=35,4,O235=30,4,O235=25,3,O235=20,2,O235=15,1,O235=10,1,O235=0,0)</f>
        <v>1</v>
      </c>
      <c r="R235" s="3" t="n">
        <f aca="false">IF(P235&lt;=1,0,IF(P235&lt;=10,11,IF(P235&lt;=14,12,IF(P235&lt;=17,13,IF(P235&lt;=20,14,IF(P235&lt;=22,15,IF(P235&lt;=25,16,IF(P235&lt;=27,17,IF(P235&lt;=29,18,IF(P235&lt;=32,19,IF(P235&lt;=34,20,IF(P235&lt;=36,21,IF(P235&lt;=40,22,24)))))))))))))</f>
        <v>0</v>
      </c>
      <c r="S235" s="14" t="n">
        <f aca="false">ROUND((Q235+R235+I235+J235+M235+N235)/3,0)</f>
        <v>4</v>
      </c>
      <c r="T235" s="15" t="n">
        <f aca="false">F235*LOG10(S235+2)</f>
        <v>4.66890750230186</v>
      </c>
    </row>
    <row r="236" customFormat="false" ht="14.65" hidden="false" customHeight="true" outlineLevel="0" collapsed="false">
      <c r="A236" s="12" t="s">
        <v>272</v>
      </c>
      <c r="B236" s="16" t="n">
        <v>38889</v>
      </c>
      <c r="C236" s="17" t="s">
        <v>228</v>
      </c>
      <c r="D236" s="4" t="s">
        <v>244</v>
      </c>
      <c r="E236" s="3" t="n">
        <v>4</v>
      </c>
      <c r="F236" s="3" t="n">
        <v>6</v>
      </c>
      <c r="G236" s="3" t="s">
        <v>38</v>
      </c>
      <c r="I236" s="3" t="n">
        <f aca="false">_xlfn.IFS(G236="взв",11,G236="накл",24,G236="прокл",25,G236="пт",26,G236=90,10,G236=85,10,G236=80,9,G236=75,8,G236=70,8,G236=65,7,G236=60,7,G236=55,6,G236=50,6,G236=45,6,G236=40,5,G236=35,4,G236=30,4,G236=25,3,G236=20,2,G236=15,1,G236=10,1,G236=0,0)</f>
        <v>26</v>
      </c>
      <c r="J236" s="3" t="n">
        <f aca="false">IF(H236&lt;=1,0,IF(H236&lt;=10,11,IF(H236&lt;=14,12,IF(H236&lt;=17,13,IF(H236&lt;=20,14,IF(H236&lt;=22,15,IF(H236&lt;=25,16,IF(H236&lt;=27,17,IF(H236&lt;=29,18,IF(H236&lt;=32,19,IF(H236&lt;=34,20,IF(H236&lt;=36,21,IF(H236&lt;=40,22,24)))))))))))))</f>
        <v>0</v>
      </c>
      <c r="K236" s="3" t="s">
        <v>38</v>
      </c>
      <c r="M236" s="3" t="n">
        <f aca="false">_xlfn.IFS(K236="взв",11,K236="накл",24,K236="прокл",25,K236="пт",26,K236=90,10,K236=85,10,K236=80,9,K236=75,8,K236=70,8,K236=65,7,K236=60,7,K236=55,6,K236=50,6,K236=45,6,K236=40,5,K236=35,4,K236=30,4,K236=25,3,K236=20,2,K236=15,1,K236=10,1,K236=0,0)</f>
        <v>26</v>
      </c>
      <c r="N236" s="3" t="n">
        <f aca="false">IF(L236&lt;=1,0,IF(L236&lt;=10,11,IF(L236&lt;=14,12,IF(L236&lt;=17,13,IF(L236&lt;=20,14,IF(L236&lt;=22,15,IF(L236&lt;=25,16,IF(L236&lt;=27,17,IF(L236&lt;=29,18,IF(L236&lt;=32,19,IF(L236&lt;=34,20,IF(L236&lt;=36,21,IF(L236&lt;=40,22,24)))))))))))))</f>
        <v>0</v>
      </c>
      <c r="O236" s="3" t="s">
        <v>38</v>
      </c>
      <c r="Q236" s="3" t="n">
        <f aca="false">_xlfn.IFS(O236="взв",11,O236="накл",24,O236="прокл",25,O236="пт",26,O236=90,10,O236=85,10,O236=80,9,O236=75,8,O236=70,8,O236=65,7,O236=60,7,O236=55,6,O236=50,6,O236=45,6,O236=40,5,O236=35,4,O236=30,4,O236=25,3,O236=20,2,O236=15,1,O236=10,1,O236=0,0)</f>
        <v>26</v>
      </c>
      <c r="R236" s="3" t="n">
        <f aca="false">IF(P236&lt;=1,0,IF(P236&lt;=10,11,IF(P236&lt;=14,12,IF(P236&lt;=17,13,IF(P236&lt;=20,14,IF(P236&lt;=22,15,IF(P236&lt;=25,16,IF(P236&lt;=27,17,IF(P236&lt;=29,18,IF(P236&lt;=32,19,IF(P236&lt;=34,20,IF(P236&lt;=36,21,IF(P236&lt;=40,22,24)))))))))))))</f>
        <v>0</v>
      </c>
      <c r="S236" s="14" t="n">
        <f aca="false">ROUND((Q236+R236+I236+J236+M236+N236)/3,0)</f>
        <v>26</v>
      </c>
      <c r="T236" s="15" t="n">
        <f aca="false">F236*LOG10(S236+2)</f>
        <v>8.68294818805332</v>
      </c>
    </row>
    <row r="237" customFormat="false" ht="14.65" hidden="false" customHeight="true" outlineLevel="0" collapsed="false">
      <c r="A237" s="12" t="s">
        <v>273</v>
      </c>
      <c r="B237" s="16" t="n">
        <v>38889</v>
      </c>
      <c r="C237" s="17" t="s">
        <v>228</v>
      </c>
      <c r="D237" s="4" t="s">
        <v>244</v>
      </c>
      <c r="E237" s="3" t="n">
        <v>4</v>
      </c>
      <c r="F237" s="3" t="n">
        <v>6</v>
      </c>
      <c r="H237" s="3" t="n">
        <v>21</v>
      </c>
      <c r="I237" s="3" t="n">
        <f aca="false">_xlfn.IFS(G237="взв",11,G237="накл",24,G237="прокл",25,G237="пт",26,G237=90,10,G237=85,10,G237=80,9,G237=75,8,G237=70,8,G237=65,7,G237=60,7,G237=55,6,G237=50,6,G237=45,6,G237=40,5,G237=35,4,G237=30,4,G237=25,3,G237=20,2,G237=15,1,G237=10,1,G237=0,0)</f>
        <v>0</v>
      </c>
      <c r="J237" s="3" t="n">
        <f aca="false">IF(H237&lt;=1,0,IF(H237&lt;=10,11,IF(H237&lt;=14,12,IF(H237&lt;=17,13,IF(H237&lt;=20,14,IF(H237&lt;=22,15,IF(H237&lt;=25,16,IF(H237&lt;=27,17,IF(H237&lt;=29,18,IF(H237&lt;=32,19,IF(H237&lt;=34,20,IF(H237&lt;=36,21,IF(H237&lt;=40,22,24)))))))))))))</f>
        <v>15</v>
      </c>
      <c r="L237" s="3" t="n">
        <v>25</v>
      </c>
      <c r="M237" s="3" t="n">
        <f aca="false">_xlfn.IFS(K237="взв",11,K237="накл",24,K237="прокл",25,K237="пт",26,K237=90,10,K237=85,10,K237=80,9,K237=75,8,K237=70,8,K237=65,7,K237=60,7,K237=55,6,K237=50,6,K237=45,6,K237=40,5,K237=35,4,K237=30,4,K237=25,3,K237=20,2,K237=15,1,K237=10,1,K237=0,0)</f>
        <v>0</v>
      </c>
      <c r="N237" s="3" t="n">
        <f aca="false">IF(L237&lt;=1,0,IF(L237&lt;=10,11,IF(L237&lt;=14,12,IF(L237&lt;=17,13,IF(L237&lt;=20,14,IF(L237&lt;=22,15,IF(L237&lt;=25,16,IF(L237&lt;=27,17,IF(L237&lt;=29,18,IF(L237&lt;=32,19,IF(L237&lt;=34,20,IF(L237&lt;=36,21,IF(L237&lt;=40,22,24)))))))))))))</f>
        <v>16</v>
      </c>
      <c r="P237" s="3" t="n">
        <v>21</v>
      </c>
      <c r="Q237" s="3" t="n">
        <f aca="false">_xlfn.IFS(O237="взв",11,O237="накл",24,O237="прокл",25,O237="пт",26,O237=90,10,O237=85,10,O237=80,9,O237=75,8,O237=70,8,O237=65,7,O237=60,7,O237=55,6,O237=50,6,O237=45,6,O237=40,5,O237=35,4,O237=30,4,O237=25,3,O237=20,2,O237=15,1,O237=10,1,O237=0,0)</f>
        <v>0</v>
      </c>
      <c r="R237" s="3" t="n">
        <f aca="false">IF(P237&lt;=1,0,IF(P237&lt;=10,11,IF(P237&lt;=14,12,IF(P237&lt;=17,13,IF(P237&lt;=20,14,IF(P237&lt;=22,15,IF(P237&lt;=25,16,IF(P237&lt;=27,17,IF(P237&lt;=29,18,IF(P237&lt;=32,19,IF(P237&lt;=34,20,IF(P237&lt;=36,21,IF(P237&lt;=40,22,24)))))))))))))</f>
        <v>15</v>
      </c>
      <c r="S237" s="14" t="n">
        <f aca="false">ROUND((Q237+R237+I237+J237+M237+N237)/3,0)</f>
        <v>15</v>
      </c>
      <c r="T237" s="15" t="n">
        <f aca="false">F237*LOG10(S237+2)</f>
        <v>7.38269352826964</v>
      </c>
    </row>
    <row r="238" customFormat="false" ht="14.65" hidden="false" customHeight="true" outlineLevel="0" collapsed="false">
      <c r="A238" s="12" t="s">
        <v>274</v>
      </c>
      <c r="B238" s="16" t="n">
        <v>38889</v>
      </c>
      <c r="C238" s="17" t="s">
        <v>228</v>
      </c>
      <c r="D238" s="4" t="s">
        <v>244</v>
      </c>
      <c r="E238" s="3" t="n">
        <v>4</v>
      </c>
      <c r="F238" s="3" t="n">
        <v>6</v>
      </c>
      <c r="G238" s="3" t="n">
        <v>75</v>
      </c>
      <c r="I238" s="3" t="n">
        <f aca="false">_xlfn.IFS(G238="взв",11,G238="накл",24,G238="прокл",25,G238="пт",26,G238=90,10,G238=85,10,G238=80,9,G238=75,8,G238=70,8,G238=65,7,G238=60,7,G238=55,6,G238=50,6,G238=45,6,G238=40,5,G238=35,4,G238=30,4,G238=25,3,G238=20,2,G238=15,1,G238=10,1,G238=0,0)</f>
        <v>8</v>
      </c>
      <c r="J238" s="3" t="n">
        <f aca="false">IF(H238&lt;=1,0,IF(H238&lt;=10,11,IF(H238&lt;=14,12,IF(H238&lt;=17,13,IF(H238&lt;=20,14,IF(H238&lt;=22,15,IF(H238&lt;=25,16,IF(H238&lt;=27,17,IF(H238&lt;=29,18,IF(H238&lt;=32,19,IF(H238&lt;=34,20,IF(H238&lt;=36,21,IF(H238&lt;=40,22,24)))))))))))))</f>
        <v>0</v>
      </c>
      <c r="L238" s="3" t="n">
        <v>14</v>
      </c>
      <c r="M238" s="3" t="n">
        <f aca="false">_xlfn.IFS(K238="взв",11,K238="накл",24,K238="прокл",25,K238="пт",26,K238=90,10,K238=85,10,K238=80,9,K238=75,8,K238=70,8,K238=65,7,K238=60,7,K238=55,6,K238=50,6,K238=45,6,K238=40,5,K238=35,4,K238=30,4,K238=25,3,K238=20,2,K238=15,1,K238=10,1,K238=0,0)</f>
        <v>0</v>
      </c>
      <c r="N238" s="3" t="n">
        <f aca="false">IF(L238&lt;=1,0,IF(L238&lt;=10,11,IF(L238&lt;=14,12,IF(L238&lt;=17,13,IF(L238&lt;=20,14,IF(L238&lt;=22,15,IF(L238&lt;=25,16,IF(L238&lt;=27,17,IF(L238&lt;=29,18,IF(L238&lt;=32,19,IF(L238&lt;=34,20,IF(L238&lt;=36,21,IF(L238&lt;=40,22,24)))))))))))))</f>
        <v>12</v>
      </c>
      <c r="O238" s="3" t="n">
        <v>75</v>
      </c>
      <c r="Q238" s="3" t="n">
        <f aca="false">_xlfn.IFS(O238="взв",11,O238="накл",24,O238="прокл",25,O238="пт",26,O238=90,10,O238=85,10,O238=80,9,O238=75,8,O238=70,8,O238=65,7,O238=60,7,O238=55,6,O238=50,6,O238=45,6,O238=40,5,O238=35,4,O238=30,4,O238=25,3,O238=20,2,O238=15,1,O238=10,1,O238=0,0)</f>
        <v>8</v>
      </c>
      <c r="R238" s="3" t="n">
        <f aca="false">IF(P238&lt;=1,0,IF(P238&lt;=10,11,IF(P238&lt;=14,12,IF(P238&lt;=17,13,IF(P238&lt;=20,14,IF(P238&lt;=22,15,IF(P238&lt;=25,16,IF(P238&lt;=27,17,IF(P238&lt;=29,18,IF(P238&lt;=32,19,IF(P238&lt;=34,20,IF(P238&lt;=36,21,IF(P238&lt;=40,22,24)))))))))))))</f>
        <v>0</v>
      </c>
      <c r="S238" s="14" t="n">
        <f aca="false">ROUND((Q238+R238+I238+J238+M238+N238)/3,0)</f>
        <v>9</v>
      </c>
      <c r="T238" s="15" t="n">
        <f aca="false">F238*LOG10(S238+2)</f>
        <v>6.24835611094935</v>
      </c>
    </row>
    <row r="239" customFormat="false" ht="14.65" hidden="false" customHeight="true" outlineLevel="0" collapsed="false">
      <c r="A239" s="12" t="s">
        <v>275</v>
      </c>
      <c r="B239" s="16" t="n">
        <v>38889</v>
      </c>
      <c r="C239" s="17" t="s">
        <v>228</v>
      </c>
      <c r="D239" s="4" t="s">
        <v>244</v>
      </c>
      <c r="E239" s="3" t="n">
        <v>6</v>
      </c>
      <c r="F239" s="3" t="n">
        <v>6</v>
      </c>
      <c r="G239" s="3" t="n">
        <v>90</v>
      </c>
      <c r="I239" s="3" t="n">
        <f aca="false">_xlfn.IFS(G239="взв",11,G239="накл",24,G239="прокл",25,G239="пт",26,G239=90,10,G239=85,10,G239=80,9,G239=75,8,G239=70,8,G239=65,7,G239=60,7,G239=55,6,G239=50,6,G239=45,6,G239=40,5,G239=35,4,G239=30,4,G239=25,3,G239=20,2,G239=15,1,G239=10,1,G239=0,0)</f>
        <v>10</v>
      </c>
      <c r="J239" s="3" t="n">
        <f aca="false">IF(H239&lt;=1,0,IF(H239&lt;=10,11,IF(H239&lt;=14,12,IF(H239&lt;=17,13,IF(H239&lt;=20,14,IF(H239&lt;=22,15,IF(H239&lt;=25,16,IF(H239&lt;=27,17,IF(H239&lt;=29,18,IF(H239&lt;=32,19,IF(H239&lt;=34,20,IF(H239&lt;=36,21,IF(H239&lt;=40,22,24)))))))))))))</f>
        <v>0</v>
      </c>
      <c r="K239" s="3" t="n">
        <v>75</v>
      </c>
      <c r="M239" s="3" t="n">
        <f aca="false">_xlfn.IFS(K239="взв",11,K239="накл",24,K239="прокл",25,K239="пт",26,K239=90,10,K239=85,10,K239=80,9,K239=75,8,K239=70,8,K239=65,7,K239=60,7,K239=55,6,K239=50,6,K239=45,6,K239=40,5,K239=35,4,K239=30,4,K239=25,3,K239=20,2,K239=15,1,K239=10,1,K239=0,0)</f>
        <v>8</v>
      </c>
      <c r="N239" s="3" t="n">
        <f aca="false">IF(L239&lt;=1,0,IF(L239&lt;=10,11,IF(L239&lt;=14,12,IF(L239&lt;=17,13,IF(L239&lt;=20,14,IF(L239&lt;=22,15,IF(L239&lt;=25,16,IF(L239&lt;=27,17,IF(L239&lt;=29,18,IF(L239&lt;=32,19,IF(L239&lt;=34,20,IF(L239&lt;=36,21,IF(L239&lt;=40,22,24)))))))))))))</f>
        <v>0</v>
      </c>
      <c r="O239" s="3" t="n">
        <v>90</v>
      </c>
      <c r="Q239" s="3" t="n">
        <f aca="false">_xlfn.IFS(O239="взв",11,O239="накл",24,O239="прокл",25,O239="пт",26,O239=90,10,O239=85,10,O239=80,9,O239=75,8,O239=70,8,O239=65,7,O239=60,7,O239=55,6,O239=50,6,O239=45,6,O239=40,5,O239=35,4,O239=30,4,O239=25,3,O239=20,2,O239=15,1,O239=10,1,O239=0,0)</f>
        <v>10</v>
      </c>
      <c r="R239" s="3" t="n">
        <f aca="false">IF(P239&lt;=1,0,IF(P239&lt;=10,11,IF(P239&lt;=14,12,IF(P239&lt;=17,13,IF(P239&lt;=20,14,IF(P239&lt;=22,15,IF(P239&lt;=25,16,IF(P239&lt;=27,17,IF(P239&lt;=29,18,IF(P239&lt;=32,19,IF(P239&lt;=34,20,IF(P239&lt;=36,21,IF(P239&lt;=40,22,24)))))))))))))</f>
        <v>0</v>
      </c>
      <c r="S239" s="14" t="n">
        <f aca="false">ROUND((Q239+R239+I239+J239+M239+N239)/3,0)</f>
        <v>9</v>
      </c>
      <c r="T239" s="15" t="n">
        <f aca="false">F239*LOG10(S239+2)</f>
        <v>6.24835611094935</v>
      </c>
    </row>
    <row r="240" customFormat="false" ht="14.65" hidden="false" customHeight="true" outlineLevel="0" collapsed="false">
      <c r="A240" s="12" t="s">
        <v>276</v>
      </c>
      <c r="B240" s="16" t="n">
        <v>38889</v>
      </c>
      <c r="C240" s="17" t="s">
        <v>228</v>
      </c>
      <c r="D240" s="4" t="s">
        <v>244</v>
      </c>
      <c r="E240" s="3" t="n">
        <v>6</v>
      </c>
      <c r="F240" s="3" t="n">
        <v>7</v>
      </c>
      <c r="G240" s="3" t="n">
        <v>60</v>
      </c>
      <c r="I240" s="3" t="n">
        <f aca="false">_xlfn.IFS(G240="взв",11,G240="накл",24,G240="прокл",25,G240="пт",26,G240=90,10,G240=85,10,G240=80,9,G240=75,8,G240=70,8,G240=65,7,G240=60,7,G240=55,6,G240=50,6,G240=45,6,G240=40,5,G240=35,4,G240=30,4,G240=25,3,G240=20,2,G240=15,1,G240=10,1,G240=0,0)</f>
        <v>7</v>
      </c>
      <c r="J240" s="3" t="n">
        <f aca="false">IF(H240&lt;=1,0,IF(H240&lt;=10,11,IF(H240&lt;=14,12,IF(H240&lt;=17,13,IF(H240&lt;=20,14,IF(H240&lt;=22,15,IF(H240&lt;=25,16,IF(H240&lt;=27,17,IF(H240&lt;=29,18,IF(H240&lt;=32,19,IF(H240&lt;=34,20,IF(H240&lt;=36,21,IF(H240&lt;=40,22,24)))))))))))))</f>
        <v>0</v>
      </c>
      <c r="K240" s="3" t="n">
        <v>45</v>
      </c>
      <c r="M240" s="3" t="n">
        <f aca="false">_xlfn.IFS(K240="взв",11,K240="накл",24,K240="прокл",25,K240="пт",26,K240=90,10,K240=85,10,K240=80,9,K240=75,8,K240=70,8,K240=65,7,K240=60,7,K240=55,6,K240=50,6,K240=45,6,K240=40,5,K240=35,4,K240=30,4,K240=25,3,K240=20,2,K240=15,1,K240=10,1,K240=0,0)</f>
        <v>6</v>
      </c>
      <c r="N240" s="3" t="n">
        <f aca="false">IF(L240&lt;=1,0,IF(L240&lt;=10,11,IF(L240&lt;=14,12,IF(L240&lt;=17,13,IF(L240&lt;=20,14,IF(L240&lt;=22,15,IF(L240&lt;=25,16,IF(L240&lt;=27,17,IF(L240&lt;=29,18,IF(L240&lt;=32,19,IF(L240&lt;=34,20,IF(L240&lt;=36,21,IF(L240&lt;=40,22,24)))))))))))))</f>
        <v>0</v>
      </c>
      <c r="O240" s="3" t="n">
        <v>90</v>
      </c>
      <c r="Q240" s="3" t="n">
        <f aca="false">_xlfn.IFS(O240="взв",11,O240="накл",24,O240="прокл",25,O240="пт",26,O240=90,10,O240=85,10,O240=80,9,O240=75,8,O240=70,8,O240=65,7,O240=60,7,O240=55,6,O240=50,6,O240=45,6,O240=40,5,O240=35,4,O240=30,4,O240=25,3,O240=20,2,O240=15,1,O240=10,1,O240=0,0)</f>
        <v>10</v>
      </c>
      <c r="R240" s="3" t="n">
        <f aca="false">IF(P240&lt;=1,0,IF(P240&lt;=10,11,IF(P240&lt;=14,12,IF(P240&lt;=17,13,IF(P240&lt;=20,14,IF(P240&lt;=22,15,IF(P240&lt;=25,16,IF(P240&lt;=27,17,IF(P240&lt;=29,18,IF(P240&lt;=32,19,IF(P240&lt;=34,20,IF(P240&lt;=36,21,IF(P240&lt;=40,22,24)))))))))))))</f>
        <v>0</v>
      </c>
      <c r="S240" s="14" t="n">
        <f aca="false">ROUND((Q240+R240+I240+J240+M240+N240)/3,0)</f>
        <v>8</v>
      </c>
      <c r="T240" s="15" t="n">
        <f aca="false">F240*LOG10(S240+2)</f>
        <v>7</v>
      </c>
    </row>
    <row r="241" customFormat="false" ht="14.65" hidden="false" customHeight="true" outlineLevel="0" collapsed="false">
      <c r="A241" s="12" t="s">
        <v>277</v>
      </c>
      <c r="B241" s="16" t="n">
        <v>38889</v>
      </c>
      <c r="C241" s="17" t="s">
        <v>228</v>
      </c>
      <c r="D241" s="4" t="s">
        <v>244</v>
      </c>
      <c r="E241" s="3" t="n">
        <v>3</v>
      </c>
      <c r="F241" s="3" t="n">
        <v>7</v>
      </c>
      <c r="H241" s="3" t="n">
        <v>26</v>
      </c>
      <c r="I241" s="3" t="n">
        <f aca="false">_xlfn.IFS(G241="взв",11,G241="накл",24,G241="прокл",25,G241="пт",26,G241=90,10,G241=85,10,G241=80,9,G241=75,8,G241=70,8,G241=65,7,G241=60,7,G241=55,6,G241=50,6,G241=45,6,G241=40,5,G241=35,4,G241=30,4,G241=25,3,G241=20,2,G241=15,1,G241=10,1,G241=0,0)</f>
        <v>0</v>
      </c>
      <c r="J241" s="3" t="n">
        <f aca="false">IF(H241&lt;=1,0,IF(H241&lt;=10,11,IF(H241&lt;=14,12,IF(H241&lt;=17,13,IF(H241&lt;=20,14,IF(H241&lt;=22,15,IF(H241&lt;=25,16,IF(H241&lt;=27,17,IF(H241&lt;=29,18,IF(H241&lt;=32,19,IF(H241&lt;=34,20,IF(H241&lt;=36,21,IF(H241&lt;=40,22,24)))))))))))))</f>
        <v>17</v>
      </c>
      <c r="L241" s="3" t="n">
        <v>25</v>
      </c>
      <c r="M241" s="3" t="n">
        <f aca="false">_xlfn.IFS(K241="взв",11,K241="накл",24,K241="прокл",25,K241="пт",26,K241=90,10,K241=85,10,K241=80,9,K241=75,8,K241=70,8,K241=65,7,K241=60,7,K241=55,6,K241=50,6,K241=45,6,K241=40,5,K241=35,4,K241=30,4,K241=25,3,K241=20,2,K241=15,1,K241=10,1,K241=0,0)</f>
        <v>0</v>
      </c>
      <c r="N241" s="3" t="n">
        <f aca="false">IF(L241&lt;=1,0,IF(L241&lt;=10,11,IF(L241&lt;=14,12,IF(L241&lt;=17,13,IF(L241&lt;=20,14,IF(L241&lt;=22,15,IF(L241&lt;=25,16,IF(L241&lt;=27,17,IF(L241&lt;=29,18,IF(L241&lt;=32,19,IF(L241&lt;=34,20,IF(L241&lt;=36,21,IF(L241&lt;=40,22,24)))))))))))))</f>
        <v>16</v>
      </c>
      <c r="P241" s="3" t="n">
        <v>26</v>
      </c>
      <c r="Q241" s="3" t="n">
        <f aca="false">_xlfn.IFS(O241="взв",11,O241="накл",24,O241="прокл",25,O241="пт",26,O241=90,10,O241=85,10,O241=80,9,O241=75,8,O241=70,8,O241=65,7,O241=60,7,O241=55,6,O241=50,6,O241=45,6,O241=40,5,O241=35,4,O241=30,4,O241=25,3,O241=20,2,O241=15,1,O241=10,1,O241=0,0)</f>
        <v>0</v>
      </c>
      <c r="R241" s="3" t="n">
        <f aca="false">IF(P241&lt;=1,0,IF(P241&lt;=10,11,IF(P241&lt;=14,12,IF(P241&lt;=17,13,IF(P241&lt;=20,14,IF(P241&lt;=22,15,IF(P241&lt;=25,16,IF(P241&lt;=27,17,IF(P241&lt;=29,18,IF(P241&lt;=32,19,IF(P241&lt;=34,20,IF(P241&lt;=36,21,IF(P241&lt;=40,22,24)))))))))))))</f>
        <v>17</v>
      </c>
      <c r="S241" s="14" t="n">
        <f aca="false">ROUND((Q241+R241+I241+J241+M241+N241)/3,0)</f>
        <v>17</v>
      </c>
      <c r="T241" s="15" t="n">
        <f aca="false">F241*LOG10(S241+2)</f>
        <v>8.9512752066698</v>
      </c>
    </row>
    <row r="242" customFormat="false" ht="14.65" hidden="false" customHeight="true" outlineLevel="0" collapsed="false">
      <c r="A242" s="12" t="s">
        <v>278</v>
      </c>
      <c r="B242" s="16" t="n">
        <v>38889</v>
      </c>
      <c r="C242" s="17" t="s">
        <v>228</v>
      </c>
      <c r="D242" s="4" t="s">
        <v>244</v>
      </c>
      <c r="E242" s="3" t="n">
        <v>5</v>
      </c>
      <c r="F242" s="3" t="n">
        <v>7</v>
      </c>
      <c r="H242" s="3" t="n">
        <v>40</v>
      </c>
      <c r="I242" s="3" t="n">
        <f aca="false">_xlfn.IFS(G242="взв",11,G242="накл",24,G242="прокл",25,G242="пт",26,G242=90,10,G242=85,10,G242=80,9,G242=75,8,G242=70,8,G242=65,7,G242=60,7,G242=55,6,G242=50,6,G242=45,6,G242=40,5,G242=35,4,G242=30,4,G242=25,3,G242=20,2,G242=15,1,G242=10,1,G242=0,0)</f>
        <v>0</v>
      </c>
      <c r="J242" s="3" t="n">
        <f aca="false">IF(H242&lt;=1,0,IF(H242&lt;=10,11,IF(H242&lt;=14,12,IF(H242&lt;=17,13,IF(H242&lt;=20,14,IF(H242&lt;=22,15,IF(H242&lt;=25,16,IF(H242&lt;=27,17,IF(H242&lt;=29,18,IF(H242&lt;=32,19,IF(H242&lt;=34,20,IF(H242&lt;=36,21,IF(H242&lt;=40,22,24)))))))))))))</f>
        <v>22</v>
      </c>
      <c r="L242" s="3" t="n">
        <v>34</v>
      </c>
      <c r="M242" s="3" t="n">
        <f aca="false">_xlfn.IFS(K242="взв",11,K242="накл",24,K242="прокл",25,K242="пт",26,K242=90,10,K242=85,10,K242=80,9,K242=75,8,K242=70,8,K242=65,7,K242=60,7,K242=55,6,K242=50,6,K242=45,6,K242=40,5,K242=35,4,K242=30,4,K242=25,3,K242=20,2,K242=15,1,K242=10,1,K242=0,0)</f>
        <v>0</v>
      </c>
      <c r="N242" s="3" t="n">
        <f aca="false">IF(L242&lt;=1,0,IF(L242&lt;=10,11,IF(L242&lt;=14,12,IF(L242&lt;=17,13,IF(L242&lt;=20,14,IF(L242&lt;=22,15,IF(L242&lt;=25,16,IF(L242&lt;=27,17,IF(L242&lt;=29,18,IF(L242&lt;=32,19,IF(L242&lt;=34,20,IF(L242&lt;=36,21,IF(L242&lt;=40,22,24)))))))))))))</f>
        <v>20</v>
      </c>
      <c r="P242" s="3" t="n">
        <v>36</v>
      </c>
      <c r="Q242" s="3" t="n">
        <f aca="false">_xlfn.IFS(O242="взв",11,O242="накл",24,O242="прокл",25,O242="пт",26,O242=90,10,O242=85,10,O242=80,9,O242=75,8,O242=70,8,O242=65,7,O242=60,7,O242=55,6,O242=50,6,O242=45,6,O242=40,5,O242=35,4,O242=30,4,O242=25,3,O242=20,2,O242=15,1,O242=10,1,O242=0,0)</f>
        <v>0</v>
      </c>
      <c r="R242" s="3" t="n">
        <f aca="false">IF(P242&lt;=1,0,IF(P242&lt;=10,11,IF(P242&lt;=14,12,IF(P242&lt;=17,13,IF(P242&lt;=20,14,IF(P242&lt;=22,15,IF(P242&lt;=25,16,IF(P242&lt;=27,17,IF(P242&lt;=29,18,IF(P242&lt;=32,19,IF(P242&lt;=34,20,IF(P242&lt;=36,21,IF(P242&lt;=40,22,24)))))))))))))</f>
        <v>21</v>
      </c>
      <c r="S242" s="14" t="n">
        <f aca="false">ROUND((Q242+R242+I242+J242+M242+N242)/3,0)</f>
        <v>21</v>
      </c>
      <c r="T242" s="15" t="n">
        <f aca="false">F242*LOG10(S242+2)</f>
        <v>9.53209485212315</v>
      </c>
    </row>
    <row r="243" customFormat="false" ht="14.65" hidden="false" customHeight="true" outlineLevel="0" collapsed="false">
      <c r="A243" s="12" t="s">
        <v>279</v>
      </c>
      <c r="B243" s="16" t="n">
        <v>38889</v>
      </c>
      <c r="C243" s="17" t="s">
        <v>228</v>
      </c>
      <c r="D243" s="4" t="s">
        <v>244</v>
      </c>
      <c r="E243" s="3" t="n">
        <v>5</v>
      </c>
      <c r="F243" s="3" t="n">
        <v>7</v>
      </c>
      <c r="H243" s="3" t="n">
        <v>31</v>
      </c>
      <c r="I243" s="3" t="n">
        <f aca="false">_xlfn.IFS(G243="взв",11,G243="накл",24,G243="прокл",25,G243="пт",26,G243=90,10,G243=85,10,G243=80,9,G243=75,8,G243=70,8,G243=65,7,G243=60,7,G243=55,6,G243=50,6,G243=45,6,G243=40,5,G243=35,4,G243=30,4,G243=25,3,G243=20,2,G243=15,1,G243=10,1,G243=0,0)</f>
        <v>0</v>
      </c>
      <c r="J243" s="3" t="n">
        <f aca="false">IF(H243&lt;=1,0,IF(H243&lt;=10,11,IF(H243&lt;=14,12,IF(H243&lt;=17,13,IF(H243&lt;=20,14,IF(H243&lt;=22,15,IF(H243&lt;=25,16,IF(H243&lt;=27,17,IF(H243&lt;=29,18,IF(H243&lt;=32,19,IF(H243&lt;=34,20,IF(H243&lt;=36,21,IF(H243&lt;=40,22,24)))))))))))))</f>
        <v>19</v>
      </c>
      <c r="L243" s="3" t="n">
        <v>29</v>
      </c>
      <c r="M243" s="3" t="n">
        <f aca="false">_xlfn.IFS(K243="взв",11,K243="накл",24,K243="прокл",25,K243="пт",26,K243=90,10,K243=85,10,K243=80,9,K243=75,8,K243=70,8,K243=65,7,K243=60,7,K243=55,6,K243=50,6,K243=45,6,K243=40,5,K243=35,4,K243=30,4,K243=25,3,K243=20,2,K243=15,1,K243=10,1,K243=0,0)</f>
        <v>0</v>
      </c>
      <c r="N243" s="3" t="n">
        <f aca="false">IF(L243&lt;=1,0,IF(L243&lt;=10,11,IF(L243&lt;=14,12,IF(L243&lt;=17,13,IF(L243&lt;=20,14,IF(L243&lt;=22,15,IF(L243&lt;=25,16,IF(L243&lt;=27,17,IF(L243&lt;=29,18,IF(L243&lt;=32,19,IF(L243&lt;=34,20,IF(L243&lt;=36,21,IF(L243&lt;=40,22,24)))))))))))))</f>
        <v>18</v>
      </c>
      <c r="P243" s="3" t="n">
        <v>24</v>
      </c>
      <c r="Q243" s="3" t="n">
        <f aca="false">_xlfn.IFS(O243="взв",11,O243="накл",24,O243="прокл",25,O243="пт",26,O243=90,10,O243=85,10,O243=80,9,O243=75,8,O243=70,8,O243=65,7,O243=60,7,O243=55,6,O243=50,6,O243=45,6,O243=40,5,O243=35,4,O243=30,4,O243=25,3,O243=20,2,O243=15,1,O243=10,1,O243=0,0)</f>
        <v>0</v>
      </c>
      <c r="R243" s="3" t="n">
        <f aca="false">IF(P243&lt;=1,0,IF(P243&lt;=10,11,IF(P243&lt;=14,12,IF(P243&lt;=17,13,IF(P243&lt;=20,14,IF(P243&lt;=22,15,IF(P243&lt;=25,16,IF(P243&lt;=27,17,IF(P243&lt;=29,18,IF(P243&lt;=32,19,IF(P243&lt;=34,20,IF(P243&lt;=36,21,IF(P243&lt;=40,22,24)))))))))))))</f>
        <v>16</v>
      </c>
      <c r="S243" s="14" t="n">
        <f aca="false">ROUND((Q243+R243+I243+J243+M243+N243)/3,0)</f>
        <v>18</v>
      </c>
      <c r="T243" s="15" t="n">
        <f aca="false">F243*LOG10(S243+2)</f>
        <v>9.10720996964787</v>
      </c>
    </row>
    <row r="244" customFormat="false" ht="14.65" hidden="false" customHeight="true" outlineLevel="0" collapsed="false">
      <c r="A244" s="12" t="s">
        <v>280</v>
      </c>
      <c r="B244" s="16" t="n">
        <v>38889</v>
      </c>
      <c r="C244" s="17" t="s">
        <v>228</v>
      </c>
      <c r="D244" s="4" t="s">
        <v>244</v>
      </c>
      <c r="E244" s="3" t="n">
        <v>4</v>
      </c>
      <c r="F244" s="3" t="n">
        <v>8</v>
      </c>
      <c r="G244" s="3" t="s">
        <v>27</v>
      </c>
      <c r="I244" s="3" t="n">
        <f aca="false">_xlfn.IFS(G244="взв",11,G244="накл",24,G244="прокл",25,G244="пт",26,G244=90,10,G244=85,10,G244=80,9,G244=75,8,G244=70,8,G244=65,7,G244=60,7,G244=55,6,G244=50,6,G244=45,6,G244=40,5,G244=35,4,G244=30,4,G244=25,3,G244=20,2,G244=15,1,G244=10,1,G244=0,0)</f>
        <v>24</v>
      </c>
      <c r="J244" s="3" t="n">
        <f aca="false">IF(H244&lt;=1,0,IF(H244&lt;=10,11,IF(H244&lt;=14,12,IF(H244&lt;=17,13,IF(H244&lt;=20,14,IF(H244&lt;=22,15,IF(H244&lt;=25,16,IF(H244&lt;=27,17,IF(H244&lt;=29,18,IF(H244&lt;=32,19,IF(H244&lt;=34,20,IF(H244&lt;=36,21,IF(H244&lt;=40,22,24)))))))))))))</f>
        <v>0</v>
      </c>
      <c r="K244" s="3" t="s">
        <v>47</v>
      </c>
      <c r="M244" s="3" t="n">
        <f aca="false">_xlfn.IFS(K244="взв",11,K244="накл",24,K244="прокл",25,K244="пт",26,K244=90,10,K244=85,10,K244=80,9,K244=75,8,K244=70,8,K244=65,7,K244=60,7,K244=55,6,K244=50,6,K244=45,6,K244=40,5,K244=35,4,K244=30,4,K244=25,3,K244=20,2,K244=15,1,K244=10,1,K244=0,0)</f>
        <v>25</v>
      </c>
      <c r="N244" s="3" t="n">
        <f aca="false">IF(L244&lt;=1,0,IF(L244&lt;=10,11,IF(L244&lt;=14,12,IF(L244&lt;=17,13,IF(L244&lt;=20,14,IF(L244&lt;=22,15,IF(L244&lt;=25,16,IF(L244&lt;=27,17,IF(L244&lt;=29,18,IF(L244&lt;=32,19,IF(L244&lt;=34,20,IF(L244&lt;=36,21,IF(L244&lt;=40,22,24)))))))))))))</f>
        <v>0</v>
      </c>
      <c r="O244" s="3" t="s">
        <v>47</v>
      </c>
      <c r="P244" s="0"/>
      <c r="Q244" s="3" t="n">
        <f aca="false">_xlfn.IFS(O244="взв",11,O244="накл",24,O244="прокл",25,O244="пт",26,O244=90,10,O244=85,10,O244=80,9,O244=75,8,O244=70,8,O244=65,7,O244=60,7,O244=55,6,O244=50,6,O244=45,6,O244=40,5,O244=35,4,O244=30,4,O244=25,3,O244=20,2,O244=15,1,O244=10,1,O244=0,0)</f>
        <v>25</v>
      </c>
      <c r="R244" s="3" t="n">
        <f aca="false">IF(P244&lt;=1,0,IF(P244&lt;=10,11,IF(P244&lt;=14,12,IF(P244&lt;=17,13,IF(P244&lt;=20,14,IF(P244&lt;=22,15,IF(P244&lt;=25,16,IF(P244&lt;=27,17,IF(P244&lt;=29,18,IF(P244&lt;=32,19,IF(P244&lt;=34,20,IF(P244&lt;=36,21,IF(P244&lt;=40,22,24)))))))))))))</f>
        <v>0</v>
      </c>
      <c r="S244" s="14" t="n">
        <f aca="false">ROUND((Q244+R244+I244+J244+M244+N244)/3,0)</f>
        <v>25</v>
      </c>
      <c r="T244" s="15" t="n">
        <f aca="false">F244*LOG10(S244+2)</f>
        <v>11.4509101132719</v>
      </c>
    </row>
    <row r="245" customFormat="false" ht="14.65" hidden="false" customHeight="true" outlineLevel="0" collapsed="false">
      <c r="A245" s="12" t="s">
        <v>281</v>
      </c>
      <c r="B245" s="16" t="n">
        <v>38889</v>
      </c>
      <c r="C245" s="17" t="s">
        <v>228</v>
      </c>
      <c r="D245" s="4" t="s">
        <v>244</v>
      </c>
      <c r="E245" s="3" t="n">
        <v>4</v>
      </c>
      <c r="F245" s="3" t="n">
        <v>8</v>
      </c>
      <c r="H245" s="3" t="n">
        <v>29</v>
      </c>
      <c r="I245" s="3" t="n">
        <f aca="false">_xlfn.IFS(G245="взв",11,G245="накл",24,G245="прокл",25,G245="пт",26,G245=90,10,G245=85,10,G245=80,9,G245=75,8,G245=70,8,G245=65,7,G245=60,7,G245=55,6,G245=50,6,G245=45,6,G245=40,5,G245=35,4,G245=30,4,G245=25,3,G245=20,2,G245=15,1,G245=10,1,G245=0,0)</f>
        <v>0</v>
      </c>
      <c r="J245" s="3" t="n">
        <f aca="false">IF(H245&lt;=1,0,IF(H245&lt;=10,11,IF(H245&lt;=14,12,IF(H245&lt;=17,13,IF(H245&lt;=20,14,IF(H245&lt;=22,15,IF(H245&lt;=25,16,IF(H245&lt;=27,17,IF(H245&lt;=29,18,IF(H245&lt;=32,19,IF(H245&lt;=34,20,IF(H245&lt;=36,21,IF(H245&lt;=40,22,24)))))))))))))</f>
        <v>18</v>
      </c>
      <c r="L245" s="3" t="n">
        <v>34</v>
      </c>
      <c r="M245" s="3" t="n">
        <f aca="false">_xlfn.IFS(K245="взв",11,K245="накл",24,K245="прокл",25,K245="пт",26,K245=90,10,K245=85,10,K245=80,9,K245=75,8,K245=70,8,K245=65,7,K245=60,7,K245=55,6,K245=50,6,K245=45,6,K245=40,5,K245=35,4,K245=30,4,K245=25,3,K245=20,2,K245=15,1,K245=10,1,K245=0,0)</f>
        <v>0</v>
      </c>
      <c r="N245" s="3" t="n">
        <f aca="false">IF(L245&lt;=1,0,IF(L245&lt;=10,11,IF(L245&lt;=14,12,IF(L245&lt;=17,13,IF(L245&lt;=20,14,IF(L245&lt;=22,15,IF(L245&lt;=25,16,IF(L245&lt;=27,17,IF(L245&lt;=29,18,IF(L245&lt;=32,19,IF(L245&lt;=34,20,IF(L245&lt;=36,21,IF(L245&lt;=40,22,24)))))))))))))</f>
        <v>20</v>
      </c>
      <c r="P245" s="3" t="n">
        <v>34</v>
      </c>
      <c r="Q245" s="3" t="n">
        <f aca="false">_xlfn.IFS(O245="взв",11,O245="накл",24,O245="прокл",25,O245="пт",26,O245=90,10,O245=85,10,O245=80,9,O245=75,8,O245=70,8,O245=65,7,O245=60,7,O245=55,6,O245=50,6,O245=45,6,O245=40,5,O245=35,4,O245=30,4,O245=25,3,O245=20,2,O245=15,1,O245=10,1,O245=0,0)</f>
        <v>0</v>
      </c>
      <c r="R245" s="3" t="n">
        <f aca="false">IF(P245&lt;=1,0,IF(P245&lt;=10,11,IF(P245&lt;=14,12,IF(P245&lt;=17,13,IF(P245&lt;=20,14,IF(P245&lt;=22,15,IF(P245&lt;=25,16,IF(P245&lt;=27,17,IF(P245&lt;=29,18,IF(P245&lt;=32,19,IF(P245&lt;=34,20,IF(P245&lt;=36,21,IF(P245&lt;=40,22,24)))))))))))))</f>
        <v>20</v>
      </c>
      <c r="S245" s="14" t="n">
        <f aca="false">ROUND((Q245+R245+I245+J245+M245+N245)/3,0)</f>
        <v>19</v>
      </c>
      <c r="T245" s="15" t="n">
        <f aca="false">F245*LOG10(S245+2)</f>
        <v>10.5777543578714</v>
      </c>
    </row>
    <row r="246" customFormat="false" ht="14.65" hidden="false" customHeight="true" outlineLevel="0" collapsed="false">
      <c r="A246" s="12" t="s">
        <v>282</v>
      </c>
      <c r="B246" s="16" t="n">
        <v>38889</v>
      </c>
      <c r="C246" s="17" t="s">
        <v>228</v>
      </c>
      <c r="D246" s="4" t="s">
        <v>244</v>
      </c>
      <c r="E246" s="3" t="n">
        <v>4</v>
      </c>
      <c r="F246" s="3" t="n">
        <v>10</v>
      </c>
      <c r="H246" s="3" t="n">
        <v>36</v>
      </c>
      <c r="I246" s="3" t="n">
        <f aca="false">_xlfn.IFS(G246="взв",11,G246="накл",24,G246="прокл",25,G246="пт",26,G246=90,10,G246=85,10,G246=80,9,G246=75,8,G246=70,8,G246=65,7,G246=60,7,G246=55,6,G246=50,6,G246=45,6,G246=40,5,G246=35,4,G246=30,4,G246=25,3,G246=20,2,G246=15,1,G246=10,1,G246=0,0)</f>
        <v>0</v>
      </c>
      <c r="J246" s="3" t="n">
        <f aca="false">IF(H246&lt;=1,0,IF(H246&lt;=10,11,IF(H246&lt;=14,12,IF(H246&lt;=17,13,IF(H246&lt;=20,14,IF(H246&lt;=22,15,IF(H246&lt;=25,16,IF(H246&lt;=27,17,IF(H246&lt;=29,18,IF(H246&lt;=32,19,IF(H246&lt;=34,20,IF(H246&lt;=36,21,IF(H246&lt;=40,22,24)))))))))))))</f>
        <v>21</v>
      </c>
      <c r="L246" s="3" t="n">
        <v>41</v>
      </c>
      <c r="M246" s="3" t="n">
        <f aca="false">_xlfn.IFS(K246="взв",11,K246="накл",24,K246="прокл",25,K246="пт",26,K246=90,10,K246=85,10,K246=80,9,K246=75,8,K246=70,8,K246=65,7,K246=60,7,K246=55,6,K246=50,6,K246=45,6,K246=40,5,K246=35,4,K246=30,4,K246=25,3,K246=20,2,K246=15,1,K246=10,1,K246=0,0)</f>
        <v>0</v>
      </c>
      <c r="N246" s="3" t="n">
        <f aca="false">IF(L246&lt;=1,0,IF(L246&lt;=10,11,IF(L246&lt;=14,12,IF(L246&lt;=17,13,IF(L246&lt;=20,14,IF(L246&lt;=22,15,IF(L246&lt;=25,16,IF(L246&lt;=27,17,IF(L246&lt;=29,18,IF(L246&lt;=32,19,IF(L246&lt;=34,20,IF(L246&lt;=36,21,IF(L246&lt;=40,22,24)))))))))))))</f>
        <v>24</v>
      </c>
      <c r="P246" s="3" t="n">
        <v>38</v>
      </c>
      <c r="Q246" s="3" t="n">
        <f aca="false">_xlfn.IFS(O246="взв",11,O246="накл",24,O246="прокл",25,O246="пт",26,O246=90,10,O246=85,10,O246=80,9,O246=75,8,O246=70,8,O246=65,7,O246=60,7,O246=55,6,O246=50,6,O246=45,6,O246=40,5,O246=35,4,O246=30,4,O246=25,3,O246=20,2,O246=15,1,O246=10,1,O246=0,0)</f>
        <v>0</v>
      </c>
      <c r="R246" s="3" t="n">
        <f aca="false">IF(P246&lt;=1,0,IF(P246&lt;=10,11,IF(P246&lt;=14,12,IF(P246&lt;=17,13,IF(P246&lt;=20,14,IF(P246&lt;=22,15,IF(P246&lt;=25,16,IF(P246&lt;=27,17,IF(P246&lt;=29,18,IF(P246&lt;=32,19,IF(P246&lt;=34,20,IF(P246&lt;=36,21,IF(P246&lt;=40,22,24)))))))))))))</f>
        <v>22</v>
      </c>
      <c r="S246" s="14" t="n">
        <f aca="false">ROUND((Q246+R246+I246+J246+M246+N246)/3,0)</f>
        <v>22</v>
      </c>
      <c r="T246" s="15" t="n">
        <f aca="false">F246*LOG10(S246+2)</f>
        <v>13.8021124171161</v>
      </c>
    </row>
    <row r="247" customFormat="false" ht="14.65" hidden="false" customHeight="true" outlineLevel="0" collapsed="false">
      <c r="A247" s="12" t="s">
        <v>283</v>
      </c>
      <c r="B247" s="16" t="n">
        <v>38889</v>
      </c>
      <c r="C247" s="17" t="s">
        <v>228</v>
      </c>
      <c r="D247" s="4" t="s">
        <v>244</v>
      </c>
      <c r="E247" s="3" t="n">
        <v>5</v>
      </c>
      <c r="F247" s="3" t="n">
        <v>10</v>
      </c>
      <c r="H247" s="3" t="n">
        <v>37</v>
      </c>
      <c r="I247" s="3" t="n">
        <f aca="false">_xlfn.IFS(G247="взв",11,G247="накл",24,G247="прокл",25,G247="пт",26,G247=90,10,G247=85,10,G247=80,9,G247=75,8,G247=70,8,G247=65,7,G247=60,7,G247=55,6,G247=50,6,G247=45,6,G247=40,5,G247=35,4,G247=30,4,G247=25,3,G247=20,2,G247=15,1,G247=10,1,G247=0,0)</f>
        <v>0</v>
      </c>
      <c r="J247" s="3" t="n">
        <f aca="false">IF(H247&lt;=1,0,IF(H247&lt;=10,11,IF(H247&lt;=14,12,IF(H247&lt;=17,13,IF(H247&lt;=20,14,IF(H247&lt;=22,15,IF(H247&lt;=25,16,IF(H247&lt;=27,17,IF(H247&lt;=29,18,IF(H247&lt;=32,19,IF(H247&lt;=34,20,IF(H247&lt;=36,21,IF(H247&lt;=40,22,24)))))))))))))</f>
        <v>22</v>
      </c>
      <c r="L247" s="3" t="n">
        <v>34</v>
      </c>
      <c r="M247" s="3" t="n">
        <f aca="false">_xlfn.IFS(K247="взв",11,K247="накл",24,K247="прокл",25,K247="пт",26,K247=90,10,K247=85,10,K247=80,9,K247=75,8,K247=70,8,K247=65,7,K247=60,7,K247=55,6,K247=50,6,K247=45,6,K247=40,5,K247=35,4,K247=30,4,K247=25,3,K247=20,2,K247=15,1,K247=10,1,K247=0,0)</f>
        <v>0</v>
      </c>
      <c r="N247" s="3" t="n">
        <f aca="false">IF(L247&lt;=1,0,IF(L247&lt;=10,11,IF(L247&lt;=14,12,IF(L247&lt;=17,13,IF(L247&lt;=20,14,IF(L247&lt;=22,15,IF(L247&lt;=25,16,IF(L247&lt;=27,17,IF(L247&lt;=29,18,IF(L247&lt;=32,19,IF(L247&lt;=34,20,IF(L247&lt;=36,21,IF(L247&lt;=40,22,24)))))))))))))</f>
        <v>20</v>
      </c>
      <c r="P247" s="3" t="n">
        <v>36</v>
      </c>
      <c r="Q247" s="3" t="n">
        <f aca="false">_xlfn.IFS(O247="взв",11,O247="накл",24,O247="прокл",25,O247="пт",26,O247=90,10,O247=85,10,O247=80,9,O247=75,8,O247=70,8,O247=65,7,O247=60,7,O247=55,6,O247=50,6,O247=45,6,O247=40,5,O247=35,4,O247=30,4,O247=25,3,O247=20,2,O247=15,1,O247=10,1,O247=0,0)</f>
        <v>0</v>
      </c>
      <c r="R247" s="3" t="n">
        <f aca="false">IF(P247&lt;=1,0,IF(P247&lt;=10,11,IF(P247&lt;=14,12,IF(P247&lt;=17,13,IF(P247&lt;=20,14,IF(P247&lt;=22,15,IF(P247&lt;=25,16,IF(P247&lt;=27,17,IF(P247&lt;=29,18,IF(P247&lt;=32,19,IF(P247&lt;=34,20,IF(P247&lt;=36,21,IF(P247&lt;=40,22,24)))))))))))))</f>
        <v>21</v>
      </c>
      <c r="S247" s="14" t="n">
        <f aca="false">ROUND((Q247+R247+I247+J247+M247+N247)/3,0)</f>
        <v>21</v>
      </c>
      <c r="T247" s="15" t="n">
        <f aca="false">F247*LOG10(S247+2)</f>
        <v>13.6172783601759</v>
      </c>
    </row>
    <row r="248" customFormat="false" ht="14.65" hidden="false" customHeight="true" outlineLevel="0" collapsed="false">
      <c r="A248" s="12" t="s">
        <v>284</v>
      </c>
      <c r="B248" s="16" t="n">
        <v>38889</v>
      </c>
      <c r="C248" s="17" t="s">
        <v>228</v>
      </c>
      <c r="D248" s="4" t="s">
        <v>244</v>
      </c>
      <c r="E248" s="3" t="n">
        <v>5</v>
      </c>
      <c r="F248" s="3" t="n">
        <v>11</v>
      </c>
      <c r="G248" s="3" t="s">
        <v>38</v>
      </c>
      <c r="I248" s="3" t="n">
        <f aca="false">_xlfn.IFS(G248="взв",11,G248="накл",24,G248="прокл",25,G248="пт",26,G248=90,10,G248=85,10,G248=80,9,G248=75,8,G248=70,8,G248=65,7,G248=60,7,G248=55,6,G248=50,6,G248=45,6,G248=40,5,G248=35,4,G248=30,4,G248=25,3,G248=20,2,G248=15,1,G248=10,1,G248=0,0)</f>
        <v>26</v>
      </c>
      <c r="J248" s="3" t="n">
        <f aca="false">IF(H248&lt;=1,0,IF(H248&lt;=10,11,IF(H248&lt;=14,12,IF(H248&lt;=17,13,IF(H248&lt;=20,14,IF(H248&lt;=22,15,IF(H248&lt;=25,16,IF(H248&lt;=27,17,IF(H248&lt;=29,18,IF(H248&lt;=32,19,IF(H248&lt;=34,20,IF(H248&lt;=36,21,IF(H248&lt;=40,22,24)))))))))))))</f>
        <v>0</v>
      </c>
      <c r="K248" s="3" t="s">
        <v>38</v>
      </c>
      <c r="M248" s="3" t="n">
        <f aca="false">_xlfn.IFS(K248="взв",11,K248="накл",24,K248="прокл",25,K248="пт",26,K248=90,10,K248=85,10,K248=80,9,K248=75,8,K248=70,8,K248=65,7,K248=60,7,K248=55,6,K248=50,6,K248=45,6,K248=40,5,K248=35,4,K248=30,4,K248=25,3,K248=20,2,K248=15,1,K248=10,1,K248=0,0)</f>
        <v>26</v>
      </c>
      <c r="N248" s="3" t="n">
        <f aca="false">IF(L248&lt;=1,0,IF(L248&lt;=10,11,IF(L248&lt;=14,12,IF(L248&lt;=17,13,IF(L248&lt;=20,14,IF(L248&lt;=22,15,IF(L248&lt;=25,16,IF(L248&lt;=27,17,IF(L248&lt;=29,18,IF(L248&lt;=32,19,IF(L248&lt;=34,20,IF(L248&lt;=36,21,IF(L248&lt;=40,22,24)))))))))))))</f>
        <v>0</v>
      </c>
      <c r="O248" s="3" t="s">
        <v>38</v>
      </c>
      <c r="Q248" s="3" t="n">
        <f aca="false">_xlfn.IFS(O248="взв",11,O248="накл",24,O248="прокл",25,O248="пт",26,O248=90,10,O248=85,10,O248=80,9,O248=75,8,O248=70,8,O248=65,7,O248=60,7,O248=55,6,O248=50,6,O248=45,6,O248=40,5,O248=35,4,O248=30,4,O248=25,3,O248=20,2,O248=15,1,O248=10,1,O248=0,0)</f>
        <v>26</v>
      </c>
      <c r="R248" s="3" t="n">
        <f aca="false">IF(P248&lt;=1,0,IF(P248&lt;=10,11,IF(P248&lt;=14,12,IF(P248&lt;=17,13,IF(P248&lt;=20,14,IF(P248&lt;=22,15,IF(P248&lt;=25,16,IF(P248&lt;=27,17,IF(P248&lt;=29,18,IF(P248&lt;=32,19,IF(P248&lt;=34,20,IF(P248&lt;=36,21,IF(P248&lt;=40,22,24)))))))))))))</f>
        <v>0</v>
      </c>
      <c r="S248" s="14" t="n">
        <f aca="false">ROUND((Q248+R248+I248+J248+M248+N248)/3,0)</f>
        <v>26</v>
      </c>
      <c r="T248" s="15" t="n">
        <f aca="false">F248*LOG10(S248+2)</f>
        <v>15.9187383447644</v>
      </c>
    </row>
    <row r="249" customFormat="false" ht="14.65" hidden="false" customHeight="true" outlineLevel="0" collapsed="false">
      <c r="A249" s="12" t="s">
        <v>285</v>
      </c>
      <c r="B249" s="16" t="n">
        <v>38889</v>
      </c>
      <c r="C249" s="17" t="s">
        <v>228</v>
      </c>
      <c r="D249" s="4" t="s">
        <v>244</v>
      </c>
      <c r="E249" s="3" t="n">
        <v>2</v>
      </c>
      <c r="F249" s="3" t="n">
        <v>21</v>
      </c>
      <c r="H249" s="3" t="n">
        <v>37</v>
      </c>
      <c r="I249" s="3" t="n">
        <f aca="false">_xlfn.IFS(G249="взв",11,G249="накл",24,G249="прокл",25,G249="пт",26,G249=90,10,G249=85,10,G249=80,9,G249=75,8,G249=70,8,G249=65,7,G249=60,7,G249=55,6,G249=50,6,G249=45,6,G249=40,5,G249=35,4,G249=30,4,G249=25,3,G249=20,2,G249=15,1,G249=10,1,G249=0,0)</f>
        <v>0</v>
      </c>
      <c r="J249" s="3" t="n">
        <f aca="false">IF(H249&lt;=1,0,IF(H249&lt;=10,11,IF(H249&lt;=14,12,IF(H249&lt;=17,13,IF(H249&lt;=20,14,IF(H249&lt;=22,15,IF(H249&lt;=25,16,IF(H249&lt;=27,17,IF(H249&lt;=29,18,IF(H249&lt;=32,19,IF(H249&lt;=34,20,IF(H249&lt;=36,21,IF(H249&lt;=40,22,24)))))))))))))</f>
        <v>22</v>
      </c>
      <c r="L249" s="3" t="n">
        <v>35</v>
      </c>
      <c r="M249" s="3" t="n">
        <f aca="false">_xlfn.IFS(K249="взв",11,K249="накл",24,K249="прокл",25,K249="пт",26,K249=90,10,K249=85,10,K249=80,9,K249=75,8,K249=70,8,K249=65,7,K249=60,7,K249=55,6,K249=50,6,K249=45,6,K249=40,5,K249=35,4,K249=30,4,K249=25,3,K249=20,2,K249=15,1,K249=10,1,K249=0,0)</f>
        <v>0</v>
      </c>
      <c r="N249" s="3" t="n">
        <f aca="false">IF(L249&lt;=1,0,IF(L249&lt;=10,11,IF(L249&lt;=14,12,IF(L249&lt;=17,13,IF(L249&lt;=20,14,IF(L249&lt;=22,15,IF(L249&lt;=25,16,IF(L249&lt;=27,17,IF(L249&lt;=29,18,IF(L249&lt;=32,19,IF(L249&lt;=34,20,IF(L249&lt;=36,21,IF(L249&lt;=40,22,24)))))))))))))</f>
        <v>21</v>
      </c>
      <c r="Q249" s="3" t="n">
        <f aca="false">_xlfn.IFS(O249="взв",11,O249="накл",24,O249="прокл",25,O249="пт",26,O249=90,10,O249=85,10,O249=80,9,O249=75,8,O249=70,8,O249=65,7,O249=60,7,O249=55,6,O249=50,6,O249=45,6,O249=40,5,O249=35,4,O249=30,4,O249=25,3,O249=20,2,O249=15,1,O249=10,1,O249=0,0)</f>
        <v>0</v>
      </c>
      <c r="R249" s="3" t="n">
        <f aca="false">IF(P249&lt;=1,0,IF(P249&lt;=10,11,IF(P249&lt;=14,12,IF(P249&lt;=17,13,IF(P249&lt;=20,14,IF(P249&lt;=22,15,IF(P249&lt;=25,16,IF(P249&lt;=27,17,IF(P249&lt;=29,18,IF(P249&lt;=32,19,IF(P249&lt;=34,20,IF(P249&lt;=36,21,IF(P249&lt;=40,22,24)))))))))))))</f>
        <v>0</v>
      </c>
      <c r="S249" s="14" t="n">
        <f aca="false">ROUND((Q249+R249+I249+J249+M249+N249)/2,0)</f>
        <v>22</v>
      </c>
      <c r="T249" s="15" t="n">
        <f aca="false">F249*LOG10(S249+2)</f>
        <v>28.9844360759437</v>
      </c>
    </row>
    <row r="250" customFormat="false" ht="14.65" hidden="false" customHeight="true" outlineLevel="0" collapsed="false">
      <c r="A250" s="12" t="s">
        <v>286</v>
      </c>
      <c r="B250" s="16" t="n">
        <v>38895</v>
      </c>
      <c r="C250" s="17" t="s">
        <v>228</v>
      </c>
      <c r="D250" s="4" t="s">
        <v>287</v>
      </c>
      <c r="E250" s="3" t="n">
        <v>4</v>
      </c>
      <c r="F250" s="3" t="n">
        <v>1.5</v>
      </c>
      <c r="H250" s="3" t="n">
        <v>40</v>
      </c>
      <c r="I250" s="3" t="n">
        <f aca="false">_xlfn.IFS(G250="взв",11,G250="накл",24,G250="прокл",25,G250="пт",26,G250=90,10,G250=85,10,G250=80,9,G250=75,8,G250=70,8,G250=65,7,G250=60,7,G250=55,6,G250=50,6,G250=45,6,G250=40,5,G250=35,4,G250=30,4,G250=25,3,G250=20,2,G250=15,1,G250=10,1,G250=0,0)</f>
        <v>0</v>
      </c>
      <c r="J250" s="3" t="n">
        <f aca="false">IF(H250&lt;=1,0,IF(H250&lt;=10,11,IF(H250&lt;=14,12,IF(H250&lt;=17,13,IF(H250&lt;=20,14,IF(H250&lt;=22,15,IF(H250&lt;=25,16,IF(H250&lt;=27,17,IF(H250&lt;=29,18,IF(H250&lt;=32,19,IF(H250&lt;=34,20,IF(H250&lt;=36,21,IF(H250&lt;=40,22,24)))))))))))))</f>
        <v>22</v>
      </c>
      <c r="L250" s="3" t="n">
        <v>41</v>
      </c>
      <c r="M250" s="3" t="n">
        <f aca="false">_xlfn.IFS(K250="взв",11,K250="накл",24,K250="прокл",25,K250="пт",26,K250=90,10,K250=85,10,K250=80,9,K250=75,8,K250=70,8,K250=65,7,K250=60,7,K250=55,6,K250=50,6,K250=45,6,K250=40,5,K250=35,4,K250=30,4,K250=25,3,K250=20,2,K250=15,1,K250=10,1,K250=0,0)</f>
        <v>0</v>
      </c>
      <c r="N250" s="3" t="n">
        <f aca="false">IF(L250&lt;=1,0,IF(L250&lt;=10,11,IF(L250&lt;=14,12,IF(L250&lt;=17,13,IF(L250&lt;=20,14,IF(L250&lt;=22,15,IF(L250&lt;=25,16,IF(L250&lt;=27,17,IF(L250&lt;=29,18,IF(L250&lt;=32,19,IF(L250&lt;=34,20,IF(L250&lt;=36,21,IF(L250&lt;=40,22,24)))))))))))))</f>
        <v>24</v>
      </c>
      <c r="P250" s="3" t="n">
        <v>41</v>
      </c>
      <c r="Q250" s="3" t="n">
        <f aca="false">_xlfn.IFS(O250="взв",11,O250="накл",24,O250="прокл",25,O250="пт",26,O250=90,10,O250=85,10,O250=80,9,O250=75,8,O250=70,8,O250=65,7,O250=60,7,O250=55,6,O250=50,6,O250=45,6,O250=40,5,O250=35,4,O250=30,4,O250=25,3,O250=20,2,O250=15,1,O250=10,1,O250=0,0)</f>
        <v>0</v>
      </c>
      <c r="R250" s="3" t="n">
        <f aca="false">IF(P250&lt;=1,0,IF(P250&lt;=10,11,IF(P250&lt;=14,12,IF(P250&lt;=17,13,IF(P250&lt;=20,14,IF(P250&lt;=22,15,IF(P250&lt;=25,16,IF(P250&lt;=27,17,IF(P250&lt;=29,18,IF(P250&lt;=32,19,IF(P250&lt;=34,20,IF(P250&lt;=36,21,IF(P250&lt;=40,22,24)))))))))))))</f>
        <v>24</v>
      </c>
      <c r="S250" s="14" t="n">
        <f aca="false">ROUND((Q250+R250+I250+J250+M250+N250)/3,0)</f>
        <v>23</v>
      </c>
      <c r="T250" s="15" t="n">
        <f aca="false">F250*LOG10(S250+2)</f>
        <v>2.09691001300806</v>
      </c>
    </row>
    <row r="251" customFormat="false" ht="14.65" hidden="false" customHeight="true" outlineLevel="0" collapsed="false">
      <c r="A251" s="12" t="s">
        <v>288</v>
      </c>
      <c r="B251" s="16" t="n">
        <v>38895</v>
      </c>
      <c r="C251" s="17" t="s">
        <v>228</v>
      </c>
      <c r="D251" s="4" t="s">
        <v>287</v>
      </c>
      <c r="E251" s="3" t="n">
        <v>4</v>
      </c>
      <c r="F251" s="3" t="n">
        <v>2</v>
      </c>
      <c r="H251" s="3" t="n">
        <v>31</v>
      </c>
      <c r="I251" s="3" t="n">
        <f aca="false">_xlfn.IFS(G251="взв",11,G251="накл",24,G251="прокл",25,G251="пт",26,G251=90,10,G251=85,10,G251=80,9,G251=75,8,G251=70,8,G251=65,7,G251=60,7,G251=55,6,G251=50,6,G251=45,6,G251=40,5,G251=35,4,G251=30,4,G251=25,3,G251=20,2,G251=15,1,G251=10,1,G251=0,0)</f>
        <v>0</v>
      </c>
      <c r="J251" s="3" t="n">
        <f aca="false">IF(H251&lt;=1,0,IF(H251&lt;=10,11,IF(H251&lt;=14,12,IF(H251&lt;=17,13,IF(H251&lt;=20,14,IF(H251&lt;=22,15,IF(H251&lt;=25,16,IF(H251&lt;=27,17,IF(H251&lt;=29,18,IF(H251&lt;=32,19,IF(H251&lt;=34,20,IF(H251&lt;=36,21,IF(H251&lt;=40,22,24)))))))))))))</f>
        <v>19</v>
      </c>
      <c r="L251" s="3" t="n">
        <v>28</v>
      </c>
      <c r="M251" s="3" t="n">
        <f aca="false">_xlfn.IFS(K251="взв",11,K251="накл",24,K251="прокл",25,K251="пт",26,K251=90,10,K251=85,10,K251=80,9,K251=75,8,K251=70,8,K251=65,7,K251=60,7,K251=55,6,K251=50,6,K251=45,6,K251=40,5,K251=35,4,K251=30,4,K251=25,3,K251=20,2,K251=15,1,K251=10,1,K251=0,0)</f>
        <v>0</v>
      </c>
      <c r="N251" s="3" t="n">
        <f aca="false">IF(L251&lt;=1,0,IF(L251&lt;=10,11,IF(L251&lt;=14,12,IF(L251&lt;=17,13,IF(L251&lt;=20,14,IF(L251&lt;=22,15,IF(L251&lt;=25,16,IF(L251&lt;=27,17,IF(L251&lt;=29,18,IF(L251&lt;=32,19,IF(L251&lt;=34,20,IF(L251&lt;=36,21,IF(L251&lt;=40,22,24)))))))))))))</f>
        <v>18</v>
      </c>
      <c r="P251" s="3" t="n">
        <v>30</v>
      </c>
      <c r="Q251" s="3" t="n">
        <f aca="false">_xlfn.IFS(O251="взв",11,O251="накл",24,O251="прокл",25,O251="пт",26,O251=90,10,O251=85,10,O251=80,9,O251=75,8,O251=70,8,O251=65,7,O251=60,7,O251=55,6,O251=50,6,O251=45,6,O251=40,5,O251=35,4,O251=30,4,O251=25,3,O251=20,2,O251=15,1,O251=10,1,O251=0,0)</f>
        <v>0</v>
      </c>
      <c r="R251" s="3" t="n">
        <f aca="false">IF(P251&lt;=1,0,IF(P251&lt;=10,11,IF(P251&lt;=14,12,IF(P251&lt;=17,13,IF(P251&lt;=20,14,IF(P251&lt;=22,15,IF(P251&lt;=25,16,IF(P251&lt;=27,17,IF(P251&lt;=29,18,IF(P251&lt;=32,19,IF(P251&lt;=34,20,IF(P251&lt;=36,21,IF(P251&lt;=40,22,24)))))))))))))</f>
        <v>19</v>
      </c>
      <c r="S251" s="14" t="n">
        <f aca="false">ROUND((Q251+R251+I251+J251+M251+N251)/3,0)</f>
        <v>19</v>
      </c>
      <c r="T251" s="15" t="n">
        <f aca="false">F251*LOG10(S251+2)</f>
        <v>2.64443858946784</v>
      </c>
    </row>
    <row r="252" customFormat="false" ht="14.65" hidden="false" customHeight="true" outlineLevel="0" collapsed="false">
      <c r="A252" s="12" t="s">
        <v>289</v>
      </c>
      <c r="B252" s="16" t="n">
        <v>38895</v>
      </c>
      <c r="C252" s="17" t="s">
        <v>228</v>
      </c>
      <c r="D252" s="4" t="s">
        <v>287</v>
      </c>
      <c r="E252" s="3" t="n">
        <v>5</v>
      </c>
      <c r="F252" s="3" t="n">
        <v>2</v>
      </c>
      <c r="G252" s="3" t="n">
        <v>75</v>
      </c>
      <c r="I252" s="3" t="n">
        <f aca="false">_xlfn.IFS(G252="взв",11,G252="накл",24,G252="прокл",25,G252="пт",26,G252=90,10,G252=85,10,G252=80,9,G252=75,8,G252=70,8,G252=65,7,G252=60,7,G252=55,6,G252=50,6,G252=45,6,G252=40,5,G252=35,4,G252=30,4,G252=25,3,G252=20,2,G252=15,1,G252=10,1,G252=0,0)</f>
        <v>8</v>
      </c>
      <c r="J252" s="3" t="n">
        <f aca="false">IF(H252&lt;=1,0,IF(H252&lt;=10,11,IF(H252&lt;=14,12,IF(H252&lt;=17,13,IF(H252&lt;=20,14,IF(H252&lt;=22,15,IF(H252&lt;=25,16,IF(H252&lt;=27,17,IF(H252&lt;=29,18,IF(H252&lt;=32,19,IF(H252&lt;=34,20,IF(H252&lt;=36,21,IF(H252&lt;=40,22,24)))))))))))))</f>
        <v>0</v>
      </c>
      <c r="K252" s="3" t="n">
        <v>75</v>
      </c>
      <c r="M252" s="3" t="n">
        <f aca="false">_xlfn.IFS(K252="взв",11,K252="накл",24,K252="прокл",25,K252="пт",26,K252=90,10,K252=85,10,K252=80,9,K252=75,8,K252=70,8,K252=65,7,K252=60,7,K252=55,6,K252=50,6,K252=45,6,K252=40,5,K252=35,4,K252=30,4,K252=25,3,K252=20,2,K252=15,1,K252=10,1,K252=0,0)</f>
        <v>8</v>
      </c>
      <c r="N252" s="3" t="n">
        <f aca="false">IF(L252&lt;=1,0,IF(L252&lt;=10,11,IF(L252&lt;=14,12,IF(L252&lt;=17,13,IF(L252&lt;=20,14,IF(L252&lt;=22,15,IF(L252&lt;=25,16,IF(L252&lt;=27,17,IF(L252&lt;=29,18,IF(L252&lt;=32,19,IF(L252&lt;=34,20,IF(L252&lt;=36,21,IF(L252&lt;=40,22,24)))))))))))))</f>
        <v>0</v>
      </c>
      <c r="O252" s="3" t="n">
        <v>75</v>
      </c>
      <c r="Q252" s="3" t="n">
        <f aca="false">_xlfn.IFS(O252="взв",11,O252="накл",24,O252="прокл",25,O252="пт",26,O252=90,10,O252=85,10,O252=80,9,O252=75,8,O252=70,8,O252=65,7,O252=60,7,O252=55,6,O252=50,6,O252=45,6,O252=40,5,O252=35,4,O252=30,4,O252=25,3,O252=20,2,O252=15,1,O252=10,1,O252=0,0)</f>
        <v>8</v>
      </c>
      <c r="R252" s="3" t="n">
        <f aca="false">IF(P252&lt;=1,0,IF(P252&lt;=10,11,IF(P252&lt;=14,12,IF(P252&lt;=17,13,IF(P252&lt;=20,14,IF(P252&lt;=22,15,IF(P252&lt;=25,16,IF(P252&lt;=27,17,IF(P252&lt;=29,18,IF(P252&lt;=32,19,IF(P252&lt;=34,20,IF(P252&lt;=36,21,IF(P252&lt;=40,22,24)))))))))))))</f>
        <v>0</v>
      </c>
      <c r="S252" s="14" t="n">
        <f aca="false">ROUND((Q252+R252+I252+J252+M252+N252)/3,0)</f>
        <v>8</v>
      </c>
      <c r="T252" s="15" t="n">
        <f aca="false">F252*LOG10(S252+2)</f>
        <v>2</v>
      </c>
    </row>
    <row r="253" customFormat="false" ht="14.65" hidden="false" customHeight="true" outlineLevel="0" collapsed="false">
      <c r="A253" s="12" t="s">
        <v>290</v>
      </c>
      <c r="B253" s="16" t="n">
        <v>38895</v>
      </c>
      <c r="C253" s="17" t="s">
        <v>228</v>
      </c>
      <c r="D253" s="4" t="s">
        <v>287</v>
      </c>
      <c r="E253" s="3" t="n">
        <v>6</v>
      </c>
      <c r="F253" s="3" t="n">
        <v>3</v>
      </c>
      <c r="H253" s="3" t="n">
        <v>22</v>
      </c>
      <c r="I253" s="3" t="n">
        <f aca="false">_xlfn.IFS(G253="взв",11,G253="накл",24,G253="прокл",25,G253="пт",26,G253=90,10,G253=85,10,G253=80,9,G253=75,8,G253=70,8,G253=65,7,G253=60,7,G253=55,6,G253=50,6,G253=45,6,G253=40,5,G253=35,4,G253=30,4,G253=25,3,G253=20,2,G253=15,1,G253=10,1,G253=0,0)</f>
        <v>0</v>
      </c>
      <c r="J253" s="3" t="n">
        <f aca="false">IF(H253&lt;=1,0,IF(H253&lt;=10,11,IF(H253&lt;=14,12,IF(H253&lt;=17,13,IF(H253&lt;=20,14,IF(H253&lt;=22,15,IF(H253&lt;=25,16,IF(H253&lt;=27,17,IF(H253&lt;=29,18,IF(H253&lt;=32,19,IF(H253&lt;=34,20,IF(H253&lt;=36,21,IF(H253&lt;=40,22,24)))))))))))))</f>
        <v>15</v>
      </c>
      <c r="L253" s="3" t="n">
        <v>23</v>
      </c>
      <c r="M253" s="3" t="n">
        <f aca="false">_xlfn.IFS(K253="взв",11,K253="накл",24,K253="прокл",25,K253="пт",26,K253=90,10,K253=85,10,K253=80,9,K253=75,8,K253=70,8,K253=65,7,K253=60,7,K253=55,6,K253=50,6,K253=45,6,K253=40,5,K253=35,4,K253=30,4,K253=25,3,K253=20,2,K253=15,1,K253=10,1,K253=0,0)</f>
        <v>0</v>
      </c>
      <c r="N253" s="3" t="n">
        <f aca="false">IF(L253&lt;=1,0,IF(L253&lt;=10,11,IF(L253&lt;=14,12,IF(L253&lt;=17,13,IF(L253&lt;=20,14,IF(L253&lt;=22,15,IF(L253&lt;=25,16,IF(L253&lt;=27,17,IF(L253&lt;=29,18,IF(L253&lt;=32,19,IF(L253&lt;=34,20,IF(L253&lt;=36,21,IF(L253&lt;=40,22,24)))))))))))))</f>
        <v>16</v>
      </c>
      <c r="P253" s="3" t="n">
        <v>26</v>
      </c>
      <c r="Q253" s="3" t="n">
        <f aca="false">_xlfn.IFS(O253="взв",11,O253="накл",24,O253="прокл",25,O253="пт",26,O253=90,10,O253=85,10,O253=80,9,O253=75,8,O253=70,8,O253=65,7,O253=60,7,O253=55,6,O253=50,6,O253=45,6,O253=40,5,O253=35,4,O253=30,4,O253=25,3,O253=20,2,O253=15,1,O253=10,1,O253=0,0)</f>
        <v>0</v>
      </c>
      <c r="R253" s="3" t="n">
        <f aca="false">IF(P253&lt;=1,0,IF(P253&lt;=10,11,IF(P253&lt;=14,12,IF(P253&lt;=17,13,IF(P253&lt;=20,14,IF(P253&lt;=22,15,IF(P253&lt;=25,16,IF(P253&lt;=27,17,IF(P253&lt;=29,18,IF(P253&lt;=32,19,IF(P253&lt;=34,20,IF(P253&lt;=36,21,IF(P253&lt;=40,22,24)))))))))))))</f>
        <v>17</v>
      </c>
      <c r="S253" s="14" t="n">
        <f aca="false">ROUND((Q253+R253+I253+J253+M253+N253)/3,0)</f>
        <v>16</v>
      </c>
      <c r="T253" s="15" t="n">
        <f aca="false">F253*LOG10(S253+2)</f>
        <v>3.76581751530992</v>
      </c>
    </row>
    <row r="254" customFormat="false" ht="14.65" hidden="false" customHeight="true" outlineLevel="0" collapsed="false">
      <c r="A254" s="12" t="s">
        <v>291</v>
      </c>
      <c r="B254" s="16" t="n">
        <v>38895</v>
      </c>
      <c r="C254" s="17" t="s">
        <v>228</v>
      </c>
      <c r="D254" s="4" t="s">
        <v>287</v>
      </c>
      <c r="E254" s="3" t="n">
        <v>3</v>
      </c>
      <c r="F254" s="3" t="n">
        <v>3</v>
      </c>
      <c r="G254" s="3" t="s">
        <v>47</v>
      </c>
      <c r="I254" s="3" t="n">
        <f aca="false">_xlfn.IFS(G254="взв",11,G254="накл",24,G254="прокл",25,G254="пт",26,G254=90,10,G254=85,10,G254=80,9,G254=75,8,G254=70,8,G254=65,7,G254=60,7,G254=55,6,G254=50,6,G254=45,6,G254=40,5,G254=35,4,G254=30,4,G254=25,3,G254=20,2,G254=15,1,G254=10,1,G254=0,0)</f>
        <v>25</v>
      </c>
      <c r="J254" s="3" t="n">
        <f aca="false">IF(H254&lt;=1,0,IF(H254&lt;=10,11,IF(H254&lt;=14,12,IF(H254&lt;=17,13,IF(H254&lt;=20,14,IF(H254&lt;=22,15,IF(H254&lt;=25,16,IF(H254&lt;=27,17,IF(H254&lt;=29,18,IF(H254&lt;=32,19,IF(H254&lt;=34,20,IF(H254&lt;=36,21,IF(H254&lt;=40,22,24)))))))))))))</f>
        <v>0</v>
      </c>
      <c r="K254" s="3" t="s">
        <v>47</v>
      </c>
      <c r="M254" s="3" t="n">
        <f aca="false">_xlfn.IFS(K254="взв",11,K254="накл",24,K254="прокл",25,K254="пт",26,K254=90,10,K254=85,10,K254=80,9,K254=75,8,K254=70,8,K254=65,7,K254=60,7,K254=55,6,K254=50,6,K254=45,6,K254=40,5,K254=35,4,K254=30,4,K254=25,3,K254=20,2,K254=15,1,K254=10,1,K254=0,0)</f>
        <v>25</v>
      </c>
      <c r="N254" s="3" t="n">
        <f aca="false">IF(L254&lt;=1,0,IF(L254&lt;=10,11,IF(L254&lt;=14,12,IF(L254&lt;=17,13,IF(L254&lt;=20,14,IF(L254&lt;=22,15,IF(L254&lt;=25,16,IF(L254&lt;=27,17,IF(L254&lt;=29,18,IF(L254&lt;=32,19,IF(L254&lt;=34,20,IF(L254&lt;=36,21,IF(L254&lt;=40,22,24)))))))))))))</f>
        <v>0</v>
      </c>
      <c r="O254" s="3" t="s">
        <v>47</v>
      </c>
      <c r="P254" s="0"/>
      <c r="Q254" s="3" t="n">
        <f aca="false">_xlfn.IFS(O254="взв",11,O254="накл",24,O254="прокл",25,O254="пт",26,O254=90,10,O254=85,10,O254=80,9,O254=75,8,O254=70,8,O254=65,7,O254=60,7,O254=55,6,O254=50,6,O254=45,6,O254=40,5,O254=35,4,O254=30,4,O254=25,3,O254=20,2,O254=15,1,O254=10,1,O254=0,0)</f>
        <v>25</v>
      </c>
      <c r="R254" s="3" t="n">
        <f aca="false">IF(P254&lt;=1,0,IF(P254&lt;=10,11,IF(P254&lt;=14,12,IF(P254&lt;=17,13,IF(P254&lt;=20,14,IF(P254&lt;=22,15,IF(P254&lt;=25,16,IF(P254&lt;=27,17,IF(P254&lt;=29,18,IF(P254&lt;=32,19,IF(P254&lt;=34,20,IF(P254&lt;=36,21,IF(P254&lt;=40,22,24)))))))))))))</f>
        <v>0</v>
      </c>
      <c r="S254" s="14" t="n">
        <f aca="false">ROUND((Q254+R254+I254+J254+M254+N254)/3,0)</f>
        <v>25</v>
      </c>
      <c r="T254" s="15" t="n">
        <f aca="false">F254*LOG10(S254+2)</f>
        <v>4.29409129247696</v>
      </c>
    </row>
    <row r="255" customFormat="false" ht="14.65" hidden="false" customHeight="true" outlineLevel="0" collapsed="false">
      <c r="A255" s="12" t="s">
        <v>292</v>
      </c>
      <c r="B255" s="16" t="n">
        <v>38895</v>
      </c>
      <c r="C255" s="17" t="s">
        <v>228</v>
      </c>
      <c r="D255" s="4" t="s">
        <v>287</v>
      </c>
      <c r="E255" s="3" t="n">
        <v>2</v>
      </c>
      <c r="F255" s="3" t="n">
        <v>3</v>
      </c>
      <c r="G255" s="3" t="s">
        <v>27</v>
      </c>
      <c r="I255" s="3" t="n">
        <f aca="false">_xlfn.IFS(G255="взв",11,G255="накл",24,G255="прокл",25,G255="пт",26,G255=90,10,G255=85,10,G255=80,9,G255=75,8,G255=70,8,G255=65,7,G255=60,7,G255=55,6,G255=50,6,G255=45,6,G255=40,5,G255=35,4,G255=30,4,G255=25,3,G255=20,2,G255=15,1,G255=10,1,G255=0,0)</f>
        <v>24</v>
      </c>
      <c r="J255" s="3" t="n">
        <f aca="false">IF(H255&lt;=1,0,IF(H255&lt;=10,11,IF(H255&lt;=14,12,IF(H255&lt;=17,13,IF(H255&lt;=20,14,IF(H255&lt;=22,15,IF(H255&lt;=25,16,IF(H255&lt;=27,17,IF(H255&lt;=29,18,IF(H255&lt;=32,19,IF(H255&lt;=34,20,IF(H255&lt;=36,21,IF(H255&lt;=40,22,24)))))))))))))</f>
        <v>0</v>
      </c>
      <c r="K255" s="3" t="s">
        <v>27</v>
      </c>
      <c r="M255" s="3" t="n">
        <f aca="false">_xlfn.IFS(K255="взв",11,K255="накл",24,K255="прокл",25,K255="пт",26,K255=90,10,K255=85,10,K255=80,9,K255=75,8,K255=70,8,K255=65,7,K255=60,7,K255=55,6,K255=50,6,K255=45,6,K255=40,5,K255=35,4,K255=30,4,K255=25,3,K255=20,2,K255=15,1,K255=10,1,K255=0,0)</f>
        <v>24</v>
      </c>
      <c r="N255" s="3" t="n">
        <f aca="false">IF(L255&lt;=1,0,IF(L255&lt;=10,11,IF(L255&lt;=14,12,IF(L255&lt;=17,13,IF(L255&lt;=20,14,IF(L255&lt;=22,15,IF(L255&lt;=25,16,IF(L255&lt;=27,17,IF(L255&lt;=29,18,IF(L255&lt;=32,19,IF(L255&lt;=34,20,IF(L255&lt;=36,21,IF(L255&lt;=40,22,24)))))))))))))</f>
        <v>0</v>
      </c>
      <c r="P255" s="0"/>
      <c r="Q255" s="3" t="n">
        <f aca="false">_xlfn.IFS(O255="взв",11,O255="накл",24,O255="прокл",25,O255="пт",26,O255=90,10,O255=85,10,O255=80,9,O255=75,8,O255=70,8,O255=65,7,O255=60,7,O255=55,6,O255=50,6,O255=45,6,O255=40,5,O255=35,4,O255=30,4,O255=25,3,O255=20,2,O255=15,1,O255=10,1,O255=0,0)</f>
        <v>0</v>
      </c>
      <c r="R255" s="3" t="n">
        <f aca="false">IF(P255&lt;=1,0,IF(P255&lt;=10,11,IF(P255&lt;=14,12,IF(P255&lt;=17,13,IF(P255&lt;=20,14,IF(P255&lt;=22,15,IF(P255&lt;=25,16,IF(P255&lt;=27,17,IF(P255&lt;=29,18,IF(P255&lt;=32,19,IF(P255&lt;=34,20,IF(P255&lt;=36,21,IF(P255&lt;=40,22,24)))))))))))))</f>
        <v>0</v>
      </c>
      <c r="S255" s="14" t="n">
        <v>24</v>
      </c>
      <c r="T255" s="15" t="n">
        <f aca="false">F255*LOG10(S255+2)</f>
        <v>4.24492004391245</v>
      </c>
    </row>
    <row r="256" customFormat="false" ht="14.65" hidden="false" customHeight="true" outlineLevel="0" collapsed="false">
      <c r="A256" s="12" t="s">
        <v>293</v>
      </c>
      <c r="B256" s="16" t="n">
        <v>38889</v>
      </c>
      <c r="C256" s="17" t="s">
        <v>228</v>
      </c>
      <c r="D256" s="4" t="s">
        <v>287</v>
      </c>
      <c r="E256" s="3" t="n">
        <v>6</v>
      </c>
      <c r="F256" s="3" t="n">
        <v>6</v>
      </c>
      <c r="G256" s="3" t="n">
        <v>10</v>
      </c>
      <c r="I256" s="3" t="n">
        <f aca="false">_xlfn.IFS(G256="взв",11,G256="накл",24,G256="прокл",25,G256="пт",26,G256=90,10,G256=85,10,G256=80,9,G256=75,8,G256=70,8,G256=65,7,G256=60,7,G256=55,6,G256=50,6,G256=45,6,G256=40,5,G256=35,4,G256=30,4,G256=25,3,G256=20,2,G256=15,1,G256=10,1,G256=0,0)</f>
        <v>1</v>
      </c>
      <c r="J256" s="3" t="n">
        <f aca="false">IF(H256&lt;=1,0,IF(H256&lt;=10,11,IF(H256&lt;=14,12,IF(H256&lt;=17,13,IF(H256&lt;=20,14,IF(H256&lt;=22,15,IF(H256&lt;=25,16,IF(H256&lt;=27,17,IF(H256&lt;=29,18,IF(H256&lt;=32,19,IF(H256&lt;=34,20,IF(H256&lt;=36,21,IF(H256&lt;=40,22,24)))))))))))))</f>
        <v>0</v>
      </c>
      <c r="K256" s="3" t="n">
        <v>15</v>
      </c>
      <c r="M256" s="3" t="n">
        <f aca="false">_xlfn.IFS(K256="взв",11,K256="накл",24,K256="прокл",25,K256="пт",26,K256=90,10,K256=85,10,K256=80,9,K256=75,8,K256=70,8,K256=65,7,K256=60,7,K256=55,6,K256=50,6,K256=45,6,K256=40,5,K256=35,4,K256=30,4,K256=25,3,K256=20,2,K256=15,1,K256=10,1,K256=0,0)</f>
        <v>1</v>
      </c>
      <c r="N256" s="3" t="n">
        <f aca="false">IF(L256&lt;=1,0,IF(L256&lt;=10,11,IF(L256&lt;=14,12,IF(L256&lt;=17,13,IF(L256&lt;=20,14,IF(L256&lt;=22,15,IF(L256&lt;=25,16,IF(L256&lt;=27,17,IF(L256&lt;=29,18,IF(L256&lt;=32,19,IF(L256&lt;=34,20,IF(L256&lt;=36,21,IF(L256&lt;=40,22,24)))))))))))))</f>
        <v>0</v>
      </c>
      <c r="O256" s="3" t="n">
        <v>15</v>
      </c>
      <c r="Q256" s="3" t="n">
        <f aca="false">_xlfn.IFS(O256="взв",11,O256="накл",24,O256="прокл",25,O256="пт",26,O256=90,10,O256=85,10,O256=80,9,O256=75,8,O256=70,8,O256=65,7,O256=60,7,O256=55,6,O256=50,6,O256=45,6,O256=40,5,O256=35,4,O256=30,4,O256=25,3,O256=20,2,O256=15,1,O256=10,1,O256=0,0)</f>
        <v>1</v>
      </c>
      <c r="R256" s="3" t="n">
        <f aca="false">IF(P256&lt;=1,0,IF(P256&lt;=10,11,IF(P256&lt;=14,12,IF(P256&lt;=17,13,IF(P256&lt;=20,14,IF(P256&lt;=22,15,IF(P256&lt;=25,16,IF(P256&lt;=27,17,IF(P256&lt;=29,18,IF(P256&lt;=32,19,IF(P256&lt;=34,20,IF(P256&lt;=36,21,IF(P256&lt;=40,22,24)))))))))))))</f>
        <v>0</v>
      </c>
      <c r="S256" s="14" t="n">
        <f aca="false">ROUND((Q256+R256+I256+J256+M256+N256)/3,0)</f>
        <v>1</v>
      </c>
      <c r="T256" s="15" t="n">
        <f aca="false">F256*LOG10(S256+2)</f>
        <v>2.86272752831797</v>
      </c>
    </row>
    <row r="257" customFormat="false" ht="14.65" hidden="false" customHeight="true" outlineLevel="0" collapsed="false">
      <c r="A257" s="12" t="s">
        <v>294</v>
      </c>
      <c r="B257" s="16" t="n">
        <v>38895</v>
      </c>
      <c r="C257" s="17" t="s">
        <v>228</v>
      </c>
      <c r="D257" s="4" t="s">
        <v>287</v>
      </c>
      <c r="F257" s="3" t="n">
        <v>7</v>
      </c>
      <c r="H257" s="3" t="n">
        <v>31</v>
      </c>
      <c r="I257" s="3" t="n">
        <f aca="false">_xlfn.IFS(G257="взв",11,G257="накл",24,G257="прокл",25,G257="пт",26,G257=90,10,G257=85,10,G257=80,9,G257=75,8,G257=70,8,G257=65,7,G257=60,7,G257=55,6,G257=50,6,G257=45,6,G257=40,5,G257=35,4,G257=30,4,G257=25,3,G257=20,2,G257=15,1,G257=10,1,G257=0,0)</f>
        <v>0</v>
      </c>
      <c r="J257" s="3" t="n">
        <f aca="false">IF(H257&lt;=1,0,IF(H257&lt;=10,11,IF(H257&lt;=14,12,IF(H257&lt;=17,13,IF(H257&lt;=20,14,IF(H257&lt;=22,15,IF(H257&lt;=25,16,IF(H257&lt;=27,17,IF(H257&lt;=29,18,IF(H257&lt;=32,19,IF(H257&lt;=34,20,IF(H257&lt;=36,21,IF(H257&lt;=40,22,24)))))))))))))</f>
        <v>19</v>
      </c>
      <c r="M257" s="3" t="n">
        <f aca="false">_xlfn.IFS(K257="взв",11,K257="накл",24,K257="прокл",25,K257="пт",26,K257=90,10,K257=85,10,K257=80,9,K257=75,8,K257=70,8,K257=65,7,K257=60,7,K257=55,6,K257=50,6,K257=45,6,K257=40,5,K257=35,4,K257=30,4,K257=25,3,K257=20,2,K257=15,1,K257=10,1,K257=0,0)</f>
        <v>0</v>
      </c>
      <c r="N257" s="3" t="n">
        <f aca="false">IF(L257&lt;=1,0,IF(L257&lt;=10,11,IF(L257&lt;=14,12,IF(L257&lt;=17,13,IF(L257&lt;=20,14,IF(L257&lt;=22,15,IF(L257&lt;=25,16,IF(L257&lt;=27,17,IF(L257&lt;=29,18,IF(L257&lt;=32,19,IF(L257&lt;=34,20,IF(L257&lt;=36,21,IF(L257&lt;=40,22,24)))))))))))))</f>
        <v>0</v>
      </c>
      <c r="P257" s="3" t="n">
        <v>27</v>
      </c>
      <c r="Q257" s="3" t="n">
        <f aca="false">_xlfn.IFS(O257="взв",11,O257="накл",24,O257="прокл",25,O257="пт",26,O257=90,10,O257=85,10,O257=80,9,O257=75,8,O257=70,8,O257=65,7,O257=60,7,O257=55,6,O257=50,6,O257=45,6,O257=40,5,O257=35,4,O257=30,4,O257=25,3,O257=20,2,O257=15,1,O257=10,1,O257=0,0)</f>
        <v>0</v>
      </c>
      <c r="R257" s="3" t="n">
        <f aca="false">IF(P257&lt;=1,0,IF(P257&lt;=10,11,IF(P257&lt;=14,12,IF(P257&lt;=17,13,IF(P257&lt;=20,14,IF(P257&lt;=22,15,IF(P257&lt;=25,16,IF(P257&lt;=27,17,IF(P257&lt;=29,18,IF(P257&lt;=32,19,IF(P257&lt;=34,20,IF(P257&lt;=36,21,IF(P257&lt;=40,22,24)))))))))))))</f>
        <v>17</v>
      </c>
      <c r="S257" s="14" t="n">
        <f aca="false">ROUND((Q257+R257+I257+J257+M257+N257)/2,0)</f>
        <v>18</v>
      </c>
      <c r="T257" s="15" t="n">
        <f aca="false">F257*LOG10(S257+2)</f>
        <v>9.10720996964787</v>
      </c>
    </row>
    <row r="258" customFormat="false" ht="14.65" hidden="false" customHeight="true" outlineLevel="0" collapsed="false">
      <c r="A258" s="12" t="s">
        <v>295</v>
      </c>
      <c r="B258" s="16" t="n">
        <v>38886</v>
      </c>
      <c r="C258" s="3" t="s">
        <v>24</v>
      </c>
      <c r="D258" s="4" t="s">
        <v>296</v>
      </c>
      <c r="E258" s="3" t="n">
        <v>3</v>
      </c>
      <c r="F258" s="3" t="n">
        <v>0</v>
      </c>
      <c r="H258" s="3" t="n">
        <v>29</v>
      </c>
      <c r="I258" s="3" t="n">
        <f aca="false">_xlfn.IFS(G258="взв",11,G258="накл",24,G258="прокл",25,G258="пт",26,G258=90,10,G258=85,10,G258=80,9,G258=75,8,G258=70,8,G258=65,7,G258=60,7,G258=55,6,G258=50,6,G258=45,6,G258=40,5,G258=35,4,G258=30,4,G258=25,3,G258=20,2,G258=15,1,G258=10,1,G258=0,0)</f>
        <v>0</v>
      </c>
      <c r="J258" s="3" t="n">
        <f aca="false">IF(H258&lt;=1,0,IF(H258&lt;=10,11,IF(H258&lt;=14,12,IF(H258&lt;=17,13,IF(H258&lt;=20,14,IF(H258&lt;=22,15,IF(H258&lt;=25,16,IF(H258&lt;=27,17,IF(H258&lt;=29,18,IF(H258&lt;=32,19,IF(H258&lt;=34,20,IF(H258&lt;=36,21,IF(H258&lt;=40,22,24)))))))))))))</f>
        <v>18</v>
      </c>
      <c r="L258" s="3" t="n">
        <v>35</v>
      </c>
      <c r="M258" s="3" t="n">
        <f aca="false">_xlfn.IFS(K258="взв",11,K258="накл",24,K258="прокл",25,K258="пт",26,K258=90,10,K258=85,10,K258=80,9,K258=75,8,K258=70,8,K258=65,7,K258=60,7,K258=55,6,K258=50,6,K258=45,6,K258=40,5,K258=35,4,K258=30,4,K258=25,3,K258=20,2,K258=15,1,K258=10,1,K258=0,0)</f>
        <v>0</v>
      </c>
      <c r="N258" s="3" t="n">
        <f aca="false">IF(L258&lt;=1,0,IF(L258&lt;=10,11,IF(L258&lt;=14,12,IF(L258&lt;=17,13,IF(L258&lt;=20,14,IF(L258&lt;=22,15,IF(L258&lt;=25,16,IF(L258&lt;=27,17,IF(L258&lt;=29,18,IF(L258&lt;=32,19,IF(L258&lt;=34,20,IF(L258&lt;=36,21,IF(L258&lt;=40,22,24)))))))))))))</f>
        <v>21</v>
      </c>
      <c r="P258" s="3" t="n">
        <v>36</v>
      </c>
      <c r="Q258" s="3" t="n">
        <f aca="false">_xlfn.IFS(O258="взв",11,O258="накл",24,O258="прокл",25,O258="пт",26,O258=90,10,O258=85,10,O258=80,9,O258=75,8,O258=70,8,O258=65,7,O258=60,7,O258=55,6,O258=50,6,O258=45,6,O258=40,5,O258=35,4,O258=30,4,O258=25,3,O258=20,2,O258=15,1,O258=10,1,O258=0,0)</f>
        <v>0</v>
      </c>
      <c r="R258" s="3" t="n">
        <f aca="false">IF(P258&lt;=1,0,IF(P258&lt;=10,11,IF(P258&lt;=14,12,IF(P258&lt;=17,13,IF(P258&lt;=20,14,IF(P258&lt;=22,15,IF(P258&lt;=25,16,IF(P258&lt;=27,17,IF(P258&lt;=29,18,IF(P258&lt;=32,19,IF(P258&lt;=34,20,IF(P258&lt;=36,21,IF(P258&lt;=40,22,24)))))))))))))</f>
        <v>21</v>
      </c>
      <c r="S258" s="14" t="n">
        <f aca="false">ROUND((Q258+R258+I258+J258+M258+N258)/3,0)</f>
        <v>20</v>
      </c>
      <c r="T258" s="15" t="n">
        <f aca="false">F258*LOG10(S258+2)</f>
        <v>0</v>
      </c>
    </row>
    <row r="259" customFormat="false" ht="14.65" hidden="false" customHeight="true" outlineLevel="0" collapsed="false">
      <c r="A259" s="12" t="s">
        <v>297</v>
      </c>
      <c r="B259" s="13" t="n">
        <v>38886</v>
      </c>
      <c r="C259" s="3" t="s">
        <v>24</v>
      </c>
      <c r="D259" s="4" t="s">
        <v>296</v>
      </c>
      <c r="E259" s="3" t="n">
        <v>2</v>
      </c>
      <c r="F259" s="3" t="n">
        <v>1</v>
      </c>
      <c r="H259" s="3" t="n">
        <v>27</v>
      </c>
      <c r="I259" s="3" t="n">
        <f aca="false">_xlfn.IFS(G259="взв",11,G259="накл",24,G259="прокл",25,G259="пт",26,G259=90,10,G259=85,10,G259=80,9,G259=75,8,G259=70,8,G259=65,7,G259=60,7,G259=55,6,G259=50,6,G259=45,6,G259=40,5,G259=35,4,G259=30,4,G259=25,3,G259=20,2,G259=15,1,G259=10,1,G259=0,0)</f>
        <v>0</v>
      </c>
      <c r="J259" s="3" t="n">
        <f aca="false">IF(H259&lt;=1,0,IF(H259&lt;=10,11,IF(H259&lt;=14,12,IF(H259&lt;=17,13,IF(H259&lt;=20,14,IF(H259&lt;=22,15,IF(H259&lt;=25,16,IF(H259&lt;=27,17,IF(H259&lt;=29,18,IF(H259&lt;=32,19,IF(H259&lt;=34,20,IF(H259&lt;=36,21,IF(H259&lt;=40,22,24)))))))))))))</f>
        <v>17</v>
      </c>
      <c r="L259" s="3" t="n">
        <v>32</v>
      </c>
      <c r="M259" s="3" t="n">
        <f aca="false">_xlfn.IFS(K259="взв",11,K259="накл",24,K259="прокл",25,K259="пт",26,K259=90,10,K259=85,10,K259=80,9,K259=75,8,K259=70,8,K259=65,7,K259=60,7,K259=55,6,K259=50,6,K259=45,6,K259=40,5,K259=35,4,K259=30,4,K259=25,3,K259=20,2,K259=15,1,K259=10,1,K259=0,0)</f>
        <v>0</v>
      </c>
      <c r="N259" s="3" t="n">
        <f aca="false">IF(L259&lt;=1,0,IF(L259&lt;=10,11,IF(L259&lt;=14,12,IF(L259&lt;=17,13,IF(L259&lt;=20,14,IF(L259&lt;=22,15,IF(L259&lt;=25,16,IF(L259&lt;=27,17,IF(L259&lt;=29,18,IF(L259&lt;=32,19,IF(L259&lt;=34,20,IF(L259&lt;=36,21,IF(L259&lt;=40,22,24)))))))))))))</f>
        <v>19</v>
      </c>
      <c r="Q259" s="3" t="n">
        <f aca="false">_xlfn.IFS(O259="взв",11,O259="накл",24,O259="прокл",25,O259="пт",26,O259=90,10,O259=85,10,O259=80,9,O259=75,8,O259=70,8,O259=65,7,O259=60,7,O259=55,6,O259=50,6,O259=45,6,O259=40,5,O259=35,4,O259=30,4,O259=25,3,O259=20,2,O259=15,1,O259=10,1,O259=0,0)</f>
        <v>0</v>
      </c>
      <c r="R259" s="3" t="n">
        <f aca="false">IF(P259&lt;=1,0,IF(P259&lt;=10,11,IF(P259&lt;=14,12,IF(P259&lt;=17,13,IF(P259&lt;=20,14,IF(P259&lt;=22,15,IF(P259&lt;=25,16,IF(P259&lt;=27,17,IF(P259&lt;=29,18,IF(P259&lt;=32,19,IF(P259&lt;=34,20,IF(P259&lt;=36,21,IF(P259&lt;=40,22,24)))))))))))))</f>
        <v>0</v>
      </c>
      <c r="S259" s="14" t="n">
        <f aca="false">ROUND((Q259+R259+I259+J259+M259+N259)/3,0)</f>
        <v>12</v>
      </c>
      <c r="T259" s="15" t="n">
        <f aca="false">F259*LOG10(S259+2)</f>
        <v>1.14612803567824</v>
      </c>
    </row>
    <row r="260" customFormat="false" ht="14.65" hidden="false" customHeight="true" outlineLevel="0" collapsed="false">
      <c r="A260" s="12" t="s">
        <v>298</v>
      </c>
      <c r="B260" s="13" t="n">
        <v>38886</v>
      </c>
      <c r="C260" s="3" t="s">
        <v>24</v>
      </c>
      <c r="D260" s="4" t="s">
        <v>296</v>
      </c>
      <c r="E260" s="3" t="n">
        <v>3</v>
      </c>
      <c r="F260" s="3" t="n">
        <v>1</v>
      </c>
      <c r="H260" s="3" t="n">
        <v>30</v>
      </c>
      <c r="I260" s="3" t="n">
        <f aca="false">_xlfn.IFS(G260="взв",11,G260="накл",24,G260="прокл",25,G260="пт",26,G260=90,10,G260=85,10,G260=80,9,G260=75,8,G260=70,8,G260=65,7,G260=60,7,G260=55,6,G260=50,6,G260=45,6,G260=40,5,G260=35,4,G260=30,4,G260=25,3,G260=20,2,G260=15,1,G260=10,1,G260=0,0)</f>
        <v>0</v>
      </c>
      <c r="J260" s="3" t="n">
        <f aca="false">IF(H260&lt;=1,0,IF(H260&lt;=10,11,IF(H260&lt;=14,12,IF(H260&lt;=17,13,IF(H260&lt;=20,14,IF(H260&lt;=22,15,IF(H260&lt;=25,16,IF(H260&lt;=27,17,IF(H260&lt;=29,18,IF(H260&lt;=32,19,IF(H260&lt;=34,20,IF(H260&lt;=36,21,IF(H260&lt;=40,22,24)))))))))))))</f>
        <v>19</v>
      </c>
      <c r="L260" s="3" t="n">
        <v>30</v>
      </c>
      <c r="M260" s="3" t="n">
        <f aca="false">_xlfn.IFS(K260="взв",11,K260="накл",24,K260="прокл",25,K260="пт",26,K260=90,10,K260=85,10,K260=80,9,K260=75,8,K260=70,8,K260=65,7,K260=60,7,K260=55,6,K260=50,6,K260=45,6,K260=40,5,K260=35,4,K260=30,4,K260=25,3,K260=20,2,K260=15,1,K260=10,1,K260=0,0)</f>
        <v>0</v>
      </c>
      <c r="N260" s="3" t="n">
        <f aca="false">IF(L260&lt;=1,0,IF(L260&lt;=10,11,IF(L260&lt;=14,12,IF(L260&lt;=17,13,IF(L260&lt;=20,14,IF(L260&lt;=22,15,IF(L260&lt;=25,16,IF(L260&lt;=27,17,IF(L260&lt;=29,18,IF(L260&lt;=32,19,IF(L260&lt;=34,20,IF(L260&lt;=36,21,IF(L260&lt;=40,22,24)))))))))))))</f>
        <v>19</v>
      </c>
      <c r="P260" s="3" t="n">
        <v>29</v>
      </c>
      <c r="Q260" s="3" t="n">
        <f aca="false">_xlfn.IFS(O260="взв",11,O260="накл",24,O260="прокл",25,O260="пт",26,O260=90,10,O260=85,10,O260=80,9,O260=75,8,O260=70,8,O260=65,7,O260=60,7,O260=55,6,O260=50,6,O260=45,6,O260=40,5,O260=35,4,O260=30,4,O260=25,3,O260=20,2,O260=15,1,O260=10,1,O260=0,0)</f>
        <v>0</v>
      </c>
      <c r="R260" s="3" t="n">
        <f aca="false">IF(P260&lt;=1,0,IF(P260&lt;=10,11,IF(P260&lt;=14,12,IF(P260&lt;=17,13,IF(P260&lt;=20,14,IF(P260&lt;=22,15,IF(P260&lt;=25,16,IF(P260&lt;=27,17,IF(P260&lt;=29,18,IF(P260&lt;=32,19,IF(P260&lt;=34,20,IF(P260&lt;=36,21,IF(P260&lt;=40,22,24)))))))))))))</f>
        <v>18</v>
      </c>
      <c r="S260" s="14" t="n">
        <f aca="false">ROUND((Q260+R260+I260+J260+M260+N260)/3,0)</f>
        <v>19</v>
      </c>
      <c r="T260" s="15" t="n">
        <f aca="false">F260*LOG10(S260+2)</f>
        <v>1.32221929473392</v>
      </c>
    </row>
    <row r="261" customFormat="false" ht="14.65" hidden="false" customHeight="true" outlineLevel="0" collapsed="false">
      <c r="A261" s="12" t="s">
        <v>299</v>
      </c>
      <c r="B261" s="13" t="n">
        <v>38886</v>
      </c>
      <c r="C261" s="3" t="s">
        <v>24</v>
      </c>
      <c r="D261" s="4" t="s">
        <v>296</v>
      </c>
      <c r="E261" s="3" t="n">
        <v>5</v>
      </c>
      <c r="F261" s="3" t="n">
        <v>2</v>
      </c>
      <c r="G261" s="3" t="s">
        <v>47</v>
      </c>
      <c r="H261" s="0"/>
      <c r="I261" s="3" t="n">
        <f aca="false">_xlfn.IFS(G261="взв",11,G261="накл",24,G261="прокл",25,G261="пт",26,G261=90,10,G261=85,10,G261=80,9,G261=75,8,G261=70,8,G261=65,7,G261=60,7,G261=55,6,G261=50,6,G261=45,6,G261=40,5,G261=35,4,G261=30,4,G261=25,3,G261=20,2,G261=15,1,G261=10,1,G261=0,0)</f>
        <v>25</v>
      </c>
      <c r="J261" s="3" t="n">
        <f aca="false">IF(H261&lt;=1,0,IF(H261&lt;=10,11,IF(H261&lt;=14,12,IF(H261&lt;=17,13,IF(H261&lt;=20,14,IF(H261&lt;=22,15,IF(H261&lt;=25,16,IF(H261&lt;=27,17,IF(H261&lt;=29,18,IF(H261&lt;=32,19,IF(H261&lt;=34,20,IF(H261&lt;=36,21,IF(H261&lt;=40,22,24)))))))))))))</f>
        <v>0</v>
      </c>
      <c r="M261" s="3" t="n">
        <f aca="false">_xlfn.IFS(K261="взв",11,K261="накл",24,K261="прокл",25,K261="пт",26,K261=90,10,K261=85,10,K261=80,9,K261=75,8,K261=70,8,K261=65,7,K261=60,7,K261=55,6,K261=50,6,K261=45,6,K261=40,5,K261=35,4,K261=30,4,K261=25,3,K261=20,2,K261=15,1,K261=10,1,K261=0,0)</f>
        <v>0</v>
      </c>
      <c r="N261" s="3" t="n">
        <f aca="false">IF(L261&lt;=1,0,IF(L261&lt;=10,11,IF(L261&lt;=14,12,IF(L261&lt;=17,13,IF(L261&lt;=20,14,IF(L261&lt;=22,15,IF(L261&lt;=25,16,IF(L261&lt;=27,17,IF(L261&lt;=29,18,IF(L261&lt;=32,19,IF(L261&lt;=34,20,IF(L261&lt;=36,21,IF(L261&lt;=40,22,24)))))))))))))</f>
        <v>0</v>
      </c>
      <c r="Q261" s="3" t="n">
        <f aca="false">_xlfn.IFS(O261="взв",11,O261="накл",24,O261="прокл",25,O261="пт",26,O261=90,10,O261=85,10,O261=80,9,O261=75,8,O261=70,8,O261=65,7,O261=60,7,O261=55,6,O261=50,6,O261=45,6,O261=40,5,O261=35,4,O261=30,4,O261=25,3,O261=20,2,O261=15,1,O261=10,1,O261=0,0)</f>
        <v>0</v>
      </c>
      <c r="R261" s="3" t="n">
        <f aca="false">IF(P261&lt;=1,0,IF(P261&lt;=10,11,IF(P261&lt;=14,12,IF(P261&lt;=17,13,IF(P261&lt;=20,14,IF(P261&lt;=22,15,IF(P261&lt;=25,16,IF(P261&lt;=27,17,IF(P261&lt;=29,18,IF(P261&lt;=32,19,IF(P261&lt;=34,20,IF(P261&lt;=36,21,IF(P261&lt;=40,22,24)))))))))))))</f>
        <v>0</v>
      </c>
      <c r="S261" s="14" t="n">
        <v>25</v>
      </c>
      <c r="T261" s="15" t="n">
        <f aca="false">F261*LOG10(S261+2)</f>
        <v>2.86272752831797</v>
      </c>
    </row>
    <row r="262" customFormat="false" ht="14.65" hidden="false" customHeight="true" outlineLevel="0" collapsed="false">
      <c r="A262" s="12" t="s">
        <v>300</v>
      </c>
      <c r="B262" s="13" t="n">
        <v>38886</v>
      </c>
      <c r="C262" s="3" t="s">
        <v>24</v>
      </c>
      <c r="D262" s="4" t="s">
        <v>296</v>
      </c>
      <c r="E262" s="3" t="n">
        <v>3</v>
      </c>
      <c r="F262" s="3" t="n">
        <v>2</v>
      </c>
      <c r="G262" s="3" t="n">
        <v>75</v>
      </c>
      <c r="I262" s="3" t="n">
        <f aca="false">_xlfn.IFS(G262="взв",11,G262="накл",24,G262="прокл",25,G262="пт",26,G262=90,10,G262=85,10,G262=80,9,G262=75,8,G262=70,8,G262=65,7,G262=60,7,G262=55,6,G262=50,6,G262=45,6,G262=40,5,G262=35,4,G262=30,4,G262=25,3,G262=20,2,G262=15,1,G262=10,1,G262=0,0)</f>
        <v>8</v>
      </c>
      <c r="J262" s="3" t="n">
        <f aca="false">IF(H262&lt;=1,0,IF(H262&lt;=10,11,IF(H262&lt;=14,12,IF(H262&lt;=17,13,IF(H262&lt;=20,14,IF(H262&lt;=22,15,IF(H262&lt;=25,16,IF(H262&lt;=27,17,IF(H262&lt;=29,18,IF(H262&lt;=32,19,IF(H262&lt;=34,20,IF(H262&lt;=36,21,IF(H262&lt;=40,22,24)))))))))))))</f>
        <v>0</v>
      </c>
      <c r="K262" s="3" t="n">
        <v>75</v>
      </c>
      <c r="M262" s="3" t="n">
        <f aca="false">_xlfn.IFS(K262="взв",11,K262="накл",24,K262="прокл",25,K262="пт",26,K262=90,10,K262=85,10,K262=80,9,K262=75,8,K262=70,8,K262=65,7,K262=60,7,K262=55,6,K262=50,6,K262=45,6,K262=40,5,K262=35,4,K262=30,4,K262=25,3,K262=20,2,K262=15,1,K262=10,1,K262=0,0)</f>
        <v>8</v>
      </c>
      <c r="N262" s="3" t="n">
        <f aca="false">IF(L262&lt;=1,0,IF(L262&lt;=10,11,IF(L262&lt;=14,12,IF(L262&lt;=17,13,IF(L262&lt;=20,14,IF(L262&lt;=22,15,IF(L262&lt;=25,16,IF(L262&lt;=27,17,IF(L262&lt;=29,18,IF(L262&lt;=32,19,IF(L262&lt;=34,20,IF(L262&lt;=36,21,IF(L262&lt;=40,22,24)))))))))))))</f>
        <v>0</v>
      </c>
      <c r="O262" s="3" t="n">
        <v>90</v>
      </c>
      <c r="Q262" s="3" t="n">
        <f aca="false">_xlfn.IFS(O262="взв",11,O262="накл",24,O262="прокл",25,O262="пт",26,O262=90,10,O262=85,10,O262=80,9,O262=75,8,O262=70,8,O262=65,7,O262=60,7,O262=55,6,O262=50,6,O262=45,6,O262=40,5,O262=35,4,O262=30,4,O262=25,3,O262=20,2,O262=15,1,O262=10,1,O262=0,0)</f>
        <v>10</v>
      </c>
      <c r="R262" s="3" t="n">
        <f aca="false">IF(P262&lt;=1,0,IF(P262&lt;=10,11,IF(P262&lt;=14,12,IF(P262&lt;=17,13,IF(P262&lt;=20,14,IF(P262&lt;=22,15,IF(P262&lt;=25,16,IF(P262&lt;=27,17,IF(P262&lt;=29,18,IF(P262&lt;=32,19,IF(P262&lt;=34,20,IF(P262&lt;=36,21,IF(P262&lt;=40,22,24)))))))))))))</f>
        <v>0</v>
      </c>
      <c r="S262" s="14" t="n">
        <f aca="false">ROUND((Q262+R262+I262+J262+M262+N262)/3,0)</f>
        <v>9</v>
      </c>
      <c r="T262" s="15" t="n">
        <f aca="false">F262*LOG10(S262+2)</f>
        <v>2.08278537031645</v>
      </c>
    </row>
    <row r="263" customFormat="false" ht="14.65" hidden="false" customHeight="true" outlineLevel="0" collapsed="false">
      <c r="A263" s="12" t="s">
        <v>301</v>
      </c>
      <c r="B263" s="13" t="n">
        <v>38886</v>
      </c>
      <c r="C263" s="3" t="s">
        <v>24</v>
      </c>
      <c r="D263" s="4" t="s">
        <v>296</v>
      </c>
      <c r="E263" s="3" t="n">
        <v>5</v>
      </c>
      <c r="F263" s="3" t="n">
        <v>2</v>
      </c>
      <c r="G263" s="3" t="n">
        <v>90</v>
      </c>
      <c r="I263" s="3" t="n">
        <f aca="false">_xlfn.IFS(G263="взв",11,G263="накл",24,G263="прокл",25,G263="пт",26,G263=90,10,G263=85,10,G263=80,9,G263=75,8,G263=70,8,G263=65,7,G263=60,7,G263=55,6,G263=50,6,G263=45,6,G263=40,5,G263=35,4,G263=30,4,G263=25,3,G263=20,2,G263=15,1,G263=10,1,G263=0,0)</f>
        <v>10</v>
      </c>
      <c r="J263" s="3" t="n">
        <f aca="false">IF(H263&lt;=1,0,IF(H263&lt;=10,11,IF(H263&lt;=14,12,IF(H263&lt;=17,13,IF(H263&lt;=20,14,IF(H263&lt;=22,15,IF(H263&lt;=25,16,IF(H263&lt;=27,17,IF(H263&lt;=29,18,IF(H263&lt;=32,19,IF(H263&lt;=34,20,IF(H263&lt;=36,21,IF(H263&lt;=40,22,24)))))))))))))</f>
        <v>0</v>
      </c>
      <c r="K263" s="3" t="n">
        <v>90</v>
      </c>
      <c r="M263" s="3" t="n">
        <f aca="false">_xlfn.IFS(K263="взв",11,K263="накл",24,K263="прокл",25,K263="пт",26,K263=90,10,K263=85,10,K263=80,9,K263=75,8,K263=70,8,K263=65,7,K263=60,7,K263=55,6,K263=50,6,K263=45,6,K263=40,5,K263=35,4,K263=30,4,K263=25,3,K263=20,2,K263=15,1,K263=10,1,K263=0,0)</f>
        <v>10</v>
      </c>
      <c r="N263" s="3" t="n">
        <f aca="false">IF(L263&lt;=1,0,IF(L263&lt;=10,11,IF(L263&lt;=14,12,IF(L263&lt;=17,13,IF(L263&lt;=20,14,IF(L263&lt;=22,15,IF(L263&lt;=25,16,IF(L263&lt;=27,17,IF(L263&lt;=29,18,IF(L263&lt;=32,19,IF(L263&lt;=34,20,IF(L263&lt;=36,21,IF(L263&lt;=40,22,24)))))))))))))</f>
        <v>0</v>
      </c>
      <c r="O263" s="3" t="s">
        <v>50</v>
      </c>
      <c r="Q263" s="3" t="n">
        <f aca="false">_xlfn.IFS(O263="взв",11,O263="накл",24,O263="прокл",25,O263="пт",26,O263=90,10,O263=85,10,O263=80,9,O263=75,8,O263=70,8,O263=65,7,O263=60,7,O263=55,6,O263=50,6,O263=45,6,O263=40,5,O263=35,4,O263=30,4,O263=25,3,O263=20,2,O263=15,1,O263=10,1,O263=0,0)</f>
        <v>11</v>
      </c>
      <c r="R263" s="3" t="n">
        <f aca="false">IF(P263&lt;=1,0,IF(P263&lt;=10,11,IF(P263&lt;=14,12,IF(P263&lt;=17,13,IF(P263&lt;=20,14,IF(P263&lt;=22,15,IF(P263&lt;=25,16,IF(P263&lt;=27,17,IF(P263&lt;=29,18,IF(P263&lt;=32,19,IF(P263&lt;=34,20,IF(P263&lt;=36,21,IF(P263&lt;=40,22,24)))))))))))))</f>
        <v>0</v>
      </c>
      <c r="S263" s="14" t="n">
        <f aca="false">ROUND((Q263+R263+I263+J263+M263+N263)/3,0)</f>
        <v>10</v>
      </c>
      <c r="T263" s="15" t="n">
        <f aca="false">F263*LOG10(S263+2)</f>
        <v>2.15836249209525</v>
      </c>
    </row>
    <row r="264" customFormat="false" ht="14.65" hidden="false" customHeight="true" outlineLevel="0" collapsed="false">
      <c r="A264" s="12" t="s">
        <v>302</v>
      </c>
      <c r="B264" s="13" t="n">
        <v>38886</v>
      </c>
      <c r="C264" s="3" t="s">
        <v>24</v>
      </c>
      <c r="D264" s="4" t="s">
        <v>296</v>
      </c>
      <c r="E264" s="3" t="n">
        <v>3</v>
      </c>
      <c r="F264" s="3" t="n">
        <v>3</v>
      </c>
      <c r="H264" s="3" t="n">
        <v>38</v>
      </c>
      <c r="I264" s="3" t="n">
        <f aca="false">_xlfn.IFS(G264="взв",11,G264="накл",24,G264="прокл",25,G264="пт",26,G264=90,10,G264=85,10,G264=80,9,G264=75,8,G264=70,8,G264=65,7,G264=60,7,G264=55,6,G264=50,6,G264=45,6,G264=40,5,G264=35,4,G264=30,4,G264=25,3,G264=20,2,G264=15,1,G264=10,1,G264=0,0)</f>
        <v>0</v>
      </c>
      <c r="J264" s="3" t="n">
        <f aca="false">IF(H264&lt;=1,0,IF(H264&lt;=10,11,IF(H264&lt;=14,12,IF(H264&lt;=17,13,IF(H264&lt;=20,14,IF(H264&lt;=22,15,IF(H264&lt;=25,16,IF(H264&lt;=27,17,IF(H264&lt;=29,18,IF(H264&lt;=32,19,IF(H264&lt;=34,20,IF(H264&lt;=36,21,IF(H264&lt;=40,22,24)))))))))))))</f>
        <v>22</v>
      </c>
      <c r="L264" s="3" t="n">
        <v>39</v>
      </c>
      <c r="M264" s="3" t="n">
        <f aca="false">_xlfn.IFS(K264="взв",11,K264="накл",24,K264="прокл",25,K264="пт",26,K264=90,10,K264=85,10,K264=80,9,K264=75,8,K264=70,8,K264=65,7,K264=60,7,K264=55,6,K264=50,6,K264=45,6,K264=40,5,K264=35,4,K264=30,4,K264=25,3,K264=20,2,K264=15,1,K264=10,1,K264=0,0)</f>
        <v>0</v>
      </c>
      <c r="N264" s="3" t="n">
        <f aca="false">IF(L264&lt;=1,0,IF(L264&lt;=10,11,IF(L264&lt;=14,12,IF(L264&lt;=17,13,IF(L264&lt;=20,14,IF(L264&lt;=22,15,IF(L264&lt;=25,16,IF(L264&lt;=27,17,IF(L264&lt;=29,18,IF(L264&lt;=32,19,IF(L264&lt;=34,20,IF(L264&lt;=36,21,IF(L264&lt;=40,22,24)))))))))))))</f>
        <v>22</v>
      </c>
      <c r="P264" s="3" t="n">
        <v>40</v>
      </c>
      <c r="Q264" s="3" t="n">
        <f aca="false">_xlfn.IFS(O264="взв",11,O264="накл",24,O264="прокл",25,O264="пт",26,O264=90,10,O264=85,10,O264=80,9,O264=75,8,O264=70,8,O264=65,7,O264=60,7,O264=55,6,O264=50,6,O264=45,6,O264=40,5,O264=35,4,O264=30,4,O264=25,3,O264=20,2,O264=15,1,O264=10,1,O264=0,0)</f>
        <v>0</v>
      </c>
      <c r="R264" s="3" t="n">
        <f aca="false">IF(P264&lt;=1,0,IF(P264&lt;=10,11,IF(P264&lt;=14,12,IF(P264&lt;=17,13,IF(P264&lt;=20,14,IF(P264&lt;=22,15,IF(P264&lt;=25,16,IF(P264&lt;=27,17,IF(P264&lt;=29,18,IF(P264&lt;=32,19,IF(P264&lt;=34,20,IF(P264&lt;=36,21,IF(P264&lt;=40,22,24)))))))))))))</f>
        <v>22</v>
      </c>
      <c r="S264" s="14" t="n">
        <f aca="false">ROUND((Q264+R264+I264+J264+M264+N264)/3,0)</f>
        <v>22</v>
      </c>
      <c r="T264" s="15" t="n">
        <f aca="false">F264*LOG10(S264+2)</f>
        <v>4.14063372513482</v>
      </c>
    </row>
    <row r="265" customFormat="false" ht="14.65" hidden="false" customHeight="true" outlineLevel="0" collapsed="false">
      <c r="A265" s="12" t="s">
        <v>303</v>
      </c>
      <c r="B265" s="13" t="n">
        <v>38886</v>
      </c>
      <c r="C265" s="3" t="s">
        <v>24</v>
      </c>
      <c r="D265" s="4" t="s">
        <v>296</v>
      </c>
      <c r="E265" s="3" t="n">
        <v>4</v>
      </c>
      <c r="F265" s="3" t="n">
        <v>3</v>
      </c>
      <c r="G265" s="3" t="n">
        <v>90</v>
      </c>
      <c r="I265" s="3" t="n">
        <f aca="false">_xlfn.IFS(G265="взв",11,G265="накл",24,G265="прокл",25,G265="пт",26,G265=90,10,G265=85,10,G265=80,9,G265=75,8,G265=70,8,G265=65,7,G265=60,7,G265=55,6,G265=50,6,G265=45,6,G265=40,5,G265=35,4,G265=30,4,G265=25,3,G265=20,2,G265=15,1,G265=10,1,G265=0,0)</f>
        <v>10</v>
      </c>
      <c r="J265" s="3" t="n">
        <f aca="false">IF(H265&lt;=1,0,IF(H265&lt;=10,11,IF(H265&lt;=14,12,IF(H265&lt;=17,13,IF(H265&lt;=20,14,IF(H265&lt;=22,15,IF(H265&lt;=25,16,IF(H265&lt;=27,17,IF(H265&lt;=29,18,IF(H265&lt;=32,19,IF(H265&lt;=34,20,IF(H265&lt;=36,21,IF(H265&lt;=40,22,24)))))))))))))</f>
        <v>0</v>
      </c>
      <c r="K265" s="3" t="n">
        <v>90</v>
      </c>
      <c r="M265" s="3" t="n">
        <f aca="false">_xlfn.IFS(K265="взв",11,K265="накл",24,K265="прокл",25,K265="пт",26,K265=90,10,K265=85,10,K265=80,9,K265=75,8,K265=70,8,K265=65,7,K265=60,7,K265=55,6,K265=50,6,K265=45,6,K265=40,5,K265=35,4,K265=30,4,K265=25,3,K265=20,2,K265=15,1,K265=10,1,K265=0,0)</f>
        <v>10</v>
      </c>
      <c r="N265" s="3" t="n">
        <f aca="false">IF(L265&lt;=1,0,IF(L265&lt;=10,11,IF(L265&lt;=14,12,IF(L265&lt;=17,13,IF(L265&lt;=20,14,IF(L265&lt;=22,15,IF(L265&lt;=25,16,IF(L265&lt;=27,17,IF(L265&lt;=29,18,IF(L265&lt;=32,19,IF(L265&lt;=34,20,IF(L265&lt;=36,21,IF(L265&lt;=40,22,24)))))))))))))</f>
        <v>0</v>
      </c>
      <c r="O265" s="3" t="n">
        <v>90</v>
      </c>
      <c r="Q265" s="3" t="n">
        <f aca="false">_xlfn.IFS(O265="взв",11,O265="накл",24,O265="прокл",25,O265="пт",26,O265=90,10,O265=85,10,O265=80,9,O265=75,8,O265=70,8,O265=65,7,O265=60,7,O265=55,6,O265=50,6,O265=45,6,O265=40,5,O265=35,4,O265=30,4,O265=25,3,O265=20,2,O265=15,1,O265=10,1,O265=0,0)</f>
        <v>10</v>
      </c>
      <c r="R265" s="3" t="n">
        <f aca="false">IF(P265&lt;=1,0,IF(P265&lt;=10,11,IF(P265&lt;=14,12,IF(P265&lt;=17,13,IF(P265&lt;=20,14,IF(P265&lt;=22,15,IF(P265&lt;=25,16,IF(P265&lt;=27,17,IF(P265&lt;=29,18,IF(P265&lt;=32,19,IF(P265&lt;=34,20,IF(P265&lt;=36,21,IF(P265&lt;=40,22,24)))))))))))))</f>
        <v>0</v>
      </c>
      <c r="S265" s="14" t="n">
        <f aca="false">ROUND((Q265+R265+I265+J265+M265+N265)/3,0)</f>
        <v>10</v>
      </c>
      <c r="T265" s="15" t="n">
        <f aca="false">F265*LOG10(S265+2)</f>
        <v>3.23754373814287</v>
      </c>
    </row>
    <row r="266" customFormat="false" ht="14.65" hidden="false" customHeight="true" outlineLevel="0" collapsed="false">
      <c r="A266" s="12" t="s">
        <v>304</v>
      </c>
      <c r="B266" s="13" t="n">
        <v>38886</v>
      </c>
      <c r="C266" s="3" t="s">
        <v>24</v>
      </c>
      <c r="D266" s="4" t="s">
        <v>296</v>
      </c>
      <c r="E266" s="3" t="n">
        <v>4</v>
      </c>
      <c r="F266" s="3" t="n">
        <v>3</v>
      </c>
      <c r="H266" s="3" t="n">
        <v>33</v>
      </c>
      <c r="I266" s="3" t="n">
        <f aca="false">_xlfn.IFS(G266="взв",11,G266="накл",24,G266="прокл",25,G266="пт",26,G266=90,10,G266=85,10,G266=80,9,G266=75,8,G266=70,8,G266=65,7,G266=60,7,G266=55,6,G266=50,6,G266=45,6,G266=40,5,G266=35,4,G266=30,4,G266=25,3,G266=20,2,G266=15,1,G266=10,1,G266=0,0)</f>
        <v>0</v>
      </c>
      <c r="J266" s="3" t="n">
        <f aca="false">IF(H266&lt;=1,0,IF(H266&lt;=10,11,IF(H266&lt;=14,12,IF(H266&lt;=17,13,IF(H266&lt;=20,14,IF(H266&lt;=22,15,IF(H266&lt;=25,16,IF(H266&lt;=27,17,IF(H266&lt;=29,18,IF(H266&lt;=32,19,IF(H266&lt;=34,20,IF(H266&lt;=36,21,IF(H266&lt;=40,22,24)))))))))))))</f>
        <v>20</v>
      </c>
      <c r="L266" s="3" t="n">
        <v>34</v>
      </c>
      <c r="M266" s="3" t="n">
        <f aca="false">_xlfn.IFS(K266="взв",11,K266="накл",24,K266="прокл",25,K266="пт",26,K266=90,10,K266=85,10,K266=80,9,K266=75,8,K266=70,8,K266=65,7,K266=60,7,K266=55,6,K266=50,6,K266=45,6,K266=40,5,K266=35,4,K266=30,4,K266=25,3,K266=20,2,K266=15,1,K266=10,1,K266=0,0)</f>
        <v>0</v>
      </c>
      <c r="N266" s="3" t="n">
        <f aca="false">IF(L266&lt;=1,0,IF(L266&lt;=10,11,IF(L266&lt;=14,12,IF(L266&lt;=17,13,IF(L266&lt;=20,14,IF(L266&lt;=22,15,IF(L266&lt;=25,16,IF(L266&lt;=27,17,IF(L266&lt;=29,18,IF(L266&lt;=32,19,IF(L266&lt;=34,20,IF(L266&lt;=36,21,IF(L266&lt;=40,22,24)))))))))))))</f>
        <v>20</v>
      </c>
      <c r="P266" s="3" t="n">
        <v>30</v>
      </c>
      <c r="Q266" s="3" t="n">
        <f aca="false">_xlfn.IFS(O266="взв",11,O266="накл",24,O266="прокл",25,O266="пт",26,O266=90,10,O266=85,10,O266=80,9,O266=75,8,O266=70,8,O266=65,7,O266=60,7,O266=55,6,O266=50,6,O266=45,6,O266=40,5,O266=35,4,O266=30,4,O266=25,3,O266=20,2,O266=15,1,O266=10,1,O266=0,0)</f>
        <v>0</v>
      </c>
      <c r="R266" s="3" t="n">
        <f aca="false">IF(P266&lt;=1,0,IF(P266&lt;=10,11,IF(P266&lt;=14,12,IF(P266&lt;=17,13,IF(P266&lt;=20,14,IF(P266&lt;=22,15,IF(P266&lt;=25,16,IF(P266&lt;=27,17,IF(P266&lt;=29,18,IF(P266&lt;=32,19,IF(P266&lt;=34,20,IF(P266&lt;=36,21,IF(P266&lt;=40,22,24)))))))))))))</f>
        <v>19</v>
      </c>
      <c r="S266" s="14" t="n">
        <f aca="false">ROUND((Q266+R266+I266+J266+M266+N266)/3,0)</f>
        <v>20</v>
      </c>
      <c r="T266" s="15" t="n">
        <f aca="false">F266*LOG10(S266+2)</f>
        <v>4.02726804246662</v>
      </c>
    </row>
    <row r="267" customFormat="false" ht="14.65" hidden="false" customHeight="true" outlineLevel="0" collapsed="false">
      <c r="A267" s="12" t="s">
        <v>305</v>
      </c>
      <c r="B267" s="13" t="n">
        <v>38886</v>
      </c>
      <c r="C267" s="3" t="s">
        <v>24</v>
      </c>
      <c r="D267" s="4" t="s">
        <v>296</v>
      </c>
      <c r="E267" s="3" t="n">
        <v>2</v>
      </c>
      <c r="F267" s="3" t="n">
        <v>3</v>
      </c>
      <c r="H267" s="3" t="n">
        <v>27</v>
      </c>
      <c r="I267" s="3" t="n">
        <f aca="false">_xlfn.IFS(G267="взв",11,G267="накл",24,G267="прокл",25,G267="пт",26,G267=90,10,G267=85,10,G267=80,9,G267=75,8,G267=70,8,G267=65,7,G267=60,7,G267=55,6,G267=50,6,G267=45,6,G267=40,5,G267=35,4,G267=30,4,G267=25,3,G267=20,2,G267=15,1,G267=10,1,G267=0,0)</f>
        <v>0</v>
      </c>
      <c r="J267" s="3" t="n">
        <f aca="false">IF(H267&lt;=1,0,IF(H267&lt;=10,11,IF(H267&lt;=14,12,IF(H267&lt;=17,13,IF(H267&lt;=20,14,IF(H267&lt;=22,15,IF(H267&lt;=25,16,IF(H267&lt;=27,17,IF(H267&lt;=29,18,IF(H267&lt;=32,19,IF(H267&lt;=34,20,IF(H267&lt;=36,21,IF(H267&lt;=40,22,24)))))))))))))</f>
        <v>17</v>
      </c>
      <c r="L267" s="3" t="n">
        <v>32</v>
      </c>
      <c r="M267" s="3" t="n">
        <f aca="false">_xlfn.IFS(K267="взв",11,K267="накл",24,K267="прокл",25,K267="пт",26,K267=90,10,K267=85,10,K267=80,9,K267=75,8,K267=70,8,K267=65,7,K267=60,7,K267=55,6,K267=50,6,K267=45,6,K267=40,5,K267=35,4,K267=30,4,K267=25,3,K267=20,2,K267=15,1,K267=10,1,K267=0,0)</f>
        <v>0</v>
      </c>
      <c r="N267" s="3" t="n">
        <f aca="false">IF(L267&lt;=1,0,IF(L267&lt;=10,11,IF(L267&lt;=14,12,IF(L267&lt;=17,13,IF(L267&lt;=20,14,IF(L267&lt;=22,15,IF(L267&lt;=25,16,IF(L267&lt;=27,17,IF(L267&lt;=29,18,IF(L267&lt;=32,19,IF(L267&lt;=34,20,IF(L267&lt;=36,21,IF(L267&lt;=40,22,24)))))))))))))</f>
        <v>19</v>
      </c>
      <c r="Q267" s="3" t="n">
        <f aca="false">_xlfn.IFS(O267="взв",11,O267="накл",24,O267="прокл",25,O267="пт",26,O267=90,10,O267=85,10,O267=80,9,O267=75,8,O267=70,8,O267=65,7,O267=60,7,O267=55,6,O267=50,6,O267=45,6,O267=40,5,O267=35,4,O267=30,4,O267=25,3,O267=20,2,O267=15,1,O267=10,1,O267=0,0)</f>
        <v>0</v>
      </c>
      <c r="R267" s="3" t="n">
        <f aca="false">IF(P267&lt;=1,0,IF(P267&lt;=10,11,IF(P267&lt;=14,12,IF(P267&lt;=17,13,IF(P267&lt;=20,14,IF(P267&lt;=22,15,IF(P267&lt;=25,16,IF(P267&lt;=27,17,IF(P267&lt;=29,18,IF(P267&lt;=32,19,IF(P267&lt;=34,20,IF(P267&lt;=36,21,IF(P267&lt;=40,22,24)))))))))))))</f>
        <v>0</v>
      </c>
      <c r="S267" s="14" t="n">
        <f aca="false">ROUND((Q267+R267+I267+J267+M267+N267)/3,0)</f>
        <v>12</v>
      </c>
      <c r="T267" s="15" t="n">
        <f aca="false">F267*LOG10(S267+2)</f>
        <v>3.43838410703471</v>
      </c>
    </row>
    <row r="268" customFormat="false" ht="14.65" hidden="false" customHeight="true" outlineLevel="0" collapsed="false">
      <c r="A268" s="12" t="s">
        <v>306</v>
      </c>
      <c r="B268" s="13" t="n">
        <v>38886</v>
      </c>
      <c r="C268" s="3" t="s">
        <v>24</v>
      </c>
      <c r="D268" s="4" t="s">
        <v>296</v>
      </c>
      <c r="E268" s="3" t="n">
        <v>4</v>
      </c>
      <c r="F268" s="3" t="n">
        <v>3</v>
      </c>
      <c r="H268" s="3" t="n">
        <v>30</v>
      </c>
      <c r="I268" s="3" t="n">
        <f aca="false">_xlfn.IFS(G268="взв",11,G268="накл",24,G268="прокл",25,G268="пт",26,G268=90,10,G268=85,10,G268=80,9,G268=75,8,G268=70,8,G268=65,7,G268=60,7,G268=55,6,G268=50,6,G268=45,6,G268=40,5,G268=35,4,G268=30,4,G268=25,3,G268=20,2,G268=15,1,G268=10,1,G268=0,0)</f>
        <v>0</v>
      </c>
      <c r="J268" s="3" t="n">
        <f aca="false">IF(H268&lt;=1,0,IF(H268&lt;=10,11,IF(H268&lt;=14,12,IF(H268&lt;=17,13,IF(H268&lt;=20,14,IF(H268&lt;=22,15,IF(H268&lt;=25,16,IF(H268&lt;=27,17,IF(H268&lt;=29,18,IF(H268&lt;=32,19,IF(H268&lt;=34,20,IF(H268&lt;=36,21,IF(H268&lt;=40,22,24)))))))))))))</f>
        <v>19</v>
      </c>
      <c r="L268" s="3" t="n">
        <v>32</v>
      </c>
      <c r="M268" s="3" t="n">
        <f aca="false">_xlfn.IFS(K268="взв",11,K268="накл",24,K268="прокл",25,K268="пт",26,K268=90,10,K268=85,10,K268=80,9,K268=75,8,K268=70,8,K268=65,7,K268=60,7,K268=55,6,K268=50,6,K268=45,6,K268=40,5,K268=35,4,K268=30,4,K268=25,3,K268=20,2,K268=15,1,K268=10,1,K268=0,0)</f>
        <v>0</v>
      </c>
      <c r="N268" s="3" t="n">
        <f aca="false">IF(L268&lt;=1,0,IF(L268&lt;=10,11,IF(L268&lt;=14,12,IF(L268&lt;=17,13,IF(L268&lt;=20,14,IF(L268&lt;=22,15,IF(L268&lt;=25,16,IF(L268&lt;=27,17,IF(L268&lt;=29,18,IF(L268&lt;=32,19,IF(L268&lt;=34,20,IF(L268&lt;=36,21,IF(L268&lt;=40,22,24)))))))))))))</f>
        <v>19</v>
      </c>
      <c r="P268" s="3" t="n">
        <v>34</v>
      </c>
      <c r="Q268" s="3" t="n">
        <f aca="false">_xlfn.IFS(O268="взв",11,O268="накл",24,O268="прокл",25,O268="пт",26,O268=90,10,O268=85,10,O268=80,9,O268=75,8,O268=70,8,O268=65,7,O268=60,7,O268=55,6,O268=50,6,O268=45,6,O268=40,5,O268=35,4,O268=30,4,O268=25,3,O268=20,2,O268=15,1,O268=10,1,O268=0,0)</f>
        <v>0</v>
      </c>
      <c r="R268" s="3" t="n">
        <f aca="false">IF(P268&lt;=1,0,IF(P268&lt;=10,11,IF(P268&lt;=14,12,IF(P268&lt;=17,13,IF(P268&lt;=20,14,IF(P268&lt;=22,15,IF(P268&lt;=25,16,IF(P268&lt;=27,17,IF(P268&lt;=29,18,IF(P268&lt;=32,19,IF(P268&lt;=34,20,IF(P268&lt;=36,21,IF(P268&lt;=40,22,24)))))))))))))</f>
        <v>20</v>
      </c>
      <c r="S268" s="14" t="n">
        <f aca="false">ROUND((Q268+R268+I268+J268+M268+N268)/3,0)</f>
        <v>19</v>
      </c>
      <c r="T268" s="15" t="n">
        <f aca="false">F268*LOG10(S268+2)</f>
        <v>3.96665788420176</v>
      </c>
    </row>
    <row r="269" customFormat="false" ht="14.65" hidden="false" customHeight="true" outlineLevel="0" collapsed="false">
      <c r="A269" s="12" t="s">
        <v>307</v>
      </c>
      <c r="B269" s="13" t="n">
        <v>38886</v>
      </c>
      <c r="C269" s="3" t="s">
        <v>24</v>
      </c>
      <c r="D269" s="4" t="s">
        <v>296</v>
      </c>
      <c r="E269" s="3" t="n">
        <v>4</v>
      </c>
      <c r="F269" s="3" t="n">
        <v>3</v>
      </c>
      <c r="H269" s="3" t="n">
        <v>41</v>
      </c>
      <c r="I269" s="3" t="n">
        <f aca="false">_xlfn.IFS(G269="взв",11,G269="накл",24,G269="прокл",25,G269="пт",26,G269=90,10,G269=85,10,G269=80,9,G269=75,8,G269=70,8,G269=65,7,G269=60,7,G269=55,6,G269=50,6,G269=45,6,G269=40,5,G269=35,4,G269=30,4,G269=25,3,G269=20,2,G269=15,1,G269=10,1,G269=0,0)</f>
        <v>0</v>
      </c>
      <c r="J269" s="3" t="n">
        <f aca="false">IF(H269&lt;=1,0,IF(H269&lt;=10,11,IF(H269&lt;=14,12,IF(H269&lt;=17,13,IF(H269&lt;=20,14,IF(H269&lt;=22,15,IF(H269&lt;=25,16,IF(H269&lt;=27,17,IF(H269&lt;=29,18,IF(H269&lt;=32,19,IF(H269&lt;=34,20,IF(H269&lt;=36,21,IF(H269&lt;=40,22,24)))))))))))))</f>
        <v>24</v>
      </c>
      <c r="L269" s="3" t="n">
        <v>38</v>
      </c>
      <c r="M269" s="3" t="n">
        <f aca="false">_xlfn.IFS(K269="взв",11,K269="накл",24,K269="прокл",25,K269="пт",26,K269=90,10,K269=85,10,K269=80,9,K269=75,8,K269=70,8,K269=65,7,K269=60,7,K269=55,6,K269=50,6,K269=45,6,K269=40,5,K269=35,4,K269=30,4,K269=25,3,K269=20,2,K269=15,1,K269=10,1,K269=0,0)</f>
        <v>0</v>
      </c>
      <c r="N269" s="3" t="n">
        <f aca="false">IF(L269&lt;=1,0,IF(L269&lt;=10,11,IF(L269&lt;=14,12,IF(L269&lt;=17,13,IF(L269&lt;=20,14,IF(L269&lt;=22,15,IF(L269&lt;=25,16,IF(L269&lt;=27,17,IF(L269&lt;=29,18,IF(L269&lt;=32,19,IF(L269&lt;=34,20,IF(L269&lt;=36,21,IF(L269&lt;=40,22,24)))))))))))))</f>
        <v>22</v>
      </c>
      <c r="P269" s="3" t="n">
        <v>41</v>
      </c>
      <c r="Q269" s="3" t="n">
        <f aca="false">_xlfn.IFS(O269="взв",11,O269="накл",24,O269="прокл",25,O269="пт",26,O269=90,10,O269=85,10,O269=80,9,O269=75,8,O269=70,8,O269=65,7,O269=60,7,O269=55,6,O269=50,6,O269=45,6,O269=40,5,O269=35,4,O269=30,4,O269=25,3,O269=20,2,O269=15,1,O269=10,1,O269=0,0)</f>
        <v>0</v>
      </c>
      <c r="R269" s="3" t="n">
        <f aca="false">IF(P269&lt;=1,0,IF(P269&lt;=10,11,IF(P269&lt;=14,12,IF(P269&lt;=17,13,IF(P269&lt;=20,14,IF(P269&lt;=22,15,IF(P269&lt;=25,16,IF(P269&lt;=27,17,IF(P269&lt;=29,18,IF(P269&lt;=32,19,IF(P269&lt;=34,20,IF(P269&lt;=36,21,IF(P269&lt;=40,22,24)))))))))))))</f>
        <v>24</v>
      </c>
      <c r="S269" s="14" t="n">
        <f aca="false">ROUND((Q269+R269+I269+J269+M269+N269)/3,0)</f>
        <v>23</v>
      </c>
      <c r="T269" s="15" t="n">
        <f aca="false">F269*LOG10(S269+2)</f>
        <v>4.19382002601611</v>
      </c>
    </row>
    <row r="270" customFormat="false" ht="14.65" hidden="false" customHeight="true" outlineLevel="0" collapsed="false">
      <c r="A270" s="12" t="s">
        <v>308</v>
      </c>
      <c r="B270" s="13" t="n">
        <v>38886</v>
      </c>
      <c r="C270" s="3" t="s">
        <v>24</v>
      </c>
      <c r="D270" s="4" t="s">
        <v>296</v>
      </c>
      <c r="E270" s="3" t="n">
        <v>4</v>
      </c>
      <c r="F270" s="3" t="n">
        <v>4</v>
      </c>
      <c r="H270" s="3" t="n">
        <v>34</v>
      </c>
      <c r="I270" s="3" t="n">
        <f aca="false">_xlfn.IFS(G270="взв",11,G270="накл",24,G270="прокл",25,G270="пт",26,G270=90,10,G270=85,10,G270=80,9,G270=75,8,G270=70,8,G270=65,7,G270=60,7,G270=55,6,G270=50,6,G270=45,6,G270=40,5,G270=35,4,G270=30,4,G270=25,3,G270=20,2,G270=15,1,G270=10,1,G270=0,0)</f>
        <v>0</v>
      </c>
      <c r="J270" s="3" t="n">
        <f aca="false">IF(H270&lt;=1,0,IF(H270&lt;=10,11,IF(H270&lt;=14,12,IF(H270&lt;=17,13,IF(H270&lt;=20,14,IF(H270&lt;=22,15,IF(H270&lt;=25,16,IF(H270&lt;=27,17,IF(H270&lt;=29,18,IF(H270&lt;=32,19,IF(H270&lt;=34,20,IF(H270&lt;=36,21,IF(H270&lt;=40,22,24)))))))))))))</f>
        <v>20</v>
      </c>
      <c r="L270" s="3" t="n">
        <v>35</v>
      </c>
      <c r="M270" s="3" t="n">
        <f aca="false">_xlfn.IFS(K270="взв",11,K270="накл",24,K270="прокл",25,K270="пт",26,K270=90,10,K270=85,10,K270=80,9,K270=75,8,K270=70,8,K270=65,7,K270=60,7,K270=55,6,K270=50,6,K270=45,6,K270=40,5,K270=35,4,K270=30,4,K270=25,3,K270=20,2,K270=15,1,K270=10,1,K270=0,0)</f>
        <v>0</v>
      </c>
      <c r="N270" s="3" t="n">
        <f aca="false">IF(L270&lt;=1,0,IF(L270&lt;=10,11,IF(L270&lt;=14,12,IF(L270&lt;=17,13,IF(L270&lt;=20,14,IF(L270&lt;=22,15,IF(L270&lt;=25,16,IF(L270&lt;=27,17,IF(L270&lt;=29,18,IF(L270&lt;=32,19,IF(L270&lt;=34,20,IF(L270&lt;=36,21,IF(L270&lt;=40,22,24)))))))))))))</f>
        <v>21</v>
      </c>
      <c r="P270" s="3" t="n">
        <v>37</v>
      </c>
      <c r="Q270" s="3" t="n">
        <f aca="false">_xlfn.IFS(O270="взв",11,O270="накл",24,O270="прокл",25,O270="пт",26,O270=90,10,O270=85,10,O270=80,9,O270=75,8,O270=70,8,O270=65,7,O270=60,7,O270=55,6,O270=50,6,O270=45,6,O270=40,5,O270=35,4,O270=30,4,O270=25,3,O270=20,2,O270=15,1,O270=10,1,O270=0,0)</f>
        <v>0</v>
      </c>
      <c r="R270" s="3" t="n">
        <f aca="false">IF(P270&lt;=1,0,IF(P270&lt;=10,11,IF(P270&lt;=14,12,IF(P270&lt;=17,13,IF(P270&lt;=20,14,IF(P270&lt;=22,15,IF(P270&lt;=25,16,IF(P270&lt;=27,17,IF(P270&lt;=29,18,IF(P270&lt;=32,19,IF(P270&lt;=34,20,IF(P270&lt;=36,21,IF(P270&lt;=40,22,24)))))))))))))</f>
        <v>22</v>
      </c>
      <c r="S270" s="14" t="n">
        <f aca="false">ROUND((Q270+R270+I270+J270+M270+N270)/3,0)</f>
        <v>21</v>
      </c>
      <c r="T270" s="15" t="n">
        <f aca="false">F270*LOG10(S270+2)</f>
        <v>5.44691134407037</v>
      </c>
    </row>
    <row r="271" customFormat="false" ht="14.65" hidden="false" customHeight="true" outlineLevel="0" collapsed="false">
      <c r="A271" s="12" t="s">
        <v>309</v>
      </c>
      <c r="B271" s="13" t="n">
        <v>38886</v>
      </c>
      <c r="C271" s="3" t="s">
        <v>24</v>
      </c>
      <c r="D271" s="4" t="s">
        <v>296</v>
      </c>
      <c r="E271" s="3" t="n">
        <v>4</v>
      </c>
      <c r="F271" s="3" t="n">
        <v>4</v>
      </c>
      <c r="G271" s="3" t="n">
        <v>45</v>
      </c>
      <c r="I271" s="3" t="n">
        <f aca="false">_xlfn.IFS(G271="взв",11,G271="накл",24,G271="прокл",25,G271="пт",26,G271=90,10,G271=85,10,G271=80,9,G271=75,8,G271=70,8,G271=65,7,G271=60,7,G271=55,6,G271=50,6,G271=45,6,G271=40,5,G271=35,4,G271=30,4,G271=25,3,G271=20,2,G271=15,1,G271=10,1,G271=0,0)</f>
        <v>6</v>
      </c>
      <c r="J271" s="3" t="n">
        <f aca="false">IF(H271&lt;=1,0,IF(H271&lt;=10,11,IF(H271&lt;=14,12,IF(H271&lt;=17,13,IF(H271&lt;=20,14,IF(H271&lt;=22,15,IF(H271&lt;=25,16,IF(H271&lt;=27,17,IF(H271&lt;=29,18,IF(H271&lt;=32,19,IF(H271&lt;=34,20,IF(H271&lt;=36,21,IF(H271&lt;=40,22,24)))))))))))))</f>
        <v>0</v>
      </c>
      <c r="K271" s="3" t="n">
        <v>45</v>
      </c>
      <c r="M271" s="3" t="n">
        <f aca="false">_xlfn.IFS(K271="взв",11,K271="накл",24,K271="прокл",25,K271="пт",26,K271=90,10,K271=85,10,K271=80,9,K271=75,8,K271=70,8,K271=65,7,K271=60,7,K271=55,6,K271=50,6,K271=45,6,K271=40,5,K271=35,4,K271=30,4,K271=25,3,K271=20,2,K271=15,1,K271=10,1,K271=0,0)</f>
        <v>6</v>
      </c>
      <c r="N271" s="3" t="n">
        <f aca="false">IF(L271&lt;=1,0,IF(L271&lt;=10,11,IF(L271&lt;=14,12,IF(L271&lt;=17,13,IF(L271&lt;=20,14,IF(L271&lt;=22,15,IF(L271&lt;=25,16,IF(L271&lt;=27,17,IF(L271&lt;=29,18,IF(L271&lt;=32,19,IF(L271&lt;=34,20,IF(L271&lt;=36,21,IF(L271&lt;=40,22,24)))))))))))))</f>
        <v>0</v>
      </c>
      <c r="O271" s="3" t="n">
        <v>60</v>
      </c>
      <c r="Q271" s="3" t="n">
        <f aca="false">_xlfn.IFS(O271="взв",11,O271="накл",24,O271="прокл",25,O271="пт",26,O271=90,10,O271=85,10,O271=80,9,O271=75,8,O271=70,8,O271=65,7,O271=60,7,O271=55,6,O271=50,6,O271=45,6,O271=40,5,O271=35,4,O271=30,4,O271=25,3,O271=20,2,O271=15,1,O271=10,1,O271=0,0)</f>
        <v>7</v>
      </c>
      <c r="R271" s="3" t="n">
        <f aca="false">IF(P271&lt;=1,0,IF(P271&lt;=10,11,IF(P271&lt;=14,12,IF(P271&lt;=17,13,IF(P271&lt;=20,14,IF(P271&lt;=22,15,IF(P271&lt;=25,16,IF(P271&lt;=27,17,IF(P271&lt;=29,18,IF(P271&lt;=32,19,IF(P271&lt;=34,20,IF(P271&lt;=36,21,IF(P271&lt;=40,22,24)))))))))))))</f>
        <v>0</v>
      </c>
      <c r="S271" s="14" t="n">
        <f aca="false">ROUND((Q271+R271+I271+J271+M271+N271)/3,0)</f>
        <v>6</v>
      </c>
      <c r="T271" s="15" t="n">
        <f aca="false">F271*LOG10(S271+2)</f>
        <v>3.61235994796777</v>
      </c>
    </row>
    <row r="272" customFormat="false" ht="14.65" hidden="false" customHeight="true" outlineLevel="0" collapsed="false">
      <c r="A272" s="12" t="s">
        <v>310</v>
      </c>
      <c r="B272" s="13" t="n">
        <v>38886</v>
      </c>
      <c r="C272" s="3" t="s">
        <v>24</v>
      </c>
      <c r="D272" s="4" t="s">
        <v>296</v>
      </c>
      <c r="E272" s="3" t="n">
        <v>3</v>
      </c>
      <c r="F272" s="3" t="n">
        <v>4</v>
      </c>
      <c r="H272" s="3" t="n">
        <v>35</v>
      </c>
      <c r="I272" s="3" t="n">
        <f aca="false">_xlfn.IFS(G272="взв",11,G272="накл",24,G272="прокл",25,G272="пт",26,G272=90,10,G272=85,10,G272=80,9,G272=75,8,G272=70,8,G272=65,7,G272=60,7,G272=55,6,G272=50,6,G272=45,6,G272=40,5,G272=35,4,G272=30,4,G272=25,3,G272=20,2,G272=15,1,G272=10,1,G272=0,0)</f>
        <v>0</v>
      </c>
      <c r="J272" s="3" t="n">
        <f aca="false">IF(H272&lt;=1,0,IF(H272&lt;=10,11,IF(H272&lt;=14,12,IF(H272&lt;=17,13,IF(H272&lt;=20,14,IF(H272&lt;=22,15,IF(H272&lt;=25,16,IF(H272&lt;=27,17,IF(H272&lt;=29,18,IF(H272&lt;=32,19,IF(H272&lt;=34,20,IF(H272&lt;=36,21,IF(H272&lt;=40,22,24)))))))))))))</f>
        <v>21</v>
      </c>
      <c r="L272" s="3" t="n">
        <v>37</v>
      </c>
      <c r="M272" s="3" t="n">
        <f aca="false">_xlfn.IFS(K272="взв",11,K272="накл",24,K272="прокл",25,K272="пт",26,K272=90,10,K272=85,10,K272=80,9,K272=75,8,K272=70,8,K272=65,7,K272=60,7,K272=55,6,K272=50,6,K272=45,6,K272=40,5,K272=35,4,K272=30,4,K272=25,3,K272=20,2,K272=15,1,K272=10,1,K272=0,0)</f>
        <v>0</v>
      </c>
      <c r="N272" s="3" t="n">
        <f aca="false">IF(L272&lt;=1,0,IF(L272&lt;=10,11,IF(L272&lt;=14,12,IF(L272&lt;=17,13,IF(L272&lt;=20,14,IF(L272&lt;=22,15,IF(L272&lt;=25,16,IF(L272&lt;=27,17,IF(L272&lt;=29,18,IF(L272&lt;=32,19,IF(L272&lt;=34,20,IF(L272&lt;=36,21,IF(L272&lt;=40,22,24)))))))))))))</f>
        <v>22</v>
      </c>
      <c r="P272" s="3" t="n">
        <v>34</v>
      </c>
      <c r="Q272" s="3" t="n">
        <f aca="false">_xlfn.IFS(O272="взв",11,O272="накл",24,O272="прокл",25,O272="пт",26,O272=90,10,O272=85,10,O272=80,9,O272=75,8,O272=70,8,O272=65,7,O272=60,7,O272=55,6,O272=50,6,O272=45,6,O272=40,5,O272=35,4,O272=30,4,O272=25,3,O272=20,2,O272=15,1,O272=10,1,O272=0,0)</f>
        <v>0</v>
      </c>
      <c r="R272" s="3" t="n">
        <f aca="false">IF(P272&lt;=1,0,IF(P272&lt;=10,11,IF(P272&lt;=14,12,IF(P272&lt;=17,13,IF(P272&lt;=20,14,IF(P272&lt;=22,15,IF(P272&lt;=25,16,IF(P272&lt;=27,17,IF(P272&lt;=29,18,IF(P272&lt;=32,19,IF(P272&lt;=34,20,IF(P272&lt;=36,21,IF(P272&lt;=40,22,24)))))))))))))</f>
        <v>20</v>
      </c>
      <c r="S272" s="14" t="n">
        <f aca="false">ROUND((Q272+R272+I272+J272+M272+N272)/3,0)</f>
        <v>21</v>
      </c>
      <c r="T272" s="15" t="n">
        <f aca="false">F272*LOG10(S272+2)</f>
        <v>5.44691134407037</v>
      </c>
    </row>
    <row r="273" customFormat="false" ht="14.65" hidden="false" customHeight="true" outlineLevel="0" collapsed="false">
      <c r="A273" s="12" t="s">
        <v>311</v>
      </c>
      <c r="B273" s="13" t="n">
        <v>38886</v>
      </c>
      <c r="C273" s="3" t="s">
        <v>24</v>
      </c>
      <c r="D273" s="4" t="s">
        <v>296</v>
      </c>
      <c r="E273" s="3" t="n">
        <v>3</v>
      </c>
      <c r="F273" s="3" t="n">
        <v>4</v>
      </c>
      <c r="G273" s="3" t="n">
        <v>60</v>
      </c>
      <c r="I273" s="3" t="n">
        <f aca="false">_xlfn.IFS(G273="взв",11,G273="накл",24,G273="прокл",25,G273="пт",26,G273=90,10,G273=85,10,G273=80,9,G273=75,8,G273=70,8,G273=65,7,G273=60,7,G273=55,6,G273=50,6,G273=45,6,G273=40,5,G273=35,4,G273=30,4,G273=25,3,G273=20,2,G273=15,1,G273=10,1,G273=0,0)</f>
        <v>7</v>
      </c>
      <c r="J273" s="3" t="n">
        <f aca="false">IF(H273&lt;=1,0,IF(H273&lt;=10,11,IF(H273&lt;=14,12,IF(H273&lt;=17,13,IF(H273&lt;=20,14,IF(H273&lt;=22,15,IF(H273&lt;=25,16,IF(H273&lt;=27,17,IF(H273&lt;=29,18,IF(H273&lt;=32,19,IF(H273&lt;=34,20,IF(H273&lt;=36,21,IF(H273&lt;=40,22,24)))))))))))))</f>
        <v>0</v>
      </c>
      <c r="K273" s="3" t="n">
        <v>75</v>
      </c>
      <c r="M273" s="3" t="n">
        <f aca="false">_xlfn.IFS(K273="взв",11,K273="накл",24,K273="прокл",25,K273="пт",26,K273=90,10,K273=85,10,K273=80,9,K273=75,8,K273=70,8,K273=65,7,K273=60,7,K273=55,6,K273=50,6,K273=45,6,K273=40,5,K273=35,4,K273=30,4,K273=25,3,K273=20,2,K273=15,1,K273=10,1,K273=0,0)</f>
        <v>8</v>
      </c>
      <c r="N273" s="3" t="n">
        <f aca="false">IF(L273&lt;=1,0,IF(L273&lt;=10,11,IF(L273&lt;=14,12,IF(L273&lt;=17,13,IF(L273&lt;=20,14,IF(L273&lt;=22,15,IF(L273&lt;=25,16,IF(L273&lt;=27,17,IF(L273&lt;=29,18,IF(L273&lt;=32,19,IF(L273&lt;=34,20,IF(L273&lt;=36,21,IF(L273&lt;=40,22,24)))))))))))))</f>
        <v>0</v>
      </c>
      <c r="O273" s="3" t="n">
        <v>75</v>
      </c>
      <c r="Q273" s="3" t="n">
        <f aca="false">_xlfn.IFS(O273="взв",11,O273="накл",24,O273="прокл",25,O273="пт",26,O273=90,10,O273=85,10,O273=80,9,O273=75,8,O273=70,8,O273=65,7,O273=60,7,O273=55,6,O273=50,6,O273=45,6,O273=40,5,O273=35,4,O273=30,4,O273=25,3,O273=20,2,O273=15,1,O273=10,1,O273=0,0)</f>
        <v>8</v>
      </c>
      <c r="R273" s="3" t="n">
        <f aca="false">IF(P273&lt;=1,0,IF(P273&lt;=10,11,IF(P273&lt;=14,12,IF(P273&lt;=17,13,IF(P273&lt;=20,14,IF(P273&lt;=22,15,IF(P273&lt;=25,16,IF(P273&lt;=27,17,IF(P273&lt;=29,18,IF(P273&lt;=32,19,IF(P273&lt;=34,20,IF(P273&lt;=36,21,IF(P273&lt;=40,22,24)))))))))))))</f>
        <v>0</v>
      </c>
      <c r="S273" s="14" t="n">
        <f aca="false">ROUND((Q273+R273+I273+J273+M273+N273)/3,0)</f>
        <v>8</v>
      </c>
      <c r="T273" s="15" t="n">
        <f aca="false">F273*LOG10(S273+2)</f>
        <v>4</v>
      </c>
    </row>
    <row r="274" customFormat="false" ht="14.65" hidden="false" customHeight="true" outlineLevel="0" collapsed="false">
      <c r="A274" s="12" t="s">
        <v>312</v>
      </c>
      <c r="B274" s="13" t="n">
        <v>38886</v>
      </c>
      <c r="C274" s="3" t="s">
        <v>24</v>
      </c>
      <c r="D274" s="4" t="s">
        <v>296</v>
      </c>
      <c r="E274" s="3" t="n">
        <v>2</v>
      </c>
      <c r="F274" s="3" t="n">
        <v>5</v>
      </c>
      <c r="H274" s="3" t="n">
        <v>39</v>
      </c>
      <c r="I274" s="3" t="n">
        <f aca="false">_xlfn.IFS(G274="взв",11,G274="накл",24,G274="прокл",25,G274="пт",26,G274=90,10,G274=85,10,G274=80,9,G274=75,8,G274=70,8,G274=65,7,G274=60,7,G274=55,6,G274=50,6,G274=45,6,G274=40,5,G274=35,4,G274=30,4,G274=25,3,G274=20,2,G274=15,1,G274=10,1,G274=0,0)</f>
        <v>0</v>
      </c>
      <c r="J274" s="3" t="n">
        <f aca="false">IF(H274&lt;=1,0,IF(H274&lt;=10,11,IF(H274&lt;=14,12,IF(H274&lt;=17,13,IF(H274&lt;=20,14,IF(H274&lt;=22,15,IF(H274&lt;=25,16,IF(H274&lt;=27,17,IF(H274&lt;=29,18,IF(H274&lt;=32,19,IF(H274&lt;=34,20,IF(H274&lt;=36,21,IF(H274&lt;=40,22,24)))))))))))))</f>
        <v>22</v>
      </c>
      <c r="L274" s="3" t="n">
        <v>41</v>
      </c>
      <c r="M274" s="3" t="n">
        <f aca="false">_xlfn.IFS(K274="взв",11,K274="накл",24,K274="прокл",25,K274="пт",26,K274=90,10,K274=85,10,K274=80,9,K274=75,8,K274=70,8,K274=65,7,K274=60,7,K274=55,6,K274=50,6,K274=45,6,K274=40,5,K274=35,4,K274=30,4,K274=25,3,K274=20,2,K274=15,1,K274=10,1,K274=0,0)</f>
        <v>0</v>
      </c>
      <c r="N274" s="3" t="n">
        <f aca="false">IF(L274&lt;=1,0,IF(L274&lt;=10,11,IF(L274&lt;=14,12,IF(L274&lt;=17,13,IF(L274&lt;=20,14,IF(L274&lt;=22,15,IF(L274&lt;=25,16,IF(L274&lt;=27,17,IF(L274&lt;=29,18,IF(L274&lt;=32,19,IF(L274&lt;=34,20,IF(L274&lt;=36,21,IF(L274&lt;=40,22,24)))))))))))))</f>
        <v>24</v>
      </c>
      <c r="Q274" s="3" t="n">
        <f aca="false">_xlfn.IFS(O274="взв",11,O274="накл",24,O274="прокл",25,O274="пт",26,O274=90,10,O274=85,10,O274=80,9,O274=75,8,O274=70,8,O274=65,7,O274=60,7,O274=55,6,O274=50,6,O274=45,6,O274=40,5,O274=35,4,O274=30,4,O274=25,3,O274=20,2,O274=15,1,O274=10,1,O274=0,0)</f>
        <v>0</v>
      </c>
      <c r="R274" s="3" t="n">
        <f aca="false">IF(P274&lt;=1,0,IF(P274&lt;=10,11,IF(P274&lt;=14,12,IF(P274&lt;=17,13,IF(P274&lt;=20,14,IF(P274&lt;=22,15,IF(P274&lt;=25,16,IF(P274&lt;=27,17,IF(P274&lt;=29,18,IF(P274&lt;=32,19,IF(P274&lt;=34,20,IF(P274&lt;=36,21,IF(P274&lt;=40,22,24)))))))))))))</f>
        <v>0</v>
      </c>
      <c r="S274" s="14" t="n">
        <f aca="false">ROUND((Q274+R274+I274+J274+M274+N274)/2,0)</f>
        <v>23</v>
      </c>
      <c r="T274" s="15" t="n">
        <f aca="false">F274*LOG10(S274+2)</f>
        <v>6.98970004336019</v>
      </c>
    </row>
    <row r="275" customFormat="false" ht="14.65" hidden="false" customHeight="true" outlineLevel="0" collapsed="false">
      <c r="A275" s="12" t="s">
        <v>313</v>
      </c>
      <c r="B275" s="13" t="n">
        <v>38886</v>
      </c>
      <c r="C275" s="3" t="s">
        <v>24</v>
      </c>
      <c r="D275" s="4" t="s">
        <v>296</v>
      </c>
      <c r="E275" s="3" t="n">
        <v>3</v>
      </c>
      <c r="F275" s="3" t="n">
        <v>5</v>
      </c>
      <c r="H275" s="3" t="n">
        <v>33</v>
      </c>
      <c r="I275" s="3" t="n">
        <f aca="false">_xlfn.IFS(G275="взв",11,G275="накл",24,G275="прокл",25,G275="пт",26,G275=90,10,G275=85,10,G275=80,9,G275=75,8,G275=70,8,G275=65,7,G275=60,7,G275=55,6,G275=50,6,G275=45,6,G275=40,5,G275=35,4,G275=30,4,G275=25,3,G275=20,2,G275=15,1,G275=10,1,G275=0,0)</f>
        <v>0</v>
      </c>
      <c r="J275" s="3" t="n">
        <f aca="false">IF(H275&lt;=1,0,IF(H275&lt;=10,11,IF(H275&lt;=14,12,IF(H275&lt;=17,13,IF(H275&lt;=20,14,IF(H275&lt;=22,15,IF(H275&lt;=25,16,IF(H275&lt;=27,17,IF(H275&lt;=29,18,IF(H275&lt;=32,19,IF(H275&lt;=34,20,IF(H275&lt;=36,21,IF(H275&lt;=40,22,24)))))))))))))</f>
        <v>20</v>
      </c>
      <c r="L275" s="3" t="n">
        <v>34</v>
      </c>
      <c r="M275" s="3" t="n">
        <f aca="false">_xlfn.IFS(K275="взв",11,K275="накл",24,K275="прокл",25,K275="пт",26,K275=90,10,K275=85,10,K275=80,9,K275=75,8,K275=70,8,K275=65,7,K275=60,7,K275=55,6,K275=50,6,K275=45,6,K275=40,5,K275=35,4,K275=30,4,K275=25,3,K275=20,2,K275=15,1,K275=10,1,K275=0,0)</f>
        <v>0</v>
      </c>
      <c r="N275" s="3" t="n">
        <f aca="false">IF(L275&lt;=1,0,IF(L275&lt;=10,11,IF(L275&lt;=14,12,IF(L275&lt;=17,13,IF(L275&lt;=20,14,IF(L275&lt;=22,15,IF(L275&lt;=25,16,IF(L275&lt;=27,17,IF(L275&lt;=29,18,IF(L275&lt;=32,19,IF(L275&lt;=34,20,IF(L275&lt;=36,21,IF(L275&lt;=40,22,24)))))))))))))</f>
        <v>20</v>
      </c>
      <c r="P275" s="3" t="n">
        <v>33</v>
      </c>
      <c r="Q275" s="3" t="n">
        <f aca="false">_xlfn.IFS(O275="взв",11,O275="накл",24,O275="прокл",25,O275="пт",26,O275=90,10,O275=85,10,O275=80,9,O275=75,8,O275=70,8,O275=65,7,O275=60,7,O275=55,6,O275=50,6,O275=45,6,O275=40,5,O275=35,4,O275=30,4,O275=25,3,O275=20,2,O275=15,1,O275=10,1,O275=0,0)</f>
        <v>0</v>
      </c>
      <c r="R275" s="3" t="n">
        <f aca="false">IF(P275&lt;=1,0,IF(P275&lt;=10,11,IF(P275&lt;=14,12,IF(P275&lt;=17,13,IF(P275&lt;=20,14,IF(P275&lt;=22,15,IF(P275&lt;=25,16,IF(P275&lt;=27,17,IF(P275&lt;=29,18,IF(P275&lt;=32,19,IF(P275&lt;=34,20,IF(P275&lt;=36,21,IF(P275&lt;=40,22,24)))))))))))))</f>
        <v>20</v>
      </c>
      <c r="S275" s="14" t="n">
        <f aca="false">ROUND((Q275+R275+I275+J275+M275+N275)/3,0)</f>
        <v>20</v>
      </c>
      <c r="T275" s="15" t="n">
        <f aca="false">F275*LOG10(S275+2)</f>
        <v>6.71211340411103</v>
      </c>
    </row>
    <row r="276" customFormat="false" ht="14.65" hidden="false" customHeight="true" outlineLevel="0" collapsed="false">
      <c r="A276" s="12" t="s">
        <v>314</v>
      </c>
      <c r="B276" s="13" t="n">
        <v>38886</v>
      </c>
      <c r="C276" s="3" t="s">
        <v>24</v>
      </c>
      <c r="D276" s="4" t="s">
        <v>296</v>
      </c>
      <c r="E276" s="3" t="n">
        <v>4</v>
      </c>
      <c r="F276" s="3" t="n">
        <v>6</v>
      </c>
      <c r="G276" s="3" t="n">
        <v>90</v>
      </c>
      <c r="I276" s="3" t="n">
        <f aca="false">_xlfn.IFS(G276="взв",11,G276="накл",24,G276="прокл",25,G276="пт",26,G276=90,10,G276=85,10,G276=80,9,G276=75,8,G276=70,8,G276=65,7,G276=60,7,G276=55,6,G276=50,6,G276=45,6,G276=40,5,G276=35,4,G276=30,4,G276=25,3,G276=20,2,G276=15,1,G276=10,1,G276=0,0)</f>
        <v>10</v>
      </c>
      <c r="J276" s="3" t="n">
        <f aca="false">IF(H276&lt;=1,0,IF(H276&lt;=10,11,IF(H276&lt;=14,12,IF(H276&lt;=17,13,IF(H276&lt;=20,14,IF(H276&lt;=22,15,IF(H276&lt;=25,16,IF(H276&lt;=27,17,IF(H276&lt;=29,18,IF(H276&lt;=32,19,IF(H276&lt;=34,20,IF(H276&lt;=36,21,IF(H276&lt;=40,22,24)))))))))))))</f>
        <v>0</v>
      </c>
      <c r="K276" s="3" t="n">
        <v>90</v>
      </c>
      <c r="M276" s="3" t="n">
        <f aca="false">_xlfn.IFS(K276="взв",11,K276="накл",24,K276="прокл",25,K276="пт",26,K276=90,10,K276=85,10,K276=80,9,K276=75,8,K276=70,8,K276=65,7,K276=60,7,K276=55,6,K276=50,6,K276=45,6,K276=40,5,K276=35,4,K276=30,4,K276=25,3,K276=20,2,K276=15,1,K276=10,1,K276=0,0)</f>
        <v>10</v>
      </c>
      <c r="N276" s="3" t="n">
        <f aca="false">IF(L276&lt;=1,0,IF(L276&lt;=10,11,IF(L276&lt;=14,12,IF(L276&lt;=17,13,IF(L276&lt;=20,14,IF(L276&lt;=22,15,IF(L276&lt;=25,16,IF(L276&lt;=27,17,IF(L276&lt;=29,18,IF(L276&lt;=32,19,IF(L276&lt;=34,20,IF(L276&lt;=36,21,IF(L276&lt;=40,22,24)))))))))))))</f>
        <v>0</v>
      </c>
      <c r="Q276" s="3" t="n">
        <f aca="false">_xlfn.IFS(O276="взв",11,O276="накл",24,O276="прокл",25,O276="пт",26,O276=90,10,O276=85,10,O276=80,9,O276=75,8,O276=70,8,O276=65,7,O276=60,7,O276=55,6,O276=50,6,O276=45,6,O276=40,5,O276=35,4,O276=30,4,O276=25,3,O276=20,2,O276=15,1,O276=10,1,O276=0,0)</f>
        <v>0</v>
      </c>
      <c r="R276" s="3" t="n">
        <f aca="false">IF(P276&lt;=1,0,IF(P276&lt;=10,11,IF(P276&lt;=14,12,IF(P276&lt;=17,13,IF(P276&lt;=20,14,IF(P276&lt;=22,15,IF(P276&lt;=25,16,IF(P276&lt;=27,17,IF(P276&lt;=29,18,IF(P276&lt;=32,19,IF(P276&lt;=34,20,IF(P276&lt;=36,21,IF(P276&lt;=40,22,24)))))))))))))</f>
        <v>0</v>
      </c>
      <c r="S276" s="14" t="n">
        <f aca="false">ROUND((Q276+R276+I276+J276+M276+N276)/2,0)</f>
        <v>10</v>
      </c>
      <c r="T276" s="15" t="n">
        <f aca="false">F276*LOG10(S276+2)</f>
        <v>6.47508747628575</v>
      </c>
    </row>
    <row r="277" customFormat="false" ht="14.65" hidden="false" customHeight="true" outlineLevel="0" collapsed="false">
      <c r="A277" s="12" t="s">
        <v>315</v>
      </c>
      <c r="B277" s="13" t="n">
        <v>38886</v>
      </c>
      <c r="C277" s="3" t="s">
        <v>24</v>
      </c>
      <c r="D277" s="4" t="s">
        <v>296</v>
      </c>
      <c r="E277" s="3" t="n">
        <v>5</v>
      </c>
      <c r="F277" s="3" t="n">
        <v>6</v>
      </c>
      <c r="H277" s="3" t="n">
        <v>34</v>
      </c>
      <c r="I277" s="3" t="n">
        <f aca="false">_xlfn.IFS(G277="взв",11,G277="накл",24,G277="прокл",25,G277="пт",26,G277=90,10,G277=85,10,G277=80,9,G277=75,8,G277=70,8,G277=65,7,G277=60,7,G277=55,6,G277=50,6,G277=45,6,G277=40,5,G277=35,4,G277=30,4,G277=25,3,G277=20,2,G277=15,1,G277=10,1,G277=0,0)</f>
        <v>0</v>
      </c>
      <c r="J277" s="3" t="n">
        <f aca="false">IF(H277&lt;=1,0,IF(H277&lt;=10,11,IF(H277&lt;=14,12,IF(H277&lt;=17,13,IF(H277&lt;=20,14,IF(H277&lt;=22,15,IF(H277&lt;=25,16,IF(H277&lt;=27,17,IF(H277&lt;=29,18,IF(H277&lt;=32,19,IF(H277&lt;=34,20,IF(H277&lt;=36,21,IF(H277&lt;=40,22,24)))))))))))))</f>
        <v>20</v>
      </c>
      <c r="L277" s="3" t="n">
        <v>35</v>
      </c>
      <c r="M277" s="3" t="n">
        <f aca="false">_xlfn.IFS(K277="взв",11,K277="накл",24,K277="прокл",25,K277="пт",26,K277=90,10,K277=85,10,K277=80,9,K277=75,8,K277=70,8,K277=65,7,K277=60,7,K277=55,6,K277=50,6,K277=45,6,K277=40,5,K277=35,4,K277=30,4,K277=25,3,K277=20,2,K277=15,1,K277=10,1,K277=0,0)</f>
        <v>0</v>
      </c>
      <c r="N277" s="3" t="n">
        <f aca="false">IF(L277&lt;=1,0,IF(L277&lt;=10,11,IF(L277&lt;=14,12,IF(L277&lt;=17,13,IF(L277&lt;=20,14,IF(L277&lt;=22,15,IF(L277&lt;=25,16,IF(L277&lt;=27,17,IF(L277&lt;=29,18,IF(L277&lt;=32,19,IF(L277&lt;=34,20,IF(L277&lt;=36,21,IF(L277&lt;=40,22,24)))))))))))))</f>
        <v>21</v>
      </c>
      <c r="P277" s="3" t="n">
        <v>36</v>
      </c>
      <c r="Q277" s="3" t="n">
        <f aca="false">_xlfn.IFS(O277="взв",11,O277="накл",24,O277="прокл",25,O277="пт",26,O277=90,10,O277=85,10,O277=80,9,O277=75,8,O277=70,8,O277=65,7,O277=60,7,O277=55,6,O277=50,6,O277=45,6,O277=40,5,O277=35,4,O277=30,4,O277=25,3,O277=20,2,O277=15,1,O277=10,1,O277=0,0)</f>
        <v>0</v>
      </c>
      <c r="R277" s="3" t="n">
        <f aca="false">IF(P277&lt;=1,0,IF(P277&lt;=10,11,IF(P277&lt;=14,12,IF(P277&lt;=17,13,IF(P277&lt;=20,14,IF(P277&lt;=22,15,IF(P277&lt;=25,16,IF(P277&lt;=27,17,IF(P277&lt;=29,18,IF(P277&lt;=32,19,IF(P277&lt;=34,20,IF(P277&lt;=36,21,IF(P277&lt;=40,22,24)))))))))))))</f>
        <v>21</v>
      </c>
      <c r="S277" s="14" t="n">
        <f aca="false">ROUND((Q277+R277+I277+J277+M277+N277)/3,0)</f>
        <v>21</v>
      </c>
      <c r="T277" s="15" t="n">
        <f aca="false">F277*LOG10(S277+2)</f>
        <v>8.17036701610556</v>
      </c>
    </row>
    <row r="278" customFormat="false" ht="14.65" hidden="false" customHeight="true" outlineLevel="0" collapsed="false">
      <c r="A278" s="12" t="s">
        <v>316</v>
      </c>
      <c r="B278" s="13" t="n">
        <v>38886</v>
      </c>
      <c r="C278" s="3" t="s">
        <v>24</v>
      </c>
      <c r="D278" s="4" t="s">
        <v>296</v>
      </c>
      <c r="E278" s="3" t="n">
        <v>2</v>
      </c>
      <c r="F278" s="3" t="n">
        <v>6</v>
      </c>
      <c r="G278" s="3" t="n">
        <v>60</v>
      </c>
      <c r="I278" s="3" t="n">
        <f aca="false">_xlfn.IFS(G278="взв",11,G278="накл",24,G278="прокл",25,G278="пт",26,G278=90,10,G278=85,10,G278=80,9,G278=75,8,G278=70,8,G278=65,7,G278=60,7,G278=55,6,G278=50,6,G278=45,6,G278=40,5,G278=35,4,G278=30,4,G278=25,3,G278=20,2,G278=15,1,G278=10,1,G278=0,0)</f>
        <v>7</v>
      </c>
      <c r="J278" s="3" t="n">
        <f aca="false">IF(H278&lt;=1,0,IF(H278&lt;=10,11,IF(H278&lt;=14,12,IF(H278&lt;=17,13,IF(H278&lt;=20,14,IF(H278&lt;=22,15,IF(H278&lt;=25,16,IF(H278&lt;=27,17,IF(H278&lt;=29,18,IF(H278&lt;=32,19,IF(H278&lt;=34,20,IF(H278&lt;=36,21,IF(H278&lt;=40,22,24)))))))))))))</f>
        <v>0</v>
      </c>
      <c r="K278" s="3" t="n">
        <v>60</v>
      </c>
      <c r="M278" s="3" t="n">
        <f aca="false">_xlfn.IFS(K278="взв",11,K278="накл",24,K278="прокл",25,K278="пт",26,K278=90,10,K278=85,10,K278=80,9,K278=75,8,K278=70,8,K278=65,7,K278=60,7,K278=55,6,K278=50,6,K278=45,6,K278=40,5,K278=35,4,K278=30,4,K278=25,3,K278=20,2,K278=15,1,K278=10,1,K278=0,0)</f>
        <v>7</v>
      </c>
      <c r="N278" s="3" t="n">
        <f aca="false">IF(L278&lt;=1,0,IF(L278&lt;=10,11,IF(L278&lt;=14,12,IF(L278&lt;=17,13,IF(L278&lt;=20,14,IF(L278&lt;=22,15,IF(L278&lt;=25,16,IF(L278&lt;=27,17,IF(L278&lt;=29,18,IF(L278&lt;=32,19,IF(L278&lt;=34,20,IF(L278&lt;=36,21,IF(L278&lt;=40,22,24)))))))))))))</f>
        <v>0</v>
      </c>
      <c r="Q278" s="3" t="n">
        <f aca="false">_xlfn.IFS(O278="взв",11,O278="накл",24,O278="прокл",25,O278="пт",26,O278=90,10,O278=85,10,O278=80,9,O278=75,8,O278=70,8,O278=65,7,O278=60,7,O278=55,6,O278=50,6,O278=45,6,O278=40,5,O278=35,4,O278=30,4,O278=25,3,O278=20,2,O278=15,1,O278=10,1,O278=0,0)</f>
        <v>0</v>
      </c>
      <c r="R278" s="3" t="n">
        <f aca="false">IF(P278&lt;=1,0,IF(P278&lt;=10,11,IF(P278&lt;=14,12,IF(P278&lt;=17,13,IF(P278&lt;=20,14,IF(P278&lt;=22,15,IF(P278&lt;=25,16,IF(P278&lt;=27,17,IF(P278&lt;=29,18,IF(P278&lt;=32,19,IF(P278&lt;=34,20,IF(P278&lt;=36,21,IF(P278&lt;=40,22,24)))))))))))))</f>
        <v>0</v>
      </c>
      <c r="S278" s="14" t="n">
        <f aca="false">ROUND((Q278+R278+I278+J278+M278+N278)/2,0)</f>
        <v>7</v>
      </c>
      <c r="T278" s="15" t="n">
        <f aca="false">F278*LOG10(S278+2)</f>
        <v>5.72545505663595</v>
      </c>
    </row>
    <row r="279" customFormat="false" ht="14.65" hidden="false" customHeight="true" outlineLevel="0" collapsed="false">
      <c r="A279" s="12" t="s">
        <v>317</v>
      </c>
      <c r="B279" s="13" t="n">
        <v>38886</v>
      </c>
      <c r="C279" s="3" t="s">
        <v>24</v>
      </c>
      <c r="D279" s="4" t="s">
        <v>296</v>
      </c>
      <c r="E279" s="3" t="n">
        <v>3</v>
      </c>
      <c r="F279" s="3" t="n">
        <v>10</v>
      </c>
      <c r="H279" s="3" t="n">
        <v>33</v>
      </c>
      <c r="I279" s="3" t="n">
        <f aca="false">_xlfn.IFS(G279="взв",11,G279="накл",24,G279="прокл",25,G279="пт",26,G279=90,10,G279=85,10,G279=80,9,G279=75,8,G279=70,8,G279=65,7,G279=60,7,G279=55,6,G279=50,6,G279=45,6,G279=40,5,G279=35,4,G279=30,4,G279=25,3,G279=20,2,G279=15,1,G279=10,1,G279=0,0)</f>
        <v>0</v>
      </c>
      <c r="J279" s="3" t="n">
        <f aca="false">IF(H279&lt;=1,0,IF(H279&lt;=10,11,IF(H279&lt;=14,12,IF(H279&lt;=17,13,IF(H279&lt;=20,14,IF(H279&lt;=22,15,IF(H279&lt;=25,16,IF(H279&lt;=27,17,IF(H279&lt;=29,18,IF(H279&lt;=32,19,IF(H279&lt;=34,20,IF(H279&lt;=36,21,IF(H279&lt;=40,22,24)))))))))))))</f>
        <v>20</v>
      </c>
      <c r="L279" s="3" t="n">
        <v>33</v>
      </c>
      <c r="M279" s="3" t="n">
        <f aca="false">_xlfn.IFS(K279="взв",11,K279="накл",24,K279="прокл",25,K279="пт",26,K279=90,10,K279=85,10,K279=80,9,K279=75,8,K279=70,8,K279=65,7,K279=60,7,K279=55,6,K279=50,6,K279=45,6,K279=40,5,K279=35,4,K279=30,4,K279=25,3,K279=20,2,K279=15,1,K279=10,1,K279=0,0)</f>
        <v>0</v>
      </c>
      <c r="N279" s="3" t="n">
        <f aca="false">IF(L279&lt;=1,0,IF(L279&lt;=10,11,IF(L279&lt;=14,12,IF(L279&lt;=17,13,IF(L279&lt;=20,14,IF(L279&lt;=22,15,IF(L279&lt;=25,16,IF(L279&lt;=27,17,IF(L279&lt;=29,18,IF(L279&lt;=32,19,IF(L279&lt;=34,20,IF(L279&lt;=36,21,IF(L279&lt;=40,22,24)))))))))))))</f>
        <v>20</v>
      </c>
      <c r="P279" s="3" t="n">
        <v>31</v>
      </c>
      <c r="Q279" s="3" t="n">
        <f aca="false">_xlfn.IFS(O279="взв",11,O279="накл",24,O279="прокл",25,O279="пт",26,O279=90,10,O279=85,10,O279=80,9,O279=75,8,O279=70,8,O279=65,7,O279=60,7,O279=55,6,O279=50,6,O279=45,6,O279=40,5,O279=35,4,O279=30,4,O279=25,3,O279=20,2,O279=15,1,O279=10,1,O279=0,0)</f>
        <v>0</v>
      </c>
      <c r="R279" s="3" t="n">
        <f aca="false">IF(P279&lt;=1,0,IF(P279&lt;=10,11,IF(P279&lt;=14,12,IF(P279&lt;=17,13,IF(P279&lt;=20,14,IF(P279&lt;=22,15,IF(P279&lt;=25,16,IF(P279&lt;=27,17,IF(P279&lt;=29,18,IF(P279&lt;=32,19,IF(P279&lt;=34,20,IF(P279&lt;=36,21,IF(P279&lt;=40,22,24)))))))))))))</f>
        <v>19</v>
      </c>
      <c r="S279" s="14" t="n">
        <f aca="false">ROUND((Q279+R279+I279+J279+M279+N279)/3,0)</f>
        <v>20</v>
      </c>
      <c r="T279" s="15" t="n">
        <f aca="false">F279*LOG10(S279+2)</f>
        <v>13.4242268082221</v>
      </c>
    </row>
    <row r="280" customFormat="false" ht="14.65" hidden="false" customHeight="true" outlineLevel="0" collapsed="false">
      <c r="A280" s="12" t="s">
        <v>318</v>
      </c>
      <c r="B280" s="13" t="n">
        <v>38886</v>
      </c>
      <c r="C280" s="3" t="s">
        <v>24</v>
      </c>
      <c r="D280" s="4" t="s">
        <v>296</v>
      </c>
      <c r="E280" s="3" t="n">
        <v>4</v>
      </c>
      <c r="F280" s="3" t="n">
        <v>10</v>
      </c>
      <c r="G280" s="3" t="n">
        <v>45</v>
      </c>
      <c r="I280" s="3" t="n">
        <f aca="false">_xlfn.IFS(G280="взв",11,G280="накл",24,G280="прокл",25,G280="пт",26,G280=90,10,G280=85,10,G280=80,9,G280=75,8,G280=70,8,G280=65,7,G280=60,7,G280=55,6,G280=50,6,G280=45,6,G280=40,5,G280=35,4,G280=30,4,G280=25,3,G280=20,2,G280=15,1,G280=10,1,G280=0,0)</f>
        <v>6</v>
      </c>
      <c r="J280" s="3" t="n">
        <f aca="false">IF(H280&lt;=1,0,IF(H280&lt;=10,11,IF(H280&lt;=14,12,IF(H280&lt;=17,13,IF(H280&lt;=20,14,IF(H280&lt;=22,15,IF(H280&lt;=25,16,IF(H280&lt;=27,17,IF(H280&lt;=29,18,IF(H280&lt;=32,19,IF(H280&lt;=34,20,IF(H280&lt;=36,21,IF(H280&lt;=40,22,24)))))))))))))</f>
        <v>0</v>
      </c>
      <c r="K280" s="3" t="n">
        <v>45</v>
      </c>
      <c r="M280" s="3" t="n">
        <f aca="false">_xlfn.IFS(K280="взв",11,K280="накл",24,K280="прокл",25,K280="пт",26,K280=90,10,K280=85,10,K280=80,9,K280=75,8,K280=70,8,K280=65,7,K280=60,7,K280=55,6,K280=50,6,K280=45,6,K280=40,5,K280=35,4,K280=30,4,K280=25,3,K280=20,2,K280=15,1,K280=10,1,K280=0,0)</f>
        <v>6</v>
      </c>
      <c r="N280" s="3" t="n">
        <f aca="false">IF(L280&lt;=1,0,IF(L280&lt;=10,11,IF(L280&lt;=14,12,IF(L280&lt;=17,13,IF(L280&lt;=20,14,IF(L280&lt;=22,15,IF(L280&lt;=25,16,IF(L280&lt;=27,17,IF(L280&lt;=29,18,IF(L280&lt;=32,19,IF(L280&lt;=34,20,IF(L280&lt;=36,21,IF(L280&lt;=40,22,24)))))))))))))</f>
        <v>0</v>
      </c>
      <c r="O280" s="3" t="n">
        <v>75</v>
      </c>
      <c r="Q280" s="3" t="n">
        <f aca="false">_xlfn.IFS(O280="взв",11,O280="накл",24,O280="прокл",25,O280="пт",26,O280=90,10,O280=85,10,O280=80,9,O280=75,8,O280=70,8,O280=65,7,O280=60,7,O280=55,6,O280=50,6,O280=45,6,O280=40,5,O280=35,4,O280=30,4,O280=25,3,O280=20,2,O280=15,1,O280=10,1,O280=0,0)</f>
        <v>8</v>
      </c>
      <c r="R280" s="3" t="n">
        <f aca="false">IF(P280&lt;=1,0,IF(P280&lt;=10,11,IF(P280&lt;=14,12,IF(P280&lt;=17,13,IF(P280&lt;=20,14,IF(P280&lt;=22,15,IF(P280&lt;=25,16,IF(P280&lt;=27,17,IF(P280&lt;=29,18,IF(P280&lt;=32,19,IF(P280&lt;=34,20,IF(P280&lt;=36,21,IF(P280&lt;=40,22,24)))))))))))))</f>
        <v>0</v>
      </c>
      <c r="S280" s="14" t="n">
        <f aca="false">ROUND((Q280+R280+I280+J280+M280+N280)/3,0)</f>
        <v>7</v>
      </c>
      <c r="T280" s="15" t="n">
        <f aca="false">F280*LOG10(S280+2)</f>
        <v>9.54242509439325</v>
      </c>
    </row>
    <row r="281" customFormat="false" ht="14.65" hidden="false" customHeight="true" outlineLevel="0" collapsed="false">
      <c r="A281" s="12" t="s">
        <v>319</v>
      </c>
      <c r="B281" s="13" t="n">
        <v>38886</v>
      </c>
      <c r="C281" s="3" t="s">
        <v>24</v>
      </c>
      <c r="D281" s="4" t="s">
        <v>296</v>
      </c>
      <c r="E281" s="3" t="n">
        <v>4</v>
      </c>
      <c r="F281" s="3" t="n">
        <v>10</v>
      </c>
      <c r="H281" s="3" t="n">
        <v>33</v>
      </c>
      <c r="I281" s="3" t="n">
        <f aca="false">_xlfn.IFS(G281="взв",11,G281="накл",24,G281="прокл",25,G281="пт",26,G281=90,10,G281=85,10,G281=80,9,G281=75,8,G281=70,8,G281=65,7,G281=60,7,G281=55,6,G281=50,6,G281=45,6,G281=40,5,G281=35,4,G281=30,4,G281=25,3,G281=20,2,G281=15,1,G281=10,1,G281=0,0)</f>
        <v>0</v>
      </c>
      <c r="J281" s="3" t="n">
        <f aca="false">IF(H281&lt;=1,0,IF(H281&lt;=10,11,IF(H281&lt;=14,12,IF(H281&lt;=17,13,IF(H281&lt;=20,14,IF(H281&lt;=22,15,IF(H281&lt;=25,16,IF(H281&lt;=27,17,IF(H281&lt;=29,18,IF(H281&lt;=32,19,IF(H281&lt;=34,20,IF(H281&lt;=36,21,IF(H281&lt;=40,22,24)))))))))))))</f>
        <v>20</v>
      </c>
      <c r="L281" s="3" t="n">
        <v>36</v>
      </c>
      <c r="M281" s="3" t="n">
        <f aca="false">_xlfn.IFS(K281="взв",11,K281="накл",24,K281="прокл",25,K281="пт",26,K281=90,10,K281=85,10,K281=80,9,K281=75,8,K281=70,8,K281=65,7,K281=60,7,K281=55,6,K281=50,6,K281=45,6,K281=40,5,K281=35,4,K281=30,4,K281=25,3,K281=20,2,K281=15,1,K281=10,1,K281=0,0)</f>
        <v>0</v>
      </c>
      <c r="N281" s="3" t="n">
        <f aca="false">IF(L281&lt;=1,0,IF(L281&lt;=10,11,IF(L281&lt;=14,12,IF(L281&lt;=17,13,IF(L281&lt;=20,14,IF(L281&lt;=22,15,IF(L281&lt;=25,16,IF(L281&lt;=27,17,IF(L281&lt;=29,18,IF(L281&lt;=32,19,IF(L281&lt;=34,20,IF(L281&lt;=36,21,IF(L281&lt;=40,22,24)))))))))))))</f>
        <v>21</v>
      </c>
      <c r="P281" s="3" t="n">
        <v>37</v>
      </c>
      <c r="Q281" s="3" t="n">
        <f aca="false">_xlfn.IFS(O281="взв",11,O281="накл",24,O281="прокл",25,O281="пт",26,O281=90,10,O281=85,10,O281=80,9,O281=75,8,O281=70,8,O281=65,7,O281=60,7,O281=55,6,O281=50,6,O281=45,6,O281=40,5,O281=35,4,O281=30,4,O281=25,3,O281=20,2,O281=15,1,O281=10,1,O281=0,0)</f>
        <v>0</v>
      </c>
      <c r="R281" s="3" t="n">
        <f aca="false">IF(P281&lt;=1,0,IF(P281&lt;=10,11,IF(P281&lt;=14,12,IF(P281&lt;=17,13,IF(P281&lt;=20,14,IF(P281&lt;=22,15,IF(P281&lt;=25,16,IF(P281&lt;=27,17,IF(P281&lt;=29,18,IF(P281&lt;=32,19,IF(P281&lt;=34,20,IF(P281&lt;=36,21,IF(P281&lt;=40,22,24)))))))))))))</f>
        <v>22</v>
      </c>
      <c r="S281" s="14" t="n">
        <f aca="false">ROUND((Q281+R281+I281+J281+M281+N281)/3,0)</f>
        <v>21</v>
      </c>
      <c r="T281" s="15" t="n">
        <f aca="false">F281*LOG10(S281+2)</f>
        <v>13.6172783601759</v>
      </c>
    </row>
    <row r="282" customFormat="false" ht="14.65" hidden="false" customHeight="true" outlineLevel="0" collapsed="false">
      <c r="A282" s="12" t="s">
        <v>320</v>
      </c>
      <c r="B282" s="13" t="n">
        <v>38886</v>
      </c>
      <c r="C282" s="3" t="s">
        <v>24</v>
      </c>
      <c r="D282" s="4" t="s">
        <v>296</v>
      </c>
      <c r="E282" s="3" t="n">
        <v>5</v>
      </c>
      <c r="F282" s="3" t="n">
        <v>10</v>
      </c>
      <c r="G282" s="3" t="s">
        <v>27</v>
      </c>
      <c r="I282" s="3" t="n">
        <f aca="false">_xlfn.IFS(G282="взв",11,G282="накл",24,G282="прокл",25,G282="пт",26,G282=90,10,G282=85,10,G282=80,9,G282=75,8,G282=70,8,G282=65,7,G282=60,7,G282=55,6,G282=50,6,G282=45,6,G282=40,5,G282=35,4,G282=30,4,G282=25,3,G282=20,2,G282=15,1,G282=10,1,G282=0,0)</f>
        <v>24</v>
      </c>
      <c r="J282" s="3" t="n">
        <f aca="false">IF(H282&lt;=1,0,IF(H282&lt;=10,11,IF(H282&lt;=14,12,IF(H282&lt;=17,13,IF(H282&lt;=20,14,IF(H282&lt;=22,15,IF(H282&lt;=25,16,IF(H282&lt;=27,17,IF(H282&lt;=29,18,IF(H282&lt;=32,19,IF(H282&lt;=34,20,IF(H282&lt;=36,21,IF(H282&lt;=40,22,24)))))))))))))</f>
        <v>0</v>
      </c>
      <c r="K282" s="3" t="s">
        <v>27</v>
      </c>
      <c r="L282" s="0"/>
      <c r="M282" s="3" t="n">
        <f aca="false">_xlfn.IFS(K282="взв",11,K282="накл",24,K282="прокл",25,K282="пт",26,K282=90,10,K282=85,10,K282=80,9,K282=75,8,K282=70,8,K282=65,7,K282=60,7,K282=55,6,K282=50,6,K282=45,6,K282=40,5,K282=35,4,K282=30,4,K282=25,3,K282=20,2,K282=15,1,K282=10,1,K282=0,0)</f>
        <v>24</v>
      </c>
      <c r="N282" s="3" t="n">
        <f aca="false">IF(L282&lt;=1,0,IF(L282&lt;=10,11,IF(L282&lt;=14,12,IF(L282&lt;=17,13,IF(L282&lt;=20,14,IF(L282&lt;=22,15,IF(L282&lt;=25,16,IF(L282&lt;=27,17,IF(L282&lt;=29,18,IF(L282&lt;=32,19,IF(L282&lt;=34,20,IF(L282&lt;=36,21,IF(L282&lt;=40,22,24)))))))))))))</f>
        <v>0</v>
      </c>
      <c r="Q282" s="3" t="n">
        <f aca="false">_xlfn.IFS(O282="взв",11,O282="накл",24,O282="прокл",25,O282="пт",26,O282=90,10,O282=85,10,O282=80,9,O282=75,8,O282=70,8,O282=65,7,O282=60,7,O282=55,6,O282=50,6,O282=45,6,O282=40,5,O282=35,4,O282=30,4,O282=25,3,O282=20,2,O282=15,1,O282=10,1,O282=0,0)</f>
        <v>0</v>
      </c>
      <c r="R282" s="3" t="n">
        <f aca="false">IF(P282&lt;=1,0,IF(P282&lt;=10,11,IF(P282&lt;=14,12,IF(P282&lt;=17,13,IF(P282&lt;=20,14,IF(P282&lt;=22,15,IF(P282&lt;=25,16,IF(P282&lt;=27,17,IF(P282&lt;=29,18,IF(P282&lt;=32,19,IF(P282&lt;=34,20,IF(P282&lt;=36,21,IF(P282&lt;=40,22,24)))))))))))))</f>
        <v>0</v>
      </c>
      <c r="S282" s="14" t="n">
        <f aca="false">ROUND((Q282+R282+I282+J282+M282+N282)/3,0)</f>
        <v>16</v>
      </c>
      <c r="T282" s="15" t="n">
        <f aca="false">F282*LOG10(S282+2)</f>
        <v>12.5527250510331</v>
      </c>
    </row>
    <row r="283" customFormat="false" ht="14.65" hidden="false" customHeight="true" outlineLevel="0" collapsed="false">
      <c r="A283" s="12" t="s">
        <v>321</v>
      </c>
      <c r="B283" s="13" t="n">
        <v>38886</v>
      </c>
      <c r="C283" s="3" t="s">
        <v>24</v>
      </c>
      <c r="D283" s="4" t="s">
        <v>296</v>
      </c>
      <c r="E283" s="3" t="n">
        <v>4</v>
      </c>
      <c r="F283" s="3" t="n">
        <v>10</v>
      </c>
      <c r="H283" s="3" t="n">
        <v>14</v>
      </c>
      <c r="I283" s="3" t="n">
        <f aca="false">_xlfn.IFS(G283="взв",11,G283="накл",24,G283="прокл",25,G283="пт",26,G283=90,10,G283=85,10,G283=80,9,G283=75,8,G283=70,8,G283=65,7,G283=60,7,G283=55,6,G283=50,6,G283=45,6,G283=40,5,G283=35,4,G283=30,4,G283=25,3,G283=20,2,G283=15,1,G283=10,1,G283=0,0)</f>
        <v>0</v>
      </c>
      <c r="J283" s="3" t="n">
        <f aca="false">IF(H283&lt;=1,0,IF(H283&lt;=10,11,IF(H283&lt;=14,12,IF(H283&lt;=17,13,IF(H283&lt;=20,14,IF(H283&lt;=22,15,IF(H283&lt;=25,16,IF(H283&lt;=27,17,IF(H283&lt;=29,18,IF(H283&lt;=32,19,IF(H283&lt;=34,20,IF(H283&lt;=36,21,IF(H283&lt;=40,22,24)))))))))))))</f>
        <v>12</v>
      </c>
      <c r="K283" s="3" t="s">
        <v>50</v>
      </c>
      <c r="M283" s="3" t="n">
        <f aca="false">_xlfn.IFS(K283="взв",11,K283="накл",24,K283="прокл",25,K283="пт",26,K283=90,10,K283=85,10,K283=80,9,K283=75,8,K283=70,8,K283=65,7,K283=60,7,K283=55,6,K283=50,6,K283=45,6,K283=40,5,K283=35,4,K283=30,4,K283=25,3,K283=20,2,K283=15,1,K283=10,1,K283=0,0)</f>
        <v>11</v>
      </c>
      <c r="N283" s="3" t="n">
        <f aca="false">IF(L283&lt;=1,0,IF(L283&lt;=10,11,IF(L283&lt;=14,12,IF(L283&lt;=17,13,IF(L283&lt;=20,14,IF(L283&lt;=22,15,IF(L283&lt;=25,16,IF(L283&lt;=27,17,IF(L283&lt;=29,18,IF(L283&lt;=32,19,IF(L283&lt;=34,20,IF(L283&lt;=36,21,IF(L283&lt;=40,22,24)))))))))))))</f>
        <v>0</v>
      </c>
      <c r="O283" s="3" t="s">
        <v>50</v>
      </c>
      <c r="P283" s="0"/>
      <c r="Q283" s="3" t="n">
        <f aca="false">_xlfn.IFS(O283="взв",11,O283="накл",24,O283="прокл",25,O283="пт",26,O283=90,10,O283=85,10,O283=80,9,O283=75,8,O283=70,8,O283=65,7,O283=60,7,O283=55,6,O283=50,6,O283=45,6,O283=40,5,O283=35,4,O283=30,4,O283=25,3,O283=20,2,O283=15,1,O283=10,1,O283=0,0)</f>
        <v>11</v>
      </c>
      <c r="R283" s="3" t="n">
        <f aca="false">IF(P283&lt;=1,0,IF(P283&lt;=10,11,IF(P283&lt;=14,12,IF(P283&lt;=17,13,IF(P283&lt;=20,14,IF(P283&lt;=22,15,IF(P283&lt;=25,16,IF(P283&lt;=27,17,IF(P283&lt;=29,18,IF(P283&lt;=32,19,IF(P283&lt;=34,20,IF(P283&lt;=36,21,IF(P283&lt;=40,22,24)))))))))))))</f>
        <v>0</v>
      </c>
      <c r="S283" s="14" t="n">
        <f aca="false">ROUND((Q283+R283+I283+J283+M283+N283)/3,0)</f>
        <v>11</v>
      </c>
      <c r="T283" s="15" t="n">
        <f aca="false">F283*LOG10(S283+2)</f>
        <v>11.1394335230684</v>
      </c>
    </row>
    <row r="284" customFormat="false" ht="14.65" hidden="false" customHeight="true" outlineLevel="0" collapsed="false">
      <c r="A284" s="12" t="s">
        <v>322</v>
      </c>
      <c r="B284" s="13" t="n">
        <v>38886</v>
      </c>
      <c r="C284" s="3" t="s">
        <v>24</v>
      </c>
      <c r="D284" s="4" t="s">
        <v>296</v>
      </c>
      <c r="E284" s="3" t="n">
        <v>4</v>
      </c>
      <c r="F284" s="3" t="n">
        <v>10</v>
      </c>
      <c r="H284" s="3" t="n">
        <v>25</v>
      </c>
      <c r="I284" s="3" t="n">
        <f aca="false">_xlfn.IFS(G284="взв",11,G284="накл",24,G284="прокл",25,G284="пт",26,G284=90,10,G284=85,10,G284=80,9,G284=75,8,G284=70,8,G284=65,7,G284=60,7,G284=55,6,G284=50,6,G284=45,6,G284=40,5,G284=35,4,G284=30,4,G284=25,3,G284=20,2,G284=15,1,G284=10,1,G284=0,0)</f>
        <v>0</v>
      </c>
      <c r="J284" s="3" t="n">
        <f aca="false">IF(H284&lt;=1,0,IF(H284&lt;=10,11,IF(H284&lt;=14,12,IF(H284&lt;=17,13,IF(H284&lt;=20,14,IF(H284&lt;=22,15,IF(H284&lt;=25,16,IF(H284&lt;=27,17,IF(H284&lt;=29,18,IF(H284&lt;=32,19,IF(H284&lt;=34,20,IF(H284&lt;=36,21,IF(H284&lt;=40,22,24)))))))))))))</f>
        <v>16</v>
      </c>
      <c r="L284" s="3" t="n">
        <v>20</v>
      </c>
      <c r="M284" s="3" t="n">
        <f aca="false">_xlfn.IFS(K284="взв",11,K284="накл",24,K284="прокл",25,K284="пт",26,K284=90,10,K284=85,10,K284=80,9,K284=75,8,K284=70,8,K284=65,7,K284=60,7,K284=55,6,K284=50,6,K284=45,6,K284=40,5,K284=35,4,K284=30,4,K284=25,3,K284=20,2,K284=15,1,K284=10,1,K284=0,0)</f>
        <v>0</v>
      </c>
      <c r="N284" s="3" t="n">
        <f aca="false">IF(L284&lt;=1,0,IF(L284&lt;=10,11,IF(L284&lt;=14,12,IF(L284&lt;=17,13,IF(L284&lt;=20,14,IF(L284&lt;=22,15,IF(L284&lt;=25,16,IF(L284&lt;=27,17,IF(L284&lt;=29,18,IF(L284&lt;=32,19,IF(L284&lt;=34,20,IF(L284&lt;=36,21,IF(L284&lt;=40,22,24)))))))))))))</f>
        <v>14</v>
      </c>
      <c r="P284" s="3" t="n">
        <v>27</v>
      </c>
      <c r="Q284" s="3" t="n">
        <f aca="false">_xlfn.IFS(O284="взв",11,O284="накл",24,O284="прокл",25,O284="пт",26,O284=90,10,O284=85,10,O284=80,9,O284=75,8,O284=70,8,O284=65,7,O284=60,7,O284=55,6,O284=50,6,O284=45,6,O284=40,5,O284=35,4,O284=30,4,O284=25,3,O284=20,2,O284=15,1,O284=10,1,O284=0,0)</f>
        <v>0</v>
      </c>
      <c r="R284" s="3" t="n">
        <f aca="false">IF(P284&lt;=1,0,IF(P284&lt;=10,11,IF(P284&lt;=14,12,IF(P284&lt;=17,13,IF(P284&lt;=20,14,IF(P284&lt;=22,15,IF(P284&lt;=25,16,IF(P284&lt;=27,17,IF(P284&lt;=29,18,IF(P284&lt;=32,19,IF(P284&lt;=34,20,IF(P284&lt;=36,21,IF(P284&lt;=40,22,24)))))))))))))</f>
        <v>17</v>
      </c>
      <c r="S284" s="14" t="n">
        <f aca="false">ROUND((Q284+R284+I284+J284+M284+N284)/3,0)</f>
        <v>16</v>
      </c>
      <c r="T284" s="15" t="n">
        <f aca="false">F284*LOG10(S284+2)</f>
        <v>12.5527250510331</v>
      </c>
    </row>
    <row r="285" customFormat="false" ht="14.65" hidden="false" customHeight="true" outlineLevel="0" collapsed="false">
      <c r="A285" s="12" t="s">
        <v>323</v>
      </c>
      <c r="B285" s="13" t="n">
        <v>38886</v>
      </c>
      <c r="C285" s="3" t="s">
        <v>24</v>
      </c>
      <c r="D285" s="4" t="s">
        <v>296</v>
      </c>
      <c r="E285" s="3" t="n">
        <v>4</v>
      </c>
      <c r="F285" s="3" t="n">
        <v>10</v>
      </c>
      <c r="H285" s="3" t="n">
        <v>37</v>
      </c>
      <c r="I285" s="3" t="n">
        <f aca="false">_xlfn.IFS(G285="взв",11,G285="накл",24,G285="прокл",25,G285="пт",26,G285=90,10,G285=85,10,G285=80,9,G285=75,8,G285=70,8,G285=65,7,G285=60,7,G285=55,6,G285=50,6,G285=45,6,G285=40,5,G285=35,4,G285=30,4,G285=25,3,G285=20,2,G285=15,1,G285=10,1,G285=0,0)</f>
        <v>0</v>
      </c>
      <c r="J285" s="3" t="n">
        <f aca="false">IF(H285&lt;=1,0,IF(H285&lt;=10,11,IF(H285&lt;=14,12,IF(H285&lt;=17,13,IF(H285&lt;=20,14,IF(H285&lt;=22,15,IF(H285&lt;=25,16,IF(H285&lt;=27,17,IF(H285&lt;=29,18,IF(H285&lt;=32,19,IF(H285&lt;=34,20,IF(H285&lt;=36,21,IF(H285&lt;=40,22,24)))))))))))))</f>
        <v>22</v>
      </c>
      <c r="L285" s="3" t="n">
        <v>37</v>
      </c>
      <c r="M285" s="3" t="n">
        <f aca="false">_xlfn.IFS(K285="взв",11,K285="накл",24,K285="прокл",25,K285="пт",26,K285=90,10,K285=85,10,K285=80,9,K285=75,8,K285=70,8,K285=65,7,K285=60,7,K285=55,6,K285=50,6,K285=45,6,K285=40,5,K285=35,4,K285=30,4,K285=25,3,K285=20,2,K285=15,1,K285=10,1,K285=0,0)</f>
        <v>0</v>
      </c>
      <c r="N285" s="3" t="n">
        <f aca="false">IF(L285&lt;=1,0,IF(L285&lt;=10,11,IF(L285&lt;=14,12,IF(L285&lt;=17,13,IF(L285&lt;=20,14,IF(L285&lt;=22,15,IF(L285&lt;=25,16,IF(L285&lt;=27,17,IF(L285&lt;=29,18,IF(L285&lt;=32,19,IF(L285&lt;=34,20,IF(L285&lt;=36,21,IF(L285&lt;=40,22,24)))))))))))))</f>
        <v>22</v>
      </c>
      <c r="P285" s="3" t="n">
        <v>33</v>
      </c>
      <c r="Q285" s="3" t="n">
        <f aca="false">_xlfn.IFS(O285="взв",11,O285="накл",24,O285="прокл",25,O285="пт",26,O285=90,10,O285=85,10,O285=80,9,O285=75,8,O285=70,8,O285=65,7,O285=60,7,O285=55,6,O285=50,6,O285=45,6,O285=40,5,O285=35,4,O285=30,4,O285=25,3,O285=20,2,O285=15,1,O285=10,1,O285=0,0)</f>
        <v>0</v>
      </c>
      <c r="R285" s="3" t="n">
        <f aca="false">IF(P285&lt;=1,0,IF(P285&lt;=10,11,IF(P285&lt;=14,12,IF(P285&lt;=17,13,IF(P285&lt;=20,14,IF(P285&lt;=22,15,IF(P285&lt;=25,16,IF(P285&lt;=27,17,IF(P285&lt;=29,18,IF(P285&lt;=32,19,IF(P285&lt;=34,20,IF(P285&lt;=36,21,IF(P285&lt;=40,22,24)))))))))))))</f>
        <v>20</v>
      </c>
      <c r="S285" s="14" t="n">
        <f aca="false">ROUND((Q285+R285+I285+J285+M285+N285)/3,0)</f>
        <v>21</v>
      </c>
      <c r="T285" s="15" t="n">
        <f aca="false">F285*LOG10(S285+2)</f>
        <v>13.6172783601759</v>
      </c>
    </row>
    <row r="286" customFormat="false" ht="14.65" hidden="false" customHeight="true" outlineLevel="0" collapsed="false">
      <c r="A286" s="12" t="s">
        <v>324</v>
      </c>
      <c r="B286" s="13" t="n">
        <v>38886</v>
      </c>
      <c r="C286" s="3" t="s">
        <v>24</v>
      </c>
      <c r="D286" s="4" t="s">
        <v>296</v>
      </c>
      <c r="E286" s="3" t="n">
        <v>4</v>
      </c>
      <c r="F286" s="3" t="n">
        <v>10</v>
      </c>
      <c r="G286" s="3" t="n">
        <v>90</v>
      </c>
      <c r="I286" s="3" t="n">
        <f aca="false">_xlfn.IFS(G286="взв",11,G286="накл",24,G286="прокл",25,G286="пт",26,G286=90,10,G286=85,10,G286=80,9,G286=75,8,G286=70,8,G286=65,7,G286=60,7,G286=55,6,G286=50,6,G286=45,6,G286=40,5,G286=35,4,G286=30,4,G286=25,3,G286=20,2,G286=15,1,G286=10,1,G286=0,0)</f>
        <v>10</v>
      </c>
      <c r="J286" s="3" t="n">
        <f aca="false">IF(H286&lt;=1,0,IF(H286&lt;=10,11,IF(H286&lt;=14,12,IF(H286&lt;=17,13,IF(H286&lt;=20,14,IF(H286&lt;=22,15,IF(H286&lt;=25,16,IF(H286&lt;=27,17,IF(H286&lt;=29,18,IF(H286&lt;=32,19,IF(H286&lt;=34,20,IF(H286&lt;=36,21,IF(H286&lt;=40,22,24)))))))))))))</f>
        <v>0</v>
      </c>
      <c r="K286" s="3" t="n">
        <v>90</v>
      </c>
      <c r="M286" s="3" t="n">
        <f aca="false">_xlfn.IFS(K286="взв",11,K286="накл",24,K286="прокл",25,K286="пт",26,K286=90,10,K286=85,10,K286=80,9,K286=75,8,K286=70,8,K286=65,7,K286=60,7,K286=55,6,K286=50,6,K286=45,6,K286=40,5,K286=35,4,K286=30,4,K286=25,3,K286=20,2,K286=15,1,K286=10,1,K286=0,0)</f>
        <v>10</v>
      </c>
      <c r="N286" s="3" t="n">
        <f aca="false">IF(L286&lt;=1,0,IF(L286&lt;=10,11,IF(L286&lt;=14,12,IF(L286&lt;=17,13,IF(L286&lt;=20,14,IF(L286&lt;=22,15,IF(L286&lt;=25,16,IF(L286&lt;=27,17,IF(L286&lt;=29,18,IF(L286&lt;=32,19,IF(L286&lt;=34,20,IF(L286&lt;=36,21,IF(L286&lt;=40,22,24)))))))))))))</f>
        <v>0</v>
      </c>
      <c r="O286" s="3" t="n">
        <v>90</v>
      </c>
      <c r="Q286" s="3" t="n">
        <f aca="false">_xlfn.IFS(O286="взв",11,O286="накл",24,O286="прокл",25,O286="пт",26,O286=90,10,O286=85,10,O286=80,9,O286=75,8,O286=70,8,O286=65,7,O286=60,7,O286=55,6,O286=50,6,O286=45,6,O286=40,5,O286=35,4,O286=30,4,O286=25,3,O286=20,2,O286=15,1,O286=10,1,O286=0,0)</f>
        <v>10</v>
      </c>
      <c r="R286" s="3" t="n">
        <f aca="false">IF(P286&lt;=1,0,IF(P286&lt;=10,11,IF(P286&lt;=14,12,IF(P286&lt;=17,13,IF(P286&lt;=20,14,IF(P286&lt;=22,15,IF(P286&lt;=25,16,IF(P286&lt;=27,17,IF(P286&lt;=29,18,IF(P286&lt;=32,19,IF(P286&lt;=34,20,IF(P286&lt;=36,21,IF(P286&lt;=40,22,24)))))))))))))</f>
        <v>0</v>
      </c>
      <c r="S286" s="14" t="n">
        <f aca="false">ROUND((Q286+R286+I286+J286+M286+N286)/3,0)</f>
        <v>10</v>
      </c>
      <c r="T286" s="15" t="n">
        <f aca="false">F286*LOG10(S286+2)</f>
        <v>10.7918124604763</v>
      </c>
    </row>
    <row r="287" customFormat="false" ht="14.65" hidden="false" customHeight="true" outlineLevel="0" collapsed="false">
      <c r="A287" s="12" t="s">
        <v>325</v>
      </c>
      <c r="B287" s="13" t="n">
        <v>38886</v>
      </c>
      <c r="C287" s="3" t="s">
        <v>24</v>
      </c>
      <c r="D287" s="4" t="s">
        <v>296</v>
      </c>
      <c r="E287" s="3" t="n">
        <v>4</v>
      </c>
      <c r="F287" s="3" t="n">
        <v>11</v>
      </c>
      <c r="G287" s="3" t="n">
        <v>90</v>
      </c>
      <c r="I287" s="3" t="n">
        <f aca="false">_xlfn.IFS(G287="взв",11,G287="накл",24,G287="прокл",25,G287="пт",26,G287=90,10,G287=85,10,G287=80,9,G287=75,8,G287=70,8,G287=65,7,G287=60,7,G287=55,6,G287=50,6,G287=45,6,G287=40,5,G287=35,4,G287=30,4,G287=25,3,G287=20,2,G287=15,1,G287=10,1,G287=0,0)</f>
        <v>10</v>
      </c>
      <c r="J287" s="3" t="n">
        <f aca="false">IF(H287&lt;=1,0,IF(H287&lt;=10,11,IF(H287&lt;=14,12,IF(H287&lt;=17,13,IF(H287&lt;=20,14,IF(H287&lt;=22,15,IF(H287&lt;=25,16,IF(H287&lt;=27,17,IF(H287&lt;=29,18,IF(H287&lt;=32,19,IF(H287&lt;=34,20,IF(H287&lt;=36,21,IF(H287&lt;=40,22,24)))))))))))))</f>
        <v>0</v>
      </c>
      <c r="K287" s="3" t="n">
        <v>90</v>
      </c>
      <c r="M287" s="3" t="n">
        <f aca="false">_xlfn.IFS(K287="взв",11,K287="накл",24,K287="прокл",25,K287="пт",26,K287=90,10,K287=85,10,K287=80,9,K287=75,8,K287=70,8,K287=65,7,K287=60,7,K287=55,6,K287=50,6,K287=45,6,K287=40,5,K287=35,4,K287=30,4,K287=25,3,K287=20,2,K287=15,1,K287=10,1,K287=0,0)</f>
        <v>10</v>
      </c>
      <c r="N287" s="3" t="n">
        <f aca="false">IF(L287&lt;=1,0,IF(L287&lt;=10,11,IF(L287&lt;=14,12,IF(L287&lt;=17,13,IF(L287&lt;=20,14,IF(L287&lt;=22,15,IF(L287&lt;=25,16,IF(L287&lt;=27,17,IF(L287&lt;=29,18,IF(L287&lt;=32,19,IF(L287&lt;=34,20,IF(L287&lt;=36,21,IF(L287&lt;=40,22,24)))))))))))))</f>
        <v>0</v>
      </c>
      <c r="O287" s="3" t="n">
        <v>90</v>
      </c>
      <c r="Q287" s="3" t="n">
        <f aca="false">_xlfn.IFS(O287="взв",11,O287="накл",24,O287="прокл",25,O287="пт",26,O287=90,10,O287=85,10,O287=80,9,O287=75,8,O287=70,8,O287=65,7,O287=60,7,O287=55,6,O287=50,6,O287=45,6,O287=40,5,O287=35,4,O287=30,4,O287=25,3,O287=20,2,O287=15,1,O287=10,1,O287=0,0)</f>
        <v>10</v>
      </c>
      <c r="R287" s="3" t="n">
        <f aca="false">IF(P287&lt;=1,0,IF(P287&lt;=10,11,IF(P287&lt;=14,12,IF(P287&lt;=17,13,IF(P287&lt;=20,14,IF(P287&lt;=22,15,IF(P287&lt;=25,16,IF(P287&lt;=27,17,IF(P287&lt;=29,18,IF(P287&lt;=32,19,IF(P287&lt;=34,20,IF(P287&lt;=36,21,IF(P287&lt;=40,22,24)))))))))))))</f>
        <v>0</v>
      </c>
      <c r="S287" s="14" t="n">
        <f aca="false">ROUND((Q287+R287+I287+J287+M287+N287)/3,0)</f>
        <v>10</v>
      </c>
      <c r="T287" s="15" t="n">
        <f aca="false">F287*LOG10(S287+2)</f>
        <v>11.8709937065239</v>
      </c>
    </row>
    <row r="288" customFormat="false" ht="14.65" hidden="false" customHeight="true" outlineLevel="0" collapsed="false">
      <c r="A288" s="12" t="s">
        <v>326</v>
      </c>
      <c r="B288" s="13" t="n">
        <v>38886</v>
      </c>
      <c r="C288" s="3" t="s">
        <v>24</v>
      </c>
      <c r="D288" s="4" t="s">
        <v>296</v>
      </c>
      <c r="E288" s="3" t="n">
        <v>2</v>
      </c>
      <c r="F288" s="3" t="n">
        <v>15</v>
      </c>
      <c r="G288" s="3" t="n">
        <v>15</v>
      </c>
      <c r="I288" s="3" t="n">
        <f aca="false">_xlfn.IFS(G288="взв",11,G288="накл",24,G288="прокл",25,G288="пт",26,G288=90,10,G288=85,10,G288=80,9,G288=75,8,G288=70,8,G288=65,7,G288=60,7,G288=55,6,G288=50,6,G288=45,6,G288=40,5,G288=35,4,G288=30,4,G288=25,3,G288=20,2,G288=15,1,G288=10,1,G288=0,0)</f>
        <v>1</v>
      </c>
      <c r="J288" s="3" t="n">
        <f aca="false">IF(H288&lt;=1,0,IF(H288&lt;=10,11,IF(H288&lt;=14,12,IF(H288&lt;=17,13,IF(H288&lt;=20,14,IF(H288&lt;=22,15,IF(H288&lt;=25,16,IF(H288&lt;=27,17,IF(H288&lt;=29,18,IF(H288&lt;=32,19,IF(H288&lt;=34,20,IF(H288&lt;=36,21,IF(H288&lt;=40,22,24)))))))))))))</f>
        <v>0</v>
      </c>
      <c r="K288" s="3" t="n">
        <v>15</v>
      </c>
      <c r="M288" s="3" t="n">
        <f aca="false">_xlfn.IFS(K288="взв",11,K288="накл",24,K288="прокл",25,K288="пт",26,K288=90,10,K288=85,10,K288=80,9,K288=75,8,K288=70,8,K288=65,7,K288=60,7,K288=55,6,K288=50,6,K288=45,6,K288=40,5,K288=35,4,K288=30,4,K288=25,3,K288=20,2,K288=15,1,K288=10,1,K288=0,0)</f>
        <v>1</v>
      </c>
      <c r="N288" s="3" t="n">
        <f aca="false">IF(L288&lt;=1,0,IF(L288&lt;=10,11,IF(L288&lt;=14,12,IF(L288&lt;=17,13,IF(L288&lt;=20,14,IF(L288&lt;=22,15,IF(L288&lt;=25,16,IF(L288&lt;=27,17,IF(L288&lt;=29,18,IF(L288&lt;=32,19,IF(L288&lt;=34,20,IF(L288&lt;=36,21,IF(L288&lt;=40,22,24)))))))))))))</f>
        <v>0</v>
      </c>
      <c r="Q288" s="3" t="n">
        <f aca="false">_xlfn.IFS(O288="взв",11,O288="накл",24,O288="прокл",25,O288="пт",26,O288=90,10,O288=85,10,O288=80,9,O288=75,8,O288=70,8,O288=65,7,O288=60,7,O288=55,6,O288=50,6,O288=45,6,O288=40,5,O288=35,4,O288=30,4,O288=25,3,O288=20,2,O288=15,1,O288=10,1,O288=0,0)</f>
        <v>0</v>
      </c>
      <c r="R288" s="3" t="n">
        <f aca="false">IF(P288&lt;=1,0,IF(P288&lt;=10,11,IF(P288&lt;=14,12,IF(P288&lt;=17,13,IF(P288&lt;=20,14,IF(P288&lt;=22,15,IF(P288&lt;=25,16,IF(P288&lt;=27,17,IF(P288&lt;=29,18,IF(P288&lt;=32,19,IF(P288&lt;=34,20,IF(P288&lt;=36,21,IF(P288&lt;=40,22,24)))))))))))))</f>
        <v>0</v>
      </c>
      <c r="S288" s="14" t="n">
        <f aca="false">ROUND((Q288+R288+I288+J288+M288+N288)/3,0)</f>
        <v>1</v>
      </c>
      <c r="T288" s="15" t="n">
        <f aca="false">F288*LOG10(S288+2)</f>
        <v>7.15681882079494</v>
      </c>
    </row>
    <row r="289" customFormat="false" ht="14.65" hidden="false" customHeight="true" outlineLevel="0" collapsed="false">
      <c r="A289" s="12" t="s">
        <v>327</v>
      </c>
      <c r="B289" s="13" t="n">
        <v>38886</v>
      </c>
      <c r="C289" s="3" t="s">
        <v>24</v>
      </c>
      <c r="D289" s="4" t="s">
        <v>296</v>
      </c>
      <c r="E289" s="3" t="n">
        <v>4</v>
      </c>
      <c r="F289" s="3" t="n">
        <v>0</v>
      </c>
      <c r="H289" s="3" t="n">
        <v>32</v>
      </c>
      <c r="I289" s="3" t="n">
        <f aca="false">_xlfn.IFS(G289="взв",11,G289="накл",24,G289="прокл",25,G289="пт",26,G289=90,10,G289=85,10,G289=80,9,G289=75,8,G289=70,8,G289=65,7,G289=60,7,G289=55,6,G289=50,6,G289=45,6,G289=40,5,G289=35,4,G289=30,4,G289=25,3,G289=20,2,G289=15,1,G289=10,1,G289=0,0)</f>
        <v>0</v>
      </c>
      <c r="J289" s="3" t="n">
        <f aca="false">IF(H289&lt;=1,0,IF(H289&lt;=10,11,IF(H289&lt;=14,12,IF(H289&lt;=17,13,IF(H289&lt;=20,14,IF(H289&lt;=22,15,IF(H289&lt;=25,16,IF(H289&lt;=27,17,IF(H289&lt;=29,18,IF(H289&lt;=32,19,IF(H289&lt;=34,20,IF(H289&lt;=36,21,IF(H289&lt;=40,22,24)))))))))))))</f>
        <v>19</v>
      </c>
      <c r="L289" s="3" t="n">
        <v>30</v>
      </c>
      <c r="M289" s="3" t="n">
        <f aca="false">_xlfn.IFS(K289="взв",11,K289="накл",24,K289="прокл",25,K289="пт",26,K289=90,10,K289=85,10,K289=80,9,K289=75,8,K289=70,8,K289=65,7,K289=60,7,K289=55,6,K289=50,6,K289=45,6,K289=40,5,K289=35,4,K289=30,4,K289=25,3,K289=20,2,K289=15,1,K289=10,1,K289=0,0)</f>
        <v>0</v>
      </c>
      <c r="N289" s="3" t="n">
        <f aca="false">IF(L289&lt;=1,0,IF(L289&lt;=10,11,IF(L289&lt;=14,12,IF(L289&lt;=17,13,IF(L289&lt;=20,14,IF(L289&lt;=22,15,IF(L289&lt;=25,16,IF(L289&lt;=27,17,IF(L289&lt;=29,18,IF(L289&lt;=32,19,IF(L289&lt;=34,20,IF(L289&lt;=36,21,IF(L289&lt;=40,22,24)))))))))))))</f>
        <v>19</v>
      </c>
      <c r="P289" s="3" t="n">
        <v>30</v>
      </c>
      <c r="Q289" s="3" t="n">
        <f aca="false">_xlfn.IFS(O289="взв",11,O289="накл",24,O289="прокл",25,O289="пт",26,O289=90,10,O289=85,10,O289=80,9,O289=75,8,O289=70,8,O289=65,7,O289=60,7,O289=55,6,O289=50,6,O289=45,6,O289=40,5,O289=35,4,O289=30,4,O289=25,3,O289=20,2,O289=15,1,O289=10,1,O289=0,0)</f>
        <v>0</v>
      </c>
      <c r="R289" s="3" t="n">
        <f aca="false">IF(P289&lt;=1,0,IF(P289&lt;=10,11,IF(P289&lt;=14,12,IF(P289&lt;=17,13,IF(P289&lt;=20,14,IF(P289&lt;=22,15,IF(P289&lt;=25,16,IF(P289&lt;=27,17,IF(P289&lt;=29,18,IF(P289&lt;=32,19,IF(P289&lt;=34,20,IF(P289&lt;=36,21,IF(P289&lt;=40,22,24)))))))))))))</f>
        <v>19</v>
      </c>
      <c r="S289" s="14" t="n">
        <f aca="false">ROUND((Q289+R289+I289+J289+M289+N289)/3,0)</f>
        <v>19</v>
      </c>
      <c r="T289" s="15" t="n">
        <f aca="false">F289*LOG10(S289+2)</f>
        <v>0</v>
      </c>
    </row>
    <row r="290" customFormat="false" ht="14.65" hidden="false" customHeight="true" outlineLevel="0" collapsed="false">
      <c r="A290" s="12" t="s">
        <v>328</v>
      </c>
      <c r="B290" s="16" t="n">
        <v>38888</v>
      </c>
      <c r="C290" s="17" t="s">
        <v>228</v>
      </c>
      <c r="D290" s="4" t="s">
        <v>329</v>
      </c>
      <c r="E290" s="3" t="n">
        <v>4</v>
      </c>
      <c r="F290" s="3" t="n">
        <v>11</v>
      </c>
      <c r="G290" s="3" t="n">
        <v>30</v>
      </c>
      <c r="I290" s="3" t="n">
        <f aca="false">_xlfn.IFS(G290="взв",11,G290="накл",24,G290="прокл",25,G290="пт",26,G290=90,10,G290=85,10,G290=80,9,G290=75,8,G290=70,8,G290=65,7,G290=60,7,G290=55,6,G290=50,6,G290=45,6,G290=40,5,G290=35,4,G290=30,4,G290=25,3,G290=20,2,G290=15,1,G290=10,1,G290=0,0)</f>
        <v>4</v>
      </c>
      <c r="J290" s="3" t="n">
        <f aca="false">IF(H290&lt;=1,0,IF(H290&lt;=10,11,IF(H290&lt;=14,12,IF(H290&lt;=17,13,IF(H290&lt;=20,14,IF(H290&lt;=22,15,IF(H290&lt;=25,16,IF(H290&lt;=27,17,IF(H290&lt;=29,18,IF(H290&lt;=32,19,IF(H290&lt;=34,20,IF(H290&lt;=36,21,IF(H290&lt;=40,22,24)))))))))))))</f>
        <v>0</v>
      </c>
      <c r="K290" s="3" t="n">
        <v>30</v>
      </c>
      <c r="M290" s="3" t="n">
        <f aca="false">_xlfn.IFS(K290="взв",11,K290="накл",24,K290="прокл",25,K290="пт",26,K290=90,10,K290=85,10,K290=80,9,K290=75,8,K290=70,8,K290=65,7,K290=60,7,K290=55,6,K290=50,6,K290=45,6,K290=40,5,K290=35,4,K290=30,4,K290=25,3,K290=20,2,K290=15,1,K290=10,1,K290=0,0)</f>
        <v>4</v>
      </c>
      <c r="N290" s="3" t="n">
        <f aca="false">IF(L290&lt;=1,0,IF(L290&lt;=10,11,IF(L290&lt;=14,12,IF(L290&lt;=17,13,IF(L290&lt;=20,14,IF(L290&lt;=22,15,IF(L290&lt;=25,16,IF(L290&lt;=27,17,IF(L290&lt;=29,18,IF(L290&lt;=32,19,IF(L290&lt;=34,20,IF(L290&lt;=36,21,IF(L290&lt;=40,22,24)))))))))))))</f>
        <v>0</v>
      </c>
      <c r="O290" s="3" t="n">
        <v>15</v>
      </c>
      <c r="Q290" s="3" t="n">
        <f aca="false">_xlfn.IFS(O290="взв",11,O290="накл",24,O290="прокл",25,O290="пт",26,O290=90,10,O290=85,10,O290=80,9,O290=75,8,O290=70,8,O290=65,7,O290=60,7,O290=55,6,O290=50,6,O290=45,6,O290=40,5,O290=35,4,O290=30,4,O290=25,3,O290=20,2,O290=15,1,O290=10,1,O290=0,0)</f>
        <v>1</v>
      </c>
      <c r="R290" s="3" t="n">
        <f aca="false">IF(P290&lt;=1,0,IF(P290&lt;=10,11,IF(P290&lt;=14,12,IF(P290&lt;=17,13,IF(P290&lt;=20,14,IF(P290&lt;=22,15,IF(P290&lt;=25,16,IF(P290&lt;=27,17,IF(P290&lt;=29,18,IF(P290&lt;=32,19,IF(P290&lt;=34,20,IF(P290&lt;=36,21,IF(P290&lt;=40,22,24)))))))))))))</f>
        <v>0</v>
      </c>
      <c r="S290" s="14" t="n">
        <f aca="false">ROUND((Q290+R290+I290+J290+M290+N290)/3,0)</f>
        <v>3</v>
      </c>
      <c r="T290" s="15" t="n">
        <f aca="false">F290*LOG10(S290+2)</f>
        <v>7.68867004769621</v>
      </c>
    </row>
    <row r="291" customFormat="false" ht="14.65" hidden="false" customHeight="true" outlineLevel="0" collapsed="false">
      <c r="A291" s="12" t="s">
        <v>330</v>
      </c>
      <c r="B291" s="16" t="n">
        <v>38887</v>
      </c>
      <c r="C291" s="3" t="s">
        <v>24</v>
      </c>
      <c r="D291" s="4" t="s">
        <v>331</v>
      </c>
      <c r="E291" s="3" t="n">
        <v>6</v>
      </c>
      <c r="F291" s="3" t="n">
        <v>0</v>
      </c>
      <c r="G291" s="3" t="n">
        <v>75</v>
      </c>
      <c r="I291" s="3" t="n">
        <f aca="false">_xlfn.IFS(G291="взв",11,G291="накл",24,G291="прокл",25,G291="пт",26,G291=90,10,G291=85,10,G291=80,9,G291=75,8,G291=70,8,G291=65,7,G291=60,7,G291=55,6,G291=50,6,G291=45,6,G291=40,5,G291=35,4,G291=30,4,G291=25,3,G291=20,2,G291=15,1,G291=10,1,G291=0,0)</f>
        <v>8</v>
      </c>
      <c r="J291" s="3" t="n">
        <f aca="false">IF(H291&lt;=1,0,IF(H291&lt;=10,11,IF(H291&lt;=14,12,IF(H291&lt;=17,13,IF(H291&lt;=20,14,IF(H291&lt;=22,15,IF(H291&lt;=25,16,IF(H291&lt;=27,17,IF(H291&lt;=29,18,IF(H291&lt;=32,19,IF(H291&lt;=34,20,IF(H291&lt;=36,21,IF(H291&lt;=40,22,24)))))))))))))</f>
        <v>0</v>
      </c>
      <c r="K291" s="3" t="n">
        <v>90</v>
      </c>
      <c r="M291" s="3" t="n">
        <f aca="false">_xlfn.IFS(K291="взв",11,K291="накл",24,K291="прокл",25,K291="пт",26,K291=90,10,K291=85,10,K291=80,9,K291=75,8,K291=70,8,K291=65,7,K291=60,7,K291=55,6,K291=50,6,K291=45,6,K291=40,5,K291=35,4,K291=30,4,K291=25,3,K291=20,2,K291=15,1,K291=10,1,K291=0,0)</f>
        <v>10</v>
      </c>
      <c r="N291" s="3" t="n">
        <f aca="false">IF(L291&lt;=1,0,IF(L291&lt;=10,11,IF(L291&lt;=14,12,IF(L291&lt;=17,13,IF(L291&lt;=20,14,IF(L291&lt;=22,15,IF(L291&lt;=25,16,IF(L291&lt;=27,17,IF(L291&lt;=29,18,IF(L291&lt;=32,19,IF(L291&lt;=34,20,IF(L291&lt;=36,21,IF(L291&lt;=40,22,24)))))))))))))</f>
        <v>0</v>
      </c>
      <c r="O291" s="3" t="n">
        <v>90</v>
      </c>
      <c r="Q291" s="3" t="n">
        <f aca="false">_xlfn.IFS(O291="взв",11,O291="накл",24,O291="прокл",25,O291="пт",26,O291=90,10,O291=85,10,O291=80,9,O291=75,8,O291=70,8,O291=65,7,O291=60,7,O291=55,6,O291=50,6,O291=45,6,O291=40,5,O291=35,4,O291=30,4,O291=25,3,O291=20,2,O291=15,1,O291=10,1,O291=0,0)</f>
        <v>10</v>
      </c>
      <c r="R291" s="3" t="n">
        <f aca="false">IF(P291&lt;=1,0,IF(P291&lt;=10,11,IF(P291&lt;=14,12,IF(P291&lt;=17,13,IF(P291&lt;=20,14,IF(P291&lt;=22,15,IF(P291&lt;=25,16,IF(P291&lt;=27,17,IF(P291&lt;=29,18,IF(P291&lt;=32,19,IF(P291&lt;=34,20,IF(P291&lt;=36,21,IF(P291&lt;=40,22,24)))))))))))))</f>
        <v>0</v>
      </c>
      <c r="S291" s="14" t="n">
        <f aca="false">ROUND((Q291+R291+I291+J291+M291+N291)/3,0)</f>
        <v>9</v>
      </c>
      <c r="T291" s="15" t="n">
        <f aca="false">F291*LOG10(S291+2)</f>
        <v>0</v>
      </c>
    </row>
    <row r="292" customFormat="false" ht="14.65" hidden="false" customHeight="true" outlineLevel="0" collapsed="false">
      <c r="A292" s="12" t="s">
        <v>332</v>
      </c>
      <c r="B292" s="16" t="n">
        <v>38887</v>
      </c>
      <c r="C292" s="3" t="s">
        <v>24</v>
      </c>
      <c r="D292" s="4" t="s">
        <v>331</v>
      </c>
      <c r="E292" s="3" t="n">
        <v>4</v>
      </c>
      <c r="F292" s="3" t="n">
        <v>0</v>
      </c>
      <c r="H292" s="3" t="n">
        <v>31</v>
      </c>
      <c r="I292" s="3" t="n">
        <f aca="false">_xlfn.IFS(G292="взв",11,G292="накл",24,G292="прокл",25,G292="пт",26,G292=90,10,G292=85,10,G292=80,9,G292=75,8,G292=70,8,G292=65,7,G292=60,7,G292=55,6,G292=50,6,G292=45,6,G292=40,5,G292=35,4,G292=30,4,G292=25,3,G292=20,2,G292=15,1,G292=10,1,G292=0,0)</f>
        <v>0</v>
      </c>
      <c r="J292" s="3" t="n">
        <f aca="false">IF(H292&lt;=1,0,IF(H292&lt;=10,11,IF(H292&lt;=14,12,IF(H292&lt;=17,13,IF(H292&lt;=20,14,IF(H292&lt;=22,15,IF(H292&lt;=25,16,IF(H292&lt;=27,17,IF(H292&lt;=29,18,IF(H292&lt;=32,19,IF(H292&lt;=34,20,IF(H292&lt;=36,21,IF(H292&lt;=40,22,24)))))))))))))</f>
        <v>19</v>
      </c>
      <c r="L292" s="3" t="n">
        <v>34</v>
      </c>
      <c r="M292" s="3" t="n">
        <f aca="false">_xlfn.IFS(K292="взв",11,K292="накл",24,K292="прокл",25,K292="пт",26,K292=90,10,K292=85,10,K292=80,9,K292=75,8,K292=70,8,K292=65,7,K292=60,7,K292=55,6,K292=50,6,K292=45,6,K292=40,5,K292=35,4,K292=30,4,K292=25,3,K292=20,2,K292=15,1,K292=10,1,K292=0,0)</f>
        <v>0</v>
      </c>
      <c r="N292" s="3" t="n">
        <f aca="false">IF(L292&lt;=1,0,IF(L292&lt;=10,11,IF(L292&lt;=14,12,IF(L292&lt;=17,13,IF(L292&lt;=20,14,IF(L292&lt;=22,15,IF(L292&lt;=25,16,IF(L292&lt;=27,17,IF(L292&lt;=29,18,IF(L292&lt;=32,19,IF(L292&lt;=34,20,IF(L292&lt;=36,21,IF(L292&lt;=40,22,24)))))))))))))</f>
        <v>20</v>
      </c>
      <c r="P292" s="3" t="n">
        <v>36</v>
      </c>
      <c r="Q292" s="3" t="n">
        <f aca="false">_xlfn.IFS(O292="взв",11,O292="накл",24,O292="прокл",25,O292="пт",26,O292=90,10,O292=85,10,O292=80,9,O292=75,8,O292=70,8,O292=65,7,O292=60,7,O292=55,6,O292=50,6,O292=45,6,O292=40,5,O292=35,4,O292=30,4,O292=25,3,O292=20,2,O292=15,1,O292=10,1,O292=0,0)</f>
        <v>0</v>
      </c>
      <c r="R292" s="3" t="n">
        <f aca="false">IF(P292&lt;=1,0,IF(P292&lt;=10,11,IF(P292&lt;=14,12,IF(P292&lt;=17,13,IF(P292&lt;=20,14,IF(P292&lt;=22,15,IF(P292&lt;=25,16,IF(P292&lt;=27,17,IF(P292&lt;=29,18,IF(P292&lt;=32,19,IF(P292&lt;=34,20,IF(P292&lt;=36,21,IF(P292&lt;=40,22,24)))))))))))))</f>
        <v>21</v>
      </c>
      <c r="S292" s="14" t="n">
        <f aca="false">ROUND((Q292+R292+I292+J292+M292+N292)/3,0)</f>
        <v>20</v>
      </c>
      <c r="T292" s="15" t="n">
        <f aca="false">F292*LOG10(S292+2)</f>
        <v>0</v>
      </c>
    </row>
    <row r="293" customFormat="false" ht="14.65" hidden="false" customHeight="true" outlineLevel="0" collapsed="false">
      <c r="A293" s="12" t="s">
        <v>333</v>
      </c>
      <c r="B293" s="13" t="n">
        <v>38887</v>
      </c>
      <c r="C293" s="3" t="s">
        <v>24</v>
      </c>
      <c r="D293" s="4" t="s">
        <v>331</v>
      </c>
      <c r="E293" s="3" t="n">
        <v>6</v>
      </c>
      <c r="F293" s="3" t="n">
        <v>1</v>
      </c>
      <c r="H293" s="3" t="n">
        <v>28</v>
      </c>
      <c r="I293" s="3" t="n">
        <f aca="false">_xlfn.IFS(G293="взв",11,G293="накл",24,G293="прокл",25,G293="пт",26,G293=90,10,G293=85,10,G293=80,9,G293=75,8,G293=70,8,G293=65,7,G293=60,7,G293=55,6,G293=50,6,G293=45,6,G293=40,5,G293=35,4,G293=30,4,G293=25,3,G293=20,2,G293=15,1,G293=10,1,G293=0,0)</f>
        <v>0</v>
      </c>
      <c r="J293" s="3" t="n">
        <f aca="false">IF(H293&lt;=1,0,IF(H293&lt;=10,11,IF(H293&lt;=14,12,IF(H293&lt;=17,13,IF(H293&lt;=20,14,IF(H293&lt;=22,15,IF(H293&lt;=25,16,IF(H293&lt;=27,17,IF(H293&lt;=29,18,IF(H293&lt;=32,19,IF(H293&lt;=34,20,IF(H293&lt;=36,21,IF(H293&lt;=40,22,24)))))))))))))</f>
        <v>18</v>
      </c>
      <c r="L293" s="3" t="n">
        <v>32</v>
      </c>
      <c r="M293" s="3" t="n">
        <f aca="false">_xlfn.IFS(K293="взв",11,K293="накл",24,K293="прокл",25,K293="пт",26,K293=90,10,K293=85,10,K293=80,9,K293=75,8,K293=70,8,K293=65,7,K293=60,7,K293=55,6,K293=50,6,K293=45,6,K293=40,5,K293=35,4,K293=30,4,K293=25,3,K293=20,2,K293=15,1,K293=10,1,K293=0,0)</f>
        <v>0</v>
      </c>
      <c r="N293" s="3" t="n">
        <f aca="false">IF(L293&lt;=1,0,IF(L293&lt;=10,11,IF(L293&lt;=14,12,IF(L293&lt;=17,13,IF(L293&lt;=20,14,IF(L293&lt;=22,15,IF(L293&lt;=25,16,IF(L293&lt;=27,17,IF(L293&lt;=29,18,IF(L293&lt;=32,19,IF(L293&lt;=34,20,IF(L293&lt;=36,21,IF(L293&lt;=40,22,24)))))))))))))</f>
        <v>19</v>
      </c>
      <c r="P293" s="3" t="n">
        <v>32</v>
      </c>
      <c r="Q293" s="3" t="n">
        <f aca="false">_xlfn.IFS(O293="взв",11,O293="накл",24,O293="прокл",25,O293="пт",26,O293=90,10,O293=85,10,O293=80,9,O293=75,8,O293=70,8,O293=65,7,O293=60,7,O293=55,6,O293=50,6,O293=45,6,O293=40,5,O293=35,4,O293=30,4,O293=25,3,O293=20,2,O293=15,1,O293=10,1,O293=0,0)</f>
        <v>0</v>
      </c>
      <c r="R293" s="3" t="n">
        <f aca="false">IF(P293&lt;=1,0,IF(P293&lt;=10,11,IF(P293&lt;=14,12,IF(P293&lt;=17,13,IF(P293&lt;=20,14,IF(P293&lt;=22,15,IF(P293&lt;=25,16,IF(P293&lt;=27,17,IF(P293&lt;=29,18,IF(P293&lt;=32,19,IF(P293&lt;=34,20,IF(P293&lt;=36,21,IF(P293&lt;=40,22,24)))))))))))))</f>
        <v>19</v>
      </c>
      <c r="S293" s="14" t="n">
        <f aca="false">ROUND((Q293+R293+I293+J293+M293+N293)/3,0)</f>
        <v>19</v>
      </c>
      <c r="T293" s="15" t="n">
        <f aca="false">F293*LOG10(S293+2)</f>
        <v>1.32221929473392</v>
      </c>
    </row>
    <row r="294" customFormat="false" ht="14.65" hidden="false" customHeight="true" outlineLevel="0" collapsed="false">
      <c r="A294" s="12" t="s">
        <v>334</v>
      </c>
      <c r="B294" s="13" t="n">
        <v>38887</v>
      </c>
      <c r="C294" s="3" t="s">
        <v>24</v>
      </c>
      <c r="D294" s="4" t="s">
        <v>331</v>
      </c>
      <c r="E294" s="3" t="s">
        <v>97</v>
      </c>
      <c r="F294" s="3" t="n">
        <v>1</v>
      </c>
      <c r="H294" s="3" t="n">
        <v>32</v>
      </c>
      <c r="I294" s="3" t="n">
        <f aca="false">_xlfn.IFS(G294="взв",11,G294="накл",24,G294="прокл",25,G294="пт",26,G294=90,10,G294=85,10,G294=80,9,G294=75,8,G294=70,8,G294=65,7,G294=60,7,G294=55,6,G294=50,6,G294=45,6,G294=40,5,G294=35,4,G294=30,4,G294=25,3,G294=20,2,G294=15,1,G294=10,1,G294=0,0)</f>
        <v>0</v>
      </c>
      <c r="J294" s="3" t="n">
        <f aca="false">IF(H294&lt;=1,0,IF(H294&lt;=10,11,IF(H294&lt;=14,12,IF(H294&lt;=17,13,IF(H294&lt;=20,14,IF(H294&lt;=22,15,IF(H294&lt;=25,16,IF(H294&lt;=27,17,IF(H294&lt;=29,18,IF(H294&lt;=32,19,IF(H294&lt;=34,20,IF(H294&lt;=36,21,IF(H294&lt;=40,22,24)))))))))))))</f>
        <v>19</v>
      </c>
      <c r="L294" s="3" t="n">
        <v>32</v>
      </c>
      <c r="M294" s="3" t="n">
        <f aca="false">_xlfn.IFS(K294="взв",11,K294="накл",24,K294="прокл",25,K294="пт",26,K294=90,10,K294=85,10,K294=80,9,K294=75,8,K294=70,8,K294=65,7,K294=60,7,K294=55,6,K294=50,6,K294=45,6,K294=40,5,K294=35,4,K294=30,4,K294=25,3,K294=20,2,K294=15,1,K294=10,1,K294=0,0)</f>
        <v>0</v>
      </c>
      <c r="N294" s="3" t="n">
        <f aca="false">IF(L294&lt;=1,0,IF(L294&lt;=10,11,IF(L294&lt;=14,12,IF(L294&lt;=17,13,IF(L294&lt;=20,14,IF(L294&lt;=22,15,IF(L294&lt;=25,16,IF(L294&lt;=27,17,IF(L294&lt;=29,18,IF(L294&lt;=32,19,IF(L294&lt;=34,20,IF(L294&lt;=36,21,IF(L294&lt;=40,22,24)))))))))))))</f>
        <v>19</v>
      </c>
      <c r="P294" s="3" t="n">
        <v>30</v>
      </c>
      <c r="Q294" s="3" t="n">
        <f aca="false">_xlfn.IFS(O294="взв",11,O294="накл",24,O294="прокл",25,O294="пт",26,O294=90,10,O294=85,10,O294=80,9,O294=75,8,O294=70,8,O294=65,7,O294=60,7,O294=55,6,O294=50,6,O294=45,6,O294=40,5,O294=35,4,O294=30,4,O294=25,3,O294=20,2,O294=15,1,O294=10,1,O294=0,0)</f>
        <v>0</v>
      </c>
      <c r="R294" s="3" t="n">
        <f aca="false">IF(P294&lt;=1,0,IF(P294&lt;=10,11,IF(P294&lt;=14,12,IF(P294&lt;=17,13,IF(P294&lt;=20,14,IF(P294&lt;=22,15,IF(P294&lt;=25,16,IF(P294&lt;=27,17,IF(P294&lt;=29,18,IF(P294&lt;=32,19,IF(P294&lt;=34,20,IF(P294&lt;=36,21,IF(P294&lt;=40,22,24)))))))))))))</f>
        <v>19</v>
      </c>
      <c r="S294" s="14" t="n">
        <f aca="false">ROUND((Q294+R294+I294+J294+M294+N294)/3,0)</f>
        <v>19</v>
      </c>
      <c r="T294" s="15" t="n">
        <f aca="false">F294*LOG10(S294+2)</f>
        <v>1.32221929473392</v>
      </c>
    </row>
    <row r="295" customFormat="false" ht="14.65" hidden="false" customHeight="true" outlineLevel="0" collapsed="false">
      <c r="A295" s="12" t="s">
        <v>335</v>
      </c>
      <c r="B295" s="13" t="n">
        <v>38887</v>
      </c>
      <c r="C295" s="3" t="s">
        <v>24</v>
      </c>
      <c r="D295" s="4" t="s">
        <v>331</v>
      </c>
      <c r="E295" s="3" t="n">
        <v>4</v>
      </c>
      <c r="F295" s="3" t="n">
        <v>2</v>
      </c>
      <c r="G295" s="3" t="s">
        <v>38</v>
      </c>
      <c r="I295" s="3" t="n">
        <f aca="false">_xlfn.IFS(G295="взв",11,G295="накл",24,G295="прокл",25,G295="пт",26,G295=90,10,G295=85,10,G295=80,9,G295=75,8,G295=70,8,G295=65,7,G295=60,7,G295=55,6,G295=50,6,G295=45,6,G295=40,5,G295=35,4,G295=30,4,G295=25,3,G295=20,2,G295=15,1,G295=10,1,G295=0,0)</f>
        <v>26</v>
      </c>
      <c r="J295" s="3" t="n">
        <f aca="false">IF(H295&lt;=1,0,IF(H295&lt;=10,11,IF(H295&lt;=14,12,IF(H295&lt;=17,13,IF(H295&lt;=20,14,IF(H295&lt;=22,15,IF(H295&lt;=25,16,IF(H295&lt;=27,17,IF(H295&lt;=29,18,IF(H295&lt;=32,19,IF(H295&lt;=34,20,IF(H295&lt;=36,21,IF(H295&lt;=40,22,24)))))))))))))</f>
        <v>0</v>
      </c>
      <c r="K295" s="3" t="s">
        <v>38</v>
      </c>
      <c r="M295" s="3" t="n">
        <f aca="false">_xlfn.IFS(K295="взв",11,K295="накл",24,K295="прокл",25,K295="пт",26,K295=90,10,K295=85,10,K295=80,9,K295=75,8,K295=70,8,K295=65,7,K295=60,7,K295=55,6,K295=50,6,K295=45,6,K295=40,5,K295=35,4,K295=30,4,K295=25,3,K295=20,2,K295=15,1,K295=10,1,K295=0,0)</f>
        <v>26</v>
      </c>
      <c r="N295" s="3" t="n">
        <f aca="false">IF(L295&lt;=1,0,IF(L295&lt;=10,11,IF(L295&lt;=14,12,IF(L295&lt;=17,13,IF(L295&lt;=20,14,IF(L295&lt;=22,15,IF(L295&lt;=25,16,IF(L295&lt;=27,17,IF(L295&lt;=29,18,IF(L295&lt;=32,19,IF(L295&lt;=34,20,IF(L295&lt;=36,21,IF(L295&lt;=40,22,24)))))))))))))</f>
        <v>0</v>
      </c>
      <c r="O295" s="3" t="s">
        <v>38</v>
      </c>
      <c r="Q295" s="3" t="n">
        <f aca="false">_xlfn.IFS(O295="взв",11,O295="накл",24,O295="прокл",25,O295="пт",26,O295=90,10,O295=85,10,O295=80,9,O295=75,8,O295=70,8,O295=65,7,O295=60,7,O295=55,6,O295=50,6,O295=45,6,O295=40,5,O295=35,4,O295=30,4,O295=25,3,O295=20,2,O295=15,1,O295=10,1,O295=0,0)</f>
        <v>26</v>
      </c>
      <c r="R295" s="3" t="n">
        <f aca="false">IF(P295&lt;=1,0,IF(P295&lt;=10,11,IF(P295&lt;=14,12,IF(P295&lt;=17,13,IF(P295&lt;=20,14,IF(P295&lt;=22,15,IF(P295&lt;=25,16,IF(P295&lt;=27,17,IF(P295&lt;=29,18,IF(P295&lt;=32,19,IF(P295&lt;=34,20,IF(P295&lt;=36,21,IF(P295&lt;=40,22,24)))))))))))))</f>
        <v>0</v>
      </c>
      <c r="S295" s="14" t="n">
        <f aca="false">ROUND((Q295+R295+I295+J295+M295+N295)/3,0)</f>
        <v>26</v>
      </c>
      <c r="T295" s="15" t="n">
        <f aca="false">F295*LOG10(S295+2)</f>
        <v>2.89431606268444</v>
      </c>
    </row>
    <row r="296" customFormat="false" ht="14.65" hidden="false" customHeight="true" outlineLevel="0" collapsed="false">
      <c r="A296" s="12" t="s">
        <v>336</v>
      </c>
      <c r="B296" s="13" t="n">
        <v>38887</v>
      </c>
      <c r="C296" s="3" t="s">
        <v>24</v>
      </c>
      <c r="D296" s="4" t="s">
        <v>331</v>
      </c>
      <c r="E296" s="3" t="n">
        <v>4</v>
      </c>
      <c r="F296" s="3" t="n">
        <v>3</v>
      </c>
      <c r="H296" s="3" t="n">
        <v>33</v>
      </c>
      <c r="I296" s="3" t="n">
        <f aca="false">_xlfn.IFS(G296="взв",11,G296="накл",24,G296="прокл",25,G296="пт",26,G296=90,10,G296=85,10,G296=80,9,G296=75,8,G296=70,8,G296=65,7,G296=60,7,G296=55,6,G296=50,6,G296=45,6,G296=40,5,G296=35,4,G296=30,4,G296=25,3,G296=20,2,G296=15,1,G296=10,1,G296=0,0)</f>
        <v>0</v>
      </c>
      <c r="J296" s="3" t="n">
        <f aca="false">IF(H296&lt;=1,0,IF(H296&lt;=10,11,IF(H296&lt;=14,12,IF(H296&lt;=17,13,IF(H296&lt;=20,14,IF(H296&lt;=22,15,IF(H296&lt;=25,16,IF(H296&lt;=27,17,IF(H296&lt;=29,18,IF(H296&lt;=32,19,IF(H296&lt;=34,20,IF(H296&lt;=36,21,IF(H296&lt;=40,22,24)))))))))))))</f>
        <v>20</v>
      </c>
      <c r="L296" s="3" t="n">
        <v>33</v>
      </c>
      <c r="M296" s="3" t="n">
        <f aca="false">_xlfn.IFS(K296="взв",11,K296="накл",24,K296="прокл",25,K296="пт",26,K296=90,10,K296=85,10,K296=80,9,K296=75,8,K296=70,8,K296=65,7,K296=60,7,K296=55,6,K296=50,6,K296=45,6,K296=40,5,K296=35,4,K296=30,4,K296=25,3,K296=20,2,K296=15,1,K296=10,1,K296=0,0)</f>
        <v>0</v>
      </c>
      <c r="N296" s="3" t="n">
        <f aca="false">IF(L296&lt;=1,0,IF(L296&lt;=10,11,IF(L296&lt;=14,12,IF(L296&lt;=17,13,IF(L296&lt;=20,14,IF(L296&lt;=22,15,IF(L296&lt;=25,16,IF(L296&lt;=27,17,IF(L296&lt;=29,18,IF(L296&lt;=32,19,IF(L296&lt;=34,20,IF(L296&lt;=36,21,IF(L296&lt;=40,22,24)))))))))))))</f>
        <v>20</v>
      </c>
      <c r="P296" s="3" t="n">
        <v>35</v>
      </c>
      <c r="Q296" s="3" t="n">
        <f aca="false">_xlfn.IFS(O296="взв",11,O296="накл",24,O296="прокл",25,O296="пт",26,O296=90,10,O296=85,10,O296=80,9,O296=75,8,O296=70,8,O296=65,7,O296=60,7,O296=55,6,O296=50,6,O296=45,6,O296=40,5,O296=35,4,O296=30,4,O296=25,3,O296=20,2,O296=15,1,O296=10,1,O296=0,0)</f>
        <v>0</v>
      </c>
      <c r="R296" s="3" t="n">
        <f aca="false">IF(P296&lt;=1,0,IF(P296&lt;=10,11,IF(P296&lt;=14,12,IF(P296&lt;=17,13,IF(P296&lt;=20,14,IF(P296&lt;=22,15,IF(P296&lt;=25,16,IF(P296&lt;=27,17,IF(P296&lt;=29,18,IF(P296&lt;=32,19,IF(P296&lt;=34,20,IF(P296&lt;=36,21,IF(P296&lt;=40,22,24)))))))))))))</f>
        <v>21</v>
      </c>
      <c r="S296" s="14" t="n">
        <f aca="false">ROUND((Q296+R296+I296+J296+M296+N296)/3,0)</f>
        <v>20</v>
      </c>
      <c r="T296" s="15" t="n">
        <f aca="false">F296*LOG10(S296+2)</f>
        <v>4.02726804246662</v>
      </c>
    </row>
    <row r="297" customFormat="false" ht="14.65" hidden="false" customHeight="true" outlineLevel="0" collapsed="false">
      <c r="A297" s="12" t="s">
        <v>337</v>
      </c>
      <c r="B297" s="13" t="n">
        <v>38887</v>
      </c>
      <c r="C297" s="3" t="s">
        <v>24</v>
      </c>
      <c r="D297" s="4" t="s">
        <v>331</v>
      </c>
      <c r="E297" s="3" t="n">
        <v>3</v>
      </c>
      <c r="F297" s="3" t="n">
        <v>3</v>
      </c>
      <c r="H297" s="3" t="n">
        <v>35</v>
      </c>
      <c r="I297" s="3" t="n">
        <f aca="false">_xlfn.IFS(G297="взв",11,G297="накл",24,G297="прокл",25,G297="пт",26,G297=90,10,G297=85,10,G297=80,9,G297=75,8,G297=70,8,G297=65,7,G297=60,7,G297=55,6,G297=50,6,G297=45,6,G297=40,5,G297=35,4,G297=30,4,G297=25,3,G297=20,2,G297=15,1,G297=10,1,G297=0,0)</f>
        <v>0</v>
      </c>
      <c r="J297" s="3" t="n">
        <f aca="false">IF(H297&lt;=1,0,IF(H297&lt;=10,11,IF(H297&lt;=14,12,IF(H297&lt;=17,13,IF(H297&lt;=20,14,IF(H297&lt;=22,15,IF(H297&lt;=25,16,IF(H297&lt;=27,17,IF(H297&lt;=29,18,IF(H297&lt;=32,19,IF(H297&lt;=34,20,IF(H297&lt;=36,21,IF(H297&lt;=40,22,24)))))))))))))</f>
        <v>21</v>
      </c>
      <c r="L297" s="3" t="n">
        <v>37</v>
      </c>
      <c r="M297" s="3" t="n">
        <f aca="false">_xlfn.IFS(K297="взв",11,K297="накл",24,K297="прокл",25,K297="пт",26,K297=90,10,K297=85,10,K297=80,9,K297=75,8,K297=70,8,K297=65,7,K297=60,7,K297=55,6,K297=50,6,K297=45,6,K297=40,5,K297=35,4,K297=30,4,K297=25,3,K297=20,2,K297=15,1,K297=10,1,K297=0,0)</f>
        <v>0</v>
      </c>
      <c r="N297" s="3" t="n">
        <f aca="false">IF(L297&lt;=1,0,IF(L297&lt;=10,11,IF(L297&lt;=14,12,IF(L297&lt;=17,13,IF(L297&lt;=20,14,IF(L297&lt;=22,15,IF(L297&lt;=25,16,IF(L297&lt;=27,17,IF(L297&lt;=29,18,IF(L297&lt;=32,19,IF(L297&lt;=34,20,IF(L297&lt;=36,21,IF(L297&lt;=40,22,24)))))))))))))</f>
        <v>22</v>
      </c>
      <c r="P297" s="3" t="n">
        <v>34</v>
      </c>
      <c r="Q297" s="3" t="n">
        <f aca="false">_xlfn.IFS(O297="взв",11,O297="накл",24,O297="прокл",25,O297="пт",26,O297=90,10,O297=85,10,O297=80,9,O297=75,8,O297=70,8,O297=65,7,O297=60,7,O297=55,6,O297=50,6,O297=45,6,O297=40,5,O297=35,4,O297=30,4,O297=25,3,O297=20,2,O297=15,1,O297=10,1,O297=0,0)</f>
        <v>0</v>
      </c>
      <c r="R297" s="3" t="n">
        <f aca="false">IF(P297&lt;=1,0,IF(P297&lt;=10,11,IF(P297&lt;=14,12,IF(P297&lt;=17,13,IF(P297&lt;=20,14,IF(P297&lt;=22,15,IF(P297&lt;=25,16,IF(P297&lt;=27,17,IF(P297&lt;=29,18,IF(P297&lt;=32,19,IF(P297&lt;=34,20,IF(P297&lt;=36,21,IF(P297&lt;=40,22,24)))))))))))))</f>
        <v>20</v>
      </c>
      <c r="S297" s="14" t="n">
        <f aca="false">ROUND((Q297+R297+I297+J297+M297+N297)/3,0)</f>
        <v>21</v>
      </c>
      <c r="T297" s="15" t="n">
        <f aca="false">F297*LOG10(S297+2)</f>
        <v>4.08518350805278</v>
      </c>
    </row>
    <row r="298" customFormat="false" ht="14.65" hidden="false" customHeight="true" outlineLevel="0" collapsed="false">
      <c r="A298" s="12" t="s">
        <v>338</v>
      </c>
      <c r="B298" s="13" t="n">
        <v>38887</v>
      </c>
      <c r="C298" s="3" t="s">
        <v>24</v>
      </c>
      <c r="D298" s="4" t="s">
        <v>331</v>
      </c>
      <c r="E298" s="3" t="n">
        <v>3</v>
      </c>
      <c r="F298" s="3" t="n">
        <v>4</v>
      </c>
      <c r="H298" s="3" t="n">
        <v>28</v>
      </c>
      <c r="I298" s="3" t="n">
        <f aca="false">_xlfn.IFS(G298="взв",11,G298="накл",24,G298="прокл",25,G298="пт",26,G298=90,10,G298=85,10,G298=80,9,G298=75,8,G298=70,8,G298=65,7,G298=60,7,G298=55,6,G298=50,6,G298=45,6,G298=40,5,G298=35,4,G298=30,4,G298=25,3,G298=20,2,G298=15,1,G298=10,1,G298=0,0)</f>
        <v>0</v>
      </c>
      <c r="J298" s="3" t="n">
        <f aca="false">IF(H298&lt;=1,0,IF(H298&lt;=10,11,IF(H298&lt;=14,12,IF(H298&lt;=17,13,IF(H298&lt;=20,14,IF(H298&lt;=22,15,IF(H298&lt;=25,16,IF(H298&lt;=27,17,IF(H298&lt;=29,18,IF(H298&lt;=32,19,IF(H298&lt;=34,20,IF(H298&lt;=36,21,IF(H298&lt;=40,22,24)))))))))))))</f>
        <v>18</v>
      </c>
      <c r="L298" s="3" t="n">
        <v>23</v>
      </c>
      <c r="M298" s="3" t="n">
        <f aca="false">_xlfn.IFS(K298="взв",11,K298="накл",24,K298="прокл",25,K298="пт",26,K298=90,10,K298=85,10,K298=80,9,K298=75,8,K298=70,8,K298=65,7,K298=60,7,K298=55,6,K298=50,6,K298=45,6,K298=40,5,K298=35,4,K298=30,4,K298=25,3,K298=20,2,K298=15,1,K298=10,1,K298=0,0)</f>
        <v>0</v>
      </c>
      <c r="N298" s="3" t="n">
        <f aca="false">IF(L298&lt;=1,0,IF(L298&lt;=10,11,IF(L298&lt;=14,12,IF(L298&lt;=17,13,IF(L298&lt;=20,14,IF(L298&lt;=22,15,IF(L298&lt;=25,16,IF(L298&lt;=27,17,IF(L298&lt;=29,18,IF(L298&lt;=32,19,IF(L298&lt;=34,20,IF(L298&lt;=36,21,IF(L298&lt;=40,22,24)))))))))))))</f>
        <v>16</v>
      </c>
      <c r="P298" s="3" t="n">
        <v>27</v>
      </c>
      <c r="Q298" s="3" t="n">
        <f aca="false">_xlfn.IFS(O298="взв",11,O298="накл",24,O298="прокл",25,O298="пт",26,O298=90,10,O298=85,10,O298=80,9,O298=75,8,O298=70,8,O298=65,7,O298=60,7,O298=55,6,O298=50,6,O298=45,6,O298=40,5,O298=35,4,O298=30,4,O298=25,3,O298=20,2,O298=15,1,O298=10,1,O298=0,0)</f>
        <v>0</v>
      </c>
      <c r="R298" s="3" t="n">
        <f aca="false">IF(P298&lt;=1,0,IF(P298&lt;=10,11,IF(P298&lt;=14,12,IF(P298&lt;=17,13,IF(P298&lt;=20,14,IF(P298&lt;=22,15,IF(P298&lt;=25,16,IF(P298&lt;=27,17,IF(P298&lt;=29,18,IF(P298&lt;=32,19,IF(P298&lt;=34,20,IF(P298&lt;=36,21,IF(P298&lt;=40,22,24)))))))))))))</f>
        <v>17</v>
      </c>
      <c r="S298" s="14" t="n">
        <f aca="false">ROUND((Q298+R298+I298+J298+M298+N298)/3,0)</f>
        <v>17</v>
      </c>
      <c r="T298" s="15" t="n">
        <f aca="false">F298*LOG10(S298+2)</f>
        <v>5.11501440381132</v>
      </c>
    </row>
    <row r="299" customFormat="false" ht="14.65" hidden="false" customHeight="true" outlineLevel="0" collapsed="false">
      <c r="A299" s="12" t="s">
        <v>339</v>
      </c>
      <c r="B299" s="13" t="n">
        <v>38887</v>
      </c>
      <c r="C299" s="3" t="s">
        <v>24</v>
      </c>
      <c r="D299" s="4" t="s">
        <v>331</v>
      </c>
      <c r="E299" s="3" t="n">
        <v>4</v>
      </c>
      <c r="F299" s="3" t="n">
        <v>5</v>
      </c>
      <c r="G299" s="3" t="s">
        <v>47</v>
      </c>
      <c r="H299" s="0"/>
      <c r="I299" s="3" t="n">
        <f aca="false">_xlfn.IFS(G299="взв",11,G299="накл",24,G299="прокл",25,G299="пт",26,G299=90,10,G299=85,10,G299=80,9,G299=75,8,G299=70,8,G299=65,7,G299=60,7,G299=55,6,G299=50,6,G299=45,6,G299=40,5,G299=35,4,G299=30,4,G299=25,3,G299=20,2,G299=15,1,G299=10,1,G299=0,0)</f>
        <v>25</v>
      </c>
      <c r="J299" s="3" t="n">
        <f aca="false">IF(H299&lt;=1,0,IF(H299&lt;=10,11,IF(H299&lt;=14,12,IF(H299&lt;=17,13,IF(H299&lt;=20,14,IF(H299&lt;=22,15,IF(H299&lt;=25,16,IF(H299&lt;=27,17,IF(H299&lt;=29,18,IF(H299&lt;=32,19,IF(H299&lt;=34,20,IF(H299&lt;=36,21,IF(H299&lt;=40,22,24)))))))))))))</f>
        <v>0</v>
      </c>
      <c r="K299" s="3" t="s">
        <v>38</v>
      </c>
      <c r="M299" s="3" t="n">
        <f aca="false">_xlfn.IFS(K299="взв",11,K299="накл",24,K299="прокл",25,K299="пт",26,K299=90,10,K299=85,10,K299=80,9,K299=75,8,K299=70,8,K299=65,7,K299=60,7,K299=55,6,K299=50,6,K299=45,6,K299=40,5,K299=35,4,K299=30,4,K299=25,3,K299=20,2,K299=15,1,K299=10,1,K299=0,0)</f>
        <v>26</v>
      </c>
      <c r="N299" s="3" t="n">
        <f aca="false">IF(L299&lt;=1,0,IF(L299&lt;=10,11,IF(L299&lt;=14,12,IF(L299&lt;=17,13,IF(L299&lt;=20,14,IF(L299&lt;=22,15,IF(L299&lt;=25,16,IF(L299&lt;=27,17,IF(L299&lt;=29,18,IF(L299&lt;=32,19,IF(L299&lt;=34,20,IF(L299&lt;=36,21,IF(L299&lt;=40,22,24)))))))))))))</f>
        <v>0</v>
      </c>
      <c r="O299" s="3" t="s">
        <v>38</v>
      </c>
      <c r="Q299" s="3" t="n">
        <f aca="false">_xlfn.IFS(O299="взв",11,O299="накл",24,O299="прокл",25,O299="пт",26,O299=90,10,O299=85,10,O299=80,9,O299=75,8,O299=70,8,O299=65,7,O299=60,7,O299=55,6,O299=50,6,O299=45,6,O299=40,5,O299=35,4,O299=30,4,O299=25,3,O299=20,2,O299=15,1,O299=10,1,O299=0,0)</f>
        <v>26</v>
      </c>
      <c r="R299" s="3" t="n">
        <f aca="false">IF(P299&lt;=1,0,IF(P299&lt;=10,11,IF(P299&lt;=14,12,IF(P299&lt;=17,13,IF(P299&lt;=20,14,IF(P299&lt;=22,15,IF(P299&lt;=25,16,IF(P299&lt;=27,17,IF(P299&lt;=29,18,IF(P299&lt;=32,19,IF(P299&lt;=34,20,IF(P299&lt;=36,21,IF(P299&lt;=40,22,24)))))))))))))</f>
        <v>0</v>
      </c>
      <c r="S299" s="14" t="n">
        <f aca="false">ROUND((Q299+R299+I299+J299+M299+N299)/3,0)</f>
        <v>26</v>
      </c>
      <c r="T299" s="15" t="n">
        <f aca="false">F299*LOG10(S299+2)</f>
        <v>7.2357901567111</v>
      </c>
    </row>
    <row r="300" customFormat="false" ht="14.65" hidden="false" customHeight="true" outlineLevel="0" collapsed="false">
      <c r="A300" s="12" t="s">
        <v>340</v>
      </c>
      <c r="B300" s="13" t="n">
        <v>38887</v>
      </c>
      <c r="C300" s="3" t="s">
        <v>24</v>
      </c>
      <c r="D300" s="4" t="s">
        <v>331</v>
      </c>
      <c r="E300" s="3" t="n">
        <v>3</v>
      </c>
      <c r="F300" s="3" t="n">
        <v>8</v>
      </c>
      <c r="G300" s="3" t="n">
        <v>15</v>
      </c>
      <c r="I300" s="3" t="n">
        <f aca="false">_xlfn.IFS(G300="взв",11,G300="накл",24,G300="прокл",25,G300="пт",26,G300=90,10,G300=85,10,G300=80,9,G300=75,8,G300=70,8,G300=65,7,G300=60,7,G300=55,6,G300=50,6,G300=45,6,G300=40,5,G300=35,4,G300=30,4,G300=25,3,G300=20,2,G300=15,1,G300=10,1,G300=0,0)</f>
        <v>1</v>
      </c>
      <c r="J300" s="3" t="n">
        <f aca="false">IF(H300&lt;=1,0,IF(H300&lt;=10,11,IF(H300&lt;=14,12,IF(H300&lt;=17,13,IF(H300&lt;=20,14,IF(H300&lt;=22,15,IF(H300&lt;=25,16,IF(H300&lt;=27,17,IF(H300&lt;=29,18,IF(H300&lt;=32,19,IF(H300&lt;=34,20,IF(H300&lt;=36,21,IF(H300&lt;=40,22,24)))))))))))))</f>
        <v>0</v>
      </c>
      <c r="K300" s="3" t="n">
        <v>45</v>
      </c>
      <c r="M300" s="3" t="n">
        <f aca="false">_xlfn.IFS(K300="взв",11,K300="накл",24,K300="прокл",25,K300="пт",26,K300=90,10,K300=85,10,K300=80,9,K300=75,8,K300=70,8,K300=65,7,K300=60,7,K300=55,6,K300=50,6,K300=45,6,K300=40,5,K300=35,4,K300=30,4,K300=25,3,K300=20,2,K300=15,1,K300=10,1,K300=0,0)</f>
        <v>6</v>
      </c>
      <c r="N300" s="3" t="n">
        <f aca="false">IF(L300&lt;=1,0,IF(L300&lt;=10,11,IF(L300&lt;=14,12,IF(L300&lt;=17,13,IF(L300&lt;=20,14,IF(L300&lt;=22,15,IF(L300&lt;=25,16,IF(L300&lt;=27,17,IF(L300&lt;=29,18,IF(L300&lt;=32,19,IF(L300&lt;=34,20,IF(L300&lt;=36,21,IF(L300&lt;=40,22,24)))))))))))))</f>
        <v>0</v>
      </c>
      <c r="O300" s="3" t="n">
        <v>30</v>
      </c>
      <c r="Q300" s="3" t="n">
        <f aca="false">_xlfn.IFS(O300="взв",11,O300="накл",24,O300="прокл",25,O300="пт",26,O300=90,10,O300=85,10,O300=80,9,O300=75,8,O300=70,8,O300=65,7,O300=60,7,O300=55,6,O300=50,6,O300=45,6,O300=40,5,O300=35,4,O300=30,4,O300=25,3,O300=20,2,O300=15,1,O300=10,1,O300=0,0)</f>
        <v>4</v>
      </c>
      <c r="R300" s="3" t="n">
        <f aca="false">IF(P300&lt;=1,0,IF(P300&lt;=10,11,IF(P300&lt;=14,12,IF(P300&lt;=17,13,IF(P300&lt;=20,14,IF(P300&lt;=22,15,IF(P300&lt;=25,16,IF(P300&lt;=27,17,IF(P300&lt;=29,18,IF(P300&lt;=32,19,IF(P300&lt;=34,20,IF(P300&lt;=36,21,IF(P300&lt;=40,22,24)))))))))))))</f>
        <v>0</v>
      </c>
      <c r="S300" s="14" t="n">
        <f aca="false">ROUND((Q300+R300+I300+J300+M300+N300)/3,0)</f>
        <v>4</v>
      </c>
      <c r="T300" s="15" t="n">
        <f aca="false">F300*LOG10(S300+2)</f>
        <v>6.22521000306915</v>
      </c>
    </row>
    <row r="301" customFormat="false" ht="14.65" hidden="false" customHeight="true" outlineLevel="0" collapsed="false">
      <c r="A301" s="12" t="s">
        <v>341</v>
      </c>
      <c r="B301" s="13" t="n">
        <v>38887</v>
      </c>
      <c r="C301" s="3" t="s">
        <v>24</v>
      </c>
      <c r="D301" s="4" t="s">
        <v>331</v>
      </c>
      <c r="E301" s="3" t="n">
        <v>3</v>
      </c>
      <c r="F301" s="3" t="n">
        <v>8</v>
      </c>
      <c r="G301" s="3" t="n">
        <v>45</v>
      </c>
      <c r="I301" s="3" t="n">
        <f aca="false">_xlfn.IFS(G301="взв",11,G301="накл",24,G301="прокл",25,G301="пт",26,G301=90,10,G301=85,10,G301=80,9,G301=75,8,G301=70,8,G301=65,7,G301=60,7,G301=55,6,G301=50,6,G301=45,6,G301=40,5,G301=35,4,G301=30,4,G301=25,3,G301=20,2,G301=15,1,G301=10,1,G301=0,0)</f>
        <v>6</v>
      </c>
      <c r="J301" s="3" t="n">
        <f aca="false">IF(H301&lt;=1,0,IF(H301&lt;=10,11,IF(H301&lt;=14,12,IF(H301&lt;=17,13,IF(H301&lt;=20,14,IF(H301&lt;=22,15,IF(H301&lt;=25,16,IF(H301&lt;=27,17,IF(H301&lt;=29,18,IF(H301&lt;=32,19,IF(H301&lt;=34,20,IF(H301&lt;=36,21,IF(H301&lt;=40,22,24)))))))))))))</f>
        <v>0</v>
      </c>
      <c r="K301" s="3" t="n">
        <v>45</v>
      </c>
      <c r="M301" s="3" t="n">
        <f aca="false">_xlfn.IFS(K301="взв",11,K301="накл",24,K301="прокл",25,K301="пт",26,K301=90,10,K301=85,10,K301=80,9,K301=75,8,K301=70,8,K301=65,7,K301=60,7,K301=55,6,K301=50,6,K301=45,6,K301=40,5,K301=35,4,K301=30,4,K301=25,3,K301=20,2,K301=15,1,K301=10,1,K301=0,0)</f>
        <v>6</v>
      </c>
      <c r="N301" s="3" t="n">
        <f aca="false">IF(L301&lt;=1,0,IF(L301&lt;=10,11,IF(L301&lt;=14,12,IF(L301&lt;=17,13,IF(L301&lt;=20,14,IF(L301&lt;=22,15,IF(L301&lt;=25,16,IF(L301&lt;=27,17,IF(L301&lt;=29,18,IF(L301&lt;=32,19,IF(L301&lt;=34,20,IF(L301&lt;=36,21,IF(L301&lt;=40,22,24)))))))))))))</f>
        <v>0</v>
      </c>
      <c r="O301" s="3" t="n">
        <v>30</v>
      </c>
      <c r="Q301" s="3" t="n">
        <f aca="false">_xlfn.IFS(O301="взв",11,O301="накл",24,O301="прокл",25,O301="пт",26,O301=90,10,O301=85,10,O301=80,9,O301=75,8,O301=70,8,O301=65,7,O301=60,7,O301=55,6,O301=50,6,O301=45,6,O301=40,5,O301=35,4,O301=30,4,O301=25,3,O301=20,2,O301=15,1,O301=10,1,O301=0,0)</f>
        <v>4</v>
      </c>
      <c r="R301" s="3" t="n">
        <f aca="false">IF(P301&lt;=1,0,IF(P301&lt;=10,11,IF(P301&lt;=14,12,IF(P301&lt;=17,13,IF(P301&lt;=20,14,IF(P301&lt;=22,15,IF(P301&lt;=25,16,IF(P301&lt;=27,17,IF(P301&lt;=29,18,IF(P301&lt;=32,19,IF(P301&lt;=34,20,IF(P301&lt;=36,21,IF(P301&lt;=40,22,24)))))))))))))</f>
        <v>0</v>
      </c>
      <c r="S301" s="14" t="n">
        <f aca="false">ROUND((Q301+R301+I301+J301+M301+N301)/3,0)</f>
        <v>5</v>
      </c>
      <c r="T301" s="15" t="n">
        <f aca="false">F301*LOG10(S301+2)</f>
        <v>6.76078432011405</v>
      </c>
    </row>
    <row r="302" customFormat="false" ht="14.65" hidden="false" customHeight="true" outlineLevel="0" collapsed="false">
      <c r="A302" s="12" t="s">
        <v>342</v>
      </c>
      <c r="B302" s="13" t="n">
        <v>38887</v>
      </c>
      <c r="C302" s="3" t="s">
        <v>24</v>
      </c>
      <c r="D302" s="4" t="s">
        <v>331</v>
      </c>
      <c r="E302" s="3" t="n">
        <v>6</v>
      </c>
      <c r="F302" s="3" t="n">
        <v>8</v>
      </c>
      <c r="G302" s="3" t="s">
        <v>27</v>
      </c>
      <c r="I302" s="3" t="n">
        <f aca="false">_xlfn.IFS(G302="взв",11,G302="накл",24,G302="прокл",25,G302="пт",26,G302=90,10,G302=85,10,G302=80,9,G302=75,8,G302=70,8,G302=65,7,G302=60,7,G302=55,6,G302=50,6,G302=45,6,G302=40,5,G302=35,4,G302=30,4,G302=25,3,G302=20,2,G302=15,1,G302=10,1,G302=0,0)</f>
        <v>24</v>
      </c>
      <c r="J302" s="3" t="n">
        <f aca="false">IF(H302&lt;=1,0,IF(H302&lt;=10,11,IF(H302&lt;=14,12,IF(H302&lt;=17,13,IF(H302&lt;=20,14,IF(H302&lt;=22,15,IF(H302&lt;=25,16,IF(H302&lt;=27,17,IF(H302&lt;=29,18,IF(H302&lt;=32,19,IF(H302&lt;=34,20,IF(H302&lt;=36,21,IF(H302&lt;=40,22,24)))))))))))))</f>
        <v>0</v>
      </c>
      <c r="K302" s="3" t="s">
        <v>27</v>
      </c>
      <c r="L302" s="0"/>
      <c r="M302" s="3" t="n">
        <f aca="false">_xlfn.IFS(K302="взв",11,K302="накл",24,K302="прокл",25,K302="пт",26,K302=90,10,K302=85,10,K302=80,9,K302=75,8,K302=70,8,K302=65,7,K302=60,7,K302=55,6,K302=50,6,K302=45,6,K302=40,5,K302=35,4,K302=30,4,K302=25,3,K302=20,2,K302=15,1,K302=10,1,K302=0,0)</f>
        <v>24</v>
      </c>
      <c r="N302" s="3" t="n">
        <f aca="false">IF(L302&lt;=1,0,IF(L302&lt;=10,11,IF(L302&lt;=14,12,IF(L302&lt;=17,13,IF(L302&lt;=20,14,IF(L302&lt;=22,15,IF(L302&lt;=25,16,IF(L302&lt;=27,17,IF(L302&lt;=29,18,IF(L302&lt;=32,19,IF(L302&lt;=34,20,IF(L302&lt;=36,21,IF(L302&lt;=40,22,24)))))))))))))</f>
        <v>0</v>
      </c>
      <c r="Q302" s="3" t="n">
        <f aca="false">_xlfn.IFS(O302="взв",11,O302="накл",24,O302="прокл",25,O302="пт",26,O302=90,10,O302=85,10,O302=80,9,O302=75,8,O302=70,8,O302=65,7,O302=60,7,O302=55,6,O302=50,6,O302=45,6,O302=40,5,O302=35,4,O302=30,4,O302=25,3,O302=20,2,O302=15,1,O302=10,1,O302=0,0)</f>
        <v>0</v>
      </c>
      <c r="R302" s="3" t="n">
        <f aca="false">IF(P302&lt;=1,0,IF(P302&lt;=10,11,IF(P302&lt;=14,12,IF(P302&lt;=17,13,IF(P302&lt;=20,14,IF(P302&lt;=22,15,IF(P302&lt;=25,16,IF(P302&lt;=27,17,IF(P302&lt;=29,18,IF(P302&lt;=32,19,IF(P302&lt;=34,20,IF(P302&lt;=36,21,IF(P302&lt;=40,22,24)))))))))))))</f>
        <v>0</v>
      </c>
      <c r="S302" s="14" t="n">
        <v>24</v>
      </c>
      <c r="T302" s="15" t="n">
        <f aca="false">F302*LOG10(S302+2)</f>
        <v>11.3197867837665</v>
      </c>
    </row>
    <row r="303" customFormat="false" ht="14.65" hidden="false" customHeight="true" outlineLevel="0" collapsed="false">
      <c r="A303" s="12" t="s">
        <v>343</v>
      </c>
      <c r="B303" s="13" t="n">
        <v>38887</v>
      </c>
      <c r="C303" s="3" t="s">
        <v>24</v>
      </c>
      <c r="D303" s="4" t="s">
        <v>331</v>
      </c>
      <c r="E303" s="3" t="n">
        <v>6</v>
      </c>
      <c r="F303" s="3" t="n">
        <v>10</v>
      </c>
      <c r="H303" s="3" t="n">
        <v>43</v>
      </c>
      <c r="I303" s="3" t="n">
        <f aca="false">_xlfn.IFS(G303="взв",11,G303="накл",24,G303="прокл",25,G303="пт",26,G303=90,10,G303=85,10,G303=80,9,G303=75,8,G303=70,8,G303=65,7,G303=60,7,G303=55,6,G303=50,6,G303=45,6,G303=40,5,G303=35,4,G303=30,4,G303=25,3,G303=20,2,G303=15,1,G303=10,1,G303=0,0)</f>
        <v>0</v>
      </c>
      <c r="J303" s="3" t="n">
        <f aca="false">IF(H303&lt;=1,0,IF(H303&lt;=10,11,IF(H303&lt;=14,12,IF(H303&lt;=17,13,IF(H303&lt;=20,14,IF(H303&lt;=22,15,IF(H303&lt;=25,16,IF(H303&lt;=27,17,IF(H303&lt;=29,18,IF(H303&lt;=32,19,IF(H303&lt;=34,20,IF(H303&lt;=36,21,IF(H303&lt;=40,22,24)))))))))))))</f>
        <v>24</v>
      </c>
      <c r="L303" s="3" t="n">
        <v>41</v>
      </c>
      <c r="M303" s="3" t="n">
        <f aca="false">_xlfn.IFS(K303="взв",11,K303="накл",24,K303="прокл",25,K303="пт",26,K303=90,10,K303=85,10,K303=80,9,K303=75,8,K303=70,8,K303=65,7,K303=60,7,K303=55,6,K303=50,6,K303=45,6,K303=40,5,K303=35,4,K303=30,4,K303=25,3,K303=20,2,K303=15,1,K303=10,1,K303=0,0)</f>
        <v>0</v>
      </c>
      <c r="N303" s="3" t="n">
        <f aca="false">IF(L303&lt;=1,0,IF(L303&lt;=10,11,IF(L303&lt;=14,12,IF(L303&lt;=17,13,IF(L303&lt;=20,14,IF(L303&lt;=22,15,IF(L303&lt;=25,16,IF(L303&lt;=27,17,IF(L303&lt;=29,18,IF(L303&lt;=32,19,IF(L303&lt;=34,20,IF(L303&lt;=36,21,IF(L303&lt;=40,22,24)))))))))))))</f>
        <v>24</v>
      </c>
      <c r="P303" s="3" t="n">
        <v>39</v>
      </c>
      <c r="Q303" s="3" t="n">
        <f aca="false">_xlfn.IFS(O303="взв",11,O303="накл",24,O303="прокл",25,O303="пт",26,O303=90,10,O303=85,10,O303=80,9,O303=75,8,O303=70,8,O303=65,7,O303=60,7,O303=55,6,O303=50,6,O303=45,6,O303=40,5,O303=35,4,O303=30,4,O303=25,3,O303=20,2,O303=15,1,O303=10,1,O303=0,0)</f>
        <v>0</v>
      </c>
      <c r="R303" s="3" t="n">
        <f aca="false">IF(P303&lt;=1,0,IF(P303&lt;=10,11,IF(P303&lt;=14,12,IF(P303&lt;=17,13,IF(P303&lt;=20,14,IF(P303&lt;=22,15,IF(P303&lt;=25,16,IF(P303&lt;=27,17,IF(P303&lt;=29,18,IF(P303&lt;=32,19,IF(P303&lt;=34,20,IF(P303&lt;=36,21,IF(P303&lt;=40,22,24)))))))))))))</f>
        <v>22</v>
      </c>
      <c r="S303" s="14" t="n">
        <f aca="false">ROUND((Q303+R303+I303+J303+M303+N303)/3,0)</f>
        <v>23</v>
      </c>
      <c r="T303" s="15" t="n">
        <f aca="false">F303*LOG10(S303+2)</f>
        <v>13.9794000867204</v>
      </c>
    </row>
    <row r="304" customFormat="false" ht="14.65" hidden="false" customHeight="true" outlineLevel="0" collapsed="false">
      <c r="A304" s="12" t="s">
        <v>344</v>
      </c>
      <c r="B304" s="13" t="n">
        <v>38887</v>
      </c>
      <c r="C304" s="3" t="s">
        <v>24</v>
      </c>
      <c r="D304" s="4" t="s">
        <v>331</v>
      </c>
      <c r="E304" s="3" t="n">
        <v>2</v>
      </c>
      <c r="F304" s="3" t="n">
        <v>10</v>
      </c>
      <c r="H304" s="3" t="n">
        <v>35</v>
      </c>
      <c r="I304" s="3" t="n">
        <f aca="false">_xlfn.IFS(G304="взв",11,G304="накл",24,G304="прокл",25,G304="пт",26,G304=90,10,G304=85,10,G304=80,9,G304=75,8,G304=70,8,G304=65,7,G304=60,7,G304=55,6,G304=50,6,G304=45,6,G304=40,5,G304=35,4,G304=30,4,G304=25,3,G304=20,2,G304=15,1,G304=10,1,G304=0,0)</f>
        <v>0</v>
      </c>
      <c r="J304" s="3" t="n">
        <f aca="false">IF(H304&lt;=1,0,IF(H304&lt;=10,11,IF(H304&lt;=14,12,IF(H304&lt;=17,13,IF(H304&lt;=20,14,IF(H304&lt;=22,15,IF(H304&lt;=25,16,IF(H304&lt;=27,17,IF(H304&lt;=29,18,IF(H304&lt;=32,19,IF(H304&lt;=34,20,IF(H304&lt;=36,21,IF(H304&lt;=40,22,24)))))))))))))</f>
        <v>21</v>
      </c>
      <c r="L304" s="3" t="n">
        <v>36</v>
      </c>
      <c r="M304" s="3" t="n">
        <f aca="false">_xlfn.IFS(K304="взв",11,K304="накл",24,K304="прокл",25,K304="пт",26,K304=90,10,K304=85,10,K304=80,9,K304=75,8,K304=70,8,K304=65,7,K304=60,7,K304=55,6,K304=50,6,K304=45,6,K304=40,5,K304=35,4,K304=30,4,K304=25,3,K304=20,2,K304=15,1,K304=10,1,K304=0,0)</f>
        <v>0</v>
      </c>
      <c r="N304" s="3" t="n">
        <f aca="false">IF(L304&lt;=1,0,IF(L304&lt;=10,11,IF(L304&lt;=14,12,IF(L304&lt;=17,13,IF(L304&lt;=20,14,IF(L304&lt;=22,15,IF(L304&lt;=25,16,IF(L304&lt;=27,17,IF(L304&lt;=29,18,IF(L304&lt;=32,19,IF(L304&lt;=34,20,IF(L304&lt;=36,21,IF(L304&lt;=40,22,24)))))))))))))</f>
        <v>21</v>
      </c>
      <c r="Q304" s="3" t="n">
        <f aca="false">_xlfn.IFS(O304="взв",11,O304="накл",24,O304="прокл",25,O304="пт",26,O304=90,10,O304=85,10,O304=80,9,O304=75,8,O304=70,8,O304=65,7,O304=60,7,O304=55,6,O304=50,6,O304=45,6,O304=40,5,O304=35,4,O304=30,4,O304=25,3,O304=20,2,O304=15,1,O304=10,1,O304=0,0)</f>
        <v>0</v>
      </c>
      <c r="R304" s="3" t="n">
        <f aca="false">IF(P304&lt;=1,0,IF(P304&lt;=10,11,IF(P304&lt;=14,12,IF(P304&lt;=17,13,IF(P304&lt;=20,14,IF(P304&lt;=22,15,IF(P304&lt;=25,16,IF(P304&lt;=27,17,IF(P304&lt;=29,18,IF(P304&lt;=32,19,IF(P304&lt;=34,20,IF(P304&lt;=36,21,IF(P304&lt;=40,22,24)))))))))))))</f>
        <v>0</v>
      </c>
      <c r="S304" s="14" t="n">
        <f aca="false">ROUND((Q304+R304+I304+J304+M304+N304)/2,0)</f>
        <v>21</v>
      </c>
      <c r="T304" s="15" t="n">
        <f aca="false">F304*LOG10(S304+2)</f>
        <v>13.6172783601759</v>
      </c>
    </row>
    <row r="305" customFormat="false" ht="14.65" hidden="false" customHeight="true" outlineLevel="0" collapsed="false">
      <c r="A305" s="12" t="s">
        <v>345</v>
      </c>
      <c r="B305" s="13" t="n">
        <v>38887</v>
      </c>
      <c r="C305" s="3" t="s">
        <v>24</v>
      </c>
      <c r="D305" s="4" t="s">
        <v>331</v>
      </c>
      <c r="E305" s="3" t="n">
        <v>2</v>
      </c>
      <c r="F305" s="3" t="n">
        <v>10</v>
      </c>
      <c r="G305" s="3" t="s">
        <v>47</v>
      </c>
      <c r="H305" s="0"/>
      <c r="I305" s="3" t="n">
        <f aca="false">_xlfn.IFS(G305="взв",11,G305="накл",24,G305="прокл",25,G305="пт",26,G305=90,10,G305=85,10,G305=80,9,G305=75,8,G305=70,8,G305=65,7,G305=60,7,G305=55,6,G305=50,6,G305=45,6,G305=40,5,G305=35,4,G305=30,4,G305=25,3,G305=20,2,G305=15,1,G305=10,1,G305=0,0)</f>
        <v>25</v>
      </c>
      <c r="J305" s="3" t="n">
        <f aca="false">IF(H305&lt;=1,0,IF(H305&lt;=10,11,IF(H305&lt;=14,12,IF(H305&lt;=17,13,IF(H305&lt;=20,14,IF(H305&lt;=22,15,IF(H305&lt;=25,16,IF(H305&lt;=27,17,IF(H305&lt;=29,18,IF(H305&lt;=32,19,IF(H305&lt;=34,20,IF(H305&lt;=36,21,IF(H305&lt;=40,22,24)))))))))))))</f>
        <v>0</v>
      </c>
      <c r="M305" s="3" t="n">
        <f aca="false">_xlfn.IFS(K305="взв",11,K305="накл",24,K305="прокл",25,K305="пт",26,K305=90,10,K305=85,10,K305=80,9,K305=75,8,K305=70,8,K305=65,7,K305=60,7,K305=55,6,K305=50,6,K305=45,6,K305=40,5,K305=35,4,K305=30,4,K305=25,3,K305=20,2,K305=15,1,K305=10,1,K305=0,0)</f>
        <v>0</v>
      </c>
      <c r="N305" s="3" t="n">
        <f aca="false">IF(L305&lt;=1,0,IF(L305&lt;=10,11,IF(L305&lt;=14,12,IF(L305&lt;=17,13,IF(L305&lt;=20,14,IF(L305&lt;=22,15,IF(L305&lt;=25,16,IF(L305&lt;=27,17,IF(L305&lt;=29,18,IF(L305&lt;=32,19,IF(L305&lt;=34,20,IF(L305&lt;=36,21,IF(L305&lt;=40,22,24)))))))))))))</f>
        <v>0</v>
      </c>
      <c r="Q305" s="3" t="n">
        <f aca="false">_xlfn.IFS(O305="взв",11,O305="накл",24,O305="прокл",25,O305="пт",26,O305=90,10,O305=85,10,O305=80,9,O305=75,8,O305=70,8,O305=65,7,O305=60,7,O305=55,6,O305=50,6,O305=45,6,O305=40,5,O305=35,4,O305=30,4,O305=25,3,O305=20,2,O305=15,1,O305=10,1,O305=0,0)</f>
        <v>0</v>
      </c>
      <c r="R305" s="3" t="n">
        <f aca="false">IF(P305&lt;=1,0,IF(P305&lt;=10,11,IF(P305&lt;=14,12,IF(P305&lt;=17,13,IF(P305&lt;=20,14,IF(P305&lt;=22,15,IF(P305&lt;=25,16,IF(P305&lt;=27,17,IF(P305&lt;=29,18,IF(P305&lt;=32,19,IF(P305&lt;=34,20,IF(P305&lt;=36,21,IF(P305&lt;=40,22,24)))))))))))))</f>
        <v>0</v>
      </c>
      <c r="S305" s="14" t="n">
        <v>25</v>
      </c>
      <c r="T305" s="15" t="n">
        <f aca="false">F305*LOG10(S305+2)</f>
        <v>14.3136376415899</v>
      </c>
    </row>
    <row r="306" customFormat="false" ht="14.65" hidden="false" customHeight="true" outlineLevel="0" collapsed="false">
      <c r="A306" s="12" t="s">
        <v>346</v>
      </c>
      <c r="B306" s="13" t="n">
        <v>38887</v>
      </c>
      <c r="C306" s="3" t="s">
        <v>24</v>
      </c>
      <c r="D306" s="4" t="s">
        <v>331</v>
      </c>
      <c r="E306" s="3" t="n">
        <v>5</v>
      </c>
      <c r="F306" s="3" t="n">
        <v>10</v>
      </c>
      <c r="H306" s="3" t="n">
        <v>38</v>
      </c>
      <c r="I306" s="3" t="n">
        <f aca="false">_xlfn.IFS(G306="взв",11,G306="накл",24,G306="прокл",25,G306="пт",26,G306=90,10,G306=85,10,G306=80,9,G306=75,8,G306=70,8,G306=65,7,G306=60,7,G306=55,6,G306=50,6,G306=45,6,G306=40,5,G306=35,4,G306=30,4,G306=25,3,G306=20,2,G306=15,1,G306=10,1,G306=0,0)</f>
        <v>0</v>
      </c>
      <c r="J306" s="3" t="n">
        <f aca="false">IF(H306&lt;=1,0,IF(H306&lt;=10,11,IF(H306&lt;=14,12,IF(H306&lt;=17,13,IF(H306&lt;=20,14,IF(H306&lt;=22,15,IF(H306&lt;=25,16,IF(H306&lt;=27,17,IF(H306&lt;=29,18,IF(H306&lt;=32,19,IF(H306&lt;=34,20,IF(H306&lt;=36,21,IF(H306&lt;=40,22,24)))))))))))))</f>
        <v>22</v>
      </c>
      <c r="L306" s="3" t="n">
        <v>37</v>
      </c>
      <c r="M306" s="3" t="n">
        <f aca="false">_xlfn.IFS(K306="взв",11,K306="накл",24,K306="прокл",25,K306="пт",26,K306=90,10,K306=85,10,K306=80,9,K306=75,8,K306=70,8,K306=65,7,K306=60,7,K306=55,6,K306=50,6,K306=45,6,K306=40,5,K306=35,4,K306=30,4,K306=25,3,K306=20,2,K306=15,1,K306=10,1,K306=0,0)</f>
        <v>0</v>
      </c>
      <c r="N306" s="3" t="n">
        <f aca="false">IF(L306&lt;=1,0,IF(L306&lt;=10,11,IF(L306&lt;=14,12,IF(L306&lt;=17,13,IF(L306&lt;=20,14,IF(L306&lt;=22,15,IF(L306&lt;=25,16,IF(L306&lt;=27,17,IF(L306&lt;=29,18,IF(L306&lt;=32,19,IF(L306&lt;=34,20,IF(L306&lt;=36,21,IF(L306&lt;=40,22,24)))))))))))))</f>
        <v>22</v>
      </c>
      <c r="P306" s="3" t="n">
        <v>41</v>
      </c>
      <c r="Q306" s="3" t="n">
        <f aca="false">_xlfn.IFS(O306="взв",11,O306="накл",24,O306="прокл",25,O306="пт",26,O306=90,10,O306=85,10,O306=80,9,O306=75,8,O306=70,8,O306=65,7,O306=60,7,O306=55,6,O306=50,6,O306=45,6,O306=40,5,O306=35,4,O306=30,4,O306=25,3,O306=20,2,O306=15,1,O306=10,1,O306=0,0)</f>
        <v>0</v>
      </c>
      <c r="R306" s="3" t="n">
        <f aca="false">IF(P306&lt;=1,0,IF(P306&lt;=10,11,IF(P306&lt;=14,12,IF(P306&lt;=17,13,IF(P306&lt;=20,14,IF(P306&lt;=22,15,IF(P306&lt;=25,16,IF(P306&lt;=27,17,IF(P306&lt;=29,18,IF(P306&lt;=32,19,IF(P306&lt;=34,20,IF(P306&lt;=36,21,IF(P306&lt;=40,22,24)))))))))))))</f>
        <v>24</v>
      </c>
      <c r="S306" s="14" t="n">
        <f aca="false">ROUND((Q306+R306+I306+J306+M306+N306)/3,0)</f>
        <v>23</v>
      </c>
      <c r="T306" s="15" t="n">
        <f aca="false">F306*LOG10(S306+2)</f>
        <v>13.9794000867204</v>
      </c>
    </row>
    <row r="307" customFormat="false" ht="14.65" hidden="false" customHeight="true" outlineLevel="0" collapsed="false">
      <c r="A307" s="12" t="s">
        <v>347</v>
      </c>
      <c r="B307" s="13" t="n">
        <v>38887</v>
      </c>
      <c r="C307" s="3" t="s">
        <v>24</v>
      </c>
      <c r="D307" s="4" t="s">
        <v>331</v>
      </c>
      <c r="E307" s="3" t="n">
        <v>5</v>
      </c>
      <c r="F307" s="3" t="n">
        <v>10</v>
      </c>
      <c r="G307" s="3" t="n">
        <v>45</v>
      </c>
      <c r="I307" s="3" t="n">
        <f aca="false">_xlfn.IFS(G307="взв",11,G307="накл",24,G307="прокл",25,G307="пт",26,G307=90,10,G307=85,10,G307=80,9,G307=75,8,G307=70,8,G307=65,7,G307=60,7,G307=55,6,G307=50,6,G307=45,6,G307=40,5,G307=35,4,G307=30,4,G307=25,3,G307=20,2,G307=15,1,G307=10,1,G307=0,0)</f>
        <v>6</v>
      </c>
      <c r="J307" s="3" t="n">
        <f aca="false">IF(H307&lt;=1,0,IF(H307&lt;=10,11,IF(H307&lt;=14,12,IF(H307&lt;=17,13,IF(H307&lt;=20,14,IF(H307&lt;=22,15,IF(H307&lt;=25,16,IF(H307&lt;=27,17,IF(H307&lt;=29,18,IF(H307&lt;=32,19,IF(H307&lt;=34,20,IF(H307&lt;=36,21,IF(H307&lt;=40,22,24)))))))))))))</f>
        <v>0</v>
      </c>
      <c r="K307" s="3" t="n">
        <v>45</v>
      </c>
      <c r="M307" s="3" t="n">
        <f aca="false">_xlfn.IFS(K307="взв",11,K307="накл",24,K307="прокл",25,K307="пт",26,K307=90,10,K307=85,10,K307=80,9,K307=75,8,K307=70,8,K307=65,7,K307=60,7,K307=55,6,K307=50,6,K307=45,6,K307=40,5,K307=35,4,K307=30,4,K307=25,3,K307=20,2,K307=15,1,K307=10,1,K307=0,0)</f>
        <v>6</v>
      </c>
      <c r="N307" s="3" t="n">
        <f aca="false">IF(L307&lt;=1,0,IF(L307&lt;=10,11,IF(L307&lt;=14,12,IF(L307&lt;=17,13,IF(L307&lt;=20,14,IF(L307&lt;=22,15,IF(L307&lt;=25,16,IF(L307&lt;=27,17,IF(L307&lt;=29,18,IF(L307&lt;=32,19,IF(L307&lt;=34,20,IF(L307&lt;=36,21,IF(L307&lt;=40,22,24)))))))))))))</f>
        <v>0</v>
      </c>
      <c r="O307" s="3" t="n">
        <v>30</v>
      </c>
      <c r="Q307" s="3" t="n">
        <f aca="false">_xlfn.IFS(O307="взв",11,O307="накл",24,O307="прокл",25,O307="пт",26,O307=90,10,O307=85,10,O307=80,9,O307=75,8,O307=70,8,O307=65,7,O307=60,7,O307=55,6,O307=50,6,O307=45,6,O307=40,5,O307=35,4,O307=30,4,O307=25,3,O307=20,2,O307=15,1,O307=10,1,O307=0,0)</f>
        <v>4</v>
      </c>
      <c r="R307" s="3" t="n">
        <f aca="false">IF(P307&lt;=1,0,IF(P307&lt;=10,11,IF(P307&lt;=14,12,IF(P307&lt;=17,13,IF(P307&lt;=20,14,IF(P307&lt;=22,15,IF(P307&lt;=25,16,IF(P307&lt;=27,17,IF(P307&lt;=29,18,IF(P307&lt;=32,19,IF(P307&lt;=34,20,IF(P307&lt;=36,21,IF(P307&lt;=40,22,24)))))))))))))</f>
        <v>0</v>
      </c>
      <c r="S307" s="14" t="n">
        <f aca="false">ROUND((Q307+R307+I307+J307+M307+N307)/3,0)</f>
        <v>5</v>
      </c>
      <c r="T307" s="15" t="n">
        <f aca="false">F307*LOG10(S307+2)</f>
        <v>8.45098040014257</v>
      </c>
    </row>
    <row r="308" customFormat="false" ht="14.65" hidden="false" customHeight="true" outlineLevel="0" collapsed="false">
      <c r="A308" s="12" t="s">
        <v>348</v>
      </c>
      <c r="B308" s="13" t="n">
        <v>38887</v>
      </c>
      <c r="C308" s="3" t="s">
        <v>24</v>
      </c>
      <c r="D308" s="4" t="s">
        <v>331</v>
      </c>
      <c r="E308" s="3" t="n">
        <v>2</v>
      </c>
      <c r="F308" s="3" t="n">
        <v>13</v>
      </c>
      <c r="G308" s="3" t="n">
        <v>75</v>
      </c>
      <c r="I308" s="3" t="n">
        <f aca="false">_xlfn.IFS(G308="взв",11,G308="накл",24,G308="прокл",25,G308="пт",26,G308=90,10,G308=85,10,G308=80,9,G308=75,8,G308=70,8,G308=65,7,G308=60,7,G308=55,6,G308=50,6,G308=45,6,G308=40,5,G308=35,4,G308=30,4,G308=25,3,G308=20,2,G308=15,1,G308=10,1,G308=0,0)</f>
        <v>8</v>
      </c>
      <c r="J308" s="3" t="n">
        <f aca="false">IF(H308&lt;=1,0,IF(H308&lt;=10,11,IF(H308&lt;=14,12,IF(H308&lt;=17,13,IF(H308&lt;=20,14,IF(H308&lt;=22,15,IF(H308&lt;=25,16,IF(H308&lt;=27,17,IF(H308&lt;=29,18,IF(H308&lt;=32,19,IF(H308&lt;=34,20,IF(H308&lt;=36,21,IF(H308&lt;=40,22,24)))))))))))))</f>
        <v>0</v>
      </c>
      <c r="K308" s="3" t="n">
        <v>75</v>
      </c>
      <c r="M308" s="3" t="n">
        <f aca="false">_xlfn.IFS(K308="взв",11,K308="накл",24,K308="прокл",25,K308="пт",26,K308=90,10,K308=85,10,K308=80,9,K308=75,8,K308=70,8,K308=65,7,K308=60,7,K308=55,6,K308=50,6,K308=45,6,K308=40,5,K308=35,4,K308=30,4,K308=25,3,K308=20,2,K308=15,1,K308=10,1,K308=0,0)</f>
        <v>8</v>
      </c>
      <c r="N308" s="3" t="n">
        <f aca="false">IF(L308&lt;=1,0,IF(L308&lt;=10,11,IF(L308&lt;=14,12,IF(L308&lt;=17,13,IF(L308&lt;=20,14,IF(L308&lt;=22,15,IF(L308&lt;=25,16,IF(L308&lt;=27,17,IF(L308&lt;=29,18,IF(L308&lt;=32,19,IF(L308&lt;=34,20,IF(L308&lt;=36,21,IF(L308&lt;=40,22,24)))))))))))))</f>
        <v>0</v>
      </c>
      <c r="Q308" s="3" t="n">
        <f aca="false">_xlfn.IFS(O308="взв",11,O308="накл",24,O308="прокл",25,O308="пт",26,O308=90,10,O308=85,10,O308=80,9,O308=75,8,O308=70,8,O308=65,7,O308=60,7,O308=55,6,O308=50,6,O308=45,6,O308=40,5,O308=35,4,O308=30,4,O308=25,3,O308=20,2,O308=15,1,O308=10,1,O308=0,0)</f>
        <v>0</v>
      </c>
      <c r="R308" s="3" t="n">
        <f aca="false">IF(P308&lt;=1,0,IF(P308&lt;=10,11,IF(P308&lt;=14,12,IF(P308&lt;=17,13,IF(P308&lt;=20,14,IF(P308&lt;=22,15,IF(P308&lt;=25,16,IF(P308&lt;=27,17,IF(P308&lt;=29,18,IF(P308&lt;=32,19,IF(P308&lt;=34,20,IF(P308&lt;=36,21,IF(P308&lt;=40,22,24)))))))))))))</f>
        <v>0</v>
      </c>
      <c r="S308" s="14" t="n">
        <v>8</v>
      </c>
      <c r="T308" s="15" t="n">
        <f aca="false">F308*LOG10(S308+2)</f>
        <v>13</v>
      </c>
    </row>
    <row r="309" customFormat="false" ht="14.65" hidden="false" customHeight="true" outlineLevel="0" collapsed="false">
      <c r="A309" s="12" t="s">
        <v>349</v>
      </c>
      <c r="B309" s="13" t="n">
        <v>38887</v>
      </c>
      <c r="C309" s="3" t="s">
        <v>24</v>
      </c>
      <c r="D309" s="4" t="s">
        <v>331</v>
      </c>
      <c r="E309" s="3" t="n">
        <v>4</v>
      </c>
      <c r="F309" s="3" t="n">
        <v>20</v>
      </c>
      <c r="G309" s="3" t="n">
        <v>15</v>
      </c>
      <c r="I309" s="3" t="n">
        <f aca="false">_xlfn.IFS(G309="взв",11,G309="накл",24,G309="прокл",25,G309="пт",26,G309=90,10,G309=85,10,G309=80,9,G309=75,8,G309=70,8,G309=65,7,G309=60,7,G309=55,6,G309=50,6,G309=45,6,G309=40,5,G309=35,4,G309=30,4,G309=25,3,G309=20,2,G309=15,1,G309=10,1,G309=0,0)</f>
        <v>1</v>
      </c>
      <c r="J309" s="3" t="n">
        <f aca="false">IF(H309&lt;=1,0,IF(H309&lt;=10,11,IF(H309&lt;=14,12,IF(H309&lt;=17,13,IF(H309&lt;=20,14,IF(H309&lt;=22,15,IF(H309&lt;=25,16,IF(H309&lt;=27,17,IF(H309&lt;=29,18,IF(H309&lt;=32,19,IF(H309&lt;=34,20,IF(H309&lt;=36,21,IF(H309&lt;=40,22,24)))))))))))))</f>
        <v>0</v>
      </c>
      <c r="K309" s="3" t="n">
        <v>30</v>
      </c>
      <c r="M309" s="3" t="n">
        <f aca="false">_xlfn.IFS(K309="взв",11,K309="накл",24,K309="прокл",25,K309="пт",26,K309=90,10,K309=85,10,K309=80,9,K309=75,8,K309=70,8,K309=65,7,K309=60,7,K309=55,6,K309=50,6,K309=45,6,K309=40,5,K309=35,4,K309=30,4,K309=25,3,K309=20,2,K309=15,1,K309=10,1,K309=0,0)</f>
        <v>4</v>
      </c>
      <c r="N309" s="3" t="n">
        <f aca="false">IF(L309&lt;=1,0,IF(L309&lt;=10,11,IF(L309&lt;=14,12,IF(L309&lt;=17,13,IF(L309&lt;=20,14,IF(L309&lt;=22,15,IF(L309&lt;=25,16,IF(L309&lt;=27,17,IF(L309&lt;=29,18,IF(L309&lt;=32,19,IF(L309&lt;=34,20,IF(L309&lt;=36,21,IF(L309&lt;=40,22,24)))))))))))))</f>
        <v>0</v>
      </c>
      <c r="O309" s="3" t="n">
        <v>30</v>
      </c>
      <c r="Q309" s="3" t="n">
        <f aca="false">_xlfn.IFS(O309="взв",11,O309="накл",24,O309="прокл",25,O309="пт",26,O309=90,10,O309=85,10,O309=80,9,O309=75,8,O309=70,8,O309=65,7,O309=60,7,O309=55,6,O309=50,6,O309=45,6,O309=40,5,O309=35,4,O309=30,4,O309=25,3,O309=20,2,O309=15,1,O309=10,1,O309=0,0)</f>
        <v>4</v>
      </c>
      <c r="R309" s="3" t="n">
        <f aca="false">IF(P309&lt;=1,0,IF(P309&lt;=10,11,IF(P309&lt;=14,12,IF(P309&lt;=17,13,IF(P309&lt;=20,14,IF(P309&lt;=22,15,IF(P309&lt;=25,16,IF(P309&lt;=27,17,IF(P309&lt;=29,18,IF(P309&lt;=32,19,IF(P309&lt;=34,20,IF(P309&lt;=36,21,IF(P309&lt;=40,22,24)))))))))))))</f>
        <v>0</v>
      </c>
      <c r="S309" s="14" t="n">
        <f aca="false">ROUND((Q309+R309+I309+J309+M309+N309)/3,0)</f>
        <v>3</v>
      </c>
      <c r="T309" s="15" t="n">
        <f aca="false">F309*LOG10(S309+2)</f>
        <v>13.9794000867204</v>
      </c>
    </row>
    <row r="310" customFormat="false" ht="14.65" hidden="false" customHeight="true" outlineLevel="0" collapsed="false">
      <c r="A310" s="12" t="s">
        <v>350</v>
      </c>
      <c r="B310" s="13" t="n">
        <v>38887</v>
      </c>
      <c r="C310" s="3" t="s">
        <v>24</v>
      </c>
      <c r="D310" s="4" t="s">
        <v>331</v>
      </c>
      <c r="E310" s="3" t="n">
        <v>4</v>
      </c>
      <c r="F310" s="3" t="n">
        <v>0</v>
      </c>
      <c r="G310" s="3" t="n">
        <v>60</v>
      </c>
      <c r="I310" s="3" t="n">
        <f aca="false">_xlfn.IFS(G310="взв",11,G310="накл",24,G310="прокл",25,G310="пт",26,G310=90,10,G310=85,10,G310=80,9,G310=75,8,G310=70,8,G310=65,7,G310=60,7,G310=55,6,G310=50,6,G310=45,6,G310=40,5,G310=35,4,G310=30,4,G310=25,3,G310=20,2,G310=15,1,G310=10,1,G310=0,0)</f>
        <v>7</v>
      </c>
      <c r="J310" s="3" t="n">
        <f aca="false">IF(H310&lt;=1,0,IF(H310&lt;=10,11,IF(H310&lt;=14,12,IF(H310&lt;=17,13,IF(H310&lt;=20,14,IF(H310&lt;=22,15,IF(H310&lt;=25,16,IF(H310&lt;=27,17,IF(H310&lt;=29,18,IF(H310&lt;=32,19,IF(H310&lt;=34,20,IF(H310&lt;=36,21,IF(H310&lt;=40,22,24)))))))))))))</f>
        <v>0</v>
      </c>
      <c r="K310" s="3" t="n">
        <v>45</v>
      </c>
      <c r="M310" s="3" t="n">
        <f aca="false">_xlfn.IFS(K310="взв",11,K310="накл",24,K310="прокл",25,K310="пт",26,K310=90,10,K310=85,10,K310=80,9,K310=75,8,K310=70,8,K310=65,7,K310=60,7,K310=55,6,K310=50,6,K310=45,6,K310=40,5,K310=35,4,K310=30,4,K310=25,3,K310=20,2,K310=15,1,K310=10,1,K310=0,0)</f>
        <v>6</v>
      </c>
      <c r="N310" s="3" t="n">
        <f aca="false">IF(L310&lt;=1,0,IF(L310&lt;=10,11,IF(L310&lt;=14,12,IF(L310&lt;=17,13,IF(L310&lt;=20,14,IF(L310&lt;=22,15,IF(L310&lt;=25,16,IF(L310&lt;=27,17,IF(L310&lt;=29,18,IF(L310&lt;=32,19,IF(L310&lt;=34,20,IF(L310&lt;=36,21,IF(L310&lt;=40,22,24)))))))))))))</f>
        <v>0</v>
      </c>
      <c r="O310" s="3" t="n">
        <v>45</v>
      </c>
      <c r="Q310" s="3" t="n">
        <f aca="false">_xlfn.IFS(O310="взв",11,O310="накл",24,O310="прокл",25,O310="пт",26,O310=90,10,O310=85,10,O310=80,9,O310=75,8,O310=70,8,O310=65,7,O310=60,7,O310=55,6,O310=50,6,O310=45,6,O310=40,5,O310=35,4,O310=30,4,O310=25,3,O310=20,2,O310=15,1,O310=10,1,O310=0,0)</f>
        <v>6</v>
      </c>
      <c r="R310" s="3" t="n">
        <f aca="false">IF(P310&lt;=1,0,IF(P310&lt;=10,11,IF(P310&lt;=14,12,IF(P310&lt;=17,13,IF(P310&lt;=20,14,IF(P310&lt;=22,15,IF(P310&lt;=25,16,IF(P310&lt;=27,17,IF(P310&lt;=29,18,IF(P310&lt;=32,19,IF(P310&lt;=34,20,IF(P310&lt;=36,21,IF(P310&lt;=40,22,24)))))))))))))</f>
        <v>0</v>
      </c>
      <c r="S310" s="14" t="n">
        <f aca="false">ROUND((Q310+R310+I310+J310+M310+N310)/3,0)</f>
        <v>6</v>
      </c>
      <c r="T310" s="15" t="n">
        <f aca="false">F310*LOG10(S310+2)</f>
        <v>0</v>
      </c>
    </row>
    <row r="311" customFormat="false" ht="14.65" hidden="false" customHeight="true" outlineLevel="0" collapsed="false">
      <c r="A311" s="12" t="s">
        <v>351</v>
      </c>
      <c r="B311" s="13" t="n">
        <v>38887</v>
      </c>
      <c r="C311" s="3" t="s">
        <v>24</v>
      </c>
      <c r="D311" s="4" t="s">
        <v>331</v>
      </c>
      <c r="E311" s="3" t="n">
        <v>5</v>
      </c>
      <c r="F311" s="3" t="n">
        <v>0</v>
      </c>
      <c r="G311" s="3" t="s">
        <v>38</v>
      </c>
      <c r="I311" s="3" t="n">
        <f aca="false">_xlfn.IFS(G311="взв",11,G311="накл",24,G311="прокл",25,G311="пт",26,G311=90,10,G311=85,10,G311=80,9,G311=75,8,G311=70,8,G311=65,7,G311=60,7,G311=55,6,G311=50,6,G311=45,6,G311=40,5,G311=35,4,G311=30,4,G311=25,3,G311=20,2,G311=15,1,G311=10,1,G311=0,0)</f>
        <v>26</v>
      </c>
      <c r="J311" s="3" t="n">
        <f aca="false">IF(H311&lt;=1,0,IF(H311&lt;=10,11,IF(H311&lt;=14,12,IF(H311&lt;=17,13,IF(H311&lt;=20,14,IF(H311&lt;=22,15,IF(H311&lt;=25,16,IF(H311&lt;=27,17,IF(H311&lt;=29,18,IF(H311&lt;=32,19,IF(H311&lt;=34,20,IF(H311&lt;=36,21,IF(H311&lt;=40,22,24)))))))))))))</f>
        <v>0</v>
      </c>
      <c r="K311" s="3" t="s">
        <v>38</v>
      </c>
      <c r="M311" s="3" t="n">
        <f aca="false">_xlfn.IFS(K311="взв",11,K311="накл",24,K311="прокл",25,K311="пт",26,K311=90,10,K311=85,10,K311=80,9,K311=75,8,K311=70,8,K311=65,7,K311=60,7,K311=55,6,K311=50,6,K311=45,6,K311=40,5,K311=35,4,K311=30,4,K311=25,3,K311=20,2,K311=15,1,K311=10,1,K311=0,0)</f>
        <v>26</v>
      </c>
      <c r="N311" s="3" t="n">
        <f aca="false">IF(L311&lt;=1,0,IF(L311&lt;=10,11,IF(L311&lt;=14,12,IF(L311&lt;=17,13,IF(L311&lt;=20,14,IF(L311&lt;=22,15,IF(L311&lt;=25,16,IF(L311&lt;=27,17,IF(L311&lt;=29,18,IF(L311&lt;=32,19,IF(L311&lt;=34,20,IF(L311&lt;=36,21,IF(L311&lt;=40,22,24)))))))))))))</f>
        <v>0</v>
      </c>
      <c r="O311" s="3" t="s">
        <v>38</v>
      </c>
      <c r="Q311" s="3" t="n">
        <f aca="false">_xlfn.IFS(O311="взв",11,O311="накл",24,O311="прокл",25,O311="пт",26,O311=90,10,O311=85,10,O311=80,9,O311=75,8,O311=70,8,O311=65,7,O311=60,7,O311=55,6,O311=50,6,O311=45,6,O311=40,5,O311=35,4,O311=30,4,O311=25,3,O311=20,2,O311=15,1,O311=10,1,O311=0,0)</f>
        <v>26</v>
      </c>
      <c r="R311" s="3" t="n">
        <f aca="false">IF(P311&lt;=1,0,IF(P311&lt;=10,11,IF(P311&lt;=14,12,IF(P311&lt;=17,13,IF(P311&lt;=20,14,IF(P311&lt;=22,15,IF(P311&lt;=25,16,IF(P311&lt;=27,17,IF(P311&lt;=29,18,IF(P311&lt;=32,19,IF(P311&lt;=34,20,IF(P311&lt;=36,21,IF(P311&lt;=40,22,24)))))))))))))</f>
        <v>0</v>
      </c>
      <c r="S311" s="14" t="n">
        <f aca="false">ROUND((Q311+R311+I311+J311+M311+N311)/3,0)</f>
        <v>26</v>
      </c>
      <c r="T311" s="15" t="n">
        <f aca="false">F311*LOG10(S311+2)</f>
        <v>0</v>
      </c>
    </row>
    <row r="312" customFormat="false" ht="14.65" hidden="false" customHeight="true" outlineLevel="0" collapsed="false">
      <c r="A312" s="12" t="s">
        <v>352</v>
      </c>
      <c r="B312" s="13" t="n">
        <v>38880</v>
      </c>
      <c r="C312" s="3" t="s">
        <v>24</v>
      </c>
      <c r="D312" s="4" t="s">
        <v>353</v>
      </c>
      <c r="E312" s="3" t="n">
        <v>4</v>
      </c>
      <c r="F312" s="3" t="n">
        <v>1</v>
      </c>
      <c r="H312" s="3" t="n">
        <v>35</v>
      </c>
      <c r="I312" s="3" t="n">
        <f aca="false">_xlfn.IFS(G312="взв",11,G312="накл",24,G312="прокл",25,G312="пт",26,G312=90,10,G312=85,10,G312=80,9,G312=75,8,G312=70,8,G312=65,7,G312=60,7,G312=55,6,G312=50,6,G312=45,6,G312=40,5,G312=35,4,G312=30,4,G312=25,3,G312=20,2,G312=15,1,G312=10,1,G312=0,0)</f>
        <v>0</v>
      </c>
      <c r="J312" s="3" t="n">
        <f aca="false">IF(H312&lt;=1,0,IF(H312&lt;=10,11,IF(H312&lt;=14,12,IF(H312&lt;=17,13,IF(H312&lt;=20,14,IF(H312&lt;=22,15,IF(H312&lt;=25,16,IF(H312&lt;=27,17,IF(H312&lt;=29,18,IF(H312&lt;=32,19,IF(H312&lt;=34,20,IF(H312&lt;=36,21,IF(H312&lt;=40,22,24)))))))))))))</f>
        <v>21</v>
      </c>
      <c r="L312" s="3" t="n">
        <v>40</v>
      </c>
      <c r="M312" s="3" t="n">
        <f aca="false">_xlfn.IFS(K312="взв",11,K312="накл",24,K312="прокл",25,K312="пт",26,K312=90,10,K312=85,10,K312=80,9,K312=75,8,K312=70,8,K312=65,7,K312=60,7,K312=55,6,K312=50,6,K312=45,6,K312=40,5,K312=35,4,K312=30,4,K312=25,3,K312=20,2,K312=15,1,K312=10,1,K312=0,0)</f>
        <v>0</v>
      </c>
      <c r="N312" s="3" t="n">
        <f aca="false">IF(L312&lt;=1,0,IF(L312&lt;=10,11,IF(L312&lt;=14,12,IF(L312&lt;=17,13,IF(L312&lt;=20,14,IF(L312&lt;=22,15,IF(L312&lt;=25,16,IF(L312&lt;=27,17,IF(L312&lt;=29,18,IF(L312&lt;=32,19,IF(L312&lt;=34,20,IF(L312&lt;=36,21,IF(L312&lt;=40,22,24)))))))))))))</f>
        <v>22</v>
      </c>
      <c r="P312" s="3" t="n">
        <v>38</v>
      </c>
      <c r="Q312" s="3" t="n">
        <f aca="false">_xlfn.IFS(O312="взв",11,O312="накл",24,O312="прокл",25,O312="пт",26,O312=90,10,O312=85,10,O312=80,9,O312=75,8,O312=70,8,O312=65,7,O312=60,7,O312=55,6,O312=50,6,O312=45,6,O312=40,5,O312=35,4,O312=30,4,O312=25,3,O312=20,2,O312=15,1,O312=10,1,O312=0,0)</f>
        <v>0</v>
      </c>
      <c r="R312" s="3" t="n">
        <f aca="false">IF(P312&lt;=1,0,IF(P312&lt;=10,11,IF(P312&lt;=14,12,IF(P312&lt;=17,13,IF(P312&lt;=20,14,IF(P312&lt;=22,15,IF(P312&lt;=25,16,IF(P312&lt;=27,17,IF(P312&lt;=29,18,IF(P312&lt;=32,19,IF(P312&lt;=34,20,IF(P312&lt;=36,21,IF(P312&lt;=40,22,24)))))))))))))</f>
        <v>22</v>
      </c>
      <c r="S312" s="14" t="n">
        <f aca="false">ROUND((Q312+R312+I312+J312+M312+N312)/3,0)</f>
        <v>22</v>
      </c>
      <c r="T312" s="15" t="n">
        <f aca="false">F312*LOG10(S312+2)</f>
        <v>1.38021124171161</v>
      </c>
    </row>
    <row r="313" customFormat="false" ht="14.65" hidden="false" customHeight="true" outlineLevel="0" collapsed="false">
      <c r="A313" s="12" t="s">
        <v>354</v>
      </c>
      <c r="B313" s="13" t="n">
        <v>38880</v>
      </c>
      <c r="C313" s="3" t="s">
        <v>24</v>
      </c>
      <c r="D313" s="4" t="s">
        <v>353</v>
      </c>
      <c r="E313" s="3" t="n">
        <v>4</v>
      </c>
      <c r="F313" s="3" t="n">
        <v>1</v>
      </c>
      <c r="H313" s="3" t="n">
        <v>34</v>
      </c>
      <c r="I313" s="3" t="n">
        <f aca="false">_xlfn.IFS(G313="взв",11,G313="накл",24,G313="прокл",25,G313="пт",26,G313=90,10,G313=85,10,G313=80,9,G313=75,8,G313=70,8,G313=65,7,G313=60,7,G313=55,6,G313=50,6,G313=45,6,G313=40,5,G313=35,4,G313=30,4,G313=25,3,G313=20,2,G313=15,1,G313=10,1,G313=0,0)</f>
        <v>0</v>
      </c>
      <c r="J313" s="3" t="n">
        <f aca="false">IF(H313&lt;=1,0,IF(H313&lt;=10,11,IF(H313&lt;=14,12,IF(H313&lt;=17,13,IF(H313&lt;=20,14,IF(H313&lt;=22,15,IF(H313&lt;=25,16,IF(H313&lt;=27,17,IF(H313&lt;=29,18,IF(H313&lt;=32,19,IF(H313&lt;=34,20,IF(H313&lt;=36,21,IF(H313&lt;=40,22,24)))))))))))))</f>
        <v>20</v>
      </c>
      <c r="L313" s="3" t="n">
        <v>30</v>
      </c>
      <c r="M313" s="3" t="n">
        <f aca="false">_xlfn.IFS(K313="взв",11,K313="накл",24,K313="прокл",25,K313="пт",26,K313=90,10,K313=85,10,K313=80,9,K313=75,8,K313=70,8,K313=65,7,K313=60,7,K313=55,6,K313=50,6,K313=45,6,K313=40,5,K313=35,4,K313=30,4,K313=25,3,K313=20,2,K313=15,1,K313=10,1,K313=0,0)</f>
        <v>0</v>
      </c>
      <c r="N313" s="3" t="n">
        <f aca="false">IF(L313&lt;=1,0,IF(L313&lt;=10,11,IF(L313&lt;=14,12,IF(L313&lt;=17,13,IF(L313&lt;=20,14,IF(L313&lt;=22,15,IF(L313&lt;=25,16,IF(L313&lt;=27,17,IF(L313&lt;=29,18,IF(L313&lt;=32,19,IF(L313&lt;=34,20,IF(L313&lt;=36,21,IF(L313&lt;=40,22,24)))))))))))))</f>
        <v>19</v>
      </c>
      <c r="P313" s="3" t="n">
        <v>39</v>
      </c>
      <c r="Q313" s="3" t="n">
        <f aca="false">_xlfn.IFS(O313="взв",11,O313="накл",24,O313="прокл",25,O313="пт",26,O313=90,10,O313=85,10,O313=80,9,O313=75,8,O313=70,8,O313=65,7,O313=60,7,O313=55,6,O313=50,6,O313=45,6,O313=40,5,O313=35,4,O313=30,4,O313=25,3,O313=20,2,O313=15,1,O313=10,1,O313=0,0)</f>
        <v>0</v>
      </c>
      <c r="R313" s="3" t="n">
        <f aca="false">IF(P313&lt;=1,0,IF(P313&lt;=10,11,IF(P313&lt;=14,12,IF(P313&lt;=17,13,IF(P313&lt;=20,14,IF(P313&lt;=22,15,IF(P313&lt;=25,16,IF(P313&lt;=27,17,IF(P313&lt;=29,18,IF(P313&lt;=32,19,IF(P313&lt;=34,20,IF(P313&lt;=36,21,IF(P313&lt;=40,22,24)))))))))))))</f>
        <v>22</v>
      </c>
      <c r="S313" s="14" t="n">
        <f aca="false">ROUND((Q313+R313+I313+J313+M313+N313)/3,0)</f>
        <v>20</v>
      </c>
      <c r="T313" s="15" t="n">
        <f aca="false">F313*LOG10(S313+2)</f>
        <v>1.34242268082221</v>
      </c>
    </row>
    <row r="314" customFormat="false" ht="14.65" hidden="false" customHeight="true" outlineLevel="0" collapsed="false">
      <c r="A314" s="12" t="s">
        <v>355</v>
      </c>
      <c r="B314" s="13" t="n">
        <v>38880</v>
      </c>
      <c r="C314" s="3" t="s">
        <v>24</v>
      </c>
      <c r="D314" s="4" t="s">
        <v>353</v>
      </c>
      <c r="E314" s="3" t="s">
        <v>97</v>
      </c>
      <c r="F314" s="3" t="n">
        <v>1</v>
      </c>
      <c r="G314" s="3" t="n">
        <v>90</v>
      </c>
      <c r="I314" s="3" t="n">
        <f aca="false">_xlfn.IFS(G314="взв",11,G314="накл",24,G314="прокл",25,G314="пт",26,G314=90,10,G314=85,10,G314=80,9,G314=75,8,G314=70,8,G314=65,7,G314=60,7,G314=55,6,G314=50,6,G314=45,6,G314=40,5,G314=35,4,G314=30,4,G314=25,3,G314=20,2,G314=15,1,G314=10,1,G314=0,0)</f>
        <v>10</v>
      </c>
      <c r="J314" s="3" t="n">
        <f aca="false">IF(H314&lt;=1,0,IF(H314&lt;=10,11,IF(H314&lt;=14,12,IF(H314&lt;=17,13,IF(H314&lt;=20,14,IF(H314&lt;=22,15,IF(H314&lt;=25,16,IF(H314&lt;=27,17,IF(H314&lt;=29,18,IF(H314&lt;=32,19,IF(H314&lt;=34,20,IF(H314&lt;=36,21,IF(H314&lt;=40,22,24)))))))))))))</f>
        <v>0</v>
      </c>
      <c r="K314" s="3" t="n">
        <v>90</v>
      </c>
      <c r="M314" s="3" t="n">
        <f aca="false">_xlfn.IFS(K314="взв",11,K314="накл",24,K314="прокл",25,K314="пт",26,K314=90,10,K314=85,10,K314=80,9,K314=75,8,K314=70,8,K314=65,7,K314=60,7,K314=55,6,K314=50,6,K314=45,6,K314=40,5,K314=35,4,K314=30,4,K314=25,3,K314=20,2,K314=15,1,K314=10,1,K314=0,0)</f>
        <v>10</v>
      </c>
      <c r="N314" s="3" t="n">
        <f aca="false">IF(L314&lt;=1,0,IF(L314&lt;=10,11,IF(L314&lt;=14,12,IF(L314&lt;=17,13,IF(L314&lt;=20,14,IF(L314&lt;=22,15,IF(L314&lt;=25,16,IF(L314&lt;=27,17,IF(L314&lt;=29,18,IF(L314&lt;=32,19,IF(L314&lt;=34,20,IF(L314&lt;=36,21,IF(L314&lt;=40,22,24)))))))))))))</f>
        <v>0</v>
      </c>
      <c r="O314" s="3" t="s">
        <v>50</v>
      </c>
      <c r="P314" s="0"/>
      <c r="Q314" s="3" t="n">
        <f aca="false">_xlfn.IFS(O314="взв",11,O314="накл",24,O314="прокл",25,O314="пт",26,O314=90,10,O314=85,10,O314=80,9,O314=75,8,O314=70,8,O314=65,7,O314=60,7,O314=55,6,O314=50,6,O314=45,6,O314=40,5,O314=35,4,O314=30,4,O314=25,3,O314=20,2,O314=15,1,O314=10,1,O314=0,0)</f>
        <v>11</v>
      </c>
      <c r="R314" s="3" t="n">
        <f aca="false">IF(P314&lt;=1,0,IF(P314&lt;=10,11,IF(P314&lt;=14,12,IF(P314&lt;=17,13,IF(P314&lt;=20,14,IF(P314&lt;=22,15,IF(P314&lt;=25,16,IF(P314&lt;=27,17,IF(P314&lt;=29,18,IF(P314&lt;=32,19,IF(P314&lt;=34,20,IF(P314&lt;=36,21,IF(P314&lt;=40,22,24)))))))))))))</f>
        <v>0</v>
      </c>
      <c r="S314" s="14" t="n">
        <f aca="false">ROUND((Q314+R314+I314+J314+M314+N314)/3,0)</f>
        <v>10</v>
      </c>
      <c r="T314" s="15" t="n">
        <f aca="false">F314*LOG10(S314+2)</f>
        <v>1.07918124604762</v>
      </c>
    </row>
    <row r="315" customFormat="false" ht="14.65" hidden="false" customHeight="true" outlineLevel="0" collapsed="false">
      <c r="A315" s="12" t="s">
        <v>356</v>
      </c>
      <c r="B315" s="13" t="n">
        <v>38880</v>
      </c>
      <c r="C315" s="3" t="s">
        <v>24</v>
      </c>
      <c r="D315" s="4" t="s">
        <v>353</v>
      </c>
      <c r="E315" s="3" t="n">
        <v>3</v>
      </c>
      <c r="F315" s="3" t="n">
        <v>2</v>
      </c>
      <c r="H315" s="3" t="n">
        <v>36</v>
      </c>
      <c r="I315" s="3" t="n">
        <f aca="false">_xlfn.IFS(G315="взв",11,G315="накл",24,G315="прокл",25,G315="пт",26,G315=90,10,G315=85,10,G315=80,9,G315=75,8,G315=70,8,G315=65,7,G315=60,7,G315=55,6,G315=50,6,G315=45,6,G315=40,5,G315=35,4,G315=30,4,G315=25,3,G315=20,2,G315=15,1,G315=10,1,G315=0,0)</f>
        <v>0</v>
      </c>
      <c r="J315" s="3" t="n">
        <f aca="false">IF(H315&lt;=1,0,IF(H315&lt;=10,11,IF(H315&lt;=14,12,IF(H315&lt;=17,13,IF(H315&lt;=20,14,IF(H315&lt;=22,15,IF(H315&lt;=25,16,IF(H315&lt;=27,17,IF(H315&lt;=29,18,IF(H315&lt;=32,19,IF(H315&lt;=34,20,IF(H315&lt;=36,21,IF(H315&lt;=40,22,24)))))))))))))</f>
        <v>21</v>
      </c>
      <c r="L315" s="3" t="n">
        <v>29</v>
      </c>
      <c r="M315" s="3" t="n">
        <f aca="false">_xlfn.IFS(K315="взв",11,K315="накл",24,K315="прокл",25,K315="пт",26,K315=90,10,K315=85,10,K315=80,9,K315=75,8,K315=70,8,K315=65,7,K315=60,7,K315=55,6,K315=50,6,K315=45,6,K315=40,5,K315=35,4,K315=30,4,K315=25,3,K315=20,2,K315=15,1,K315=10,1,K315=0,0)</f>
        <v>0</v>
      </c>
      <c r="N315" s="3" t="n">
        <f aca="false">IF(L315&lt;=1,0,IF(L315&lt;=10,11,IF(L315&lt;=14,12,IF(L315&lt;=17,13,IF(L315&lt;=20,14,IF(L315&lt;=22,15,IF(L315&lt;=25,16,IF(L315&lt;=27,17,IF(L315&lt;=29,18,IF(L315&lt;=32,19,IF(L315&lt;=34,20,IF(L315&lt;=36,21,IF(L315&lt;=40,22,24)))))))))))))</f>
        <v>18</v>
      </c>
      <c r="P315" s="3" t="n">
        <v>33</v>
      </c>
      <c r="Q315" s="3" t="n">
        <f aca="false">_xlfn.IFS(O315="взв",11,O315="накл",24,O315="прокл",25,O315="пт",26,O315=90,10,O315=85,10,O315=80,9,O315=75,8,O315=70,8,O315=65,7,O315=60,7,O315=55,6,O315=50,6,O315=45,6,O315=40,5,O315=35,4,O315=30,4,O315=25,3,O315=20,2,O315=15,1,O315=10,1,O315=0,0)</f>
        <v>0</v>
      </c>
      <c r="R315" s="3" t="n">
        <f aca="false">IF(P315&lt;=1,0,IF(P315&lt;=10,11,IF(P315&lt;=14,12,IF(P315&lt;=17,13,IF(P315&lt;=20,14,IF(P315&lt;=22,15,IF(P315&lt;=25,16,IF(P315&lt;=27,17,IF(P315&lt;=29,18,IF(P315&lt;=32,19,IF(P315&lt;=34,20,IF(P315&lt;=36,21,IF(P315&lt;=40,22,24)))))))))))))</f>
        <v>20</v>
      </c>
      <c r="S315" s="14" t="n">
        <f aca="false">ROUND((Q315+R315+I315+J315+M315+N315)/3,0)</f>
        <v>20</v>
      </c>
      <c r="T315" s="15" t="n">
        <f aca="false">F315*LOG10(S315+2)</f>
        <v>2.68484536164441</v>
      </c>
    </row>
    <row r="316" customFormat="false" ht="14.65" hidden="false" customHeight="true" outlineLevel="0" collapsed="false">
      <c r="A316" s="12" t="s">
        <v>357</v>
      </c>
      <c r="B316" s="13" t="n">
        <v>38880</v>
      </c>
      <c r="C316" s="3" t="s">
        <v>24</v>
      </c>
      <c r="D316" s="4" t="s">
        <v>353</v>
      </c>
      <c r="E316" s="3" t="n">
        <v>4</v>
      </c>
      <c r="F316" s="3" t="n">
        <v>2</v>
      </c>
      <c r="G316" s="3" t="s">
        <v>47</v>
      </c>
      <c r="I316" s="3" t="n">
        <f aca="false">_xlfn.IFS(G316="взв",11,G316="накл",24,G316="прокл",25,G316="пт",26,G316=90,10,G316=85,10,G316=80,9,G316=75,8,G316=70,8,G316=65,7,G316=60,7,G316=55,6,G316=50,6,G316=45,6,G316=40,5,G316=35,4,G316=30,4,G316=25,3,G316=20,2,G316=15,1,G316=10,1,G316=0,0)</f>
        <v>25</v>
      </c>
      <c r="J316" s="3" t="n">
        <f aca="false">IF(H316&lt;=1,0,IF(H316&lt;=10,11,IF(H316&lt;=14,12,IF(H316&lt;=17,13,IF(H316&lt;=20,14,IF(H316&lt;=22,15,IF(H316&lt;=25,16,IF(H316&lt;=27,17,IF(H316&lt;=29,18,IF(H316&lt;=32,19,IF(H316&lt;=34,20,IF(H316&lt;=36,21,IF(H316&lt;=40,22,24)))))))))))))</f>
        <v>0</v>
      </c>
      <c r="K316" s="3" t="s">
        <v>47</v>
      </c>
      <c r="M316" s="3" t="n">
        <f aca="false">_xlfn.IFS(K316="взв",11,K316="накл",24,K316="прокл",25,K316="пт",26,K316=90,10,K316=85,10,K316=80,9,K316=75,8,K316=70,8,K316=65,7,K316=60,7,K316=55,6,K316=50,6,K316=45,6,K316=40,5,K316=35,4,K316=30,4,K316=25,3,K316=20,2,K316=15,1,K316=10,1,K316=0,0)</f>
        <v>25</v>
      </c>
      <c r="N316" s="3" t="n">
        <f aca="false">IF(L316&lt;=1,0,IF(L316&lt;=10,11,IF(L316&lt;=14,12,IF(L316&lt;=17,13,IF(L316&lt;=20,14,IF(L316&lt;=22,15,IF(L316&lt;=25,16,IF(L316&lt;=27,17,IF(L316&lt;=29,18,IF(L316&lt;=32,19,IF(L316&lt;=34,20,IF(L316&lt;=36,21,IF(L316&lt;=40,22,24)))))))))))))</f>
        <v>0</v>
      </c>
      <c r="O316" s="3" t="s">
        <v>38</v>
      </c>
      <c r="P316" s="0"/>
      <c r="Q316" s="3" t="n">
        <f aca="false">_xlfn.IFS(O316="взв",11,O316="накл",24,O316="прокл",25,O316="пт",26,O316=90,10,O316=85,10,O316=80,9,O316=75,8,O316=70,8,O316=65,7,O316=60,7,O316=55,6,O316=50,6,O316=45,6,O316=40,5,O316=35,4,O316=30,4,O316=25,3,O316=20,2,O316=15,1,O316=10,1,O316=0,0)</f>
        <v>26</v>
      </c>
      <c r="R316" s="3" t="n">
        <f aca="false">IF(P316&lt;=1,0,IF(P316&lt;=10,11,IF(P316&lt;=14,12,IF(P316&lt;=17,13,IF(P316&lt;=20,14,IF(P316&lt;=22,15,IF(P316&lt;=25,16,IF(P316&lt;=27,17,IF(P316&lt;=29,18,IF(P316&lt;=32,19,IF(P316&lt;=34,20,IF(P316&lt;=36,21,IF(P316&lt;=40,22,24)))))))))))))</f>
        <v>0</v>
      </c>
      <c r="S316" s="14" t="n">
        <f aca="false">ROUND((Q316+R316+I316+J316+M316+N316)/3,0)</f>
        <v>25</v>
      </c>
      <c r="T316" s="15" t="n">
        <f aca="false">F316*LOG10(S316+2)</f>
        <v>2.86272752831797</v>
      </c>
    </row>
    <row r="317" customFormat="false" ht="14.65" hidden="false" customHeight="true" outlineLevel="0" collapsed="false">
      <c r="A317" s="12" t="s">
        <v>358</v>
      </c>
      <c r="B317" s="13" t="n">
        <v>38880</v>
      </c>
      <c r="C317" s="3" t="s">
        <v>24</v>
      </c>
      <c r="D317" s="4" t="s">
        <v>353</v>
      </c>
      <c r="E317" s="3" t="n">
        <v>3</v>
      </c>
      <c r="F317" s="3" t="n">
        <v>2</v>
      </c>
      <c r="G317" s="3" t="n">
        <v>45</v>
      </c>
      <c r="I317" s="3" t="n">
        <f aca="false">_xlfn.IFS(G317="взв",11,G317="накл",24,G317="прокл",25,G317="пт",26,G317=90,10,G317=85,10,G317=80,9,G317=75,8,G317=70,8,G317=65,7,G317=60,7,G317=55,6,G317=50,6,G317=45,6,G317=40,5,G317=35,4,G317=30,4,G317=25,3,G317=20,2,G317=15,1,G317=10,1,G317=0,0)</f>
        <v>6</v>
      </c>
      <c r="J317" s="3" t="n">
        <f aca="false">IF(H317&lt;=1,0,IF(H317&lt;=10,11,IF(H317&lt;=14,12,IF(H317&lt;=17,13,IF(H317&lt;=20,14,IF(H317&lt;=22,15,IF(H317&lt;=25,16,IF(H317&lt;=27,17,IF(H317&lt;=29,18,IF(H317&lt;=32,19,IF(H317&lt;=34,20,IF(H317&lt;=36,21,IF(H317&lt;=40,22,24)))))))))))))</f>
        <v>0</v>
      </c>
      <c r="K317" s="3" t="n">
        <v>60</v>
      </c>
      <c r="M317" s="3" t="n">
        <f aca="false">_xlfn.IFS(K317="взв",11,K317="накл",24,K317="прокл",25,K317="пт",26,K317=90,10,K317=85,10,K317=80,9,K317=75,8,K317=70,8,K317=65,7,K317=60,7,K317=55,6,K317=50,6,K317=45,6,K317=40,5,K317=35,4,K317=30,4,K317=25,3,K317=20,2,K317=15,1,K317=10,1,K317=0,0)</f>
        <v>7</v>
      </c>
      <c r="N317" s="3" t="n">
        <f aca="false">IF(L317&lt;=1,0,IF(L317&lt;=10,11,IF(L317&lt;=14,12,IF(L317&lt;=17,13,IF(L317&lt;=20,14,IF(L317&lt;=22,15,IF(L317&lt;=25,16,IF(L317&lt;=27,17,IF(L317&lt;=29,18,IF(L317&lt;=32,19,IF(L317&lt;=34,20,IF(L317&lt;=36,21,IF(L317&lt;=40,22,24)))))))))))))</f>
        <v>0</v>
      </c>
      <c r="O317" s="3" t="n">
        <v>60</v>
      </c>
      <c r="Q317" s="3" t="n">
        <f aca="false">_xlfn.IFS(O317="взв",11,O317="накл",24,O317="прокл",25,O317="пт",26,O317=90,10,O317=85,10,O317=80,9,O317=75,8,O317=70,8,O317=65,7,O317=60,7,O317=55,6,O317=50,6,O317=45,6,O317=40,5,O317=35,4,O317=30,4,O317=25,3,O317=20,2,O317=15,1,O317=10,1,O317=0,0)</f>
        <v>7</v>
      </c>
      <c r="R317" s="3" t="n">
        <f aca="false">IF(P317&lt;=1,0,IF(P317&lt;=10,11,IF(P317&lt;=14,12,IF(P317&lt;=17,13,IF(P317&lt;=20,14,IF(P317&lt;=22,15,IF(P317&lt;=25,16,IF(P317&lt;=27,17,IF(P317&lt;=29,18,IF(P317&lt;=32,19,IF(P317&lt;=34,20,IF(P317&lt;=36,21,IF(P317&lt;=40,22,24)))))))))))))</f>
        <v>0</v>
      </c>
      <c r="S317" s="14" t="n">
        <f aca="false">ROUND((Q317+R317+I317+J317+M317+N317)/3,0)</f>
        <v>7</v>
      </c>
      <c r="T317" s="15" t="n">
        <f aca="false">F317*LOG10(S317+2)</f>
        <v>1.90848501887865</v>
      </c>
    </row>
    <row r="318" customFormat="false" ht="14.65" hidden="false" customHeight="true" outlineLevel="0" collapsed="false">
      <c r="A318" s="12" t="s">
        <v>359</v>
      </c>
      <c r="B318" s="13" t="n">
        <v>38880</v>
      </c>
      <c r="C318" s="3" t="s">
        <v>24</v>
      </c>
      <c r="D318" s="4" t="s">
        <v>353</v>
      </c>
      <c r="E318" s="3" t="n">
        <v>4</v>
      </c>
      <c r="F318" s="3" t="n">
        <v>2</v>
      </c>
      <c r="H318" s="3" t="n">
        <v>39</v>
      </c>
      <c r="I318" s="3" t="n">
        <f aca="false">_xlfn.IFS(G318="взв",11,G318="накл",24,G318="прокл",25,G318="пт",26,G318=90,10,G318=85,10,G318=80,9,G318=75,8,G318=70,8,G318=65,7,G318=60,7,G318=55,6,G318=50,6,G318=45,6,G318=40,5,G318=35,4,G318=30,4,G318=25,3,G318=20,2,G318=15,1,G318=10,1,G318=0,0)</f>
        <v>0</v>
      </c>
      <c r="J318" s="3" t="n">
        <f aca="false">IF(H318&lt;=1,0,IF(H318&lt;=10,11,IF(H318&lt;=14,12,IF(H318&lt;=17,13,IF(H318&lt;=20,14,IF(H318&lt;=22,15,IF(H318&lt;=25,16,IF(H318&lt;=27,17,IF(H318&lt;=29,18,IF(H318&lt;=32,19,IF(H318&lt;=34,20,IF(H318&lt;=36,21,IF(H318&lt;=40,22,24)))))))))))))</f>
        <v>22</v>
      </c>
      <c r="L318" s="3" t="n">
        <v>37</v>
      </c>
      <c r="M318" s="3" t="n">
        <f aca="false">_xlfn.IFS(K318="взв",11,K318="накл",24,K318="прокл",25,K318="пт",26,K318=90,10,K318=85,10,K318=80,9,K318=75,8,K318=70,8,K318=65,7,K318=60,7,K318=55,6,K318=50,6,K318=45,6,K318=40,5,K318=35,4,K318=30,4,K318=25,3,K318=20,2,K318=15,1,K318=10,1,K318=0,0)</f>
        <v>0</v>
      </c>
      <c r="N318" s="3" t="n">
        <f aca="false">IF(L318&lt;=1,0,IF(L318&lt;=10,11,IF(L318&lt;=14,12,IF(L318&lt;=17,13,IF(L318&lt;=20,14,IF(L318&lt;=22,15,IF(L318&lt;=25,16,IF(L318&lt;=27,17,IF(L318&lt;=29,18,IF(L318&lt;=32,19,IF(L318&lt;=34,20,IF(L318&lt;=36,21,IF(L318&lt;=40,22,24)))))))))))))</f>
        <v>22</v>
      </c>
      <c r="P318" s="3" t="n">
        <v>38</v>
      </c>
      <c r="Q318" s="3" t="n">
        <f aca="false">_xlfn.IFS(O318="взв",11,O318="накл",24,O318="прокл",25,O318="пт",26,O318=90,10,O318=85,10,O318=80,9,O318=75,8,O318=70,8,O318=65,7,O318=60,7,O318=55,6,O318=50,6,O318=45,6,O318=40,5,O318=35,4,O318=30,4,O318=25,3,O318=20,2,O318=15,1,O318=10,1,O318=0,0)</f>
        <v>0</v>
      </c>
      <c r="R318" s="3" t="n">
        <f aca="false">IF(P318&lt;=1,0,IF(P318&lt;=10,11,IF(P318&lt;=14,12,IF(P318&lt;=17,13,IF(P318&lt;=20,14,IF(P318&lt;=22,15,IF(P318&lt;=25,16,IF(P318&lt;=27,17,IF(P318&lt;=29,18,IF(P318&lt;=32,19,IF(P318&lt;=34,20,IF(P318&lt;=36,21,IF(P318&lt;=40,22,24)))))))))))))</f>
        <v>22</v>
      </c>
      <c r="S318" s="14" t="n">
        <f aca="false">ROUND((Q318+R318+I318+J318+M318+N318)/3,0)</f>
        <v>22</v>
      </c>
      <c r="T318" s="15" t="n">
        <f aca="false">F318*LOG10(S318+2)</f>
        <v>2.76042248342321</v>
      </c>
    </row>
    <row r="319" customFormat="false" ht="14.65" hidden="false" customHeight="true" outlineLevel="0" collapsed="false">
      <c r="A319" s="12" t="s">
        <v>360</v>
      </c>
      <c r="B319" s="13" t="n">
        <v>38880</v>
      </c>
      <c r="C319" s="3" t="s">
        <v>24</v>
      </c>
      <c r="D319" s="4" t="s">
        <v>353</v>
      </c>
      <c r="E319" s="3" t="n">
        <v>4</v>
      </c>
      <c r="F319" s="3" t="n">
        <v>2</v>
      </c>
      <c r="H319" s="3" t="n">
        <v>39</v>
      </c>
      <c r="I319" s="3" t="n">
        <f aca="false">_xlfn.IFS(G319="взв",11,G319="накл",24,G319="прокл",25,G319="пт",26,G319=90,10,G319=85,10,G319=80,9,G319=75,8,G319=70,8,G319=65,7,G319=60,7,G319=55,6,G319=50,6,G319=45,6,G319=40,5,G319=35,4,G319=30,4,G319=25,3,G319=20,2,G319=15,1,G319=10,1,G319=0,0)</f>
        <v>0</v>
      </c>
      <c r="J319" s="3" t="n">
        <f aca="false">IF(H319&lt;=1,0,IF(H319&lt;=10,11,IF(H319&lt;=14,12,IF(H319&lt;=17,13,IF(H319&lt;=20,14,IF(H319&lt;=22,15,IF(H319&lt;=25,16,IF(H319&lt;=27,17,IF(H319&lt;=29,18,IF(H319&lt;=32,19,IF(H319&lt;=34,20,IF(H319&lt;=36,21,IF(H319&lt;=40,22,24)))))))))))))</f>
        <v>22</v>
      </c>
      <c r="L319" s="3" t="n">
        <v>37</v>
      </c>
      <c r="M319" s="3" t="n">
        <f aca="false">_xlfn.IFS(K319="взв",11,K319="накл",24,K319="прокл",25,K319="пт",26,K319=90,10,K319=85,10,K319=80,9,K319=75,8,K319=70,8,K319=65,7,K319=60,7,K319=55,6,K319=50,6,K319=45,6,K319=40,5,K319=35,4,K319=30,4,K319=25,3,K319=20,2,K319=15,1,K319=10,1,K319=0,0)</f>
        <v>0</v>
      </c>
      <c r="N319" s="3" t="n">
        <f aca="false">IF(L319&lt;=1,0,IF(L319&lt;=10,11,IF(L319&lt;=14,12,IF(L319&lt;=17,13,IF(L319&lt;=20,14,IF(L319&lt;=22,15,IF(L319&lt;=25,16,IF(L319&lt;=27,17,IF(L319&lt;=29,18,IF(L319&lt;=32,19,IF(L319&lt;=34,20,IF(L319&lt;=36,21,IF(L319&lt;=40,22,24)))))))))))))</f>
        <v>22</v>
      </c>
      <c r="P319" s="3" t="n">
        <v>38</v>
      </c>
      <c r="Q319" s="3" t="n">
        <f aca="false">_xlfn.IFS(O319="взв",11,O319="накл",24,O319="прокл",25,O319="пт",26,O319=90,10,O319=85,10,O319=80,9,O319=75,8,O319=70,8,O319=65,7,O319=60,7,O319=55,6,O319=50,6,O319=45,6,O319=40,5,O319=35,4,O319=30,4,O319=25,3,O319=20,2,O319=15,1,O319=10,1,O319=0,0)</f>
        <v>0</v>
      </c>
      <c r="R319" s="3" t="n">
        <f aca="false">IF(P319&lt;=1,0,IF(P319&lt;=10,11,IF(P319&lt;=14,12,IF(P319&lt;=17,13,IF(P319&lt;=20,14,IF(P319&lt;=22,15,IF(P319&lt;=25,16,IF(P319&lt;=27,17,IF(P319&lt;=29,18,IF(P319&lt;=32,19,IF(P319&lt;=34,20,IF(P319&lt;=36,21,IF(P319&lt;=40,22,24)))))))))))))</f>
        <v>22</v>
      </c>
      <c r="S319" s="14" t="n">
        <f aca="false">ROUND((Q319+R319+I319+J319+M319+N319)/3,0)</f>
        <v>22</v>
      </c>
      <c r="T319" s="15" t="n">
        <f aca="false">F319*LOG10(S319+2)</f>
        <v>2.76042248342321</v>
      </c>
    </row>
    <row r="320" customFormat="false" ht="14.65" hidden="false" customHeight="true" outlineLevel="0" collapsed="false">
      <c r="A320" s="12" t="s">
        <v>361</v>
      </c>
      <c r="B320" s="13" t="n">
        <v>38880</v>
      </c>
      <c r="C320" s="3" t="s">
        <v>24</v>
      </c>
      <c r="D320" s="4" t="s">
        <v>353</v>
      </c>
      <c r="E320" s="3" t="n">
        <v>4</v>
      </c>
      <c r="F320" s="3" t="n">
        <v>2</v>
      </c>
      <c r="H320" s="3" t="n">
        <v>26</v>
      </c>
      <c r="I320" s="3" t="n">
        <f aca="false">_xlfn.IFS(G320="взв",11,G320="накл",24,G320="прокл",25,G320="пт",26,G320=90,10,G320=85,10,G320=80,9,G320=75,8,G320=70,8,G320=65,7,G320=60,7,G320=55,6,G320=50,6,G320=45,6,G320=40,5,G320=35,4,G320=30,4,G320=25,3,G320=20,2,G320=15,1,G320=10,1,G320=0,0)</f>
        <v>0</v>
      </c>
      <c r="J320" s="3" t="n">
        <f aca="false">IF(H320&lt;=1,0,IF(H320&lt;=10,11,IF(H320&lt;=14,12,IF(H320&lt;=17,13,IF(H320&lt;=20,14,IF(H320&lt;=22,15,IF(H320&lt;=25,16,IF(H320&lt;=27,17,IF(H320&lt;=29,18,IF(H320&lt;=32,19,IF(H320&lt;=34,20,IF(H320&lt;=36,21,IF(H320&lt;=40,22,24)))))))))))))</f>
        <v>17</v>
      </c>
      <c r="L320" s="3" t="n">
        <v>26</v>
      </c>
      <c r="M320" s="3" t="n">
        <f aca="false">_xlfn.IFS(K320="взв",11,K320="накл",24,K320="прокл",25,K320="пт",26,K320=90,10,K320=85,10,K320=80,9,K320=75,8,K320=70,8,K320=65,7,K320=60,7,K320=55,6,K320=50,6,K320=45,6,K320=40,5,K320=35,4,K320=30,4,K320=25,3,K320=20,2,K320=15,1,K320=10,1,K320=0,0)</f>
        <v>0</v>
      </c>
      <c r="N320" s="3" t="n">
        <f aca="false">IF(L320&lt;=1,0,IF(L320&lt;=10,11,IF(L320&lt;=14,12,IF(L320&lt;=17,13,IF(L320&lt;=20,14,IF(L320&lt;=22,15,IF(L320&lt;=25,16,IF(L320&lt;=27,17,IF(L320&lt;=29,18,IF(L320&lt;=32,19,IF(L320&lt;=34,20,IF(L320&lt;=36,21,IF(L320&lt;=40,22,24)))))))))))))</f>
        <v>17</v>
      </c>
      <c r="P320" s="3" t="n">
        <v>31</v>
      </c>
      <c r="Q320" s="3" t="n">
        <f aca="false">_xlfn.IFS(O320="взв",11,O320="накл",24,O320="прокл",25,O320="пт",26,O320=90,10,O320=85,10,O320=80,9,O320=75,8,O320=70,8,O320=65,7,O320=60,7,O320=55,6,O320=50,6,O320=45,6,O320=40,5,O320=35,4,O320=30,4,O320=25,3,O320=20,2,O320=15,1,O320=10,1,O320=0,0)</f>
        <v>0</v>
      </c>
      <c r="R320" s="3" t="n">
        <f aca="false">IF(P320&lt;=1,0,IF(P320&lt;=10,11,IF(P320&lt;=14,12,IF(P320&lt;=17,13,IF(P320&lt;=20,14,IF(P320&lt;=22,15,IF(P320&lt;=25,16,IF(P320&lt;=27,17,IF(P320&lt;=29,18,IF(P320&lt;=32,19,IF(P320&lt;=34,20,IF(P320&lt;=36,21,IF(P320&lt;=40,22,24)))))))))))))</f>
        <v>19</v>
      </c>
      <c r="S320" s="14" t="n">
        <f aca="false">ROUND((Q320+R320+I320+J320+M320+N320)/3,0)</f>
        <v>18</v>
      </c>
      <c r="T320" s="15" t="n">
        <f aca="false">F320*LOG10(S320+2)</f>
        <v>2.60205999132796</v>
      </c>
    </row>
    <row r="321" customFormat="false" ht="14.65" hidden="false" customHeight="true" outlineLevel="0" collapsed="false">
      <c r="A321" s="12" t="s">
        <v>362</v>
      </c>
      <c r="B321" s="13" t="n">
        <v>38880</v>
      </c>
      <c r="C321" s="3" t="s">
        <v>24</v>
      </c>
      <c r="D321" s="4" t="s">
        <v>353</v>
      </c>
      <c r="E321" s="3" t="n">
        <v>3</v>
      </c>
      <c r="F321" s="3" t="n">
        <v>2</v>
      </c>
      <c r="H321" s="3" t="n">
        <v>38</v>
      </c>
      <c r="I321" s="3" t="n">
        <f aca="false">_xlfn.IFS(G321="взв",11,G321="накл",24,G321="прокл",25,G321="пт",26,G321=90,10,G321=85,10,G321=80,9,G321=75,8,G321=70,8,G321=65,7,G321=60,7,G321=55,6,G321=50,6,G321=45,6,G321=40,5,G321=35,4,G321=30,4,G321=25,3,G321=20,2,G321=15,1,G321=10,1,G321=0,0)</f>
        <v>0</v>
      </c>
      <c r="J321" s="3" t="n">
        <f aca="false">IF(H321&lt;=1,0,IF(H321&lt;=10,11,IF(H321&lt;=14,12,IF(H321&lt;=17,13,IF(H321&lt;=20,14,IF(H321&lt;=22,15,IF(H321&lt;=25,16,IF(H321&lt;=27,17,IF(H321&lt;=29,18,IF(H321&lt;=32,19,IF(H321&lt;=34,20,IF(H321&lt;=36,21,IF(H321&lt;=40,22,24)))))))))))))</f>
        <v>22</v>
      </c>
      <c r="L321" s="3" t="n">
        <v>42</v>
      </c>
      <c r="M321" s="3" t="n">
        <f aca="false">_xlfn.IFS(K321="взв",11,K321="накл",24,K321="прокл",25,K321="пт",26,K321=90,10,K321=85,10,K321=80,9,K321=75,8,K321=70,8,K321=65,7,K321=60,7,K321=55,6,K321=50,6,K321=45,6,K321=40,5,K321=35,4,K321=30,4,K321=25,3,K321=20,2,K321=15,1,K321=10,1,K321=0,0)</f>
        <v>0</v>
      </c>
      <c r="N321" s="3" t="n">
        <f aca="false">IF(L321&lt;=1,0,IF(L321&lt;=10,11,IF(L321&lt;=14,12,IF(L321&lt;=17,13,IF(L321&lt;=20,14,IF(L321&lt;=22,15,IF(L321&lt;=25,16,IF(L321&lt;=27,17,IF(L321&lt;=29,18,IF(L321&lt;=32,19,IF(L321&lt;=34,20,IF(L321&lt;=36,21,IF(L321&lt;=40,22,24)))))))))))))</f>
        <v>24</v>
      </c>
      <c r="P321" s="3" t="n">
        <v>36</v>
      </c>
      <c r="Q321" s="3" t="n">
        <f aca="false">_xlfn.IFS(O321="взв",11,O321="накл",24,O321="прокл",25,O321="пт",26,O321=90,10,O321=85,10,O321=80,9,O321=75,8,O321=70,8,O321=65,7,O321=60,7,O321=55,6,O321=50,6,O321=45,6,O321=40,5,O321=35,4,O321=30,4,O321=25,3,O321=20,2,O321=15,1,O321=10,1,O321=0,0)</f>
        <v>0</v>
      </c>
      <c r="R321" s="3" t="n">
        <f aca="false">IF(P321&lt;=1,0,IF(P321&lt;=10,11,IF(P321&lt;=14,12,IF(P321&lt;=17,13,IF(P321&lt;=20,14,IF(P321&lt;=22,15,IF(P321&lt;=25,16,IF(P321&lt;=27,17,IF(P321&lt;=29,18,IF(P321&lt;=32,19,IF(P321&lt;=34,20,IF(P321&lt;=36,21,IF(P321&lt;=40,22,24)))))))))))))</f>
        <v>21</v>
      </c>
      <c r="S321" s="14" t="n">
        <f aca="false">ROUND((Q321+R321+I321+J321+M321+N321)/3,0)</f>
        <v>22</v>
      </c>
      <c r="T321" s="15" t="n">
        <f aca="false">F321*LOG10(S321+2)</f>
        <v>2.76042248342321</v>
      </c>
    </row>
    <row r="322" customFormat="false" ht="14.65" hidden="false" customHeight="true" outlineLevel="0" collapsed="false">
      <c r="A322" s="12" t="s">
        <v>363</v>
      </c>
      <c r="B322" s="13" t="n">
        <v>38880</v>
      </c>
      <c r="C322" s="3" t="s">
        <v>24</v>
      </c>
      <c r="D322" s="4" t="s">
        <v>353</v>
      </c>
      <c r="E322" s="3" t="n">
        <v>4</v>
      </c>
      <c r="F322" s="3" t="n">
        <v>2</v>
      </c>
      <c r="G322" s="3" t="n">
        <v>90</v>
      </c>
      <c r="I322" s="3" t="n">
        <f aca="false">_xlfn.IFS(G322="взв",11,G322="накл",24,G322="прокл",25,G322="пт",26,G322=90,10,G322=85,10,G322=80,9,G322=75,8,G322=70,8,G322=65,7,G322=60,7,G322=55,6,G322=50,6,G322=45,6,G322=40,5,G322=35,4,G322=30,4,G322=25,3,G322=20,2,G322=15,1,G322=10,1,G322=0,0)</f>
        <v>10</v>
      </c>
      <c r="J322" s="3" t="n">
        <f aca="false">IF(H322&lt;=1,0,IF(H322&lt;=10,11,IF(H322&lt;=14,12,IF(H322&lt;=17,13,IF(H322&lt;=20,14,IF(H322&lt;=22,15,IF(H322&lt;=25,16,IF(H322&lt;=27,17,IF(H322&lt;=29,18,IF(H322&lt;=32,19,IF(H322&lt;=34,20,IF(H322&lt;=36,21,IF(H322&lt;=40,22,24)))))))))))))</f>
        <v>0</v>
      </c>
      <c r="K322" s="3" t="n">
        <v>90</v>
      </c>
      <c r="M322" s="3" t="n">
        <f aca="false">_xlfn.IFS(K322="взв",11,K322="накл",24,K322="прокл",25,K322="пт",26,K322=90,10,K322=85,10,K322=80,9,K322=75,8,K322=70,8,K322=65,7,K322=60,7,K322=55,6,K322=50,6,K322=45,6,K322=40,5,K322=35,4,K322=30,4,K322=25,3,K322=20,2,K322=15,1,K322=10,1,K322=0,0)</f>
        <v>10</v>
      </c>
      <c r="N322" s="3" t="n">
        <f aca="false">IF(L322&lt;=1,0,IF(L322&lt;=10,11,IF(L322&lt;=14,12,IF(L322&lt;=17,13,IF(L322&lt;=20,14,IF(L322&lt;=22,15,IF(L322&lt;=25,16,IF(L322&lt;=27,17,IF(L322&lt;=29,18,IF(L322&lt;=32,19,IF(L322&lt;=34,20,IF(L322&lt;=36,21,IF(L322&lt;=40,22,24)))))))))))))</f>
        <v>0</v>
      </c>
      <c r="O322" s="3" t="n">
        <v>75</v>
      </c>
      <c r="Q322" s="3" t="n">
        <f aca="false">_xlfn.IFS(O322="взв",11,O322="накл",24,O322="прокл",25,O322="пт",26,O322=90,10,O322=85,10,O322=80,9,O322=75,8,O322=70,8,O322=65,7,O322=60,7,O322=55,6,O322=50,6,O322=45,6,O322=40,5,O322=35,4,O322=30,4,O322=25,3,O322=20,2,O322=15,1,O322=10,1,O322=0,0)</f>
        <v>8</v>
      </c>
      <c r="R322" s="3" t="n">
        <f aca="false">IF(P322&lt;=1,0,IF(P322&lt;=10,11,IF(P322&lt;=14,12,IF(P322&lt;=17,13,IF(P322&lt;=20,14,IF(P322&lt;=22,15,IF(P322&lt;=25,16,IF(P322&lt;=27,17,IF(P322&lt;=29,18,IF(P322&lt;=32,19,IF(P322&lt;=34,20,IF(P322&lt;=36,21,IF(P322&lt;=40,22,24)))))))))))))</f>
        <v>0</v>
      </c>
      <c r="S322" s="14" t="n">
        <f aca="false">ROUND((Q322+R322+I322+J322+M322+N322)/3,0)</f>
        <v>9</v>
      </c>
      <c r="T322" s="15" t="n">
        <f aca="false">F322*LOG10(S322+2)</f>
        <v>2.08278537031645</v>
      </c>
    </row>
    <row r="323" customFormat="false" ht="14.65" hidden="false" customHeight="true" outlineLevel="0" collapsed="false">
      <c r="A323" s="12" t="s">
        <v>364</v>
      </c>
      <c r="B323" s="13" t="n">
        <v>38880</v>
      </c>
      <c r="C323" s="3" t="s">
        <v>24</v>
      </c>
      <c r="D323" s="4" t="s">
        <v>353</v>
      </c>
      <c r="E323" s="3" t="n">
        <v>4</v>
      </c>
      <c r="F323" s="3" t="n">
        <v>2</v>
      </c>
      <c r="H323" s="3" t="n">
        <v>37</v>
      </c>
      <c r="I323" s="3" t="n">
        <f aca="false">_xlfn.IFS(G323="взв",11,G323="накл",24,G323="прокл",25,G323="пт",26,G323=90,10,G323=85,10,G323=80,9,G323=75,8,G323=70,8,G323=65,7,G323=60,7,G323=55,6,G323=50,6,G323=45,6,G323=40,5,G323=35,4,G323=30,4,G323=25,3,G323=20,2,G323=15,1,G323=10,1,G323=0,0)</f>
        <v>0</v>
      </c>
      <c r="J323" s="3" t="n">
        <f aca="false">IF(H323&lt;=1,0,IF(H323&lt;=10,11,IF(H323&lt;=14,12,IF(H323&lt;=17,13,IF(H323&lt;=20,14,IF(H323&lt;=22,15,IF(H323&lt;=25,16,IF(H323&lt;=27,17,IF(H323&lt;=29,18,IF(H323&lt;=32,19,IF(H323&lt;=34,20,IF(H323&lt;=36,21,IF(H323&lt;=40,22,24)))))))))))))</f>
        <v>22</v>
      </c>
      <c r="L323" s="3" t="n">
        <v>34</v>
      </c>
      <c r="M323" s="3" t="n">
        <f aca="false">_xlfn.IFS(K323="взв",11,K323="накл",24,K323="прокл",25,K323="пт",26,K323=90,10,K323=85,10,K323=80,9,K323=75,8,K323=70,8,K323=65,7,K323=60,7,K323=55,6,K323=50,6,K323=45,6,K323=40,5,K323=35,4,K323=30,4,K323=25,3,K323=20,2,K323=15,1,K323=10,1,K323=0,0)</f>
        <v>0</v>
      </c>
      <c r="N323" s="3" t="n">
        <f aca="false">IF(L323&lt;=1,0,IF(L323&lt;=10,11,IF(L323&lt;=14,12,IF(L323&lt;=17,13,IF(L323&lt;=20,14,IF(L323&lt;=22,15,IF(L323&lt;=25,16,IF(L323&lt;=27,17,IF(L323&lt;=29,18,IF(L323&lt;=32,19,IF(L323&lt;=34,20,IF(L323&lt;=36,21,IF(L323&lt;=40,22,24)))))))))))))</f>
        <v>20</v>
      </c>
      <c r="P323" s="3" t="n">
        <v>36</v>
      </c>
      <c r="Q323" s="3" t="n">
        <f aca="false">_xlfn.IFS(O323="взв",11,O323="накл",24,O323="прокл",25,O323="пт",26,O323=90,10,O323=85,10,O323=80,9,O323=75,8,O323=70,8,O323=65,7,O323=60,7,O323=55,6,O323=50,6,O323=45,6,O323=40,5,O323=35,4,O323=30,4,O323=25,3,O323=20,2,O323=15,1,O323=10,1,O323=0,0)</f>
        <v>0</v>
      </c>
      <c r="R323" s="3" t="n">
        <f aca="false">IF(P323&lt;=1,0,IF(P323&lt;=10,11,IF(P323&lt;=14,12,IF(P323&lt;=17,13,IF(P323&lt;=20,14,IF(P323&lt;=22,15,IF(P323&lt;=25,16,IF(P323&lt;=27,17,IF(P323&lt;=29,18,IF(P323&lt;=32,19,IF(P323&lt;=34,20,IF(P323&lt;=36,21,IF(P323&lt;=40,22,24)))))))))))))</f>
        <v>21</v>
      </c>
      <c r="S323" s="14" t="n">
        <f aca="false">ROUND((Q323+R323+I323+J323+M323+N323)/3,0)</f>
        <v>21</v>
      </c>
      <c r="T323" s="15" t="n">
        <f aca="false">F323*LOG10(S323+2)</f>
        <v>2.72345567203519</v>
      </c>
    </row>
    <row r="324" customFormat="false" ht="14.65" hidden="false" customHeight="true" outlineLevel="0" collapsed="false">
      <c r="A324" s="12" t="s">
        <v>365</v>
      </c>
      <c r="B324" s="13" t="n">
        <v>38880</v>
      </c>
      <c r="C324" s="3" t="s">
        <v>24</v>
      </c>
      <c r="D324" s="4" t="s">
        <v>353</v>
      </c>
      <c r="E324" s="3" t="n">
        <v>4</v>
      </c>
      <c r="F324" s="3" t="n">
        <v>3</v>
      </c>
      <c r="H324" s="3" t="n">
        <v>35</v>
      </c>
      <c r="I324" s="3" t="n">
        <f aca="false">_xlfn.IFS(G324="взв",11,G324="накл",24,G324="прокл",25,G324="пт",26,G324=90,10,G324=85,10,G324=80,9,G324=75,8,G324=70,8,G324=65,7,G324=60,7,G324=55,6,G324=50,6,G324=45,6,G324=40,5,G324=35,4,G324=30,4,G324=25,3,G324=20,2,G324=15,1,G324=10,1,G324=0,0)</f>
        <v>0</v>
      </c>
      <c r="J324" s="3" t="n">
        <f aca="false">IF(H324&lt;=1,0,IF(H324&lt;=10,11,IF(H324&lt;=14,12,IF(H324&lt;=17,13,IF(H324&lt;=20,14,IF(H324&lt;=22,15,IF(H324&lt;=25,16,IF(H324&lt;=27,17,IF(H324&lt;=29,18,IF(H324&lt;=32,19,IF(H324&lt;=34,20,IF(H324&lt;=36,21,IF(H324&lt;=40,22,24)))))))))))))</f>
        <v>21</v>
      </c>
      <c r="L324" s="3" t="n">
        <v>36</v>
      </c>
      <c r="M324" s="3" t="n">
        <f aca="false">_xlfn.IFS(K324="взв",11,K324="накл",24,K324="прокл",25,K324="пт",26,K324=90,10,K324=85,10,K324=80,9,K324=75,8,K324=70,8,K324=65,7,K324=60,7,K324=55,6,K324=50,6,K324=45,6,K324=40,5,K324=35,4,K324=30,4,K324=25,3,K324=20,2,K324=15,1,K324=10,1,K324=0,0)</f>
        <v>0</v>
      </c>
      <c r="N324" s="3" t="n">
        <f aca="false">IF(L324&lt;=1,0,IF(L324&lt;=10,11,IF(L324&lt;=14,12,IF(L324&lt;=17,13,IF(L324&lt;=20,14,IF(L324&lt;=22,15,IF(L324&lt;=25,16,IF(L324&lt;=27,17,IF(L324&lt;=29,18,IF(L324&lt;=32,19,IF(L324&lt;=34,20,IF(L324&lt;=36,21,IF(L324&lt;=40,22,24)))))))))))))</f>
        <v>21</v>
      </c>
      <c r="P324" s="3" t="n">
        <v>40</v>
      </c>
      <c r="Q324" s="3" t="n">
        <f aca="false">_xlfn.IFS(O324="взв",11,O324="накл",24,O324="прокл",25,O324="пт",26,O324=90,10,O324=85,10,O324=80,9,O324=75,8,O324=70,8,O324=65,7,O324=60,7,O324=55,6,O324=50,6,O324=45,6,O324=40,5,O324=35,4,O324=30,4,O324=25,3,O324=20,2,O324=15,1,O324=10,1,O324=0,0)</f>
        <v>0</v>
      </c>
      <c r="R324" s="3" t="n">
        <f aca="false">IF(P324&lt;=1,0,IF(P324&lt;=10,11,IF(P324&lt;=14,12,IF(P324&lt;=17,13,IF(P324&lt;=20,14,IF(P324&lt;=22,15,IF(P324&lt;=25,16,IF(P324&lt;=27,17,IF(P324&lt;=29,18,IF(P324&lt;=32,19,IF(P324&lt;=34,20,IF(P324&lt;=36,21,IF(P324&lt;=40,22,24)))))))))))))</f>
        <v>22</v>
      </c>
      <c r="S324" s="14" t="n">
        <f aca="false">ROUND((Q324+R324+I324+J324+M324+N324)/3,0)</f>
        <v>21</v>
      </c>
      <c r="T324" s="15" t="n">
        <f aca="false">F324*LOG10(S324+2)</f>
        <v>4.08518350805278</v>
      </c>
    </row>
    <row r="325" customFormat="false" ht="14.65" hidden="false" customHeight="true" outlineLevel="0" collapsed="false">
      <c r="A325" s="12" t="s">
        <v>366</v>
      </c>
      <c r="B325" s="13" t="n">
        <v>38880</v>
      </c>
      <c r="C325" s="3" t="s">
        <v>24</v>
      </c>
      <c r="D325" s="4" t="s">
        <v>353</v>
      </c>
      <c r="E325" s="3" t="n">
        <v>6</v>
      </c>
      <c r="F325" s="3" t="n">
        <v>3</v>
      </c>
      <c r="H325" s="3" t="n">
        <v>35</v>
      </c>
      <c r="I325" s="3" t="n">
        <f aca="false">_xlfn.IFS(G325="взв",11,G325="накл",24,G325="прокл",25,G325="пт",26,G325=90,10,G325=85,10,G325=80,9,G325=75,8,G325=70,8,G325=65,7,G325=60,7,G325=55,6,G325=50,6,G325=45,6,G325=40,5,G325=35,4,G325=30,4,G325=25,3,G325=20,2,G325=15,1,G325=10,1,G325=0,0)</f>
        <v>0</v>
      </c>
      <c r="J325" s="3" t="n">
        <f aca="false">IF(H325&lt;=1,0,IF(H325&lt;=10,11,IF(H325&lt;=14,12,IF(H325&lt;=17,13,IF(H325&lt;=20,14,IF(H325&lt;=22,15,IF(H325&lt;=25,16,IF(H325&lt;=27,17,IF(H325&lt;=29,18,IF(H325&lt;=32,19,IF(H325&lt;=34,20,IF(H325&lt;=36,21,IF(H325&lt;=40,22,24)))))))))))))</f>
        <v>21</v>
      </c>
      <c r="L325" s="3" t="n">
        <v>32</v>
      </c>
      <c r="M325" s="3" t="n">
        <f aca="false">_xlfn.IFS(K325="взв",11,K325="накл",24,K325="прокл",25,K325="пт",26,K325=90,10,K325=85,10,K325=80,9,K325=75,8,K325=70,8,K325=65,7,K325=60,7,K325=55,6,K325=50,6,K325=45,6,K325=40,5,K325=35,4,K325=30,4,K325=25,3,K325=20,2,K325=15,1,K325=10,1,K325=0,0)</f>
        <v>0</v>
      </c>
      <c r="N325" s="3" t="n">
        <f aca="false">IF(L325&lt;=1,0,IF(L325&lt;=10,11,IF(L325&lt;=14,12,IF(L325&lt;=17,13,IF(L325&lt;=20,14,IF(L325&lt;=22,15,IF(L325&lt;=25,16,IF(L325&lt;=27,17,IF(L325&lt;=29,18,IF(L325&lt;=32,19,IF(L325&lt;=34,20,IF(L325&lt;=36,21,IF(L325&lt;=40,22,24)))))))))))))</f>
        <v>19</v>
      </c>
      <c r="P325" s="3" t="n">
        <v>32</v>
      </c>
      <c r="Q325" s="3" t="n">
        <f aca="false">_xlfn.IFS(O325="взв",11,O325="накл",24,O325="прокл",25,O325="пт",26,O325=90,10,O325=85,10,O325=80,9,O325=75,8,O325=70,8,O325=65,7,O325=60,7,O325=55,6,O325=50,6,O325=45,6,O325=40,5,O325=35,4,O325=30,4,O325=25,3,O325=20,2,O325=15,1,O325=10,1,O325=0,0)</f>
        <v>0</v>
      </c>
      <c r="R325" s="3" t="n">
        <f aca="false">IF(P325&lt;=1,0,IF(P325&lt;=10,11,IF(P325&lt;=14,12,IF(P325&lt;=17,13,IF(P325&lt;=20,14,IF(P325&lt;=22,15,IF(P325&lt;=25,16,IF(P325&lt;=27,17,IF(P325&lt;=29,18,IF(P325&lt;=32,19,IF(P325&lt;=34,20,IF(P325&lt;=36,21,IF(P325&lt;=40,22,24)))))))))))))</f>
        <v>19</v>
      </c>
      <c r="S325" s="14" t="n">
        <f aca="false">ROUND((Q325+R325+I325+J325+M325+N325)/3,0)</f>
        <v>20</v>
      </c>
      <c r="T325" s="15" t="n">
        <f aca="false">F325*LOG10(S325+2)</f>
        <v>4.02726804246662</v>
      </c>
    </row>
    <row r="326" customFormat="false" ht="14.65" hidden="false" customHeight="true" outlineLevel="0" collapsed="false">
      <c r="A326" s="12" t="s">
        <v>367</v>
      </c>
      <c r="B326" s="13" t="n">
        <v>38880</v>
      </c>
      <c r="C326" s="3" t="s">
        <v>24</v>
      </c>
      <c r="D326" s="4" t="s">
        <v>353</v>
      </c>
      <c r="E326" s="3" t="n">
        <v>3</v>
      </c>
      <c r="F326" s="3" t="n">
        <v>3</v>
      </c>
      <c r="G326" s="3" t="n">
        <v>90</v>
      </c>
      <c r="I326" s="3" t="n">
        <f aca="false">_xlfn.IFS(G326="взв",11,G326="накл",24,G326="прокл",25,G326="пт",26,G326=90,10,G326=85,10,G326=80,9,G326=75,8,G326=70,8,G326=65,7,G326=60,7,G326=55,6,G326=50,6,G326=45,6,G326=40,5,G326=35,4,G326=30,4,G326=25,3,G326=20,2,G326=15,1,G326=10,1,G326=0,0)</f>
        <v>10</v>
      </c>
      <c r="J326" s="3" t="n">
        <f aca="false">IF(H326&lt;=1,0,IF(H326&lt;=10,11,IF(H326&lt;=14,12,IF(H326&lt;=17,13,IF(H326&lt;=20,14,IF(H326&lt;=22,15,IF(H326&lt;=25,16,IF(H326&lt;=27,17,IF(H326&lt;=29,18,IF(H326&lt;=32,19,IF(H326&lt;=34,20,IF(H326&lt;=36,21,IF(H326&lt;=40,22,24)))))))))))))</f>
        <v>0</v>
      </c>
      <c r="K326" s="3" t="n">
        <v>90</v>
      </c>
      <c r="M326" s="3" t="n">
        <f aca="false">_xlfn.IFS(K326="взв",11,K326="накл",24,K326="прокл",25,K326="пт",26,K326=90,10,K326=85,10,K326=80,9,K326=75,8,K326=70,8,K326=65,7,K326=60,7,K326=55,6,K326=50,6,K326=45,6,K326=40,5,K326=35,4,K326=30,4,K326=25,3,K326=20,2,K326=15,1,K326=10,1,K326=0,0)</f>
        <v>10</v>
      </c>
      <c r="N326" s="3" t="n">
        <f aca="false">IF(L326&lt;=1,0,IF(L326&lt;=10,11,IF(L326&lt;=14,12,IF(L326&lt;=17,13,IF(L326&lt;=20,14,IF(L326&lt;=22,15,IF(L326&lt;=25,16,IF(L326&lt;=27,17,IF(L326&lt;=29,18,IF(L326&lt;=32,19,IF(L326&lt;=34,20,IF(L326&lt;=36,21,IF(L326&lt;=40,22,24)))))))))))))</f>
        <v>0</v>
      </c>
      <c r="P326" s="3" t="s">
        <v>50</v>
      </c>
      <c r="Q326" s="3" t="n">
        <f aca="false">_xlfn.IFS(O326="взв",11,O326="накл",24,O326="прокл",25,O326="пт",26,O326=90,10,O326=85,10,O326=80,9,O326=75,8,O326=70,8,O326=65,7,O326=60,7,O326=55,6,O326=50,6,O326=45,6,O326=40,5,O326=35,4,O326=30,4,O326=25,3,O326=20,2,O326=15,1,O326=10,1,O326=0,0)</f>
        <v>0</v>
      </c>
      <c r="R326" s="3" t="n">
        <f aca="false">IF(P326&lt;=1,0,IF(P326&lt;=10,11,IF(P326&lt;=14,12,IF(P326&lt;=17,13,IF(P326&lt;=20,14,IF(P326&lt;=22,15,IF(P326&lt;=25,16,IF(P326&lt;=27,17,IF(P326&lt;=29,18,IF(P326&lt;=32,19,IF(P326&lt;=34,20,IF(P326&lt;=36,21,IF(P326&lt;=40,22,24)))))))))))))</f>
        <v>24</v>
      </c>
      <c r="S326" s="14" t="n">
        <f aca="false">ROUND((Q326+R326+I326+J326+M326+N326)/3,0)</f>
        <v>15</v>
      </c>
      <c r="T326" s="15" t="n">
        <f aca="false">F326*LOG10(S326+2)</f>
        <v>3.69134676413482</v>
      </c>
    </row>
    <row r="327" customFormat="false" ht="14.65" hidden="false" customHeight="true" outlineLevel="0" collapsed="false">
      <c r="A327" s="12" t="s">
        <v>368</v>
      </c>
      <c r="B327" s="13" t="n">
        <v>38880</v>
      </c>
      <c r="C327" s="3" t="s">
        <v>24</v>
      </c>
      <c r="D327" s="4" t="s">
        <v>353</v>
      </c>
      <c r="E327" s="3" t="n">
        <v>5</v>
      </c>
      <c r="F327" s="3" t="n">
        <v>4</v>
      </c>
      <c r="H327" s="3" t="n">
        <v>24</v>
      </c>
      <c r="I327" s="3" t="n">
        <f aca="false">_xlfn.IFS(G327="взв",11,G327="накл",24,G327="прокл",25,G327="пт",26,G327=90,10,G327=85,10,G327=80,9,G327=75,8,G327=70,8,G327=65,7,G327=60,7,G327=55,6,G327=50,6,G327=45,6,G327=40,5,G327=35,4,G327=30,4,G327=25,3,G327=20,2,G327=15,1,G327=10,1,G327=0,0)</f>
        <v>0</v>
      </c>
      <c r="J327" s="3" t="n">
        <f aca="false">IF(H327&lt;=1,0,IF(H327&lt;=10,11,IF(H327&lt;=14,12,IF(H327&lt;=17,13,IF(H327&lt;=20,14,IF(H327&lt;=22,15,IF(H327&lt;=25,16,IF(H327&lt;=27,17,IF(H327&lt;=29,18,IF(H327&lt;=32,19,IF(H327&lt;=34,20,IF(H327&lt;=36,21,IF(H327&lt;=40,22,24)))))))))))))</f>
        <v>16</v>
      </c>
      <c r="L327" s="3" t="n">
        <v>31</v>
      </c>
      <c r="M327" s="3" t="n">
        <f aca="false">_xlfn.IFS(K327="взв",11,K327="накл",24,K327="прокл",25,K327="пт",26,K327=90,10,K327=85,10,K327=80,9,K327=75,8,K327=70,8,K327=65,7,K327=60,7,K327=55,6,K327=50,6,K327=45,6,K327=40,5,K327=35,4,K327=30,4,K327=25,3,K327=20,2,K327=15,1,K327=10,1,K327=0,0)</f>
        <v>0</v>
      </c>
      <c r="N327" s="3" t="n">
        <f aca="false">IF(L327&lt;=1,0,IF(L327&lt;=10,11,IF(L327&lt;=14,12,IF(L327&lt;=17,13,IF(L327&lt;=20,14,IF(L327&lt;=22,15,IF(L327&lt;=25,16,IF(L327&lt;=27,17,IF(L327&lt;=29,18,IF(L327&lt;=32,19,IF(L327&lt;=34,20,IF(L327&lt;=36,21,IF(L327&lt;=40,22,24)))))))))))))</f>
        <v>19</v>
      </c>
      <c r="P327" s="3" t="n">
        <v>31</v>
      </c>
      <c r="Q327" s="3" t="n">
        <f aca="false">_xlfn.IFS(O327="взв",11,O327="накл",24,O327="прокл",25,O327="пт",26,O327=90,10,O327=85,10,O327=80,9,O327=75,8,O327=70,8,O327=65,7,O327=60,7,O327=55,6,O327=50,6,O327=45,6,O327=40,5,O327=35,4,O327=30,4,O327=25,3,O327=20,2,O327=15,1,O327=10,1,O327=0,0)</f>
        <v>0</v>
      </c>
      <c r="R327" s="3" t="n">
        <f aca="false">IF(P327&lt;=1,0,IF(P327&lt;=10,11,IF(P327&lt;=14,12,IF(P327&lt;=17,13,IF(P327&lt;=20,14,IF(P327&lt;=22,15,IF(P327&lt;=25,16,IF(P327&lt;=27,17,IF(P327&lt;=29,18,IF(P327&lt;=32,19,IF(P327&lt;=34,20,IF(P327&lt;=36,21,IF(P327&lt;=40,22,24)))))))))))))</f>
        <v>19</v>
      </c>
      <c r="S327" s="14" t="n">
        <f aca="false">ROUND((Q327+R327+I327+J327+M327+N327)/3,0)</f>
        <v>18</v>
      </c>
      <c r="T327" s="15" t="n">
        <f aca="false">F327*LOG10(S327+2)</f>
        <v>5.20411998265593</v>
      </c>
    </row>
    <row r="328" customFormat="false" ht="14.65" hidden="false" customHeight="true" outlineLevel="0" collapsed="false">
      <c r="A328" s="12" t="s">
        <v>369</v>
      </c>
      <c r="B328" s="13" t="n">
        <v>38880</v>
      </c>
      <c r="C328" s="3" t="s">
        <v>24</v>
      </c>
      <c r="D328" s="4" t="s">
        <v>353</v>
      </c>
      <c r="E328" s="3" t="n">
        <v>2</v>
      </c>
      <c r="F328" s="3" t="n">
        <v>4</v>
      </c>
      <c r="H328" s="3" t="n">
        <v>26</v>
      </c>
      <c r="I328" s="3" t="n">
        <f aca="false">_xlfn.IFS(G328="взв",11,G328="накл",24,G328="прокл",25,G328="пт",26,G328=90,10,G328=85,10,G328=80,9,G328=75,8,G328=70,8,G328=65,7,G328=60,7,G328=55,6,G328=50,6,G328=45,6,G328=40,5,G328=35,4,G328=30,4,G328=25,3,G328=20,2,G328=15,1,G328=10,1,G328=0,0)</f>
        <v>0</v>
      </c>
      <c r="J328" s="3" t="n">
        <f aca="false">IF(H328&lt;=1,0,IF(H328&lt;=10,11,IF(H328&lt;=14,12,IF(H328&lt;=17,13,IF(H328&lt;=20,14,IF(H328&lt;=22,15,IF(H328&lt;=25,16,IF(H328&lt;=27,17,IF(H328&lt;=29,18,IF(H328&lt;=32,19,IF(H328&lt;=34,20,IF(H328&lt;=36,21,IF(H328&lt;=40,22,24)))))))))))))</f>
        <v>17</v>
      </c>
      <c r="L328" s="3" t="n">
        <v>31</v>
      </c>
      <c r="M328" s="3" t="n">
        <f aca="false">_xlfn.IFS(K328="взв",11,K328="накл",24,K328="прокл",25,K328="пт",26,K328=90,10,K328=85,10,K328=80,9,K328=75,8,K328=70,8,K328=65,7,K328=60,7,K328=55,6,K328=50,6,K328=45,6,K328=40,5,K328=35,4,K328=30,4,K328=25,3,K328=20,2,K328=15,1,K328=10,1,K328=0,0)</f>
        <v>0</v>
      </c>
      <c r="N328" s="3" t="n">
        <f aca="false">IF(L328&lt;=1,0,IF(L328&lt;=10,11,IF(L328&lt;=14,12,IF(L328&lt;=17,13,IF(L328&lt;=20,14,IF(L328&lt;=22,15,IF(L328&lt;=25,16,IF(L328&lt;=27,17,IF(L328&lt;=29,18,IF(L328&lt;=32,19,IF(L328&lt;=34,20,IF(L328&lt;=36,21,IF(L328&lt;=40,22,24)))))))))))))</f>
        <v>19</v>
      </c>
      <c r="Q328" s="3" t="n">
        <f aca="false">_xlfn.IFS(O328="взв",11,O328="накл",24,O328="прокл",25,O328="пт",26,O328=90,10,O328=85,10,O328=80,9,O328=75,8,O328=70,8,O328=65,7,O328=60,7,O328=55,6,O328=50,6,O328=45,6,O328=40,5,O328=35,4,O328=30,4,O328=25,3,O328=20,2,O328=15,1,O328=10,1,O328=0,0)</f>
        <v>0</v>
      </c>
      <c r="R328" s="3" t="n">
        <f aca="false">IF(P328&lt;=1,0,IF(P328&lt;=10,11,IF(P328&lt;=14,12,IF(P328&lt;=17,13,IF(P328&lt;=20,14,IF(P328&lt;=22,15,IF(P328&lt;=25,16,IF(P328&lt;=27,17,IF(P328&lt;=29,18,IF(P328&lt;=32,19,IF(P328&lt;=34,20,IF(P328&lt;=36,21,IF(P328&lt;=40,22,24)))))))))))))</f>
        <v>0</v>
      </c>
      <c r="S328" s="14" t="n">
        <f aca="false">ROUND((Q328+R328+I328+J328+M328+N328)/2,0)</f>
        <v>18</v>
      </c>
      <c r="T328" s="15" t="n">
        <f aca="false">F328*LOG10(S328+2)</f>
        <v>5.20411998265593</v>
      </c>
    </row>
    <row r="329" customFormat="false" ht="14.65" hidden="false" customHeight="true" outlineLevel="0" collapsed="false">
      <c r="A329" s="12" t="s">
        <v>370</v>
      </c>
      <c r="B329" s="13" t="n">
        <v>38880</v>
      </c>
      <c r="C329" s="3" t="s">
        <v>24</v>
      </c>
      <c r="D329" s="4" t="s">
        <v>353</v>
      </c>
      <c r="E329" s="3" t="n">
        <v>5</v>
      </c>
      <c r="F329" s="3" t="n">
        <v>4</v>
      </c>
      <c r="G329" s="3" t="s">
        <v>27</v>
      </c>
      <c r="I329" s="3" t="n">
        <f aca="false">_xlfn.IFS(G329="взв",11,G329="накл",24,G329="прокл",25,G329="пт",26,G329=90,10,G329=85,10,G329=80,9,G329=75,8,G329=70,8,G329=65,7,G329=60,7,G329=55,6,G329=50,6,G329=45,6,G329=40,5,G329=35,4,G329=30,4,G329=25,3,G329=20,2,G329=15,1,G329=10,1,G329=0,0)</f>
        <v>24</v>
      </c>
      <c r="J329" s="3" t="n">
        <f aca="false">IF(H329&lt;=1,0,IF(H329&lt;=10,11,IF(H329&lt;=14,12,IF(H329&lt;=17,13,IF(H329&lt;=20,14,IF(H329&lt;=22,15,IF(H329&lt;=25,16,IF(H329&lt;=27,17,IF(H329&lt;=29,18,IF(H329&lt;=32,19,IF(H329&lt;=34,20,IF(H329&lt;=36,21,IF(H329&lt;=40,22,24)))))))))))))</f>
        <v>0</v>
      </c>
      <c r="K329" s="3" t="s">
        <v>27</v>
      </c>
      <c r="M329" s="3" t="n">
        <f aca="false">_xlfn.IFS(K329="взв",11,K329="накл",24,K329="прокл",25,K329="пт",26,K329=90,10,K329=85,10,K329=80,9,K329=75,8,K329=70,8,K329=65,7,K329=60,7,K329=55,6,K329=50,6,K329=45,6,K329=40,5,K329=35,4,K329=30,4,K329=25,3,K329=20,2,K329=15,1,K329=10,1,K329=0,0)</f>
        <v>24</v>
      </c>
      <c r="N329" s="3" t="n">
        <f aca="false">IF(L329&lt;=1,0,IF(L329&lt;=10,11,IF(L329&lt;=14,12,IF(L329&lt;=17,13,IF(L329&lt;=20,14,IF(L329&lt;=22,15,IF(L329&lt;=25,16,IF(L329&lt;=27,17,IF(L329&lt;=29,18,IF(L329&lt;=32,19,IF(L329&lt;=34,20,IF(L329&lt;=36,21,IF(L329&lt;=40,22,24)))))))))))))</f>
        <v>0</v>
      </c>
      <c r="O329" s="3" t="s">
        <v>27</v>
      </c>
      <c r="P329" s="0"/>
      <c r="Q329" s="3" t="n">
        <f aca="false">_xlfn.IFS(O329="взв",11,O329="накл",24,O329="прокл",25,O329="пт",26,O329=90,10,O329=85,10,O329=80,9,O329=75,8,O329=70,8,O329=65,7,O329=60,7,O329=55,6,O329=50,6,O329=45,6,O329=40,5,O329=35,4,O329=30,4,O329=25,3,O329=20,2,O329=15,1,O329=10,1,O329=0,0)</f>
        <v>24</v>
      </c>
      <c r="R329" s="3" t="n">
        <f aca="false">IF(P329&lt;=1,0,IF(P329&lt;=10,11,IF(P329&lt;=14,12,IF(P329&lt;=17,13,IF(P329&lt;=20,14,IF(P329&lt;=22,15,IF(P329&lt;=25,16,IF(P329&lt;=27,17,IF(P329&lt;=29,18,IF(P329&lt;=32,19,IF(P329&lt;=34,20,IF(P329&lt;=36,21,IF(P329&lt;=40,22,24)))))))))))))</f>
        <v>0</v>
      </c>
      <c r="S329" s="14" t="n">
        <f aca="false">ROUND((Q329+R329+I329+J329+M329+N329)/3,0)</f>
        <v>24</v>
      </c>
      <c r="T329" s="15" t="n">
        <f aca="false">F329*LOG10(S329+2)</f>
        <v>5.65989339188327</v>
      </c>
    </row>
    <row r="330" customFormat="false" ht="14.65" hidden="false" customHeight="true" outlineLevel="0" collapsed="false">
      <c r="A330" s="12" t="s">
        <v>371</v>
      </c>
      <c r="B330" s="13" t="n">
        <v>38880</v>
      </c>
      <c r="C330" s="3" t="s">
        <v>24</v>
      </c>
      <c r="D330" s="4" t="s">
        <v>353</v>
      </c>
      <c r="E330" s="3" t="n">
        <v>3</v>
      </c>
      <c r="F330" s="3" t="n">
        <v>4</v>
      </c>
      <c r="H330" s="3" t="n">
        <v>32</v>
      </c>
      <c r="I330" s="3" t="n">
        <f aca="false">_xlfn.IFS(G330="взв",11,G330="накл",24,G330="прокл",25,G330="пт",26,G330=90,10,G330=85,10,G330=80,9,G330=75,8,G330=70,8,G330=65,7,G330=60,7,G330=55,6,G330=50,6,G330=45,6,G330=40,5,G330=35,4,G330=30,4,G330=25,3,G330=20,2,G330=15,1,G330=10,1,G330=0,0)</f>
        <v>0</v>
      </c>
      <c r="J330" s="3" t="n">
        <f aca="false">IF(H330&lt;=1,0,IF(H330&lt;=10,11,IF(H330&lt;=14,12,IF(H330&lt;=17,13,IF(H330&lt;=20,14,IF(H330&lt;=22,15,IF(H330&lt;=25,16,IF(H330&lt;=27,17,IF(H330&lt;=29,18,IF(H330&lt;=32,19,IF(H330&lt;=34,20,IF(H330&lt;=36,21,IF(H330&lt;=40,22,24)))))))))))))</f>
        <v>19</v>
      </c>
      <c r="L330" s="3" t="n">
        <v>34</v>
      </c>
      <c r="M330" s="3" t="n">
        <f aca="false">_xlfn.IFS(K330="взв",11,K330="накл",24,K330="прокл",25,K330="пт",26,K330=90,10,K330=85,10,K330=80,9,K330=75,8,K330=70,8,K330=65,7,K330=60,7,K330=55,6,K330=50,6,K330=45,6,K330=40,5,K330=35,4,K330=30,4,K330=25,3,K330=20,2,K330=15,1,K330=10,1,K330=0,0)</f>
        <v>0</v>
      </c>
      <c r="N330" s="3" t="n">
        <f aca="false">IF(L330&lt;=1,0,IF(L330&lt;=10,11,IF(L330&lt;=14,12,IF(L330&lt;=17,13,IF(L330&lt;=20,14,IF(L330&lt;=22,15,IF(L330&lt;=25,16,IF(L330&lt;=27,17,IF(L330&lt;=29,18,IF(L330&lt;=32,19,IF(L330&lt;=34,20,IF(L330&lt;=36,21,IF(L330&lt;=40,22,24)))))))))))))</f>
        <v>20</v>
      </c>
      <c r="P330" s="3" t="n">
        <v>37</v>
      </c>
      <c r="Q330" s="3" t="n">
        <f aca="false">_xlfn.IFS(O330="взв",11,O330="накл",24,O330="прокл",25,O330="пт",26,O330=90,10,O330=85,10,O330=80,9,O330=75,8,O330=70,8,O330=65,7,O330=60,7,O330=55,6,O330=50,6,O330=45,6,O330=40,5,O330=35,4,O330=30,4,O330=25,3,O330=20,2,O330=15,1,O330=10,1,O330=0,0)</f>
        <v>0</v>
      </c>
      <c r="R330" s="3" t="n">
        <f aca="false">IF(P330&lt;=1,0,IF(P330&lt;=10,11,IF(P330&lt;=14,12,IF(P330&lt;=17,13,IF(P330&lt;=20,14,IF(P330&lt;=22,15,IF(P330&lt;=25,16,IF(P330&lt;=27,17,IF(P330&lt;=29,18,IF(P330&lt;=32,19,IF(P330&lt;=34,20,IF(P330&lt;=36,21,IF(P330&lt;=40,22,24)))))))))))))</f>
        <v>22</v>
      </c>
      <c r="S330" s="14" t="n">
        <f aca="false">ROUND((Q330+R330+I330+J330+M330+N330)/3,0)</f>
        <v>20</v>
      </c>
      <c r="T330" s="15" t="n">
        <f aca="false">F330*LOG10(S330+2)</f>
        <v>5.36969072328883</v>
      </c>
    </row>
    <row r="331" customFormat="false" ht="14.65" hidden="false" customHeight="true" outlineLevel="0" collapsed="false">
      <c r="A331" s="12" t="s">
        <v>372</v>
      </c>
      <c r="B331" s="13" t="n">
        <v>38880</v>
      </c>
      <c r="C331" s="3" t="s">
        <v>24</v>
      </c>
      <c r="D331" s="4" t="s">
        <v>353</v>
      </c>
      <c r="E331" s="3" t="n">
        <v>4</v>
      </c>
      <c r="F331" s="3" t="n">
        <v>4</v>
      </c>
      <c r="H331" s="3" t="n">
        <v>35</v>
      </c>
      <c r="I331" s="3" t="n">
        <f aca="false">_xlfn.IFS(G331="взв",11,G331="накл",24,G331="прокл",25,G331="пт",26,G331=90,10,G331=85,10,G331=80,9,G331=75,8,G331=70,8,G331=65,7,G331=60,7,G331=55,6,G331=50,6,G331=45,6,G331=40,5,G331=35,4,G331=30,4,G331=25,3,G331=20,2,G331=15,1,G331=10,1,G331=0,0)</f>
        <v>0</v>
      </c>
      <c r="J331" s="3" t="n">
        <f aca="false">IF(H331&lt;=1,0,IF(H331&lt;=10,11,IF(H331&lt;=14,12,IF(H331&lt;=17,13,IF(H331&lt;=20,14,IF(H331&lt;=22,15,IF(H331&lt;=25,16,IF(H331&lt;=27,17,IF(H331&lt;=29,18,IF(H331&lt;=32,19,IF(H331&lt;=34,20,IF(H331&lt;=36,21,IF(H331&lt;=40,22,24)))))))))))))</f>
        <v>21</v>
      </c>
      <c r="L331" s="3" t="n">
        <v>34</v>
      </c>
      <c r="M331" s="3" t="n">
        <f aca="false">_xlfn.IFS(K331="взв",11,K331="накл",24,K331="прокл",25,K331="пт",26,K331=90,10,K331=85,10,K331=80,9,K331=75,8,K331=70,8,K331=65,7,K331=60,7,K331=55,6,K331=50,6,K331=45,6,K331=40,5,K331=35,4,K331=30,4,K331=25,3,K331=20,2,K331=15,1,K331=10,1,K331=0,0)</f>
        <v>0</v>
      </c>
      <c r="N331" s="3" t="n">
        <f aca="false">IF(L331&lt;=1,0,IF(L331&lt;=10,11,IF(L331&lt;=14,12,IF(L331&lt;=17,13,IF(L331&lt;=20,14,IF(L331&lt;=22,15,IF(L331&lt;=25,16,IF(L331&lt;=27,17,IF(L331&lt;=29,18,IF(L331&lt;=32,19,IF(L331&lt;=34,20,IF(L331&lt;=36,21,IF(L331&lt;=40,22,24)))))))))))))</f>
        <v>20</v>
      </c>
      <c r="P331" s="3" t="n">
        <v>29</v>
      </c>
      <c r="Q331" s="3" t="n">
        <f aca="false">_xlfn.IFS(O331="взв",11,O331="накл",24,O331="прокл",25,O331="пт",26,O331=90,10,O331=85,10,O331=80,9,O331=75,8,O331=70,8,O331=65,7,O331=60,7,O331=55,6,O331=50,6,O331=45,6,O331=40,5,O331=35,4,O331=30,4,O331=25,3,O331=20,2,O331=15,1,O331=10,1,O331=0,0)</f>
        <v>0</v>
      </c>
      <c r="R331" s="3" t="n">
        <f aca="false">IF(P331&lt;=1,0,IF(P331&lt;=10,11,IF(P331&lt;=14,12,IF(P331&lt;=17,13,IF(P331&lt;=20,14,IF(P331&lt;=22,15,IF(P331&lt;=25,16,IF(P331&lt;=27,17,IF(P331&lt;=29,18,IF(P331&lt;=32,19,IF(P331&lt;=34,20,IF(P331&lt;=36,21,IF(P331&lt;=40,22,24)))))))))))))</f>
        <v>18</v>
      </c>
      <c r="S331" s="14" t="n">
        <f aca="false">ROUND((Q331+R331+I331+J331+M331+N331)/3,0)</f>
        <v>20</v>
      </c>
      <c r="T331" s="15" t="n">
        <f aca="false">F331*LOG10(S331+2)</f>
        <v>5.36969072328883</v>
      </c>
    </row>
    <row r="332" customFormat="false" ht="14.65" hidden="false" customHeight="true" outlineLevel="0" collapsed="false">
      <c r="A332" s="12" t="s">
        <v>373</v>
      </c>
      <c r="B332" s="13" t="n">
        <v>38880</v>
      </c>
      <c r="C332" s="3" t="s">
        <v>24</v>
      </c>
      <c r="D332" s="4" t="s">
        <v>353</v>
      </c>
      <c r="E332" s="3" t="n">
        <v>3</v>
      </c>
      <c r="F332" s="3" t="n">
        <v>5</v>
      </c>
      <c r="G332" s="3" t="s">
        <v>47</v>
      </c>
      <c r="H332" s="0"/>
      <c r="I332" s="3" t="n">
        <f aca="false">_xlfn.IFS(G332="взв",11,G332="накл",24,G332="прокл",25,G332="пт",26,G332=90,10,G332=85,10,G332=80,9,G332=75,8,G332=70,8,G332=65,7,G332=60,7,G332=55,6,G332=50,6,G332=45,6,G332=40,5,G332=35,4,G332=30,4,G332=25,3,G332=20,2,G332=15,1,G332=10,1,G332=0,0)</f>
        <v>25</v>
      </c>
      <c r="J332" s="3" t="n">
        <f aca="false">IF(H332&lt;=1,0,IF(H332&lt;=10,11,IF(H332&lt;=14,12,IF(H332&lt;=17,13,IF(H332&lt;=20,14,IF(H332&lt;=22,15,IF(H332&lt;=25,16,IF(H332&lt;=27,17,IF(H332&lt;=29,18,IF(H332&lt;=32,19,IF(H332&lt;=34,20,IF(H332&lt;=36,21,IF(H332&lt;=40,22,24)))))))))))))</f>
        <v>0</v>
      </c>
      <c r="K332" s="3" t="s">
        <v>38</v>
      </c>
      <c r="M332" s="3" t="n">
        <f aca="false">_xlfn.IFS(K332="взв",11,K332="накл",24,K332="прокл",25,K332="пт",26,K332=90,10,K332=85,10,K332=80,9,K332=75,8,K332=70,8,K332=65,7,K332=60,7,K332=55,6,K332=50,6,K332=45,6,K332=40,5,K332=35,4,K332=30,4,K332=25,3,K332=20,2,K332=15,1,K332=10,1,K332=0,0)</f>
        <v>26</v>
      </c>
      <c r="N332" s="3" t="n">
        <f aca="false">IF(L332&lt;=1,0,IF(L332&lt;=10,11,IF(L332&lt;=14,12,IF(L332&lt;=17,13,IF(L332&lt;=20,14,IF(L332&lt;=22,15,IF(L332&lt;=25,16,IF(L332&lt;=27,17,IF(L332&lt;=29,18,IF(L332&lt;=32,19,IF(L332&lt;=34,20,IF(L332&lt;=36,21,IF(L332&lt;=40,22,24)))))))))))))</f>
        <v>0</v>
      </c>
      <c r="O332" s="3" t="s">
        <v>38</v>
      </c>
      <c r="Q332" s="3" t="n">
        <f aca="false">_xlfn.IFS(O332="взв",11,O332="накл",24,O332="прокл",25,O332="пт",26,O332=90,10,O332=85,10,O332=80,9,O332=75,8,O332=70,8,O332=65,7,O332=60,7,O332=55,6,O332=50,6,O332=45,6,O332=40,5,O332=35,4,O332=30,4,O332=25,3,O332=20,2,O332=15,1,O332=10,1,O332=0,0)</f>
        <v>26</v>
      </c>
      <c r="R332" s="3" t="n">
        <f aca="false">IF(P332&lt;=1,0,IF(P332&lt;=10,11,IF(P332&lt;=14,12,IF(P332&lt;=17,13,IF(P332&lt;=20,14,IF(P332&lt;=22,15,IF(P332&lt;=25,16,IF(P332&lt;=27,17,IF(P332&lt;=29,18,IF(P332&lt;=32,19,IF(P332&lt;=34,20,IF(P332&lt;=36,21,IF(P332&lt;=40,22,24)))))))))))))</f>
        <v>0</v>
      </c>
      <c r="S332" s="14" t="n">
        <f aca="false">ROUND((Q332+R332+I332+J332+M332+N332)/3,0)</f>
        <v>26</v>
      </c>
      <c r="T332" s="15" t="n">
        <f aca="false">F332*LOG10(S332+2)</f>
        <v>7.2357901567111</v>
      </c>
    </row>
    <row r="333" customFormat="false" ht="14.65" hidden="false" customHeight="true" outlineLevel="0" collapsed="false">
      <c r="A333" s="12" t="s">
        <v>374</v>
      </c>
      <c r="B333" s="13" t="n">
        <v>38880</v>
      </c>
      <c r="C333" s="3" t="s">
        <v>24</v>
      </c>
      <c r="D333" s="4" t="s">
        <v>353</v>
      </c>
      <c r="E333" s="3" t="n">
        <v>8</v>
      </c>
      <c r="F333" s="3" t="n">
        <v>5</v>
      </c>
      <c r="H333" s="3" t="n">
        <v>31</v>
      </c>
      <c r="I333" s="3" t="n">
        <f aca="false">_xlfn.IFS(G333="взв",11,G333="накл",24,G333="прокл",25,G333="пт",26,G333=90,10,G333=85,10,G333=80,9,G333=75,8,G333=70,8,G333=65,7,G333=60,7,G333=55,6,G333=50,6,G333=45,6,G333=40,5,G333=35,4,G333=30,4,G333=25,3,G333=20,2,G333=15,1,G333=10,1,G333=0,0)</f>
        <v>0</v>
      </c>
      <c r="J333" s="3" t="n">
        <f aca="false">IF(H333&lt;=1,0,IF(H333&lt;=10,11,IF(H333&lt;=14,12,IF(H333&lt;=17,13,IF(H333&lt;=20,14,IF(H333&lt;=22,15,IF(H333&lt;=25,16,IF(H333&lt;=27,17,IF(H333&lt;=29,18,IF(H333&lt;=32,19,IF(H333&lt;=34,20,IF(H333&lt;=36,21,IF(H333&lt;=40,22,24)))))))))))))</f>
        <v>19</v>
      </c>
      <c r="L333" s="3" t="n">
        <v>30</v>
      </c>
      <c r="M333" s="3" t="n">
        <f aca="false">_xlfn.IFS(K333="взв",11,K333="накл",24,K333="прокл",25,K333="пт",26,K333=90,10,K333=85,10,K333=80,9,K333=75,8,K333=70,8,K333=65,7,K333=60,7,K333=55,6,K333=50,6,K333=45,6,K333=40,5,K333=35,4,K333=30,4,K333=25,3,K333=20,2,K333=15,1,K333=10,1,K333=0,0)</f>
        <v>0</v>
      </c>
      <c r="N333" s="3" t="n">
        <f aca="false">IF(L333&lt;=1,0,IF(L333&lt;=10,11,IF(L333&lt;=14,12,IF(L333&lt;=17,13,IF(L333&lt;=20,14,IF(L333&lt;=22,15,IF(L333&lt;=25,16,IF(L333&lt;=27,17,IF(L333&lt;=29,18,IF(L333&lt;=32,19,IF(L333&lt;=34,20,IF(L333&lt;=36,21,IF(L333&lt;=40,22,24)))))))))))))</f>
        <v>19</v>
      </c>
      <c r="P333" s="3" t="n">
        <v>30</v>
      </c>
      <c r="Q333" s="3" t="n">
        <f aca="false">_xlfn.IFS(O333="взв",11,O333="накл",24,O333="прокл",25,O333="пт",26,O333=90,10,O333=85,10,O333=80,9,O333=75,8,O333=70,8,O333=65,7,O333=60,7,O333=55,6,O333=50,6,O333=45,6,O333=40,5,O333=35,4,O333=30,4,O333=25,3,O333=20,2,O333=15,1,O333=10,1,O333=0,0)</f>
        <v>0</v>
      </c>
      <c r="R333" s="3" t="n">
        <f aca="false">IF(P333&lt;=1,0,IF(P333&lt;=10,11,IF(P333&lt;=14,12,IF(P333&lt;=17,13,IF(P333&lt;=20,14,IF(P333&lt;=22,15,IF(P333&lt;=25,16,IF(P333&lt;=27,17,IF(P333&lt;=29,18,IF(P333&lt;=32,19,IF(P333&lt;=34,20,IF(P333&lt;=36,21,IF(P333&lt;=40,22,24)))))))))))))</f>
        <v>19</v>
      </c>
      <c r="S333" s="14" t="n">
        <f aca="false">ROUND((Q333+R333+I333+J333+M333+N333)/3,0)</f>
        <v>19</v>
      </c>
      <c r="T333" s="15" t="n">
        <f aca="false">F333*LOG10(S333+2)</f>
        <v>6.6110964736696</v>
      </c>
    </row>
    <row r="334" customFormat="false" ht="14.65" hidden="false" customHeight="true" outlineLevel="0" collapsed="false">
      <c r="A334" s="12" t="s">
        <v>375</v>
      </c>
      <c r="B334" s="13" t="n">
        <v>38880</v>
      </c>
      <c r="C334" s="3" t="s">
        <v>24</v>
      </c>
      <c r="D334" s="4" t="s">
        <v>353</v>
      </c>
      <c r="E334" s="3" t="n">
        <v>5</v>
      </c>
      <c r="F334" s="3" t="n">
        <v>5</v>
      </c>
      <c r="G334" s="3" t="s">
        <v>27</v>
      </c>
      <c r="I334" s="3" t="n">
        <f aca="false">_xlfn.IFS(G334="взв",11,G334="накл",24,G334="прокл",25,G334="пт",26,G334=90,10,G334=85,10,G334=80,9,G334=75,8,G334=70,8,G334=65,7,G334=60,7,G334=55,6,G334=50,6,G334=45,6,G334=40,5,G334=35,4,G334=30,4,G334=25,3,G334=20,2,G334=15,1,G334=10,1,G334=0,0)</f>
        <v>24</v>
      </c>
      <c r="J334" s="3" t="n">
        <f aca="false">IF(H334&lt;=1,0,IF(H334&lt;=10,11,IF(H334&lt;=14,12,IF(H334&lt;=17,13,IF(H334&lt;=20,14,IF(H334&lt;=22,15,IF(H334&lt;=25,16,IF(H334&lt;=27,17,IF(H334&lt;=29,18,IF(H334&lt;=32,19,IF(H334&lt;=34,20,IF(H334&lt;=36,21,IF(H334&lt;=40,22,24)))))))))))))</f>
        <v>0</v>
      </c>
      <c r="K334" s="3" t="s">
        <v>27</v>
      </c>
      <c r="M334" s="3" t="n">
        <f aca="false">_xlfn.IFS(K334="взв",11,K334="накл",24,K334="прокл",25,K334="пт",26,K334=90,10,K334=85,10,K334=80,9,K334=75,8,K334=70,8,K334=65,7,K334=60,7,K334=55,6,K334=50,6,K334=45,6,K334=40,5,K334=35,4,K334=30,4,K334=25,3,K334=20,2,K334=15,1,K334=10,1,K334=0,0)</f>
        <v>24</v>
      </c>
      <c r="N334" s="3" t="n">
        <f aca="false">IF(L334&lt;=1,0,IF(L334&lt;=10,11,IF(L334&lt;=14,12,IF(L334&lt;=17,13,IF(L334&lt;=20,14,IF(L334&lt;=22,15,IF(L334&lt;=25,16,IF(L334&lt;=27,17,IF(L334&lt;=29,18,IF(L334&lt;=32,19,IF(L334&lt;=34,20,IF(L334&lt;=36,21,IF(L334&lt;=40,22,24)))))))))))))</f>
        <v>0</v>
      </c>
      <c r="O334" s="3" t="s">
        <v>27</v>
      </c>
      <c r="P334" s="0"/>
      <c r="Q334" s="3" t="n">
        <f aca="false">_xlfn.IFS(O334="взв",11,O334="накл",24,O334="прокл",25,O334="пт",26,O334=90,10,O334=85,10,O334=80,9,O334=75,8,O334=70,8,O334=65,7,O334=60,7,O334=55,6,O334=50,6,O334=45,6,O334=40,5,O334=35,4,O334=30,4,O334=25,3,O334=20,2,O334=15,1,O334=10,1,O334=0,0)</f>
        <v>24</v>
      </c>
      <c r="R334" s="3" t="n">
        <f aca="false">IF(P334&lt;=1,0,IF(P334&lt;=10,11,IF(P334&lt;=14,12,IF(P334&lt;=17,13,IF(P334&lt;=20,14,IF(P334&lt;=22,15,IF(P334&lt;=25,16,IF(P334&lt;=27,17,IF(P334&lt;=29,18,IF(P334&lt;=32,19,IF(P334&lt;=34,20,IF(P334&lt;=36,21,IF(P334&lt;=40,22,24)))))))))))))</f>
        <v>0</v>
      </c>
      <c r="S334" s="14" t="n">
        <f aca="false">ROUND((Q334+R334+I334+J334+M334+N334)/3,0)</f>
        <v>24</v>
      </c>
      <c r="T334" s="15" t="n">
        <f aca="false">F334*LOG10(S334+2)</f>
        <v>7.07486673985409</v>
      </c>
    </row>
    <row r="335" customFormat="false" ht="14.65" hidden="false" customHeight="true" outlineLevel="0" collapsed="false">
      <c r="A335" s="12" t="s">
        <v>376</v>
      </c>
      <c r="B335" s="13" t="n">
        <v>38880</v>
      </c>
      <c r="C335" s="3" t="s">
        <v>24</v>
      </c>
      <c r="D335" s="4" t="s">
        <v>353</v>
      </c>
      <c r="E335" s="3" t="n">
        <v>4</v>
      </c>
      <c r="F335" s="3" t="n">
        <v>5</v>
      </c>
      <c r="H335" s="3" t="n">
        <v>34</v>
      </c>
      <c r="I335" s="3" t="n">
        <f aca="false">_xlfn.IFS(G335="взв",11,G335="накл",24,G335="прокл",25,G335="пт",26,G335=90,10,G335=85,10,G335=80,9,G335=75,8,G335=70,8,G335=65,7,G335=60,7,G335=55,6,G335=50,6,G335=45,6,G335=40,5,G335=35,4,G335=30,4,G335=25,3,G335=20,2,G335=15,1,G335=10,1,G335=0,0)</f>
        <v>0</v>
      </c>
      <c r="J335" s="3" t="n">
        <f aca="false">IF(H335&lt;=1,0,IF(H335&lt;=10,11,IF(H335&lt;=14,12,IF(H335&lt;=17,13,IF(H335&lt;=20,14,IF(H335&lt;=22,15,IF(H335&lt;=25,16,IF(H335&lt;=27,17,IF(H335&lt;=29,18,IF(H335&lt;=32,19,IF(H335&lt;=34,20,IF(H335&lt;=36,21,IF(H335&lt;=40,22,24)))))))))))))</f>
        <v>20</v>
      </c>
      <c r="L335" s="3" t="n">
        <v>31</v>
      </c>
      <c r="M335" s="3" t="n">
        <f aca="false">_xlfn.IFS(K335="взв",11,K335="накл",24,K335="прокл",25,K335="пт",26,K335=90,10,K335=85,10,K335=80,9,K335=75,8,K335=70,8,K335=65,7,K335=60,7,K335=55,6,K335=50,6,K335=45,6,K335=40,5,K335=35,4,K335=30,4,K335=25,3,K335=20,2,K335=15,1,K335=10,1,K335=0,0)</f>
        <v>0</v>
      </c>
      <c r="N335" s="3" t="n">
        <f aca="false">IF(L335&lt;=1,0,IF(L335&lt;=10,11,IF(L335&lt;=14,12,IF(L335&lt;=17,13,IF(L335&lt;=20,14,IF(L335&lt;=22,15,IF(L335&lt;=25,16,IF(L335&lt;=27,17,IF(L335&lt;=29,18,IF(L335&lt;=32,19,IF(L335&lt;=34,20,IF(L335&lt;=36,21,IF(L335&lt;=40,22,24)))))))))))))</f>
        <v>19</v>
      </c>
      <c r="P335" s="3" t="n">
        <v>25</v>
      </c>
      <c r="Q335" s="3" t="n">
        <f aca="false">_xlfn.IFS(O335="взв",11,O335="накл",24,O335="прокл",25,O335="пт",26,O335=90,10,O335=85,10,O335=80,9,O335=75,8,O335=70,8,O335=65,7,O335=60,7,O335=55,6,O335=50,6,O335=45,6,O335=40,5,O335=35,4,O335=30,4,O335=25,3,O335=20,2,O335=15,1,O335=10,1,O335=0,0)</f>
        <v>0</v>
      </c>
      <c r="R335" s="3" t="n">
        <f aca="false">IF(P335&lt;=1,0,IF(P335&lt;=10,11,IF(P335&lt;=14,12,IF(P335&lt;=17,13,IF(P335&lt;=20,14,IF(P335&lt;=22,15,IF(P335&lt;=25,16,IF(P335&lt;=27,17,IF(P335&lt;=29,18,IF(P335&lt;=32,19,IF(P335&lt;=34,20,IF(P335&lt;=36,21,IF(P335&lt;=40,22,24)))))))))))))</f>
        <v>16</v>
      </c>
      <c r="S335" s="14" t="n">
        <f aca="false">ROUND((Q335+R335+I335+J335+M335+N335)/3,0)</f>
        <v>18</v>
      </c>
      <c r="T335" s="15" t="n">
        <f aca="false">F335*LOG10(S335+2)</f>
        <v>6.50514997831991</v>
      </c>
    </row>
    <row r="336" customFormat="false" ht="14.65" hidden="false" customHeight="true" outlineLevel="0" collapsed="false">
      <c r="A336" s="12" t="s">
        <v>377</v>
      </c>
      <c r="B336" s="13" t="n">
        <v>38880</v>
      </c>
      <c r="C336" s="3" t="s">
        <v>24</v>
      </c>
      <c r="D336" s="4" t="s">
        <v>353</v>
      </c>
      <c r="E336" s="3" t="n">
        <v>2</v>
      </c>
      <c r="F336" s="3" t="n">
        <v>5</v>
      </c>
      <c r="G336" s="3" t="n">
        <v>75</v>
      </c>
      <c r="I336" s="3" t="n">
        <f aca="false">_xlfn.IFS(G336="взв",11,G336="накл",24,G336="прокл",25,G336="пт",26,G336=90,10,G336=85,10,G336=80,9,G336=75,8,G336=70,8,G336=65,7,G336=60,7,G336=55,6,G336=50,6,G336=45,6,G336=40,5,G336=35,4,G336=30,4,G336=25,3,G336=20,2,G336=15,1,G336=10,1,G336=0,0)</f>
        <v>8</v>
      </c>
      <c r="J336" s="3" t="n">
        <f aca="false">IF(H336&lt;=1,0,IF(H336&lt;=10,11,IF(H336&lt;=14,12,IF(H336&lt;=17,13,IF(H336&lt;=20,14,IF(H336&lt;=22,15,IF(H336&lt;=25,16,IF(H336&lt;=27,17,IF(H336&lt;=29,18,IF(H336&lt;=32,19,IF(H336&lt;=34,20,IF(H336&lt;=36,21,IF(H336&lt;=40,22,24)))))))))))))</f>
        <v>0</v>
      </c>
      <c r="K336" s="3" t="n">
        <v>90</v>
      </c>
      <c r="M336" s="3" t="n">
        <f aca="false">_xlfn.IFS(K336="взв",11,K336="накл",24,K336="прокл",25,K336="пт",26,K336=90,10,K336=85,10,K336=80,9,K336=75,8,K336=70,8,K336=65,7,K336=60,7,K336=55,6,K336=50,6,K336=45,6,K336=40,5,K336=35,4,K336=30,4,K336=25,3,K336=20,2,K336=15,1,K336=10,1,K336=0,0)</f>
        <v>10</v>
      </c>
      <c r="N336" s="3" t="n">
        <f aca="false">IF(L336&lt;=1,0,IF(L336&lt;=10,11,IF(L336&lt;=14,12,IF(L336&lt;=17,13,IF(L336&lt;=20,14,IF(L336&lt;=22,15,IF(L336&lt;=25,16,IF(L336&lt;=27,17,IF(L336&lt;=29,18,IF(L336&lt;=32,19,IF(L336&lt;=34,20,IF(L336&lt;=36,21,IF(L336&lt;=40,22,24)))))))))))))</f>
        <v>0</v>
      </c>
      <c r="Q336" s="3" t="n">
        <f aca="false">_xlfn.IFS(O336="взв",11,O336="накл",24,O336="прокл",25,O336="пт",26,O336=90,10,O336=85,10,O336=80,9,O336=75,8,O336=70,8,O336=65,7,O336=60,7,O336=55,6,O336=50,6,O336=45,6,O336=40,5,O336=35,4,O336=30,4,O336=25,3,O336=20,2,O336=15,1,O336=10,1,O336=0,0)</f>
        <v>0</v>
      </c>
      <c r="R336" s="3" t="n">
        <f aca="false">IF(P336&lt;=1,0,IF(P336&lt;=10,11,IF(P336&lt;=14,12,IF(P336&lt;=17,13,IF(P336&lt;=20,14,IF(P336&lt;=22,15,IF(P336&lt;=25,16,IF(P336&lt;=27,17,IF(P336&lt;=29,18,IF(P336&lt;=32,19,IF(P336&lt;=34,20,IF(P336&lt;=36,21,IF(P336&lt;=40,22,24)))))))))))))</f>
        <v>0</v>
      </c>
      <c r="S336" s="14" t="n">
        <f aca="false">ROUND((Q336+R336+I336+J336+M336+N336)/2,0)</f>
        <v>9</v>
      </c>
      <c r="T336" s="15" t="n">
        <f aca="false">F336*LOG10(S336+2)</f>
        <v>5.20696342579113</v>
      </c>
    </row>
    <row r="337" customFormat="false" ht="14.65" hidden="false" customHeight="true" outlineLevel="0" collapsed="false">
      <c r="A337" s="12" t="s">
        <v>378</v>
      </c>
      <c r="B337" s="13" t="n">
        <v>38880</v>
      </c>
      <c r="C337" s="3" t="s">
        <v>24</v>
      </c>
      <c r="D337" s="4" t="s">
        <v>353</v>
      </c>
      <c r="E337" s="3" t="n">
        <v>4</v>
      </c>
      <c r="F337" s="3" t="n">
        <v>5</v>
      </c>
      <c r="G337" s="3" t="s">
        <v>27</v>
      </c>
      <c r="I337" s="3" t="n">
        <f aca="false">_xlfn.IFS(G337="взв",11,G337="накл",24,G337="прокл",25,G337="пт",26,G337=90,10,G337=85,10,G337=80,9,G337=75,8,G337=70,8,G337=65,7,G337=60,7,G337=55,6,G337=50,6,G337=45,6,G337=40,5,G337=35,4,G337=30,4,G337=25,3,G337=20,2,G337=15,1,G337=10,1,G337=0,0)</f>
        <v>24</v>
      </c>
      <c r="J337" s="3" t="n">
        <f aca="false">IF(H337&lt;=1,0,IF(H337&lt;=10,11,IF(H337&lt;=14,12,IF(H337&lt;=17,13,IF(H337&lt;=20,14,IF(H337&lt;=22,15,IF(H337&lt;=25,16,IF(H337&lt;=27,17,IF(H337&lt;=29,18,IF(H337&lt;=32,19,IF(H337&lt;=34,20,IF(H337&lt;=36,21,IF(H337&lt;=40,22,24)))))))))))))</f>
        <v>0</v>
      </c>
      <c r="K337" s="3" t="s">
        <v>27</v>
      </c>
      <c r="M337" s="3" t="n">
        <f aca="false">_xlfn.IFS(K337="взв",11,K337="накл",24,K337="прокл",25,K337="пт",26,K337=90,10,K337=85,10,K337=80,9,K337=75,8,K337=70,8,K337=65,7,K337=60,7,K337=55,6,K337=50,6,K337=45,6,K337=40,5,K337=35,4,K337=30,4,K337=25,3,K337=20,2,K337=15,1,K337=10,1,K337=0,0)</f>
        <v>24</v>
      </c>
      <c r="N337" s="3" t="n">
        <f aca="false">IF(L337&lt;=1,0,IF(L337&lt;=10,11,IF(L337&lt;=14,12,IF(L337&lt;=17,13,IF(L337&lt;=20,14,IF(L337&lt;=22,15,IF(L337&lt;=25,16,IF(L337&lt;=27,17,IF(L337&lt;=29,18,IF(L337&lt;=32,19,IF(L337&lt;=34,20,IF(L337&lt;=36,21,IF(L337&lt;=40,22,24)))))))))))))</f>
        <v>0</v>
      </c>
      <c r="O337" s="3" t="s">
        <v>27</v>
      </c>
      <c r="P337" s="0"/>
      <c r="Q337" s="3" t="n">
        <f aca="false">_xlfn.IFS(O337="взв",11,O337="накл",24,O337="прокл",25,O337="пт",26,O337=90,10,O337=85,10,O337=80,9,O337=75,8,O337=70,8,O337=65,7,O337=60,7,O337=55,6,O337=50,6,O337=45,6,O337=40,5,O337=35,4,O337=30,4,O337=25,3,O337=20,2,O337=15,1,O337=10,1,O337=0,0)</f>
        <v>24</v>
      </c>
      <c r="R337" s="3" t="n">
        <f aca="false">IF(P337&lt;=1,0,IF(P337&lt;=10,11,IF(P337&lt;=14,12,IF(P337&lt;=17,13,IF(P337&lt;=20,14,IF(P337&lt;=22,15,IF(P337&lt;=25,16,IF(P337&lt;=27,17,IF(P337&lt;=29,18,IF(P337&lt;=32,19,IF(P337&lt;=34,20,IF(P337&lt;=36,21,IF(P337&lt;=40,22,24)))))))))))))</f>
        <v>0</v>
      </c>
      <c r="S337" s="14" t="n">
        <f aca="false">ROUND((Q337+R337+I337+J337+M337+N337)/3,0)</f>
        <v>24</v>
      </c>
      <c r="T337" s="15" t="n">
        <f aca="false">F337*LOG10(S337+2)</f>
        <v>7.07486673985409</v>
      </c>
    </row>
    <row r="338" customFormat="false" ht="14.65" hidden="false" customHeight="true" outlineLevel="0" collapsed="false">
      <c r="A338" s="12" t="s">
        <v>379</v>
      </c>
      <c r="B338" s="13" t="n">
        <v>38880</v>
      </c>
      <c r="C338" s="3" t="s">
        <v>24</v>
      </c>
      <c r="D338" s="4" t="s">
        <v>353</v>
      </c>
      <c r="E338" s="3" t="n">
        <v>6</v>
      </c>
      <c r="F338" s="3" t="n">
        <v>6</v>
      </c>
      <c r="H338" s="3" t="n">
        <v>32</v>
      </c>
      <c r="I338" s="3" t="n">
        <f aca="false">_xlfn.IFS(G338="взв",11,G338="накл",24,G338="прокл",25,G338="пт",26,G338=90,10,G338=85,10,G338=80,9,G338=75,8,G338=70,8,G338=65,7,G338=60,7,G338=55,6,G338=50,6,G338=45,6,G338=40,5,G338=35,4,G338=30,4,G338=25,3,G338=20,2,G338=15,1,G338=10,1,G338=0,0)</f>
        <v>0</v>
      </c>
      <c r="J338" s="3" t="n">
        <f aca="false">IF(H338&lt;=1,0,IF(H338&lt;=10,11,IF(H338&lt;=14,12,IF(H338&lt;=17,13,IF(H338&lt;=20,14,IF(H338&lt;=22,15,IF(H338&lt;=25,16,IF(H338&lt;=27,17,IF(H338&lt;=29,18,IF(H338&lt;=32,19,IF(H338&lt;=34,20,IF(H338&lt;=36,21,IF(H338&lt;=40,22,24)))))))))))))</f>
        <v>19</v>
      </c>
      <c r="L338" s="3" t="n">
        <v>31</v>
      </c>
      <c r="M338" s="3" t="n">
        <f aca="false">_xlfn.IFS(K338="взв",11,K338="накл",24,K338="прокл",25,K338="пт",26,K338=90,10,K338=85,10,K338=80,9,K338=75,8,K338=70,8,K338=65,7,K338=60,7,K338=55,6,K338=50,6,K338=45,6,K338=40,5,K338=35,4,K338=30,4,K338=25,3,K338=20,2,K338=15,1,K338=10,1,K338=0,0)</f>
        <v>0</v>
      </c>
      <c r="N338" s="3" t="n">
        <f aca="false">IF(L338&lt;=1,0,IF(L338&lt;=10,11,IF(L338&lt;=14,12,IF(L338&lt;=17,13,IF(L338&lt;=20,14,IF(L338&lt;=22,15,IF(L338&lt;=25,16,IF(L338&lt;=27,17,IF(L338&lt;=29,18,IF(L338&lt;=32,19,IF(L338&lt;=34,20,IF(L338&lt;=36,21,IF(L338&lt;=40,22,24)))))))))))))</f>
        <v>19</v>
      </c>
      <c r="P338" s="3" t="n">
        <v>29</v>
      </c>
      <c r="Q338" s="3" t="n">
        <f aca="false">_xlfn.IFS(O338="взв",11,O338="накл",24,O338="прокл",25,O338="пт",26,O338=90,10,O338=85,10,O338=80,9,O338=75,8,O338=70,8,O338=65,7,O338=60,7,O338=55,6,O338=50,6,O338=45,6,O338=40,5,O338=35,4,O338=30,4,O338=25,3,O338=20,2,O338=15,1,O338=10,1,O338=0,0)</f>
        <v>0</v>
      </c>
      <c r="R338" s="3" t="n">
        <f aca="false">IF(P338&lt;=1,0,IF(P338&lt;=10,11,IF(P338&lt;=14,12,IF(P338&lt;=17,13,IF(P338&lt;=20,14,IF(P338&lt;=22,15,IF(P338&lt;=25,16,IF(P338&lt;=27,17,IF(P338&lt;=29,18,IF(P338&lt;=32,19,IF(P338&lt;=34,20,IF(P338&lt;=36,21,IF(P338&lt;=40,22,24)))))))))))))</f>
        <v>18</v>
      </c>
      <c r="S338" s="14" t="n">
        <f aca="false">ROUND((Q338+R338+I338+J338+M338+N338)/3,0)</f>
        <v>19</v>
      </c>
      <c r="T338" s="15" t="n">
        <f aca="false">F338*LOG10(S338+2)</f>
        <v>7.93331576840352</v>
      </c>
    </row>
    <row r="339" customFormat="false" ht="14.65" hidden="false" customHeight="true" outlineLevel="0" collapsed="false">
      <c r="A339" s="12" t="s">
        <v>380</v>
      </c>
      <c r="B339" s="13" t="n">
        <v>38880</v>
      </c>
      <c r="C339" s="3" t="s">
        <v>24</v>
      </c>
      <c r="D339" s="4" t="s">
        <v>353</v>
      </c>
      <c r="E339" s="3" t="n">
        <v>5</v>
      </c>
      <c r="F339" s="3" t="n">
        <v>6</v>
      </c>
      <c r="H339" s="3" t="n">
        <v>39</v>
      </c>
      <c r="I339" s="3" t="n">
        <f aca="false">_xlfn.IFS(G339="взв",11,G339="накл",24,G339="прокл",25,G339="пт",26,G339=90,10,G339=85,10,G339=80,9,G339=75,8,G339=70,8,G339=65,7,G339=60,7,G339=55,6,G339=50,6,G339=45,6,G339=40,5,G339=35,4,G339=30,4,G339=25,3,G339=20,2,G339=15,1,G339=10,1,G339=0,0)</f>
        <v>0</v>
      </c>
      <c r="J339" s="3" t="n">
        <f aca="false">IF(H339&lt;=1,0,IF(H339&lt;=10,11,IF(H339&lt;=14,12,IF(H339&lt;=17,13,IF(H339&lt;=20,14,IF(H339&lt;=22,15,IF(H339&lt;=25,16,IF(H339&lt;=27,17,IF(H339&lt;=29,18,IF(H339&lt;=32,19,IF(H339&lt;=34,20,IF(H339&lt;=36,21,IF(H339&lt;=40,22,24)))))))))))))</f>
        <v>22</v>
      </c>
      <c r="K339" s="3" t="s">
        <v>27</v>
      </c>
      <c r="M339" s="3" t="n">
        <f aca="false">_xlfn.IFS(K339="взв",11,K339="накл",24,K339="прокл",25,K339="пт",26,K339=90,10,K339=85,10,K339=80,9,K339=75,8,K339=70,8,K339=65,7,K339=60,7,K339=55,6,K339=50,6,K339=45,6,K339=40,5,K339=35,4,K339=30,4,K339=25,3,K339=20,2,K339=15,1,K339=10,1,K339=0,0)</f>
        <v>24</v>
      </c>
      <c r="N339" s="3" t="n">
        <f aca="false">IF(L339&lt;=1,0,IF(L339&lt;=10,11,IF(L339&lt;=14,12,IF(L339&lt;=17,13,IF(L339&lt;=20,14,IF(L339&lt;=22,15,IF(L339&lt;=25,16,IF(L339&lt;=27,17,IF(L339&lt;=29,18,IF(L339&lt;=32,19,IF(L339&lt;=34,20,IF(L339&lt;=36,21,IF(L339&lt;=40,22,24)))))))))))))</f>
        <v>0</v>
      </c>
      <c r="O339" s="3" t="s">
        <v>27</v>
      </c>
      <c r="P339" s="0"/>
      <c r="Q339" s="3" t="n">
        <f aca="false">_xlfn.IFS(O339="взв",11,O339="накл",24,O339="прокл",25,O339="пт",26,O339=90,10,O339=85,10,O339=80,9,O339=75,8,O339=70,8,O339=65,7,O339=60,7,O339=55,6,O339=50,6,O339=45,6,O339=40,5,O339=35,4,O339=30,4,O339=25,3,O339=20,2,O339=15,1,O339=10,1,O339=0,0)</f>
        <v>24</v>
      </c>
      <c r="R339" s="3" t="n">
        <f aca="false">IF(P339&lt;=1,0,IF(P339&lt;=10,11,IF(P339&lt;=14,12,IF(P339&lt;=17,13,IF(P339&lt;=20,14,IF(P339&lt;=22,15,IF(P339&lt;=25,16,IF(P339&lt;=27,17,IF(P339&lt;=29,18,IF(P339&lt;=32,19,IF(P339&lt;=34,20,IF(P339&lt;=36,21,IF(P339&lt;=40,22,24)))))))))))))</f>
        <v>0</v>
      </c>
      <c r="S339" s="14" t="n">
        <f aca="false">ROUND((Q339+R339+I339+J339+M339+N339)/3,0)</f>
        <v>23</v>
      </c>
      <c r="T339" s="15" t="n">
        <f aca="false">F339*LOG10(S339+2)</f>
        <v>8.38764005203223</v>
      </c>
    </row>
    <row r="340" customFormat="false" ht="14.65" hidden="false" customHeight="true" outlineLevel="0" collapsed="false">
      <c r="A340" s="12" t="s">
        <v>381</v>
      </c>
      <c r="B340" s="13" t="n">
        <v>38880</v>
      </c>
      <c r="C340" s="3" t="s">
        <v>24</v>
      </c>
      <c r="D340" s="4" t="s">
        <v>353</v>
      </c>
      <c r="E340" s="3" t="n">
        <v>2</v>
      </c>
      <c r="F340" s="3" t="n">
        <v>7</v>
      </c>
      <c r="H340" s="3" t="n">
        <v>27</v>
      </c>
      <c r="I340" s="3" t="n">
        <f aca="false">_xlfn.IFS(G340="взв",11,G340="накл",24,G340="прокл",25,G340="пт",26,G340=90,10,G340=85,10,G340=80,9,G340=75,8,G340=70,8,G340=65,7,G340=60,7,G340=55,6,G340=50,6,G340=45,6,G340=40,5,G340=35,4,G340=30,4,G340=25,3,G340=20,2,G340=15,1,G340=10,1,G340=0,0)</f>
        <v>0</v>
      </c>
      <c r="J340" s="3" t="n">
        <f aca="false">IF(H340&lt;=1,0,IF(H340&lt;=10,11,IF(H340&lt;=14,12,IF(H340&lt;=17,13,IF(H340&lt;=20,14,IF(H340&lt;=22,15,IF(H340&lt;=25,16,IF(H340&lt;=27,17,IF(H340&lt;=29,18,IF(H340&lt;=32,19,IF(H340&lt;=34,20,IF(H340&lt;=36,21,IF(H340&lt;=40,22,24)))))))))))))</f>
        <v>17</v>
      </c>
      <c r="L340" s="3" t="n">
        <v>34</v>
      </c>
      <c r="M340" s="3" t="n">
        <f aca="false">_xlfn.IFS(K340="взв",11,K340="накл",24,K340="прокл",25,K340="пт",26,K340=90,10,K340=85,10,K340=80,9,K340=75,8,K340=70,8,K340=65,7,K340=60,7,K340=55,6,K340=50,6,K340=45,6,K340=40,5,K340=35,4,K340=30,4,K340=25,3,K340=20,2,K340=15,1,K340=10,1,K340=0,0)</f>
        <v>0</v>
      </c>
      <c r="N340" s="3" t="n">
        <f aca="false">IF(L340&lt;=1,0,IF(L340&lt;=10,11,IF(L340&lt;=14,12,IF(L340&lt;=17,13,IF(L340&lt;=20,14,IF(L340&lt;=22,15,IF(L340&lt;=25,16,IF(L340&lt;=27,17,IF(L340&lt;=29,18,IF(L340&lt;=32,19,IF(L340&lt;=34,20,IF(L340&lt;=36,21,IF(L340&lt;=40,22,24)))))))))))))</f>
        <v>20</v>
      </c>
      <c r="Q340" s="3" t="n">
        <f aca="false">_xlfn.IFS(O340="взв",11,O340="накл",24,O340="прокл",25,O340="пт",26,O340=90,10,O340=85,10,O340=80,9,O340=75,8,O340=70,8,O340=65,7,O340=60,7,O340=55,6,O340=50,6,O340=45,6,O340=40,5,O340=35,4,O340=30,4,O340=25,3,O340=20,2,O340=15,1,O340=10,1,O340=0,0)</f>
        <v>0</v>
      </c>
      <c r="R340" s="3" t="n">
        <f aca="false">IF(P340&lt;=1,0,IF(P340&lt;=10,11,IF(P340&lt;=14,12,IF(P340&lt;=17,13,IF(P340&lt;=20,14,IF(P340&lt;=22,15,IF(P340&lt;=25,16,IF(P340&lt;=27,17,IF(P340&lt;=29,18,IF(P340&lt;=32,19,IF(P340&lt;=34,20,IF(P340&lt;=36,21,IF(P340&lt;=40,22,24)))))))))))))</f>
        <v>0</v>
      </c>
      <c r="S340" s="14" t="n">
        <f aca="false">ROUND((Q340+R340+I340+J340+M340+N340)/2,0)</f>
        <v>19</v>
      </c>
      <c r="T340" s="15" t="n">
        <f aca="false">F340*LOG10(S340+2)</f>
        <v>9.25553506313744</v>
      </c>
    </row>
    <row r="341" customFormat="false" ht="14.65" hidden="false" customHeight="true" outlineLevel="0" collapsed="false">
      <c r="A341" s="12" t="s">
        <v>382</v>
      </c>
      <c r="B341" s="13" t="n">
        <v>38880</v>
      </c>
      <c r="C341" s="3" t="s">
        <v>24</v>
      </c>
      <c r="D341" s="4" t="s">
        <v>353</v>
      </c>
      <c r="E341" s="3" t="n">
        <v>4</v>
      </c>
      <c r="F341" s="3" t="n">
        <v>8</v>
      </c>
      <c r="H341" s="3" t="n">
        <v>31</v>
      </c>
      <c r="I341" s="3" t="n">
        <f aca="false">_xlfn.IFS(G341="взв",11,G341="накл",24,G341="прокл",25,G341="пт",26,G341=90,10,G341=85,10,G341=80,9,G341=75,8,G341=70,8,G341=65,7,G341=60,7,G341=55,6,G341=50,6,G341=45,6,G341=40,5,G341=35,4,G341=30,4,G341=25,3,G341=20,2,G341=15,1,G341=10,1,G341=0,0)</f>
        <v>0</v>
      </c>
      <c r="J341" s="3" t="n">
        <f aca="false">IF(H341&lt;=1,0,IF(H341&lt;=10,11,IF(H341&lt;=14,12,IF(H341&lt;=17,13,IF(H341&lt;=20,14,IF(H341&lt;=22,15,IF(H341&lt;=25,16,IF(H341&lt;=27,17,IF(H341&lt;=29,18,IF(H341&lt;=32,19,IF(H341&lt;=34,20,IF(H341&lt;=36,21,IF(H341&lt;=40,22,24)))))))))))))</f>
        <v>19</v>
      </c>
      <c r="L341" s="3" t="n">
        <v>31</v>
      </c>
      <c r="M341" s="3" t="n">
        <f aca="false">_xlfn.IFS(K341="взв",11,K341="накл",24,K341="прокл",25,K341="пт",26,K341=90,10,K341=85,10,K341=80,9,K341=75,8,K341=70,8,K341=65,7,K341=60,7,K341=55,6,K341=50,6,K341=45,6,K341=40,5,K341=35,4,K341=30,4,K341=25,3,K341=20,2,K341=15,1,K341=10,1,K341=0,0)</f>
        <v>0</v>
      </c>
      <c r="N341" s="3" t="n">
        <f aca="false">IF(L341&lt;=1,0,IF(L341&lt;=10,11,IF(L341&lt;=14,12,IF(L341&lt;=17,13,IF(L341&lt;=20,14,IF(L341&lt;=22,15,IF(L341&lt;=25,16,IF(L341&lt;=27,17,IF(L341&lt;=29,18,IF(L341&lt;=32,19,IF(L341&lt;=34,20,IF(L341&lt;=36,21,IF(L341&lt;=40,22,24)))))))))))))</f>
        <v>19</v>
      </c>
      <c r="P341" s="3" t="n">
        <v>30</v>
      </c>
      <c r="Q341" s="3" t="n">
        <f aca="false">_xlfn.IFS(O341="взв",11,O341="накл",24,O341="прокл",25,O341="пт",26,O341=90,10,O341=85,10,O341=80,9,O341=75,8,O341=70,8,O341=65,7,O341=60,7,O341=55,6,O341=50,6,O341=45,6,O341=40,5,O341=35,4,O341=30,4,O341=25,3,O341=20,2,O341=15,1,O341=10,1,O341=0,0)</f>
        <v>0</v>
      </c>
      <c r="R341" s="3" t="n">
        <f aca="false">IF(P341&lt;=1,0,IF(P341&lt;=10,11,IF(P341&lt;=14,12,IF(P341&lt;=17,13,IF(P341&lt;=20,14,IF(P341&lt;=22,15,IF(P341&lt;=25,16,IF(P341&lt;=27,17,IF(P341&lt;=29,18,IF(P341&lt;=32,19,IF(P341&lt;=34,20,IF(P341&lt;=36,21,IF(P341&lt;=40,22,24)))))))))))))</f>
        <v>19</v>
      </c>
      <c r="S341" s="14" t="n">
        <f aca="false">ROUND((Q341+R341+I341+J341+M341+N341)/3,0)</f>
        <v>19</v>
      </c>
      <c r="T341" s="15" t="n">
        <f aca="false">F341*LOG10(S341+2)</f>
        <v>10.5777543578714</v>
      </c>
    </row>
    <row r="342" customFormat="false" ht="14.65" hidden="false" customHeight="true" outlineLevel="0" collapsed="false">
      <c r="A342" s="12" t="s">
        <v>383</v>
      </c>
      <c r="B342" s="13" t="n">
        <v>38880</v>
      </c>
      <c r="C342" s="3" t="s">
        <v>24</v>
      </c>
      <c r="D342" s="4" t="s">
        <v>353</v>
      </c>
      <c r="E342" s="3" t="n">
        <v>4</v>
      </c>
      <c r="F342" s="3" t="n">
        <v>8</v>
      </c>
      <c r="H342" s="3" t="n">
        <v>35</v>
      </c>
      <c r="I342" s="3" t="n">
        <f aca="false">_xlfn.IFS(G342="взв",11,G342="накл",24,G342="прокл",25,G342="пт",26,G342=90,10,G342=85,10,G342=80,9,G342=75,8,G342=70,8,G342=65,7,G342=60,7,G342=55,6,G342=50,6,G342=45,6,G342=40,5,G342=35,4,G342=30,4,G342=25,3,G342=20,2,G342=15,1,G342=10,1,G342=0,0)</f>
        <v>0</v>
      </c>
      <c r="J342" s="3" t="n">
        <f aca="false">IF(H342&lt;=1,0,IF(H342&lt;=10,11,IF(H342&lt;=14,12,IF(H342&lt;=17,13,IF(H342&lt;=20,14,IF(H342&lt;=22,15,IF(H342&lt;=25,16,IF(H342&lt;=27,17,IF(H342&lt;=29,18,IF(H342&lt;=32,19,IF(H342&lt;=34,20,IF(H342&lt;=36,21,IF(H342&lt;=40,22,24)))))))))))))</f>
        <v>21</v>
      </c>
      <c r="L342" s="3" t="n">
        <v>36</v>
      </c>
      <c r="M342" s="3" t="n">
        <f aca="false">_xlfn.IFS(K342="взв",11,K342="накл",24,K342="прокл",25,K342="пт",26,K342=90,10,K342=85,10,K342=80,9,K342=75,8,K342=70,8,K342=65,7,K342=60,7,K342=55,6,K342=50,6,K342=45,6,K342=40,5,K342=35,4,K342=30,4,K342=25,3,K342=20,2,K342=15,1,K342=10,1,K342=0,0)</f>
        <v>0</v>
      </c>
      <c r="N342" s="3" t="n">
        <f aca="false">IF(L342&lt;=1,0,IF(L342&lt;=10,11,IF(L342&lt;=14,12,IF(L342&lt;=17,13,IF(L342&lt;=20,14,IF(L342&lt;=22,15,IF(L342&lt;=25,16,IF(L342&lt;=27,17,IF(L342&lt;=29,18,IF(L342&lt;=32,19,IF(L342&lt;=34,20,IF(L342&lt;=36,21,IF(L342&lt;=40,22,24)))))))))))))</f>
        <v>21</v>
      </c>
      <c r="P342" s="3" t="n">
        <v>31</v>
      </c>
      <c r="Q342" s="3" t="n">
        <f aca="false">_xlfn.IFS(O342="взв",11,O342="накл",24,O342="прокл",25,O342="пт",26,O342=90,10,O342=85,10,O342=80,9,O342=75,8,O342=70,8,O342=65,7,O342=60,7,O342=55,6,O342=50,6,O342=45,6,O342=40,5,O342=35,4,O342=30,4,O342=25,3,O342=20,2,O342=15,1,O342=10,1,O342=0,0)</f>
        <v>0</v>
      </c>
      <c r="R342" s="3" t="n">
        <f aca="false">IF(P342&lt;=1,0,IF(P342&lt;=10,11,IF(P342&lt;=14,12,IF(P342&lt;=17,13,IF(P342&lt;=20,14,IF(P342&lt;=22,15,IF(P342&lt;=25,16,IF(P342&lt;=27,17,IF(P342&lt;=29,18,IF(P342&lt;=32,19,IF(P342&lt;=34,20,IF(P342&lt;=36,21,IF(P342&lt;=40,22,24)))))))))))))</f>
        <v>19</v>
      </c>
      <c r="S342" s="14" t="n">
        <f aca="false">ROUND((Q342+R342+I342+J342+M342+N342)/3,0)</f>
        <v>20</v>
      </c>
      <c r="T342" s="15" t="n">
        <f aca="false">F342*LOG10(S342+2)</f>
        <v>10.7393814465777</v>
      </c>
    </row>
    <row r="343" customFormat="false" ht="14.65" hidden="false" customHeight="true" outlineLevel="0" collapsed="false">
      <c r="A343" s="12" t="s">
        <v>384</v>
      </c>
      <c r="B343" s="13" t="n">
        <v>38880</v>
      </c>
      <c r="C343" s="3" t="s">
        <v>24</v>
      </c>
      <c r="D343" s="4" t="s">
        <v>353</v>
      </c>
      <c r="E343" s="3" t="n">
        <v>5</v>
      </c>
      <c r="F343" s="3" t="n">
        <v>8</v>
      </c>
      <c r="G343" s="3" t="n">
        <v>75</v>
      </c>
      <c r="I343" s="3" t="n">
        <f aca="false">_xlfn.IFS(G343="взв",11,G343="накл",24,G343="прокл",25,G343="пт",26,G343=90,10,G343=85,10,G343=80,9,G343=75,8,G343=70,8,G343=65,7,G343=60,7,G343=55,6,G343=50,6,G343=45,6,G343=40,5,G343=35,4,G343=30,4,G343=25,3,G343=20,2,G343=15,1,G343=10,1,G343=0,0)</f>
        <v>8</v>
      </c>
      <c r="J343" s="3" t="n">
        <f aca="false">IF(H343&lt;=1,0,IF(H343&lt;=10,11,IF(H343&lt;=14,12,IF(H343&lt;=17,13,IF(H343&lt;=20,14,IF(H343&lt;=22,15,IF(H343&lt;=25,16,IF(H343&lt;=27,17,IF(H343&lt;=29,18,IF(H343&lt;=32,19,IF(H343&lt;=34,20,IF(H343&lt;=36,21,IF(H343&lt;=40,22,24)))))))))))))</f>
        <v>0</v>
      </c>
      <c r="K343" s="3" t="n">
        <v>75</v>
      </c>
      <c r="M343" s="3" t="n">
        <f aca="false">_xlfn.IFS(K343="взв",11,K343="накл",24,K343="прокл",25,K343="пт",26,K343=90,10,K343=85,10,K343=80,9,K343=75,8,K343=70,8,K343=65,7,K343=60,7,K343=55,6,K343=50,6,K343=45,6,K343=40,5,K343=35,4,K343=30,4,K343=25,3,K343=20,2,K343=15,1,K343=10,1,K343=0,0)</f>
        <v>8</v>
      </c>
      <c r="N343" s="3" t="n">
        <f aca="false">IF(L343&lt;=1,0,IF(L343&lt;=10,11,IF(L343&lt;=14,12,IF(L343&lt;=17,13,IF(L343&lt;=20,14,IF(L343&lt;=22,15,IF(L343&lt;=25,16,IF(L343&lt;=27,17,IF(L343&lt;=29,18,IF(L343&lt;=32,19,IF(L343&lt;=34,20,IF(L343&lt;=36,21,IF(L343&lt;=40,22,24)))))))))))))</f>
        <v>0</v>
      </c>
      <c r="O343" s="3" t="n">
        <v>60</v>
      </c>
      <c r="Q343" s="3" t="n">
        <f aca="false">_xlfn.IFS(O343="взв",11,O343="накл",24,O343="прокл",25,O343="пт",26,O343=90,10,O343=85,10,O343=80,9,O343=75,8,O343=70,8,O343=65,7,O343=60,7,O343=55,6,O343=50,6,O343=45,6,O343=40,5,O343=35,4,O343=30,4,O343=25,3,O343=20,2,O343=15,1,O343=10,1,O343=0,0)</f>
        <v>7</v>
      </c>
      <c r="R343" s="3" t="n">
        <f aca="false">IF(P343&lt;=1,0,IF(P343&lt;=10,11,IF(P343&lt;=14,12,IF(P343&lt;=17,13,IF(P343&lt;=20,14,IF(P343&lt;=22,15,IF(P343&lt;=25,16,IF(P343&lt;=27,17,IF(P343&lt;=29,18,IF(P343&lt;=32,19,IF(P343&lt;=34,20,IF(P343&lt;=36,21,IF(P343&lt;=40,22,24)))))))))))))</f>
        <v>0</v>
      </c>
      <c r="S343" s="14" t="n">
        <f aca="false">ROUND((Q343+R343+I343+J343+M343+N343)/3,0)</f>
        <v>8</v>
      </c>
      <c r="T343" s="15" t="n">
        <f aca="false">F343*LOG10(S343+2)</f>
        <v>8</v>
      </c>
    </row>
    <row r="344" customFormat="false" ht="14.65" hidden="false" customHeight="true" outlineLevel="0" collapsed="false">
      <c r="A344" s="12" t="s">
        <v>385</v>
      </c>
      <c r="B344" s="13" t="n">
        <v>38880</v>
      </c>
      <c r="C344" s="3" t="s">
        <v>24</v>
      </c>
      <c r="D344" s="4" t="s">
        <v>353</v>
      </c>
      <c r="E344" s="3" t="n">
        <v>4</v>
      </c>
      <c r="F344" s="3" t="n">
        <v>9</v>
      </c>
      <c r="H344" s="3" t="n">
        <v>31</v>
      </c>
      <c r="I344" s="3" t="n">
        <f aca="false">_xlfn.IFS(G344="взв",11,G344="накл",24,G344="прокл",25,G344="пт",26,G344=90,10,G344=85,10,G344=80,9,G344=75,8,G344=70,8,G344=65,7,G344=60,7,G344=55,6,G344=50,6,G344=45,6,G344=40,5,G344=35,4,G344=30,4,G344=25,3,G344=20,2,G344=15,1,G344=10,1,G344=0,0)</f>
        <v>0</v>
      </c>
      <c r="J344" s="3" t="n">
        <f aca="false">IF(H344&lt;=1,0,IF(H344&lt;=10,11,IF(H344&lt;=14,12,IF(H344&lt;=17,13,IF(H344&lt;=20,14,IF(H344&lt;=22,15,IF(H344&lt;=25,16,IF(H344&lt;=27,17,IF(H344&lt;=29,18,IF(H344&lt;=32,19,IF(H344&lt;=34,20,IF(H344&lt;=36,21,IF(H344&lt;=40,22,24)))))))))))))</f>
        <v>19</v>
      </c>
      <c r="L344" s="3" t="n">
        <v>35</v>
      </c>
      <c r="M344" s="3" t="n">
        <f aca="false">_xlfn.IFS(K344="взв",11,K344="накл",24,K344="прокл",25,K344="пт",26,K344=90,10,K344=85,10,K344=80,9,K344=75,8,K344=70,8,K344=65,7,K344=60,7,K344=55,6,K344=50,6,K344=45,6,K344=40,5,K344=35,4,K344=30,4,K344=25,3,K344=20,2,K344=15,1,K344=10,1,K344=0,0)</f>
        <v>0</v>
      </c>
      <c r="N344" s="3" t="n">
        <f aca="false">IF(L344&lt;=1,0,IF(L344&lt;=10,11,IF(L344&lt;=14,12,IF(L344&lt;=17,13,IF(L344&lt;=20,14,IF(L344&lt;=22,15,IF(L344&lt;=25,16,IF(L344&lt;=27,17,IF(L344&lt;=29,18,IF(L344&lt;=32,19,IF(L344&lt;=34,20,IF(L344&lt;=36,21,IF(L344&lt;=40,22,24)))))))))))))</f>
        <v>21</v>
      </c>
      <c r="P344" s="3" t="n">
        <v>32</v>
      </c>
      <c r="Q344" s="3" t="n">
        <f aca="false">_xlfn.IFS(O344="взв",11,O344="накл",24,O344="прокл",25,O344="пт",26,O344=90,10,O344=85,10,O344=80,9,O344=75,8,O344=70,8,O344=65,7,O344=60,7,O344=55,6,O344=50,6,O344=45,6,O344=40,5,O344=35,4,O344=30,4,O344=25,3,O344=20,2,O344=15,1,O344=10,1,O344=0,0)</f>
        <v>0</v>
      </c>
      <c r="R344" s="3" t="n">
        <f aca="false">IF(P344&lt;=1,0,IF(P344&lt;=10,11,IF(P344&lt;=14,12,IF(P344&lt;=17,13,IF(P344&lt;=20,14,IF(P344&lt;=22,15,IF(P344&lt;=25,16,IF(P344&lt;=27,17,IF(P344&lt;=29,18,IF(P344&lt;=32,19,IF(P344&lt;=34,20,IF(P344&lt;=36,21,IF(P344&lt;=40,22,24)))))))))))))</f>
        <v>19</v>
      </c>
      <c r="S344" s="14" t="n">
        <f aca="false">ROUND((Q344+R344+I344+J344+M344+N344)/3,0)</f>
        <v>20</v>
      </c>
      <c r="T344" s="15" t="n">
        <f aca="false">F344*LOG10(S344+2)</f>
        <v>12.0818041273999</v>
      </c>
    </row>
    <row r="345" customFormat="false" ht="14.65" hidden="false" customHeight="true" outlineLevel="0" collapsed="false">
      <c r="A345" s="12" t="s">
        <v>386</v>
      </c>
      <c r="B345" s="13" t="n">
        <v>38880</v>
      </c>
      <c r="C345" s="3" t="s">
        <v>24</v>
      </c>
      <c r="D345" s="4" t="s">
        <v>353</v>
      </c>
      <c r="E345" s="3" t="n">
        <v>4</v>
      </c>
      <c r="F345" s="3" t="n">
        <v>10</v>
      </c>
      <c r="H345" s="3" t="n">
        <v>36</v>
      </c>
      <c r="I345" s="3" t="n">
        <f aca="false">_xlfn.IFS(G345="взв",11,G345="накл",24,G345="прокл",25,G345="пт",26,G345=90,10,G345=85,10,G345=80,9,G345=75,8,G345=70,8,G345=65,7,G345=60,7,G345=55,6,G345=50,6,G345=45,6,G345=40,5,G345=35,4,G345=30,4,G345=25,3,G345=20,2,G345=15,1,G345=10,1,G345=0,0)</f>
        <v>0</v>
      </c>
      <c r="J345" s="3" t="n">
        <f aca="false">IF(H345&lt;=1,0,IF(H345&lt;=10,11,IF(H345&lt;=14,12,IF(H345&lt;=17,13,IF(H345&lt;=20,14,IF(H345&lt;=22,15,IF(H345&lt;=25,16,IF(H345&lt;=27,17,IF(H345&lt;=29,18,IF(H345&lt;=32,19,IF(H345&lt;=34,20,IF(H345&lt;=36,21,IF(H345&lt;=40,22,24)))))))))))))</f>
        <v>21</v>
      </c>
      <c r="L345" s="3" t="n">
        <v>35</v>
      </c>
      <c r="M345" s="3" t="n">
        <f aca="false">_xlfn.IFS(K345="взв",11,K345="накл",24,K345="прокл",25,K345="пт",26,K345=90,10,K345=85,10,K345=80,9,K345=75,8,K345=70,8,K345=65,7,K345=60,7,K345=55,6,K345=50,6,K345=45,6,K345=40,5,K345=35,4,K345=30,4,K345=25,3,K345=20,2,K345=15,1,K345=10,1,K345=0,0)</f>
        <v>0</v>
      </c>
      <c r="N345" s="3" t="n">
        <f aca="false">IF(L345&lt;=1,0,IF(L345&lt;=10,11,IF(L345&lt;=14,12,IF(L345&lt;=17,13,IF(L345&lt;=20,14,IF(L345&lt;=22,15,IF(L345&lt;=25,16,IF(L345&lt;=27,17,IF(L345&lt;=29,18,IF(L345&lt;=32,19,IF(L345&lt;=34,20,IF(L345&lt;=36,21,IF(L345&lt;=40,22,24)))))))))))))</f>
        <v>21</v>
      </c>
      <c r="O345" s="3" t="s">
        <v>27</v>
      </c>
      <c r="P345" s="0"/>
      <c r="Q345" s="3" t="n">
        <f aca="false">_xlfn.IFS(O345="взв",11,O345="накл",24,O345="прокл",25,O345="пт",26,O345=90,10,O345=85,10,O345=80,9,O345=75,8,O345=70,8,O345=65,7,O345=60,7,O345=55,6,O345=50,6,O345=45,6,O345=40,5,O345=35,4,O345=30,4,O345=25,3,O345=20,2,O345=15,1,O345=10,1,O345=0,0)</f>
        <v>24</v>
      </c>
      <c r="R345" s="3" t="n">
        <f aca="false">IF(P345&lt;=1,0,IF(P345&lt;=10,11,IF(P345&lt;=14,12,IF(P345&lt;=17,13,IF(P345&lt;=20,14,IF(P345&lt;=22,15,IF(P345&lt;=25,16,IF(P345&lt;=27,17,IF(P345&lt;=29,18,IF(P345&lt;=32,19,IF(P345&lt;=34,20,IF(P345&lt;=36,21,IF(P345&lt;=40,22,24)))))))))))))</f>
        <v>0</v>
      </c>
      <c r="S345" s="14" t="n">
        <f aca="false">ROUND((Q345+R345+I345+J345+M345+N345)/3,0)</f>
        <v>22</v>
      </c>
      <c r="T345" s="15" t="n">
        <f aca="false">F345*LOG10(S345+2)</f>
        <v>13.8021124171161</v>
      </c>
    </row>
    <row r="346" customFormat="false" ht="14.65" hidden="false" customHeight="true" outlineLevel="0" collapsed="false">
      <c r="A346" s="12" t="s">
        <v>387</v>
      </c>
      <c r="B346" s="13" t="n">
        <v>38880</v>
      </c>
      <c r="C346" s="3" t="s">
        <v>24</v>
      </c>
      <c r="D346" s="4" t="s">
        <v>353</v>
      </c>
      <c r="E346" s="3" t="n">
        <v>3</v>
      </c>
      <c r="F346" s="3" t="n">
        <v>10</v>
      </c>
      <c r="H346" s="3" t="n">
        <v>38</v>
      </c>
      <c r="I346" s="3" t="n">
        <f aca="false">_xlfn.IFS(G346="взв",11,G346="накл",24,G346="прокл",25,G346="пт",26,G346=90,10,G346=85,10,G346=80,9,G346=75,8,G346=70,8,G346=65,7,G346=60,7,G346=55,6,G346=50,6,G346=45,6,G346=40,5,G346=35,4,G346=30,4,G346=25,3,G346=20,2,G346=15,1,G346=10,1,G346=0,0)</f>
        <v>0</v>
      </c>
      <c r="J346" s="3" t="n">
        <f aca="false">IF(H346&lt;=1,0,IF(H346&lt;=10,11,IF(H346&lt;=14,12,IF(H346&lt;=17,13,IF(H346&lt;=20,14,IF(H346&lt;=22,15,IF(H346&lt;=25,16,IF(H346&lt;=27,17,IF(H346&lt;=29,18,IF(H346&lt;=32,19,IF(H346&lt;=34,20,IF(H346&lt;=36,21,IF(H346&lt;=40,22,24)))))))))))))</f>
        <v>22</v>
      </c>
      <c r="L346" s="3" t="n">
        <v>38</v>
      </c>
      <c r="M346" s="3" t="n">
        <f aca="false">_xlfn.IFS(K346="взв",11,K346="накл",24,K346="прокл",25,K346="пт",26,K346=90,10,K346=85,10,K346=80,9,K346=75,8,K346=70,8,K346=65,7,K346=60,7,K346=55,6,K346=50,6,K346=45,6,K346=40,5,K346=35,4,K346=30,4,K346=25,3,K346=20,2,K346=15,1,K346=10,1,K346=0,0)</f>
        <v>0</v>
      </c>
      <c r="N346" s="3" t="n">
        <f aca="false">IF(L346&lt;=1,0,IF(L346&lt;=10,11,IF(L346&lt;=14,12,IF(L346&lt;=17,13,IF(L346&lt;=20,14,IF(L346&lt;=22,15,IF(L346&lt;=25,16,IF(L346&lt;=27,17,IF(L346&lt;=29,18,IF(L346&lt;=32,19,IF(L346&lt;=34,20,IF(L346&lt;=36,21,IF(L346&lt;=40,22,24)))))))))))))</f>
        <v>22</v>
      </c>
      <c r="P346" s="3" t="n">
        <v>38</v>
      </c>
      <c r="Q346" s="3" t="n">
        <f aca="false">_xlfn.IFS(O346="взв",11,O346="накл",24,O346="прокл",25,O346="пт",26,O346=90,10,O346=85,10,O346=80,9,O346=75,8,O346=70,8,O346=65,7,O346=60,7,O346=55,6,O346=50,6,O346=45,6,O346=40,5,O346=35,4,O346=30,4,O346=25,3,O346=20,2,O346=15,1,O346=10,1,O346=0,0)</f>
        <v>0</v>
      </c>
      <c r="R346" s="3" t="n">
        <f aca="false">IF(P346&lt;=1,0,IF(P346&lt;=10,11,IF(P346&lt;=14,12,IF(P346&lt;=17,13,IF(P346&lt;=20,14,IF(P346&lt;=22,15,IF(P346&lt;=25,16,IF(P346&lt;=27,17,IF(P346&lt;=29,18,IF(P346&lt;=32,19,IF(P346&lt;=34,20,IF(P346&lt;=36,21,IF(P346&lt;=40,22,24)))))))))))))</f>
        <v>22</v>
      </c>
      <c r="S346" s="14" t="n">
        <f aca="false">ROUND((Q346+R346+I346+J346+M346+N346)/3,0)</f>
        <v>22</v>
      </c>
      <c r="T346" s="15" t="n">
        <f aca="false">F346*LOG10(S346+2)</f>
        <v>13.8021124171161</v>
      </c>
    </row>
    <row r="347" customFormat="false" ht="14.65" hidden="false" customHeight="true" outlineLevel="0" collapsed="false">
      <c r="A347" s="12" t="s">
        <v>388</v>
      </c>
      <c r="B347" s="13" t="n">
        <v>38880</v>
      </c>
      <c r="C347" s="3" t="s">
        <v>24</v>
      </c>
      <c r="D347" s="4" t="s">
        <v>353</v>
      </c>
      <c r="E347" s="3" t="n">
        <v>3</v>
      </c>
      <c r="F347" s="3" t="n">
        <v>10</v>
      </c>
      <c r="H347" s="3" t="n">
        <v>26</v>
      </c>
      <c r="I347" s="3" t="n">
        <f aca="false">_xlfn.IFS(G347="взв",11,G347="накл",24,G347="прокл",25,G347="пт",26,G347=90,10,G347=85,10,G347=80,9,G347=75,8,G347=70,8,G347=65,7,G347=60,7,G347=55,6,G347=50,6,G347=45,6,G347=40,5,G347=35,4,G347=30,4,G347=25,3,G347=20,2,G347=15,1,G347=10,1,G347=0,0)</f>
        <v>0</v>
      </c>
      <c r="J347" s="3" t="n">
        <f aca="false">IF(H347&lt;=1,0,IF(H347&lt;=10,11,IF(H347&lt;=14,12,IF(H347&lt;=17,13,IF(H347&lt;=20,14,IF(H347&lt;=22,15,IF(H347&lt;=25,16,IF(H347&lt;=27,17,IF(H347&lt;=29,18,IF(H347&lt;=32,19,IF(H347&lt;=34,20,IF(H347&lt;=36,21,IF(H347&lt;=40,22,24)))))))))))))</f>
        <v>17</v>
      </c>
      <c r="L347" s="3" t="n">
        <v>24</v>
      </c>
      <c r="M347" s="3" t="n">
        <f aca="false">_xlfn.IFS(K347="взв",11,K347="накл",24,K347="прокл",25,K347="пт",26,K347=90,10,K347=85,10,K347=80,9,K347=75,8,K347=70,8,K347=65,7,K347=60,7,K347=55,6,K347=50,6,K347=45,6,K347=40,5,K347=35,4,K347=30,4,K347=25,3,K347=20,2,K347=15,1,K347=10,1,K347=0,0)</f>
        <v>0</v>
      </c>
      <c r="N347" s="3" t="n">
        <f aca="false">IF(L347&lt;=1,0,IF(L347&lt;=10,11,IF(L347&lt;=14,12,IF(L347&lt;=17,13,IF(L347&lt;=20,14,IF(L347&lt;=22,15,IF(L347&lt;=25,16,IF(L347&lt;=27,17,IF(L347&lt;=29,18,IF(L347&lt;=32,19,IF(L347&lt;=34,20,IF(L347&lt;=36,21,IF(L347&lt;=40,22,24)))))))))))))</f>
        <v>16</v>
      </c>
      <c r="P347" s="3" t="n">
        <v>30</v>
      </c>
      <c r="Q347" s="3" t="n">
        <f aca="false">_xlfn.IFS(O347="взв",11,O347="накл",24,O347="прокл",25,O347="пт",26,O347=90,10,O347=85,10,O347=80,9,O347=75,8,O347=70,8,O347=65,7,O347=60,7,O347=55,6,O347=50,6,O347=45,6,O347=40,5,O347=35,4,O347=30,4,O347=25,3,O347=20,2,O347=15,1,O347=10,1,O347=0,0)</f>
        <v>0</v>
      </c>
      <c r="R347" s="3" t="n">
        <f aca="false">IF(P347&lt;=1,0,IF(P347&lt;=10,11,IF(P347&lt;=14,12,IF(P347&lt;=17,13,IF(P347&lt;=20,14,IF(P347&lt;=22,15,IF(P347&lt;=25,16,IF(P347&lt;=27,17,IF(P347&lt;=29,18,IF(P347&lt;=32,19,IF(P347&lt;=34,20,IF(P347&lt;=36,21,IF(P347&lt;=40,22,24)))))))))))))</f>
        <v>19</v>
      </c>
      <c r="S347" s="14" t="n">
        <f aca="false">ROUND((Q347+R347+I347+J347+M347+N347)/3,0)</f>
        <v>17</v>
      </c>
      <c r="T347" s="15" t="n">
        <f aca="false">F347*LOG10(S347+2)</f>
        <v>12.7875360095283</v>
      </c>
    </row>
    <row r="348" customFormat="false" ht="14.65" hidden="false" customHeight="true" outlineLevel="0" collapsed="false">
      <c r="A348" s="12" t="s">
        <v>389</v>
      </c>
      <c r="B348" s="13" t="n">
        <v>38880</v>
      </c>
      <c r="C348" s="3" t="s">
        <v>24</v>
      </c>
      <c r="D348" s="4" t="s">
        <v>353</v>
      </c>
      <c r="E348" s="3" t="n">
        <v>3</v>
      </c>
      <c r="F348" s="3" t="n">
        <v>10</v>
      </c>
      <c r="H348" s="3" t="n">
        <v>29</v>
      </c>
      <c r="I348" s="3" t="n">
        <f aca="false">_xlfn.IFS(G348="взв",11,G348="накл",24,G348="прокл",25,G348="пт",26,G348=90,10,G348=85,10,G348=80,9,G348=75,8,G348=70,8,G348=65,7,G348=60,7,G348=55,6,G348=50,6,G348=45,6,G348=40,5,G348=35,4,G348=30,4,G348=25,3,G348=20,2,G348=15,1,G348=10,1,G348=0,0)</f>
        <v>0</v>
      </c>
      <c r="J348" s="3" t="n">
        <f aca="false">IF(H348&lt;=1,0,IF(H348&lt;=10,11,IF(H348&lt;=14,12,IF(H348&lt;=17,13,IF(H348&lt;=20,14,IF(H348&lt;=22,15,IF(H348&lt;=25,16,IF(H348&lt;=27,17,IF(H348&lt;=29,18,IF(H348&lt;=32,19,IF(H348&lt;=34,20,IF(H348&lt;=36,21,IF(H348&lt;=40,22,24)))))))))))))</f>
        <v>18</v>
      </c>
      <c r="L348" s="3" t="n">
        <v>33</v>
      </c>
      <c r="M348" s="3" t="n">
        <f aca="false">_xlfn.IFS(K348="взв",11,K348="накл",24,K348="прокл",25,K348="пт",26,K348=90,10,K348=85,10,K348=80,9,K348=75,8,K348=70,8,K348=65,7,K348=60,7,K348=55,6,K348=50,6,K348=45,6,K348=40,5,K348=35,4,K348=30,4,K348=25,3,K348=20,2,K348=15,1,K348=10,1,K348=0,0)</f>
        <v>0</v>
      </c>
      <c r="N348" s="3" t="n">
        <f aca="false">IF(L348&lt;=1,0,IF(L348&lt;=10,11,IF(L348&lt;=14,12,IF(L348&lt;=17,13,IF(L348&lt;=20,14,IF(L348&lt;=22,15,IF(L348&lt;=25,16,IF(L348&lt;=27,17,IF(L348&lt;=29,18,IF(L348&lt;=32,19,IF(L348&lt;=34,20,IF(L348&lt;=36,21,IF(L348&lt;=40,22,24)))))))))))))</f>
        <v>20</v>
      </c>
      <c r="P348" s="3" t="n">
        <v>32</v>
      </c>
      <c r="Q348" s="3" t="n">
        <f aca="false">_xlfn.IFS(O348="взв",11,O348="накл",24,O348="прокл",25,O348="пт",26,O348=90,10,O348=85,10,O348=80,9,O348=75,8,O348=70,8,O348=65,7,O348=60,7,O348=55,6,O348=50,6,O348=45,6,O348=40,5,O348=35,4,O348=30,4,O348=25,3,O348=20,2,O348=15,1,O348=10,1,O348=0,0)</f>
        <v>0</v>
      </c>
      <c r="R348" s="3" t="n">
        <f aca="false">IF(P348&lt;=1,0,IF(P348&lt;=10,11,IF(P348&lt;=14,12,IF(P348&lt;=17,13,IF(P348&lt;=20,14,IF(P348&lt;=22,15,IF(P348&lt;=25,16,IF(P348&lt;=27,17,IF(P348&lt;=29,18,IF(P348&lt;=32,19,IF(P348&lt;=34,20,IF(P348&lt;=36,21,IF(P348&lt;=40,22,24)))))))))))))</f>
        <v>19</v>
      </c>
      <c r="S348" s="14" t="n">
        <f aca="false">ROUND((Q348+R348+I348+J348+M348+N348)/3,0)</f>
        <v>19</v>
      </c>
      <c r="T348" s="15" t="n">
        <f aca="false">F348*LOG10(S348+2)</f>
        <v>13.2221929473392</v>
      </c>
    </row>
    <row r="349" customFormat="false" ht="14.65" hidden="false" customHeight="true" outlineLevel="0" collapsed="false">
      <c r="A349" s="12" t="s">
        <v>390</v>
      </c>
      <c r="B349" s="13" t="n">
        <v>38880</v>
      </c>
      <c r="C349" s="3" t="s">
        <v>24</v>
      </c>
      <c r="D349" s="4" t="s">
        <v>353</v>
      </c>
      <c r="E349" s="3" t="n">
        <v>4</v>
      </c>
      <c r="F349" s="3" t="n">
        <v>10</v>
      </c>
      <c r="G349" s="3" t="n">
        <v>90</v>
      </c>
      <c r="I349" s="3" t="n">
        <f aca="false">_xlfn.IFS(G349="взв",11,G349="накл",24,G349="прокл",25,G349="пт",26,G349=90,10,G349=85,10,G349=80,9,G349=75,8,G349=70,8,G349=65,7,G349=60,7,G349=55,6,G349=50,6,G349=45,6,G349=40,5,G349=35,4,G349=30,4,G349=25,3,G349=20,2,G349=15,1,G349=10,1,G349=0,0)</f>
        <v>10</v>
      </c>
      <c r="J349" s="3" t="n">
        <f aca="false">IF(H349&lt;=1,0,IF(H349&lt;=10,11,IF(H349&lt;=14,12,IF(H349&lt;=17,13,IF(H349&lt;=20,14,IF(H349&lt;=22,15,IF(H349&lt;=25,16,IF(H349&lt;=27,17,IF(H349&lt;=29,18,IF(H349&lt;=32,19,IF(H349&lt;=34,20,IF(H349&lt;=36,21,IF(H349&lt;=40,22,24)))))))))))))</f>
        <v>0</v>
      </c>
      <c r="K349" s="3" t="n">
        <v>75</v>
      </c>
      <c r="M349" s="3" t="n">
        <f aca="false">_xlfn.IFS(K349="взв",11,K349="накл",24,K349="прокл",25,K349="пт",26,K349=90,10,K349=85,10,K349=80,9,K349=75,8,K349=70,8,K349=65,7,K349=60,7,K349=55,6,K349=50,6,K349=45,6,K349=40,5,K349=35,4,K349=30,4,K349=25,3,K349=20,2,K349=15,1,K349=10,1,K349=0,0)</f>
        <v>8</v>
      </c>
      <c r="N349" s="3" t="n">
        <f aca="false">IF(L349&lt;=1,0,IF(L349&lt;=10,11,IF(L349&lt;=14,12,IF(L349&lt;=17,13,IF(L349&lt;=20,14,IF(L349&lt;=22,15,IF(L349&lt;=25,16,IF(L349&lt;=27,17,IF(L349&lt;=29,18,IF(L349&lt;=32,19,IF(L349&lt;=34,20,IF(L349&lt;=36,21,IF(L349&lt;=40,22,24)))))))))))))</f>
        <v>0</v>
      </c>
      <c r="O349" s="3" t="n">
        <v>75</v>
      </c>
      <c r="Q349" s="3" t="n">
        <f aca="false">_xlfn.IFS(O349="взв",11,O349="накл",24,O349="прокл",25,O349="пт",26,O349=90,10,O349=85,10,O349=80,9,O349=75,8,O349=70,8,O349=65,7,O349=60,7,O349=55,6,O349=50,6,O349=45,6,O349=40,5,O349=35,4,O349=30,4,O349=25,3,O349=20,2,O349=15,1,O349=10,1,O349=0,0)</f>
        <v>8</v>
      </c>
      <c r="R349" s="3" t="n">
        <f aca="false">IF(P349&lt;=1,0,IF(P349&lt;=10,11,IF(P349&lt;=14,12,IF(P349&lt;=17,13,IF(P349&lt;=20,14,IF(P349&lt;=22,15,IF(P349&lt;=25,16,IF(P349&lt;=27,17,IF(P349&lt;=29,18,IF(P349&lt;=32,19,IF(P349&lt;=34,20,IF(P349&lt;=36,21,IF(P349&lt;=40,22,24)))))))))))))</f>
        <v>0</v>
      </c>
      <c r="S349" s="14" t="n">
        <f aca="false">ROUND((Q349+R349+I349+J349+M349+N349)/3,0)</f>
        <v>9</v>
      </c>
      <c r="T349" s="15" t="n">
        <f aca="false">F349*LOG10(S349+2)</f>
        <v>10.4139268515823</v>
      </c>
    </row>
    <row r="350" customFormat="false" ht="14.65" hidden="false" customHeight="true" outlineLevel="0" collapsed="false">
      <c r="A350" s="12" t="s">
        <v>391</v>
      </c>
      <c r="B350" s="13" t="n">
        <v>38880</v>
      </c>
      <c r="C350" s="3" t="s">
        <v>24</v>
      </c>
      <c r="D350" s="4" t="s">
        <v>353</v>
      </c>
      <c r="E350" s="3" t="n">
        <v>2</v>
      </c>
      <c r="F350" s="3" t="n">
        <v>20</v>
      </c>
      <c r="G350" s="3" t="n">
        <v>75</v>
      </c>
      <c r="I350" s="3" t="n">
        <f aca="false">_xlfn.IFS(G350="взв",11,G350="накл",24,G350="прокл",25,G350="пт",26,G350=90,10,G350=85,10,G350=80,9,G350=75,8,G350=70,8,G350=65,7,G350=60,7,G350=55,6,G350=50,6,G350=45,6,G350=40,5,G350=35,4,G350=30,4,G350=25,3,G350=20,2,G350=15,1,G350=10,1,G350=0,0)</f>
        <v>8</v>
      </c>
      <c r="J350" s="3" t="n">
        <f aca="false">IF(H350&lt;=1,0,IF(H350&lt;=10,11,IF(H350&lt;=14,12,IF(H350&lt;=17,13,IF(H350&lt;=20,14,IF(H350&lt;=22,15,IF(H350&lt;=25,16,IF(H350&lt;=27,17,IF(H350&lt;=29,18,IF(H350&lt;=32,19,IF(H350&lt;=34,20,IF(H350&lt;=36,21,IF(H350&lt;=40,22,24)))))))))))))</f>
        <v>0</v>
      </c>
      <c r="K350" s="3" t="n">
        <v>75</v>
      </c>
      <c r="M350" s="3" t="n">
        <f aca="false">_xlfn.IFS(K350="взв",11,K350="накл",24,K350="прокл",25,K350="пт",26,K350=90,10,K350=85,10,K350=80,9,K350=75,8,K350=70,8,K350=65,7,K350=60,7,K350=55,6,K350=50,6,K350=45,6,K350=40,5,K350=35,4,K350=30,4,K350=25,3,K350=20,2,K350=15,1,K350=10,1,K350=0,0)</f>
        <v>8</v>
      </c>
      <c r="N350" s="3" t="n">
        <f aca="false">IF(L350&lt;=1,0,IF(L350&lt;=10,11,IF(L350&lt;=14,12,IF(L350&lt;=17,13,IF(L350&lt;=20,14,IF(L350&lt;=22,15,IF(L350&lt;=25,16,IF(L350&lt;=27,17,IF(L350&lt;=29,18,IF(L350&lt;=32,19,IF(L350&lt;=34,20,IF(L350&lt;=36,21,IF(L350&lt;=40,22,24)))))))))))))</f>
        <v>0</v>
      </c>
      <c r="Q350" s="3" t="n">
        <f aca="false">_xlfn.IFS(O350="взв",11,O350="накл",24,O350="прокл",25,O350="пт",26,O350=90,10,O350=85,10,O350=80,9,O350=75,8,O350=70,8,O350=65,7,O350=60,7,O350=55,6,O350=50,6,O350=45,6,O350=40,5,O350=35,4,O350=30,4,O350=25,3,O350=20,2,O350=15,1,O350=10,1,O350=0,0)</f>
        <v>0</v>
      </c>
      <c r="R350" s="3" t="n">
        <f aca="false">IF(P350&lt;=1,0,IF(P350&lt;=10,11,IF(P350&lt;=14,12,IF(P350&lt;=17,13,IF(P350&lt;=20,14,IF(P350&lt;=22,15,IF(P350&lt;=25,16,IF(P350&lt;=27,17,IF(P350&lt;=29,18,IF(P350&lt;=32,19,IF(P350&lt;=34,20,IF(P350&lt;=36,21,IF(P350&lt;=40,22,24)))))))))))))</f>
        <v>0</v>
      </c>
      <c r="S350" s="14" t="n">
        <f aca="false">ROUND((Q350+R350+I350+J350+M350+N350)/2,0)</f>
        <v>8</v>
      </c>
      <c r="T350" s="15" t="n">
        <f aca="false">F350*LOG10(S350+2)</f>
        <v>20</v>
      </c>
    </row>
    <row r="351" customFormat="false" ht="14.65" hidden="false" customHeight="true" outlineLevel="0" collapsed="false">
      <c r="A351" s="12" t="s">
        <v>392</v>
      </c>
      <c r="B351" s="13" t="n">
        <v>38880</v>
      </c>
      <c r="C351" s="3" t="s">
        <v>24</v>
      </c>
      <c r="D351" s="4" t="s">
        <v>353</v>
      </c>
      <c r="E351" s="3" t="n">
        <v>4</v>
      </c>
      <c r="F351" s="3" t="n">
        <v>20</v>
      </c>
      <c r="G351" s="3" t="n">
        <v>45</v>
      </c>
      <c r="I351" s="3" t="n">
        <f aca="false">_xlfn.IFS(G351="взв",11,G351="накл",24,G351="прокл",25,G351="пт",26,G351=90,10,G351=85,10,G351=80,9,G351=75,8,G351=70,8,G351=65,7,G351=60,7,G351=55,6,G351=50,6,G351=45,6,G351=40,5,G351=35,4,G351=30,4,G351=25,3,G351=20,2,G351=15,1,G351=10,1,G351=0,0)</f>
        <v>6</v>
      </c>
      <c r="J351" s="3" t="n">
        <f aca="false">IF(H351&lt;=1,0,IF(H351&lt;=10,11,IF(H351&lt;=14,12,IF(H351&lt;=17,13,IF(H351&lt;=20,14,IF(H351&lt;=22,15,IF(H351&lt;=25,16,IF(H351&lt;=27,17,IF(H351&lt;=29,18,IF(H351&lt;=32,19,IF(H351&lt;=34,20,IF(H351&lt;=36,21,IF(H351&lt;=40,22,24)))))))))))))</f>
        <v>0</v>
      </c>
      <c r="K351" s="3" t="n">
        <v>30</v>
      </c>
      <c r="M351" s="3" t="n">
        <f aca="false">_xlfn.IFS(K351="взв",11,K351="накл",24,K351="прокл",25,K351="пт",26,K351=90,10,K351=85,10,K351=80,9,K351=75,8,K351=70,8,K351=65,7,K351=60,7,K351=55,6,K351=50,6,K351=45,6,K351=40,5,K351=35,4,K351=30,4,K351=25,3,K351=20,2,K351=15,1,K351=10,1,K351=0,0)</f>
        <v>4</v>
      </c>
      <c r="N351" s="3" t="n">
        <f aca="false">IF(L351&lt;=1,0,IF(L351&lt;=10,11,IF(L351&lt;=14,12,IF(L351&lt;=17,13,IF(L351&lt;=20,14,IF(L351&lt;=22,15,IF(L351&lt;=25,16,IF(L351&lt;=27,17,IF(L351&lt;=29,18,IF(L351&lt;=32,19,IF(L351&lt;=34,20,IF(L351&lt;=36,21,IF(L351&lt;=40,22,24)))))))))))))</f>
        <v>0</v>
      </c>
      <c r="O351" s="3" t="n">
        <v>30</v>
      </c>
      <c r="Q351" s="3" t="n">
        <f aca="false">_xlfn.IFS(O351="взв",11,O351="накл",24,O351="прокл",25,O351="пт",26,O351=90,10,O351=85,10,O351=80,9,O351=75,8,O351=70,8,O351=65,7,O351=60,7,O351=55,6,O351=50,6,O351=45,6,O351=40,5,O351=35,4,O351=30,4,O351=25,3,O351=20,2,O351=15,1,O351=10,1,O351=0,0)</f>
        <v>4</v>
      </c>
      <c r="R351" s="3" t="n">
        <f aca="false">IF(P351&lt;=1,0,IF(P351&lt;=10,11,IF(P351&lt;=14,12,IF(P351&lt;=17,13,IF(P351&lt;=20,14,IF(P351&lt;=22,15,IF(P351&lt;=25,16,IF(P351&lt;=27,17,IF(P351&lt;=29,18,IF(P351&lt;=32,19,IF(P351&lt;=34,20,IF(P351&lt;=36,21,IF(P351&lt;=40,22,24)))))))))))))</f>
        <v>0</v>
      </c>
      <c r="S351" s="14" t="n">
        <f aca="false">ROUND((Q351+R351+I351+J351+M351+N351)/3,0)</f>
        <v>5</v>
      </c>
      <c r="T351" s="15" t="n">
        <f aca="false">F351*LOG10(S351+2)</f>
        <v>16.9019608002851</v>
      </c>
    </row>
    <row r="352" customFormat="false" ht="14.65" hidden="false" customHeight="true" outlineLevel="0" collapsed="false">
      <c r="A352" s="12" t="s">
        <v>393</v>
      </c>
      <c r="B352" s="13" t="n">
        <v>38880</v>
      </c>
      <c r="C352" s="3" t="s">
        <v>24</v>
      </c>
      <c r="D352" s="4" t="s">
        <v>353</v>
      </c>
      <c r="E352" s="3" t="n">
        <v>7</v>
      </c>
      <c r="F352" s="3" t="n">
        <v>20</v>
      </c>
      <c r="H352" s="3" t="n">
        <v>27</v>
      </c>
      <c r="I352" s="3" t="n">
        <f aca="false">_xlfn.IFS(G352="взв",11,G352="накл",24,G352="прокл",25,G352="пт",26,G352=90,10,G352=85,10,G352=80,9,G352=75,8,G352=70,8,G352=65,7,G352=60,7,G352=55,6,G352=50,6,G352=45,6,G352=40,5,G352=35,4,G352=30,4,G352=25,3,G352=20,2,G352=15,1,G352=10,1,G352=0,0)</f>
        <v>0</v>
      </c>
      <c r="J352" s="3" t="n">
        <f aca="false">IF(H352&lt;=1,0,IF(H352&lt;=10,11,IF(H352&lt;=14,12,IF(H352&lt;=17,13,IF(H352&lt;=20,14,IF(H352&lt;=22,15,IF(H352&lt;=25,16,IF(H352&lt;=27,17,IF(H352&lt;=29,18,IF(H352&lt;=32,19,IF(H352&lt;=34,20,IF(H352&lt;=36,21,IF(H352&lt;=40,22,24)))))))))))))</f>
        <v>17</v>
      </c>
      <c r="L352" s="3" t="n">
        <v>36</v>
      </c>
      <c r="M352" s="3" t="n">
        <f aca="false">_xlfn.IFS(K352="взв",11,K352="накл",24,K352="прокл",25,K352="пт",26,K352=90,10,K352=85,10,K352=80,9,K352=75,8,K352=70,8,K352=65,7,K352=60,7,K352=55,6,K352=50,6,K352=45,6,K352=40,5,K352=35,4,K352=30,4,K352=25,3,K352=20,2,K352=15,1,K352=10,1,K352=0,0)</f>
        <v>0</v>
      </c>
      <c r="N352" s="3" t="n">
        <f aca="false">IF(L352&lt;=1,0,IF(L352&lt;=10,11,IF(L352&lt;=14,12,IF(L352&lt;=17,13,IF(L352&lt;=20,14,IF(L352&lt;=22,15,IF(L352&lt;=25,16,IF(L352&lt;=27,17,IF(L352&lt;=29,18,IF(L352&lt;=32,19,IF(L352&lt;=34,20,IF(L352&lt;=36,21,IF(L352&lt;=40,22,24)))))))))))))</f>
        <v>21</v>
      </c>
      <c r="P352" s="3" t="n">
        <v>29</v>
      </c>
      <c r="Q352" s="3" t="n">
        <f aca="false">_xlfn.IFS(O352="взв",11,O352="накл",24,O352="прокл",25,O352="пт",26,O352=90,10,O352=85,10,O352=80,9,O352=75,8,O352=70,8,O352=65,7,O352=60,7,O352=55,6,O352=50,6,O352=45,6,O352=40,5,O352=35,4,O352=30,4,O352=25,3,O352=20,2,O352=15,1,O352=10,1,O352=0,0)</f>
        <v>0</v>
      </c>
      <c r="R352" s="3" t="n">
        <f aca="false">IF(P352&lt;=1,0,IF(P352&lt;=10,11,IF(P352&lt;=14,12,IF(P352&lt;=17,13,IF(P352&lt;=20,14,IF(P352&lt;=22,15,IF(P352&lt;=25,16,IF(P352&lt;=27,17,IF(P352&lt;=29,18,IF(P352&lt;=32,19,IF(P352&lt;=34,20,IF(P352&lt;=36,21,IF(P352&lt;=40,22,24)))))))))))))</f>
        <v>18</v>
      </c>
      <c r="S352" s="14" t="n">
        <f aca="false">ROUND((Q352+R352+I352+J352+M352+N352)/3,0)</f>
        <v>19</v>
      </c>
      <c r="T352" s="15" t="n">
        <f aca="false">F352*LOG10(S352+2)</f>
        <v>26.4443858946784</v>
      </c>
    </row>
    <row r="353" customFormat="false" ht="14.65" hidden="false" customHeight="true" outlineLevel="0" collapsed="false">
      <c r="A353" s="12" t="s">
        <v>394</v>
      </c>
      <c r="B353" s="13" t="n">
        <v>38880</v>
      </c>
      <c r="C353" s="3" t="s">
        <v>24</v>
      </c>
      <c r="D353" s="4" t="s">
        <v>353</v>
      </c>
      <c r="E353" s="3" t="n">
        <v>5</v>
      </c>
      <c r="F353" s="3" t="n">
        <v>0</v>
      </c>
      <c r="H353" s="3" t="n">
        <v>40</v>
      </c>
      <c r="I353" s="3" t="n">
        <f aca="false">_xlfn.IFS(G353="взв",11,G353="накл",24,G353="прокл",25,G353="пт",26,G353=90,10,G353=85,10,G353=80,9,G353=75,8,G353=70,8,G353=65,7,G353=60,7,G353=55,6,G353=50,6,G353=45,6,G353=40,5,G353=35,4,G353=30,4,G353=25,3,G353=20,2,G353=15,1,G353=10,1,G353=0,0)</f>
        <v>0</v>
      </c>
      <c r="J353" s="3" t="n">
        <f aca="false">IF(H353&lt;=1,0,IF(H353&lt;=10,11,IF(H353&lt;=14,12,IF(H353&lt;=17,13,IF(H353&lt;=20,14,IF(H353&lt;=22,15,IF(H353&lt;=25,16,IF(H353&lt;=27,17,IF(H353&lt;=29,18,IF(H353&lt;=32,19,IF(H353&lt;=34,20,IF(H353&lt;=36,21,IF(H353&lt;=40,22,24)))))))))))))</f>
        <v>22</v>
      </c>
      <c r="L353" s="3" t="n">
        <v>43</v>
      </c>
      <c r="M353" s="3" t="n">
        <f aca="false">_xlfn.IFS(K353="взв",11,K353="накл",24,K353="прокл",25,K353="пт",26,K353=90,10,K353=85,10,K353=80,9,K353=75,8,K353=70,8,K353=65,7,K353=60,7,K353=55,6,K353=50,6,K353=45,6,K353=40,5,K353=35,4,K353=30,4,K353=25,3,K353=20,2,K353=15,1,K353=10,1,K353=0,0)</f>
        <v>0</v>
      </c>
      <c r="N353" s="3" t="n">
        <f aca="false">IF(L353&lt;=1,0,IF(L353&lt;=10,11,IF(L353&lt;=14,12,IF(L353&lt;=17,13,IF(L353&lt;=20,14,IF(L353&lt;=22,15,IF(L353&lt;=25,16,IF(L353&lt;=27,17,IF(L353&lt;=29,18,IF(L353&lt;=32,19,IF(L353&lt;=34,20,IF(L353&lt;=36,21,IF(L353&lt;=40,22,24)))))))))))))</f>
        <v>24</v>
      </c>
      <c r="P353" s="3" t="n">
        <v>43</v>
      </c>
      <c r="Q353" s="3" t="n">
        <f aca="false">_xlfn.IFS(O353="взв",11,O353="накл",24,O353="прокл",25,O353="пт",26,O353=90,10,O353=85,10,O353=80,9,O353=75,8,O353=70,8,O353=65,7,O353=60,7,O353=55,6,O353=50,6,O353=45,6,O353=40,5,O353=35,4,O353=30,4,O353=25,3,O353=20,2,O353=15,1,O353=10,1,O353=0,0)</f>
        <v>0</v>
      </c>
      <c r="R353" s="3" t="n">
        <f aca="false">IF(P353&lt;=1,0,IF(P353&lt;=10,11,IF(P353&lt;=14,12,IF(P353&lt;=17,13,IF(P353&lt;=20,14,IF(P353&lt;=22,15,IF(P353&lt;=25,16,IF(P353&lt;=27,17,IF(P353&lt;=29,18,IF(P353&lt;=32,19,IF(P353&lt;=34,20,IF(P353&lt;=36,21,IF(P353&lt;=40,22,24)))))))))))))</f>
        <v>24</v>
      </c>
      <c r="S353" s="14" t="n">
        <f aca="false">ROUND((Q353+R353+I353+J353+M353+N353)/3,0)</f>
        <v>23</v>
      </c>
      <c r="T353" s="15" t="n">
        <f aca="false">F353*LOG10(S353+2)</f>
        <v>0</v>
      </c>
    </row>
    <row r="354" customFormat="false" ht="14.65" hidden="false" customHeight="true" outlineLevel="0" collapsed="false">
      <c r="A354" s="12" t="s">
        <v>395</v>
      </c>
      <c r="B354" s="13" t="n">
        <v>38880</v>
      </c>
      <c r="C354" s="3" t="s">
        <v>24</v>
      </c>
      <c r="D354" s="4" t="s">
        <v>353</v>
      </c>
      <c r="E354" s="3" t="n">
        <v>5</v>
      </c>
      <c r="F354" s="3" t="n">
        <v>0</v>
      </c>
      <c r="H354" s="3" t="n">
        <v>39</v>
      </c>
      <c r="I354" s="3" t="n">
        <f aca="false">_xlfn.IFS(G354="взв",11,G354="накл",24,G354="прокл",25,G354="пт",26,G354=90,10,G354=85,10,G354=80,9,G354=75,8,G354=70,8,G354=65,7,G354=60,7,G354=55,6,G354=50,6,G354=45,6,G354=40,5,G354=35,4,G354=30,4,G354=25,3,G354=20,2,G354=15,1,G354=10,1,G354=0,0)</f>
        <v>0</v>
      </c>
      <c r="J354" s="3" t="n">
        <f aca="false">IF(H354&lt;=1,0,IF(H354&lt;=10,11,IF(H354&lt;=14,12,IF(H354&lt;=17,13,IF(H354&lt;=20,14,IF(H354&lt;=22,15,IF(H354&lt;=25,16,IF(H354&lt;=27,17,IF(H354&lt;=29,18,IF(H354&lt;=32,19,IF(H354&lt;=34,20,IF(H354&lt;=36,21,IF(H354&lt;=40,22,24)))))))))))))</f>
        <v>22</v>
      </c>
      <c r="L354" s="3" t="n">
        <v>35</v>
      </c>
      <c r="M354" s="3" t="n">
        <f aca="false">_xlfn.IFS(K354="взв",11,K354="накл",24,K354="прокл",25,K354="пт",26,K354=90,10,K354=85,10,K354=80,9,K354=75,8,K354=70,8,K354=65,7,K354=60,7,K354=55,6,K354=50,6,K354=45,6,K354=40,5,K354=35,4,K354=30,4,K354=25,3,K354=20,2,K354=15,1,K354=10,1,K354=0,0)</f>
        <v>0</v>
      </c>
      <c r="N354" s="3" t="n">
        <f aca="false">IF(L354&lt;=1,0,IF(L354&lt;=10,11,IF(L354&lt;=14,12,IF(L354&lt;=17,13,IF(L354&lt;=20,14,IF(L354&lt;=22,15,IF(L354&lt;=25,16,IF(L354&lt;=27,17,IF(L354&lt;=29,18,IF(L354&lt;=32,19,IF(L354&lt;=34,20,IF(L354&lt;=36,21,IF(L354&lt;=40,22,24)))))))))))))</f>
        <v>21</v>
      </c>
      <c r="P354" s="3" t="n">
        <v>40</v>
      </c>
      <c r="Q354" s="3" t="n">
        <f aca="false">_xlfn.IFS(O354="взв",11,O354="накл",24,O354="прокл",25,O354="пт",26,O354=90,10,O354=85,10,O354=80,9,O354=75,8,O354=70,8,O354=65,7,O354=60,7,O354=55,6,O354=50,6,O354=45,6,O354=40,5,O354=35,4,O354=30,4,O354=25,3,O354=20,2,O354=15,1,O354=10,1,O354=0,0)</f>
        <v>0</v>
      </c>
      <c r="R354" s="3" t="n">
        <f aca="false">IF(P354&lt;=1,0,IF(P354&lt;=10,11,IF(P354&lt;=14,12,IF(P354&lt;=17,13,IF(P354&lt;=20,14,IF(P354&lt;=22,15,IF(P354&lt;=25,16,IF(P354&lt;=27,17,IF(P354&lt;=29,18,IF(P354&lt;=32,19,IF(P354&lt;=34,20,IF(P354&lt;=36,21,IF(P354&lt;=40,22,24)))))))))))))</f>
        <v>22</v>
      </c>
      <c r="S354" s="14" t="n">
        <f aca="false">ROUND((Q354+R354+I354+J354+M354+N354)/3,0)</f>
        <v>22</v>
      </c>
      <c r="T354" s="15" t="n">
        <f aca="false">F354*LOG10(S354+2)</f>
        <v>0</v>
      </c>
    </row>
    <row r="355" customFormat="false" ht="14.65" hidden="false" customHeight="true" outlineLevel="0" collapsed="false">
      <c r="A355" s="12" t="s">
        <v>396</v>
      </c>
      <c r="B355" s="13" t="n">
        <v>38880</v>
      </c>
      <c r="C355" s="3" t="s">
        <v>24</v>
      </c>
      <c r="D355" s="4" t="s">
        <v>353</v>
      </c>
      <c r="E355" s="3" t="n">
        <v>5</v>
      </c>
      <c r="F355" s="3" t="n">
        <v>0</v>
      </c>
      <c r="H355" s="3" t="n">
        <v>35</v>
      </c>
      <c r="I355" s="3" t="n">
        <f aca="false">_xlfn.IFS(G355="взв",11,G355="накл",24,G355="прокл",25,G355="пт",26,G355=90,10,G355=85,10,G355=80,9,G355=75,8,G355=70,8,G355=65,7,G355=60,7,G355=55,6,G355=50,6,G355=45,6,G355=40,5,G355=35,4,G355=30,4,G355=25,3,G355=20,2,G355=15,1,G355=10,1,G355=0,0)</f>
        <v>0</v>
      </c>
      <c r="J355" s="3" t="n">
        <f aca="false">IF(H355&lt;=1,0,IF(H355&lt;=10,11,IF(H355&lt;=14,12,IF(H355&lt;=17,13,IF(H355&lt;=20,14,IF(H355&lt;=22,15,IF(H355&lt;=25,16,IF(H355&lt;=27,17,IF(H355&lt;=29,18,IF(H355&lt;=32,19,IF(H355&lt;=34,20,IF(H355&lt;=36,21,IF(H355&lt;=40,22,24)))))))))))))</f>
        <v>21</v>
      </c>
      <c r="L355" s="3" t="n">
        <v>37</v>
      </c>
      <c r="M355" s="3" t="n">
        <f aca="false">_xlfn.IFS(K355="взв",11,K355="накл",24,K355="прокл",25,K355="пт",26,K355=90,10,K355=85,10,K355=80,9,K355=75,8,K355=70,8,K355=65,7,K355=60,7,K355=55,6,K355=50,6,K355=45,6,K355=40,5,K355=35,4,K355=30,4,K355=25,3,K355=20,2,K355=15,1,K355=10,1,K355=0,0)</f>
        <v>0</v>
      </c>
      <c r="N355" s="3" t="n">
        <f aca="false">IF(L355&lt;=1,0,IF(L355&lt;=10,11,IF(L355&lt;=14,12,IF(L355&lt;=17,13,IF(L355&lt;=20,14,IF(L355&lt;=22,15,IF(L355&lt;=25,16,IF(L355&lt;=27,17,IF(L355&lt;=29,18,IF(L355&lt;=32,19,IF(L355&lt;=34,20,IF(L355&lt;=36,21,IF(L355&lt;=40,22,24)))))))))))))</f>
        <v>22</v>
      </c>
      <c r="P355" s="3" t="n">
        <v>33</v>
      </c>
      <c r="Q355" s="3" t="n">
        <f aca="false">_xlfn.IFS(O355="взв",11,O355="накл",24,O355="прокл",25,O355="пт",26,O355=90,10,O355=85,10,O355=80,9,O355=75,8,O355=70,8,O355=65,7,O355=60,7,O355=55,6,O355=50,6,O355=45,6,O355=40,5,O355=35,4,O355=30,4,O355=25,3,O355=20,2,O355=15,1,O355=10,1,O355=0,0)</f>
        <v>0</v>
      </c>
      <c r="R355" s="3" t="n">
        <f aca="false">IF(P355&lt;=1,0,IF(P355&lt;=10,11,IF(P355&lt;=14,12,IF(P355&lt;=17,13,IF(P355&lt;=20,14,IF(P355&lt;=22,15,IF(P355&lt;=25,16,IF(P355&lt;=27,17,IF(P355&lt;=29,18,IF(P355&lt;=32,19,IF(P355&lt;=34,20,IF(P355&lt;=36,21,IF(P355&lt;=40,22,24)))))))))))))</f>
        <v>20</v>
      </c>
      <c r="S355" s="14" t="n">
        <f aca="false">ROUND((Q355+R355+I355+J355+M355+N355)/3,0)</f>
        <v>21</v>
      </c>
      <c r="T355" s="15" t="n">
        <f aca="false">F355*LOG10(S355+2)</f>
        <v>0</v>
      </c>
    </row>
    <row r="356" customFormat="false" ht="14.65" hidden="false" customHeight="true" outlineLevel="0" collapsed="false">
      <c r="A356" s="12" t="s">
        <v>397</v>
      </c>
      <c r="B356" s="13" t="n">
        <v>38879</v>
      </c>
      <c r="C356" s="3" t="s">
        <v>24</v>
      </c>
      <c r="D356" s="4" t="s">
        <v>398</v>
      </c>
      <c r="E356" s="3" t="n">
        <v>6</v>
      </c>
      <c r="F356" s="3" t="n">
        <v>1</v>
      </c>
      <c r="H356" s="3" t="n">
        <v>26</v>
      </c>
      <c r="I356" s="3" t="n">
        <f aca="false">_xlfn.IFS(G356="взв",11,G356="накл",24,G356="прокл",25,G356="пт",26,G356=90,10,G356=85,10,G356=80,9,G356=75,8,G356=70,8,G356=65,7,G356=60,7,G356=55,6,G356=50,6,G356=45,6,G356=40,5,G356=35,4,G356=30,4,G356=25,3,G356=20,2,G356=15,1,G356=10,1,G356=0,0)</f>
        <v>0</v>
      </c>
      <c r="J356" s="3" t="n">
        <f aca="false">IF(H356&lt;=1,0,IF(H356&lt;=10,11,IF(H356&lt;=14,12,IF(H356&lt;=17,13,IF(H356&lt;=20,14,IF(H356&lt;=22,15,IF(H356&lt;=25,16,IF(H356&lt;=27,17,IF(H356&lt;=29,18,IF(H356&lt;=32,19,IF(H356&lt;=34,20,IF(H356&lt;=36,21,IF(H356&lt;=40,22,24)))))))))))))</f>
        <v>17</v>
      </c>
      <c r="L356" s="3" t="n">
        <v>14</v>
      </c>
      <c r="M356" s="3" t="n">
        <f aca="false">_xlfn.IFS(K356="взв",11,K356="накл",24,K356="прокл",25,K356="пт",26,K356=90,10,K356=85,10,K356=80,9,K356=75,8,K356=70,8,K356=65,7,K356=60,7,K356=55,6,K356=50,6,K356=45,6,K356=40,5,K356=35,4,K356=30,4,K356=25,3,K356=20,2,K356=15,1,K356=10,1,K356=0,0)</f>
        <v>0</v>
      </c>
      <c r="N356" s="3" t="n">
        <f aca="false">IF(L356&lt;=1,0,IF(L356&lt;=10,11,IF(L356&lt;=14,12,IF(L356&lt;=17,13,IF(L356&lt;=20,14,IF(L356&lt;=22,15,IF(L356&lt;=25,16,IF(L356&lt;=27,17,IF(L356&lt;=29,18,IF(L356&lt;=32,19,IF(L356&lt;=34,20,IF(L356&lt;=36,21,IF(L356&lt;=40,22,24)))))))))))))</f>
        <v>12</v>
      </c>
      <c r="P356" s="3" t="n">
        <v>25</v>
      </c>
      <c r="Q356" s="3" t="n">
        <f aca="false">_xlfn.IFS(O356="взв",11,O356="накл",24,O356="прокл",25,O356="пт",26,O356=90,10,O356=85,10,O356=80,9,O356=75,8,O356=70,8,O356=65,7,O356=60,7,O356=55,6,O356=50,6,O356=45,6,O356=40,5,O356=35,4,O356=30,4,O356=25,3,O356=20,2,O356=15,1,O356=10,1,O356=0,0)</f>
        <v>0</v>
      </c>
      <c r="R356" s="3" t="n">
        <f aca="false">IF(P356&lt;=1,0,IF(P356&lt;=10,11,IF(P356&lt;=14,12,IF(P356&lt;=17,13,IF(P356&lt;=20,14,IF(P356&lt;=22,15,IF(P356&lt;=25,16,IF(P356&lt;=27,17,IF(P356&lt;=29,18,IF(P356&lt;=32,19,IF(P356&lt;=34,20,IF(P356&lt;=36,21,IF(P356&lt;=40,22,24)))))))))))))</f>
        <v>16</v>
      </c>
      <c r="S356" s="14" t="n">
        <f aca="false">ROUND((Q356+R356+I356+J356+M356+N356)/3,0)</f>
        <v>15</v>
      </c>
      <c r="T356" s="15" t="n">
        <f aca="false">F356*LOG10(S356+2)</f>
        <v>1.23044892137827</v>
      </c>
    </row>
    <row r="357" customFormat="false" ht="14.65" hidden="false" customHeight="true" outlineLevel="0" collapsed="false">
      <c r="A357" s="12" t="s">
        <v>399</v>
      </c>
      <c r="B357" s="13" t="n">
        <v>38879</v>
      </c>
      <c r="C357" s="3" t="s">
        <v>24</v>
      </c>
      <c r="D357" s="4" t="s">
        <v>398</v>
      </c>
      <c r="E357" s="3" t="n">
        <v>4</v>
      </c>
      <c r="F357" s="3" t="n">
        <v>1</v>
      </c>
      <c r="H357" s="3" t="n">
        <v>31</v>
      </c>
      <c r="I357" s="3" t="n">
        <f aca="false">_xlfn.IFS(G357="взв",11,G357="накл",24,G357="прокл",25,G357="пт",26,G357=90,10,G357=85,10,G357=80,9,G357=75,8,G357=70,8,G357=65,7,G357=60,7,G357=55,6,G357=50,6,G357=45,6,G357=40,5,G357=35,4,G357=30,4,G357=25,3,G357=20,2,G357=15,1,G357=10,1,G357=0,0)</f>
        <v>0</v>
      </c>
      <c r="J357" s="3" t="n">
        <f aca="false">IF(H357&lt;=1,0,IF(H357&lt;=10,11,IF(H357&lt;=14,12,IF(H357&lt;=17,13,IF(H357&lt;=20,14,IF(H357&lt;=22,15,IF(H357&lt;=25,16,IF(H357&lt;=27,17,IF(H357&lt;=29,18,IF(H357&lt;=32,19,IF(H357&lt;=34,20,IF(H357&lt;=36,21,IF(H357&lt;=40,22,24)))))))))))))</f>
        <v>19</v>
      </c>
      <c r="L357" s="3" t="n">
        <v>32</v>
      </c>
      <c r="M357" s="3" t="n">
        <f aca="false">_xlfn.IFS(K357="взв",11,K357="накл",24,K357="прокл",25,K357="пт",26,K357=90,10,K357=85,10,K357=80,9,K357=75,8,K357=70,8,K357=65,7,K357=60,7,K357=55,6,K357=50,6,K357=45,6,K357=40,5,K357=35,4,K357=30,4,K357=25,3,K357=20,2,K357=15,1,K357=10,1,K357=0,0)</f>
        <v>0</v>
      </c>
      <c r="N357" s="3" t="n">
        <f aca="false">IF(L357&lt;=1,0,IF(L357&lt;=10,11,IF(L357&lt;=14,12,IF(L357&lt;=17,13,IF(L357&lt;=20,14,IF(L357&lt;=22,15,IF(L357&lt;=25,16,IF(L357&lt;=27,17,IF(L357&lt;=29,18,IF(L357&lt;=32,19,IF(L357&lt;=34,20,IF(L357&lt;=36,21,IF(L357&lt;=40,22,24)))))))))))))</f>
        <v>19</v>
      </c>
      <c r="P357" s="3" t="n">
        <v>34</v>
      </c>
      <c r="Q357" s="3" t="n">
        <f aca="false">_xlfn.IFS(O357="взв",11,O357="накл",24,O357="прокл",25,O357="пт",26,O357=90,10,O357=85,10,O357=80,9,O357=75,8,O357=70,8,O357=65,7,O357=60,7,O357=55,6,O357=50,6,O357=45,6,O357=40,5,O357=35,4,O357=30,4,O357=25,3,O357=20,2,O357=15,1,O357=10,1,O357=0,0)</f>
        <v>0</v>
      </c>
      <c r="R357" s="3" t="n">
        <f aca="false">IF(P357&lt;=1,0,IF(P357&lt;=10,11,IF(P357&lt;=14,12,IF(P357&lt;=17,13,IF(P357&lt;=20,14,IF(P357&lt;=22,15,IF(P357&lt;=25,16,IF(P357&lt;=27,17,IF(P357&lt;=29,18,IF(P357&lt;=32,19,IF(P357&lt;=34,20,IF(P357&lt;=36,21,IF(P357&lt;=40,22,24)))))))))))))</f>
        <v>20</v>
      </c>
      <c r="S357" s="14" t="n">
        <f aca="false">ROUND((Q357+R357+I357+J357+M357+N357)/3,0)</f>
        <v>19</v>
      </c>
      <c r="T357" s="15" t="n">
        <f aca="false">F357*LOG10(S357+2)</f>
        <v>1.32221929473392</v>
      </c>
    </row>
    <row r="358" customFormat="false" ht="14.65" hidden="false" customHeight="true" outlineLevel="0" collapsed="false">
      <c r="A358" s="12" t="s">
        <v>400</v>
      </c>
      <c r="B358" s="13" t="n">
        <v>38879</v>
      </c>
      <c r="C358" s="3" t="s">
        <v>24</v>
      </c>
      <c r="D358" s="4" t="s">
        <v>398</v>
      </c>
      <c r="E358" s="3" t="n">
        <v>5</v>
      </c>
      <c r="F358" s="3" t="n">
        <v>1</v>
      </c>
      <c r="H358" s="3" t="n">
        <v>38</v>
      </c>
      <c r="I358" s="3" t="n">
        <f aca="false">_xlfn.IFS(G358="взв",11,G358="накл",24,G358="прокл",25,G358="пт",26,G358=90,10,G358=85,10,G358=80,9,G358=75,8,G358=70,8,G358=65,7,G358=60,7,G358=55,6,G358=50,6,G358=45,6,G358=40,5,G358=35,4,G358=30,4,G358=25,3,G358=20,2,G358=15,1,G358=10,1,G358=0,0)</f>
        <v>0</v>
      </c>
      <c r="J358" s="3" t="n">
        <f aca="false">IF(H358&lt;=1,0,IF(H358&lt;=10,11,IF(H358&lt;=14,12,IF(H358&lt;=17,13,IF(H358&lt;=20,14,IF(H358&lt;=22,15,IF(H358&lt;=25,16,IF(H358&lt;=27,17,IF(H358&lt;=29,18,IF(H358&lt;=32,19,IF(H358&lt;=34,20,IF(H358&lt;=36,21,IF(H358&lt;=40,22,24)))))))))))))</f>
        <v>22</v>
      </c>
      <c r="L358" s="3" t="n">
        <v>40</v>
      </c>
      <c r="M358" s="3" t="n">
        <f aca="false">_xlfn.IFS(K358="взв",11,K358="накл",24,K358="прокл",25,K358="пт",26,K358=90,10,K358=85,10,K358=80,9,K358=75,8,K358=70,8,K358=65,7,K358=60,7,K358=55,6,K358=50,6,K358=45,6,K358=40,5,K358=35,4,K358=30,4,K358=25,3,K358=20,2,K358=15,1,K358=10,1,K358=0,0)</f>
        <v>0</v>
      </c>
      <c r="N358" s="3" t="n">
        <f aca="false">IF(L358&lt;=1,0,IF(L358&lt;=10,11,IF(L358&lt;=14,12,IF(L358&lt;=17,13,IF(L358&lt;=20,14,IF(L358&lt;=22,15,IF(L358&lt;=25,16,IF(L358&lt;=27,17,IF(L358&lt;=29,18,IF(L358&lt;=32,19,IF(L358&lt;=34,20,IF(L358&lt;=36,21,IF(L358&lt;=40,22,24)))))))))))))</f>
        <v>22</v>
      </c>
      <c r="P358" s="3" t="n">
        <v>35</v>
      </c>
      <c r="Q358" s="3" t="n">
        <f aca="false">_xlfn.IFS(O358="взв",11,O358="накл",24,O358="прокл",25,O358="пт",26,O358=90,10,O358=85,10,O358=80,9,O358=75,8,O358=70,8,O358=65,7,O358=60,7,O358=55,6,O358=50,6,O358=45,6,O358=40,5,O358=35,4,O358=30,4,O358=25,3,O358=20,2,O358=15,1,O358=10,1,O358=0,0)</f>
        <v>0</v>
      </c>
      <c r="R358" s="3" t="n">
        <f aca="false">IF(P358&lt;=1,0,IF(P358&lt;=10,11,IF(P358&lt;=14,12,IF(P358&lt;=17,13,IF(P358&lt;=20,14,IF(P358&lt;=22,15,IF(P358&lt;=25,16,IF(P358&lt;=27,17,IF(P358&lt;=29,18,IF(P358&lt;=32,19,IF(P358&lt;=34,20,IF(P358&lt;=36,21,IF(P358&lt;=40,22,24)))))))))))))</f>
        <v>21</v>
      </c>
      <c r="S358" s="14" t="n">
        <f aca="false">ROUND((Q358+R358+I358+J358+M358+N358)/3,0)</f>
        <v>22</v>
      </c>
      <c r="T358" s="15" t="n">
        <f aca="false">F358*LOG10(S358+2)</f>
        <v>1.38021124171161</v>
      </c>
    </row>
    <row r="359" customFormat="false" ht="14.65" hidden="false" customHeight="true" outlineLevel="0" collapsed="false">
      <c r="A359" s="12" t="s">
        <v>401</v>
      </c>
      <c r="B359" s="13" t="n">
        <v>38892</v>
      </c>
      <c r="C359" s="3" t="s">
        <v>21</v>
      </c>
      <c r="D359" s="4" t="s">
        <v>398</v>
      </c>
      <c r="E359" s="3" t="n">
        <v>5</v>
      </c>
      <c r="F359" s="3" t="n">
        <v>2</v>
      </c>
      <c r="G359" s="3" t="n">
        <v>45</v>
      </c>
      <c r="I359" s="3" t="n">
        <f aca="false">_xlfn.IFS(G359="взв",11,G359="накл",24,G359="прокл",25,G359="пт",26,G359=90,10,G359=85,10,G359=80,9,G359=75,8,G359=70,8,G359=65,7,G359=60,7,G359=55,6,G359=50,6,G359=45,6,G359=40,5,G359=35,4,G359=30,4,G359=25,3,G359=20,2,G359=15,1,G359=10,1,G359=0,0)</f>
        <v>6</v>
      </c>
      <c r="J359" s="3" t="n">
        <f aca="false">IF(H359&lt;=1,0,IF(H359&lt;=10,11,IF(H359&lt;=14,12,IF(H359&lt;=17,13,IF(H359&lt;=20,14,IF(H359&lt;=22,15,IF(H359&lt;=25,16,IF(H359&lt;=27,17,IF(H359&lt;=29,18,IF(H359&lt;=32,19,IF(H359&lt;=34,20,IF(H359&lt;=36,21,IF(H359&lt;=40,22,24)))))))))))))</f>
        <v>0</v>
      </c>
      <c r="K359" s="3" t="n">
        <v>45</v>
      </c>
      <c r="M359" s="3" t="n">
        <f aca="false">_xlfn.IFS(K359="взв",11,K359="накл",24,K359="прокл",25,K359="пт",26,K359=90,10,K359=85,10,K359=80,9,K359=75,8,K359=70,8,K359=65,7,K359=60,7,K359=55,6,K359=50,6,K359=45,6,K359=40,5,K359=35,4,K359=30,4,K359=25,3,K359=20,2,K359=15,1,K359=10,1,K359=0,0)</f>
        <v>6</v>
      </c>
      <c r="N359" s="3" t="n">
        <f aca="false">IF(L359&lt;=1,0,IF(L359&lt;=10,11,IF(L359&lt;=14,12,IF(L359&lt;=17,13,IF(L359&lt;=20,14,IF(L359&lt;=22,15,IF(L359&lt;=25,16,IF(L359&lt;=27,17,IF(L359&lt;=29,18,IF(L359&lt;=32,19,IF(L359&lt;=34,20,IF(L359&lt;=36,21,IF(L359&lt;=40,22,24)))))))))))))</f>
        <v>0</v>
      </c>
      <c r="O359" s="3" t="n">
        <v>60</v>
      </c>
      <c r="Q359" s="3" t="n">
        <f aca="false">_xlfn.IFS(O359="взв",11,O359="накл",24,O359="прокл",25,O359="пт",26,O359=90,10,O359=85,10,O359=80,9,O359=75,8,O359=70,8,O359=65,7,O359=60,7,O359=55,6,O359=50,6,O359=45,6,O359=40,5,O359=35,4,O359=30,4,O359=25,3,O359=20,2,O359=15,1,O359=10,1,O359=0,0)</f>
        <v>7</v>
      </c>
      <c r="R359" s="3" t="n">
        <f aca="false">IF(P359&lt;=1,0,IF(P359&lt;=10,11,IF(P359&lt;=14,12,IF(P359&lt;=17,13,IF(P359&lt;=20,14,IF(P359&lt;=22,15,IF(P359&lt;=25,16,IF(P359&lt;=27,17,IF(P359&lt;=29,18,IF(P359&lt;=32,19,IF(P359&lt;=34,20,IF(P359&lt;=36,21,IF(P359&lt;=40,22,24)))))))))))))</f>
        <v>0</v>
      </c>
      <c r="S359" s="14" t="n">
        <f aca="false">ROUND((Q359+R359+I359+J359+M359+N359)/3,0)</f>
        <v>6</v>
      </c>
      <c r="T359" s="15" t="n">
        <f aca="false">F359*LOG10(S359+2)</f>
        <v>1.80617997398389</v>
      </c>
    </row>
    <row r="360" customFormat="false" ht="14.65" hidden="false" customHeight="true" outlineLevel="0" collapsed="false">
      <c r="A360" s="12" t="s">
        <v>402</v>
      </c>
      <c r="B360" s="13" t="n">
        <v>38879</v>
      </c>
      <c r="C360" s="3" t="s">
        <v>24</v>
      </c>
      <c r="D360" s="4" t="s">
        <v>398</v>
      </c>
      <c r="E360" s="3" t="n">
        <v>5</v>
      </c>
      <c r="F360" s="3" t="n">
        <v>2</v>
      </c>
      <c r="H360" s="3" t="n">
        <v>25</v>
      </c>
      <c r="I360" s="3" t="n">
        <f aca="false">_xlfn.IFS(G360="взв",11,G360="накл",24,G360="прокл",25,G360="пт",26,G360=90,10,G360=85,10,G360=80,9,G360=75,8,G360=70,8,G360=65,7,G360=60,7,G360=55,6,G360=50,6,G360=45,6,G360=40,5,G360=35,4,G360=30,4,G360=25,3,G360=20,2,G360=15,1,G360=10,1,G360=0,0)</f>
        <v>0</v>
      </c>
      <c r="J360" s="3" t="n">
        <f aca="false">IF(H360&lt;=1,0,IF(H360&lt;=10,11,IF(H360&lt;=14,12,IF(H360&lt;=17,13,IF(H360&lt;=20,14,IF(H360&lt;=22,15,IF(H360&lt;=25,16,IF(H360&lt;=27,17,IF(H360&lt;=29,18,IF(H360&lt;=32,19,IF(H360&lt;=34,20,IF(H360&lt;=36,21,IF(H360&lt;=40,22,24)))))))))))))</f>
        <v>16</v>
      </c>
      <c r="L360" s="3" t="n">
        <v>24</v>
      </c>
      <c r="M360" s="3" t="n">
        <f aca="false">_xlfn.IFS(K360="взв",11,K360="накл",24,K360="прокл",25,K360="пт",26,K360=90,10,K360=85,10,K360=80,9,K360=75,8,K360=70,8,K360=65,7,K360=60,7,K360=55,6,K360=50,6,K360=45,6,K360=40,5,K360=35,4,K360=30,4,K360=25,3,K360=20,2,K360=15,1,K360=10,1,K360=0,0)</f>
        <v>0</v>
      </c>
      <c r="N360" s="3" t="n">
        <f aca="false">IF(L360&lt;=1,0,IF(L360&lt;=10,11,IF(L360&lt;=14,12,IF(L360&lt;=17,13,IF(L360&lt;=20,14,IF(L360&lt;=22,15,IF(L360&lt;=25,16,IF(L360&lt;=27,17,IF(L360&lt;=29,18,IF(L360&lt;=32,19,IF(L360&lt;=34,20,IF(L360&lt;=36,21,IF(L360&lt;=40,22,24)))))))))))))</f>
        <v>16</v>
      </c>
      <c r="P360" s="3" t="n">
        <v>23</v>
      </c>
      <c r="Q360" s="3" t="n">
        <f aca="false">_xlfn.IFS(O360="взв",11,O360="накл",24,O360="прокл",25,O360="пт",26,O360=90,10,O360=85,10,O360=80,9,O360=75,8,O360=70,8,O360=65,7,O360=60,7,O360=55,6,O360=50,6,O360=45,6,O360=40,5,O360=35,4,O360=30,4,O360=25,3,O360=20,2,O360=15,1,O360=10,1,O360=0,0)</f>
        <v>0</v>
      </c>
      <c r="R360" s="3" t="n">
        <f aca="false">IF(P360&lt;=1,0,IF(P360&lt;=10,11,IF(P360&lt;=14,12,IF(P360&lt;=17,13,IF(P360&lt;=20,14,IF(P360&lt;=22,15,IF(P360&lt;=25,16,IF(P360&lt;=27,17,IF(P360&lt;=29,18,IF(P360&lt;=32,19,IF(P360&lt;=34,20,IF(P360&lt;=36,21,IF(P360&lt;=40,22,24)))))))))))))</f>
        <v>16</v>
      </c>
      <c r="S360" s="14" t="n">
        <f aca="false">ROUND((Q360+R360+I360+J360+M360+N360)/3,0)</f>
        <v>16</v>
      </c>
      <c r="T360" s="15" t="n">
        <f aca="false">F360*LOG10(S360+2)</f>
        <v>2.51054501020661</v>
      </c>
    </row>
    <row r="361" customFormat="false" ht="14.65" hidden="false" customHeight="true" outlineLevel="0" collapsed="false">
      <c r="A361" s="12" t="s">
        <v>403</v>
      </c>
      <c r="B361" s="13" t="n">
        <v>38879</v>
      </c>
      <c r="C361" s="3" t="s">
        <v>24</v>
      </c>
      <c r="D361" s="4" t="s">
        <v>398</v>
      </c>
      <c r="E361" s="3" t="n">
        <v>5</v>
      </c>
      <c r="F361" s="3" t="n">
        <v>2</v>
      </c>
      <c r="G361" s="3" t="s">
        <v>27</v>
      </c>
      <c r="I361" s="3" t="n">
        <f aca="false">_xlfn.IFS(G361="взв",11,G361="накл",24,G361="прокл",25,G361="пт",26,G361=90,10,G361=85,10,G361=80,9,G361=75,8,G361=70,8,G361=65,7,G361=60,7,G361=55,6,G361=50,6,G361=45,6,G361=40,5,G361=35,4,G361=30,4,G361=25,3,G361=20,2,G361=15,1,G361=10,1,G361=0,0)</f>
        <v>24</v>
      </c>
      <c r="J361" s="3" t="n">
        <f aca="false">IF(H361&lt;=1,0,IF(H361&lt;=10,11,IF(H361&lt;=14,12,IF(H361&lt;=17,13,IF(H361&lt;=20,14,IF(H361&lt;=22,15,IF(H361&lt;=25,16,IF(H361&lt;=27,17,IF(H361&lt;=29,18,IF(H361&lt;=32,19,IF(H361&lt;=34,20,IF(H361&lt;=36,21,IF(H361&lt;=40,22,24)))))))))))))</f>
        <v>0</v>
      </c>
      <c r="K361" s="3" t="s">
        <v>38</v>
      </c>
      <c r="M361" s="3" t="n">
        <f aca="false">_xlfn.IFS(K361="взв",11,K361="накл",24,K361="прокл",25,K361="пт",26,K361=90,10,K361=85,10,K361=80,9,K361=75,8,K361=70,8,K361=65,7,K361=60,7,K361=55,6,K361=50,6,K361=45,6,K361=40,5,K361=35,4,K361=30,4,K361=25,3,K361=20,2,K361=15,1,K361=10,1,K361=0,0)</f>
        <v>26</v>
      </c>
      <c r="N361" s="3" t="n">
        <f aca="false">IF(L361&lt;=1,0,IF(L361&lt;=10,11,IF(L361&lt;=14,12,IF(L361&lt;=17,13,IF(L361&lt;=20,14,IF(L361&lt;=22,15,IF(L361&lt;=25,16,IF(L361&lt;=27,17,IF(L361&lt;=29,18,IF(L361&lt;=32,19,IF(L361&lt;=34,20,IF(L361&lt;=36,21,IF(L361&lt;=40,22,24)))))))))))))</f>
        <v>0</v>
      </c>
      <c r="O361" s="3" t="s">
        <v>38</v>
      </c>
      <c r="Q361" s="3" t="n">
        <f aca="false">_xlfn.IFS(O361="взв",11,O361="накл",24,O361="прокл",25,O361="пт",26,O361=90,10,O361=85,10,O361=80,9,O361=75,8,O361=70,8,O361=65,7,O361=60,7,O361=55,6,O361=50,6,O361=45,6,O361=40,5,O361=35,4,O361=30,4,O361=25,3,O361=20,2,O361=15,1,O361=10,1,O361=0,0)</f>
        <v>26</v>
      </c>
      <c r="R361" s="3" t="n">
        <f aca="false">IF(P361&lt;=1,0,IF(P361&lt;=10,11,IF(P361&lt;=14,12,IF(P361&lt;=17,13,IF(P361&lt;=20,14,IF(P361&lt;=22,15,IF(P361&lt;=25,16,IF(P361&lt;=27,17,IF(P361&lt;=29,18,IF(P361&lt;=32,19,IF(P361&lt;=34,20,IF(P361&lt;=36,21,IF(P361&lt;=40,22,24)))))))))))))</f>
        <v>0</v>
      </c>
      <c r="S361" s="14" t="n">
        <f aca="false">ROUND((Q361+R361+I361+J361+M361+N361)/3,0)</f>
        <v>25</v>
      </c>
      <c r="T361" s="15" t="n">
        <f aca="false">F361*LOG10(S361+2)</f>
        <v>2.86272752831797</v>
      </c>
    </row>
    <row r="362" customFormat="false" ht="14.65" hidden="false" customHeight="true" outlineLevel="0" collapsed="false">
      <c r="A362" s="12" t="s">
        <v>404</v>
      </c>
      <c r="B362" s="13" t="n">
        <v>38879</v>
      </c>
      <c r="C362" s="3" t="s">
        <v>24</v>
      </c>
      <c r="D362" s="4" t="s">
        <v>398</v>
      </c>
      <c r="E362" s="3" t="n">
        <v>4</v>
      </c>
      <c r="F362" s="3" t="n">
        <v>2</v>
      </c>
      <c r="G362" s="3" t="n">
        <v>60</v>
      </c>
      <c r="I362" s="3" t="n">
        <f aca="false">_xlfn.IFS(G362="взв",11,G362="накл",24,G362="прокл",25,G362="пт",26,G362=90,10,G362=85,10,G362=80,9,G362=75,8,G362=70,8,G362=65,7,G362=60,7,G362=55,6,G362=50,6,G362=45,6,G362=40,5,G362=35,4,G362=30,4,G362=25,3,G362=20,2,G362=15,1,G362=10,1,G362=0,0)</f>
        <v>7</v>
      </c>
      <c r="J362" s="3" t="n">
        <f aca="false">IF(H362&lt;=1,0,IF(H362&lt;=10,11,IF(H362&lt;=14,12,IF(H362&lt;=17,13,IF(H362&lt;=20,14,IF(H362&lt;=22,15,IF(H362&lt;=25,16,IF(H362&lt;=27,17,IF(H362&lt;=29,18,IF(H362&lt;=32,19,IF(H362&lt;=34,20,IF(H362&lt;=36,21,IF(H362&lt;=40,22,24)))))))))))))</f>
        <v>0</v>
      </c>
      <c r="K362" s="3" t="n">
        <v>75</v>
      </c>
      <c r="M362" s="3" t="n">
        <f aca="false">_xlfn.IFS(K362="взв",11,K362="накл",24,K362="прокл",25,K362="пт",26,K362=90,10,K362=85,10,K362=80,9,K362=75,8,K362=70,8,K362=65,7,K362=60,7,K362=55,6,K362=50,6,K362=45,6,K362=40,5,K362=35,4,K362=30,4,K362=25,3,K362=20,2,K362=15,1,K362=10,1,K362=0,0)</f>
        <v>8</v>
      </c>
      <c r="N362" s="3" t="n">
        <f aca="false">IF(L362&lt;=1,0,IF(L362&lt;=10,11,IF(L362&lt;=14,12,IF(L362&lt;=17,13,IF(L362&lt;=20,14,IF(L362&lt;=22,15,IF(L362&lt;=25,16,IF(L362&lt;=27,17,IF(L362&lt;=29,18,IF(L362&lt;=32,19,IF(L362&lt;=34,20,IF(L362&lt;=36,21,IF(L362&lt;=40,22,24)))))))))))))</f>
        <v>0</v>
      </c>
      <c r="O362" s="3" t="n">
        <v>60</v>
      </c>
      <c r="Q362" s="3" t="n">
        <f aca="false">_xlfn.IFS(O362="взв",11,O362="накл",24,O362="прокл",25,O362="пт",26,O362=90,10,O362=85,10,O362=80,9,O362=75,8,O362=70,8,O362=65,7,O362=60,7,O362=55,6,O362=50,6,O362=45,6,O362=40,5,O362=35,4,O362=30,4,O362=25,3,O362=20,2,O362=15,1,O362=10,1,O362=0,0)</f>
        <v>7</v>
      </c>
      <c r="R362" s="3" t="n">
        <f aca="false">IF(P362&lt;=1,0,IF(P362&lt;=10,11,IF(P362&lt;=14,12,IF(P362&lt;=17,13,IF(P362&lt;=20,14,IF(P362&lt;=22,15,IF(P362&lt;=25,16,IF(P362&lt;=27,17,IF(P362&lt;=29,18,IF(P362&lt;=32,19,IF(P362&lt;=34,20,IF(P362&lt;=36,21,IF(P362&lt;=40,22,24)))))))))))))</f>
        <v>0</v>
      </c>
      <c r="S362" s="14" t="n">
        <f aca="false">ROUND((Q362+R362+I362+J362+M362+N362)/3,0)</f>
        <v>7</v>
      </c>
      <c r="T362" s="15" t="n">
        <f aca="false">F362*LOG10(S362+2)</f>
        <v>1.90848501887865</v>
      </c>
    </row>
    <row r="363" customFormat="false" ht="14.65" hidden="false" customHeight="true" outlineLevel="0" collapsed="false">
      <c r="A363" s="12" t="s">
        <v>405</v>
      </c>
      <c r="B363" s="13" t="n">
        <v>38879</v>
      </c>
      <c r="C363" s="3" t="s">
        <v>24</v>
      </c>
      <c r="D363" s="4" t="s">
        <v>398</v>
      </c>
      <c r="E363" s="3" t="n">
        <v>5</v>
      </c>
      <c r="F363" s="3" t="n">
        <v>2</v>
      </c>
      <c r="G363" s="3" t="n">
        <v>90</v>
      </c>
      <c r="I363" s="3" t="n">
        <f aca="false">_xlfn.IFS(G363="взв",11,G363="накл",24,G363="прокл",25,G363="пт",26,G363=90,10,G363=85,10,G363=80,9,G363=75,8,G363=70,8,G363=65,7,G363=60,7,G363=55,6,G363=50,6,G363=45,6,G363=40,5,G363=35,4,G363=30,4,G363=25,3,G363=20,2,G363=15,1,G363=10,1,G363=0,0)</f>
        <v>10</v>
      </c>
      <c r="J363" s="3" t="n">
        <f aca="false">IF(H363&lt;=1,0,IF(H363&lt;=10,11,IF(H363&lt;=14,12,IF(H363&lt;=17,13,IF(H363&lt;=20,14,IF(H363&lt;=22,15,IF(H363&lt;=25,16,IF(H363&lt;=27,17,IF(H363&lt;=29,18,IF(H363&lt;=32,19,IF(H363&lt;=34,20,IF(H363&lt;=36,21,IF(H363&lt;=40,22,24)))))))))))))</f>
        <v>0</v>
      </c>
      <c r="L363" s="3" t="n">
        <v>24</v>
      </c>
      <c r="M363" s="3" t="n">
        <f aca="false">_xlfn.IFS(K363="взв",11,K363="накл",24,K363="прокл",25,K363="пт",26,K363=90,10,K363=85,10,K363=80,9,K363=75,8,K363=70,8,K363=65,7,K363=60,7,K363=55,6,K363=50,6,K363=45,6,K363=40,5,K363=35,4,K363=30,4,K363=25,3,K363=20,2,K363=15,1,K363=10,1,K363=0,0)</f>
        <v>0</v>
      </c>
      <c r="N363" s="3" t="n">
        <f aca="false">IF(L363&lt;=1,0,IF(L363&lt;=10,11,IF(L363&lt;=14,12,IF(L363&lt;=17,13,IF(L363&lt;=20,14,IF(L363&lt;=22,15,IF(L363&lt;=25,16,IF(L363&lt;=27,17,IF(L363&lt;=29,18,IF(L363&lt;=32,19,IF(L363&lt;=34,20,IF(L363&lt;=36,21,IF(L363&lt;=40,22,24)))))))))))))</f>
        <v>16</v>
      </c>
      <c r="O363" s="3" t="n">
        <v>90</v>
      </c>
      <c r="Q363" s="3" t="n">
        <f aca="false">_xlfn.IFS(O363="взв",11,O363="накл",24,O363="прокл",25,O363="пт",26,O363=90,10,O363=85,10,O363=80,9,O363=75,8,O363=70,8,O363=65,7,O363=60,7,O363=55,6,O363=50,6,O363=45,6,O363=40,5,O363=35,4,O363=30,4,O363=25,3,O363=20,2,O363=15,1,O363=10,1,O363=0,0)</f>
        <v>10</v>
      </c>
      <c r="R363" s="3" t="n">
        <f aca="false">IF(P363&lt;=1,0,IF(P363&lt;=10,11,IF(P363&lt;=14,12,IF(P363&lt;=17,13,IF(P363&lt;=20,14,IF(P363&lt;=22,15,IF(P363&lt;=25,16,IF(P363&lt;=27,17,IF(P363&lt;=29,18,IF(P363&lt;=32,19,IF(P363&lt;=34,20,IF(P363&lt;=36,21,IF(P363&lt;=40,22,24)))))))))))))</f>
        <v>0</v>
      </c>
      <c r="S363" s="14" t="n">
        <f aca="false">ROUND((Q363+R363+I363+J363+M363+N363)/3,0)</f>
        <v>12</v>
      </c>
      <c r="T363" s="15" t="n">
        <f aca="false">F363*LOG10(S363+2)</f>
        <v>2.29225607135648</v>
      </c>
    </row>
    <row r="364" customFormat="false" ht="14.65" hidden="false" customHeight="true" outlineLevel="0" collapsed="false">
      <c r="A364" s="12" t="s">
        <v>406</v>
      </c>
      <c r="B364" s="13" t="n">
        <v>38879</v>
      </c>
      <c r="C364" s="3" t="s">
        <v>24</v>
      </c>
      <c r="D364" s="4" t="s">
        <v>398</v>
      </c>
      <c r="E364" s="3" t="n">
        <v>5</v>
      </c>
      <c r="F364" s="3" t="n">
        <v>2</v>
      </c>
      <c r="H364" s="3" t="n">
        <v>36</v>
      </c>
      <c r="I364" s="3" t="n">
        <f aca="false">_xlfn.IFS(G364="взв",11,G364="накл",24,G364="прокл",25,G364="пт",26,G364=90,10,G364=85,10,G364=80,9,G364=75,8,G364=70,8,G364=65,7,G364=60,7,G364=55,6,G364=50,6,G364=45,6,G364=40,5,G364=35,4,G364=30,4,G364=25,3,G364=20,2,G364=15,1,G364=10,1,G364=0,0)</f>
        <v>0</v>
      </c>
      <c r="J364" s="3" t="n">
        <f aca="false">IF(H364&lt;=1,0,IF(H364&lt;=10,11,IF(H364&lt;=14,12,IF(H364&lt;=17,13,IF(H364&lt;=20,14,IF(H364&lt;=22,15,IF(H364&lt;=25,16,IF(H364&lt;=27,17,IF(H364&lt;=29,18,IF(H364&lt;=32,19,IF(H364&lt;=34,20,IF(H364&lt;=36,21,IF(H364&lt;=40,22,24)))))))))))))</f>
        <v>21</v>
      </c>
      <c r="L364" s="3" t="n">
        <v>34</v>
      </c>
      <c r="M364" s="3" t="n">
        <f aca="false">_xlfn.IFS(K364="взв",11,K364="накл",24,K364="прокл",25,K364="пт",26,K364=90,10,K364=85,10,K364=80,9,K364=75,8,K364=70,8,K364=65,7,K364=60,7,K364=55,6,K364=50,6,K364=45,6,K364=40,5,K364=35,4,K364=30,4,K364=25,3,K364=20,2,K364=15,1,K364=10,1,K364=0,0)</f>
        <v>0</v>
      </c>
      <c r="N364" s="3" t="n">
        <f aca="false">IF(L364&lt;=1,0,IF(L364&lt;=10,11,IF(L364&lt;=14,12,IF(L364&lt;=17,13,IF(L364&lt;=20,14,IF(L364&lt;=22,15,IF(L364&lt;=25,16,IF(L364&lt;=27,17,IF(L364&lt;=29,18,IF(L364&lt;=32,19,IF(L364&lt;=34,20,IF(L364&lt;=36,21,IF(L364&lt;=40,22,24)))))))))))))</f>
        <v>20</v>
      </c>
      <c r="P364" s="3" t="n">
        <v>38</v>
      </c>
      <c r="Q364" s="3" t="n">
        <f aca="false">_xlfn.IFS(O364="взв",11,O364="накл",24,O364="прокл",25,O364="пт",26,O364=90,10,O364=85,10,O364=80,9,O364=75,8,O364=70,8,O364=65,7,O364=60,7,O364=55,6,O364=50,6,O364=45,6,O364=40,5,O364=35,4,O364=30,4,O364=25,3,O364=20,2,O364=15,1,O364=10,1,O364=0,0)</f>
        <v>0</v>
      </c>
      <c r="R364" s="3" t="n">
        <f aca="false">IF(P364&lt;=1,0,IF(P364&lt;=10,11,IF(P364&lt;=14,12,IF(P364&lt;=17,13,IF(P364&lt;=20,14,IF(P364&lt;=22,15,IF(P364&lt;=25,16,IF(P364&lt;=27,17,IF(P364&lt;=29,18,IF(P364&lt;=32,19,IF(P364&lt;=34,20,IF(P364&lt;=36,21,IF(P364&lt;=40,22,24)))))))))))))</f>
        <v>22</v>
      </c>
      <c r="S364" s="14" t="n">
        <f aca="false">ROUND((Q364+R364+I364+J364+M364+N364)/3,0)</f>
        <v>21</v>
      </c>
      <c r="T364" s="15" t="n">
        <f aca="false">F364*LOG10(S364+2)</f>
        <v>2.72345567203519</v>
      </c>
    </row>
    <row r="365" customFormat="false" ht="14.65" hidden="false" customHeight="true" outlineLevel="0" collapsed="false">
      <c r="A365" s="12" t="s">
        <v>407</v>
      </c>
      <c r="B365" s="13" t="n">
        <v>38879</v>
      </c>
      <c r="C365" s="3" t="s">
        <v>24</v>
      </c>
      <c r="D365" s="4" t="s">
        <v>398</v>
      </c>
      <c r="E365" s="3" t="n">
        <v>5</v>
      </c>
      <c r="F365" s="3" t="n">
        <v>2</v>
      </c>
      <c r="H365" s="3" t="n">
        <v>30</v>
      </c>
      <c r="I365" s="3" t="n">
        <f aca="false">_xlfn.IFS(G365="взв",11,G365="накл",24,G365="прокл",25,G365="пт",26,G365=90,10,G365=85,10,G365=80,9,G365=75,8,G365=70,8,G365=65,7,G365=60,7,G365=55,6,G365=50,6,G365=45,6,G365=40,5,G365=35,4,G365=30,4,G365=25,3,G365=20,2,G365=15,1,G365=10,1,G365=0,0)</f>
        <v>0</v>
      </c>
      <c r="J365" s="3" t="n">
        <f aca="false">IF(H365&lt;=1,0,IF(H365&lt;=10,11,IF(H365&lt;=14,12,IF(H365&lt;=17,13,IF(H365&lt;=20,14,IF(H365&lt;=22,15,IF(H365&lt;=25,16,IF(H365&lt;=27,17,IF(H365&lt;=29,18,IF(H365&lt;=32,19,IF(H365&lt;=34,20,IF(H365&lt;=36,21,IF(H365&lt;=40,22,24)))))))))))))</f>
        <v>19</v>
      </c>
      <c r="L365" s="3" t="n">
        <v>35</v>
      </c>
      <c r="M365" s="3" t="n">
        <f aca="false">_xlfn.IFS(K365="взв",11,K365="накл",24,K365="прокл",25,K365="пт",26,K365=90,10,K365=85,10,K365=80,9,K365=75,8,K365=70,8,K365=65,7,K365=60,7,K365=55,6,K365=50,6,K365=45,6,K365=40,5,K365=35,4,K365=30,4,K365=25,3,K365=20,2,K365=15,1,K365=10,1,K365=0,0)</f>
        <v>0</v>
      </c>
      <c r="N365" s="3" t="n">
        <f aca="false">IF(L365&lt;=1,0,IF(L365&lt;=10,11,IF(L365&lt;=14,12,IF(L365&lt;=17,13,IF(L365&lt;=20,14,IF(L365&lt;=22,15,IF(L365&lt;=25,16,IF(L365&lt;=27,17,IF(L365&lt;=29,18,IF(L365&lt;=32,19,IF(L365&lt;=34,20,IF(L365&lt;=36,21,IF(L365&lt;=40,22,24)))))))))))))</f>
        <v>21</v>
      </c>
      <c r="P365" s="3" t="n">
        <v>33</v>
      </c>
      <c r="Q365" s="3" t="n">
        <f aca="false">_xlfn.IFS(O365="взв",11,O365="накл",24,O365="прокл",25,O365="пт",26,O365=90,10,O365=85,10,O365=80,9,O365=75,8,O365=70,8,O365=65,7,O365=60,7,O365=55,6,O365=50,6,O365=45,6,O365=40,5,O365=35,4,O365=30,4,O365=25,3,O365=20,2,O365=15,1,O365=10,1,O365=0,0)</f>
        <v>0</v>
      </c>
      <c r="R365" s="3" t="n">
        <f aca="false">IF(P365&lt;=1,0,IF(P365&lt;=10,11,IF(P365&lt;=14,12,IF(P365&lt;=17,13,IF(P365&lt;=20,14,IF(P365&lt;=22,15,IF(P365&lt;=25,16,IF(P365&lt;=27,17,IF(P365&lt;=29,18,IF(P365&lt;=32,19,IF(P365&lt;=34,20,IF(P365&lt;=36,21,IF(P365&lt;=40,22,24)))))))))))))</f>
        <v>20</v>
      </c>
      <c r="S365" s="14" t="n">
        <f aca="false">ROUND((Q365+R365+I365+J365+M365+N365)/3,0)</f>
        <v>20</v>
      </c>
      <c r="T365" s="15" t="n">
        <f aca="false">F365*LOG10(S365+2)</f>
        <v>2.68484536164441</v>
      </c>
    </row>
    <row r="366" customFormat="false" ht="14.65" hidden="false" customHeight="true" outlineLevel="0" collapsed="false">
      <c r="A366" s="12" t="s">
        <v>408</v>
      </c>
      <c r="B366" s="13" t="n">
        <v>38879</v>
      </c>
      <c r="C366" s="3" t="s">
        <v>24</v>
      </c>
      <c r="D366" s="4" t="s">
        <v>398</v>
      </c>
      <c r="E366" s="3" t="n">
        <v>4</v>
      </c>
      <c r="F366" s="3" t="n">
        <v>2</v>
      </c>
      <c r="H366" s="3" t="n">
        <v>36</v>
      </c>
      <c r="I366" s="3" t="n">
        <f aca="false">_xlfn.IFS(G366="взв",11,G366="накл",24,G366="прокл",25,G366="пт",26,G366=90,10,G366=85,10,G366=80,9,G366=75,8,G366=70,8,G366=65,7,G366=60,7,G366=55,6,G366=50,6,G366=45,6,G366=40,5,G366=35,4,G366=30,4,G366=25,3,G366=20,2,G366=15,1,G366=10,1,G366=0,0)</f>
        <v>0</v>
      </c>
      <c r="J366" s="3" t="n">
        <f aca="false">IF(H366&lt;=1,0,IF(H366&lt;=10,11,IF(H366&lt;=14,12,IF(H366&lt;=17,13,IF(H366&lt;=20,14,IF(H366&lt;=22,15,IF(H366&lt;=25,16,IF(H366&lt;=27,17,IF(H366&lt;=29,18,IF(H366&lt;=32,19,IF(H366&lt;=34,20,IF(H366&lt;=36,21,IF(H366&lt;=40,22,24)))))))))))))</f>
        <v>21</v>
      </c>
      <c r="L366" s="3" t="n">
        <v>36</v>
      </c>
      <c r="M366" s="3" t="n">
        <f aca="false">_xlfn.IFS(K366="взв",11,K366="накл",24,K366="прокл",25,K366="пт",26,K366=90,10,K366=85,10,K366=80,9,K366=75,8,K366=70,8,K366=65,7,K366=60,7,K366=55,6,K366=50,6,K366=45,6,K366=40,5,K366=35,4,K366=30,4,K366=25,3,K366=20,2,K366=15,1,K366=10,1,K366=0,0)</f>
        <v>0</v>
      </c>
      <c r="N366" s="3" t="n">
        <f aca="false">IF(L366&lt;=1,0,IF(L366&lt;=10,11,IF(L366&lt;=14,12,IF(L366&lt;=17,13,IF(L366&lt;=20,14,IF(L366&lt;=22,15,IF(L366&lt;=25,16,IF(L366&lt;=27,17,IF(L366&lt;=29,18,IF(L366&lt;=32,19,IF(L366&lt;=34,20,IF(L366&lt;=36,21,IF(L366&lt;=40,22,24)))))))))))))</f>
        <v>21</v>
      </c>
      <c r="P366" s="3" t="n">
        <v>37</v>
      </c>
      <c r="Q366" s="3" t="n">
        <f aca="false">_xlfn.IFS(O366="взв",11,O366="накл",24,O366="прокл",25,O366="пт",26,O366=90,10,O366=85,10,O366=80,9,O366=75,8,O366=70,8,O366=65,7,O366=60,7,O366=55,6,O366=50,6,O366=45,6,O366=40,5,O366=35,4,O366=30,4,O366=25,3,O366=20,2,O366=15,1,O366=10,1,O366=0,0)</f>
        <v>0</v>
      </c>
      <c r="R366" s="3" t="n">
        <f aca="false">IF(P366&lt;=1,0,IF(P366&lt;=10,11,IF(P366&lt;=14,12,IF(P366&lt;=17,13,IF(P366&lt;=20,14,IF(P366&lt;=22,15,IF(P366&lt;=25,16,IF(P366&lt;=27,17,IF(P366&lt;=29,18,IF(P366&lt;=32,19,IF(P366&lt;=34,20,IF(P366&lt;=36,21,IF(P366&lt;=40,22,24)))))))))))))</f>
        <v>22</v>
      </c>
      <c r="S366" s="14" t="n">
        <f aca="false">ROUND((Q366+R366+I366+J366+M366+N366)/3,0)</f>
        <v>21</v>
      </c>
      <c r="T366" s="15" t="n">
        <f aca="false">F366*LOG10(S366+2)</f>
        <v>2.72345567203519</v>
      </c>
    </row>
    <row r="367" customFormat="false" ht="14.65" hidden="false" customHeight="true" outlineLevel="0" collapsed="false">
      <c r="A367" s="12" t="s">
        <v>409</v>
      </c>
      <c r="B367" s="13" t="n">
        <v>38879</v>
      </c>
      <c r="C367" s="3" t="s">
        <v>24</v>
      </c>
      <c r="D367" s="4" t="s">
        <v>398</v>
      </c>
      <c r="E367" s="3" t="n">
        <v>5</v>
      </c>
      <c r="F367" s="3" t="n">
        <v>2</v>
      </c>
      <c r="G367" s="3" t="n">
        <v>90</v>
      </c>
      <c r="I367" s="3" t="n">
        <f aca="false">_xlfn.IFS(G367="взв",11,G367="накл",24,G367="прокл",25,G367="пт",26,G367=90,10,G367=85,10,G367=80,9,G367=75,8,G367=70,8,G367=65,7,G367=60,7,G367=55,6,G367=50,6,G367=45,6,G367=40,5,G367=35,4,G367=30,4,G367=25,3,G367=20,2,G367=15,1,G367=10,1,G367=0,0)</f>
        <v>10</v>
      </c>
      <c r="J367" s="3" t="n">
        <f aca="false">IF(H367&lt;=1,0,IF(H367&lt;=10,11,IF(H367&lt;=14,12,IF(H367&lt;=17,13,IF(H367&lt;=20,14,IF(H367&lt;=22,15,IF(H367&lt;=25,16,IF(H367&lt;=27,17,IF(H367&lt;=29,18,IF(H367&lt;=32,19,IF(H367&lt;=34,20,IF(H367&lt;=36,21,IF(H367&lt;=40,22,24)))))))))))))</f>
        <v>0</v>
      </c>
      <c r="K367" s="3" t="n">
        <v>90</v>
      </c>
      <c r="M367" s="3" t="n">
        <f aca="false">_xlfn.IFS(K367="взв",11,K367="накл",24,K367="прокл",25,K367="пт",26,K367=90,10,K367=85,10,K367=80,9,K367=75,8,K367=70,8,K367=65,7,K367=60,7,K367=55,6,K367=50,6,K367=45,6,K367=40,5,K367=35,4,K367=30,4,K367=25,3,K367=20,2,K367=15,1,K367=10,1,K367=0,0)</f>
        <v>10</v>
      </c>
      <c r="N367" s="3" t="n">
        <f aca="false">IF(L367&lt;=1,0,IF(L367&lt;=10,11,IF(L367&lt;=14,12,IF(L367&lt;=17,13,IF(L367&lt;=20,14,IF(L367&lt;=22,15,IF(L367&lt;=25,16,IF(L367&lt;=27,17,IF(L367&lt;=29,18,IF(L367&lt;=32,19,IF(L367&lt;=34,20,IF(L367&lt;=36,21,IF(L367&lt;=40,22,24)))))))))))))</f>
        <v>0</v>
      </c>
      <c r="P367" s="3" t="n">
        <v>20</v>
      </c>
      <c r="Q367" s="3" t="n">
        <f aca="false">_xlfn.IFS(O367="взв",11,O367="накл",24,O367="прокл",25,O367="пт",26,O367=90,10,O367=85,10,O367=80,9,O367=75,8,O367=70,8,O367=65,7,O367=60,7,O367=55,6,O367=50,6,O367=45,6,O367=40,5,O367=35,4,O367=30,4,O367=25,3,O367=20,2,O367=15,1,O367=10,1,O367=0,0)</f>
        <v>0</v>
      </c>
      <c r="R367" s="3" t="n">
        <f aca="false">IF(P367&lt;=1,0,IF(P367&lt;=10,11,IF(P367&lt;=14,12,IF(P367&lt;=17,13,IF(P367&lt;=20,14,IF(P367&lt;=22,15,IF(P367&lt;=25,16,IF(P367&lt;=27,17,IF(P367&lt;=29,18,IF(P367&lt;=32,19,IF(P367&lt;=34,20,IF(P367&lt;=36,21,IF(P367&lt;=40,22,24)))))))))))))</f>
        <v>14</v>
      </c>
      <c r="S367" s="14" t="n">
        <f aca="false">ROUND((Q367+R367+I367+J367+M367+N367)/3,0)</f>
        <v>11</v>
      </c>
      <c r="T367" s="15" t="n">
        <f aca="false">F367*LOG10(S367+2)</f>
        <v>2.22788670461367</v>
      </c>
    </row>
    <row r="368" customFormat="false" ht="14.65" hidden="false" customHeight="true" outlineLevel="0" collapsed="false">
      <c r="A368" s="12" t="s">
        <v>410</v>
      </c>
      <c r="B368" s="13" t="n">
        <v>38879</v>
      </c>
      <c r="C368" s="3" t="s">
        <v>24</v>
      </c>
      <c r="D368" s="4" t="s">
        <v>398</v>
      </c>
      <c r="E368" s="3" t="n">
        <v>7</v>
      </c>
      <c r="F368" s="3" t="n">
        <v>2</v>
      </c>
      <c r="G368" s="3" t="s">
        <v>27</v>
      </c>
      <c r="I368" s="3" t="n">
        <f aca="false">_xlfn.IFS(G368="взв",11,G368="накл",24,G368="прокл",25,G368="пт",26,G368=90,10,G368=85,10,G368=80,9,G368=75,8,G368=70,8,G368=65,7,G368=60,7,G368=55,6,G368=50,6,G368=45,6,G368=40,5,G368=35,4,G368=30,4,G368=25,3,G368=20,2,G368=15,1,G368=10,1,G368=0,0)</f>
        <v>24</v>
      </c>
      <c r="J368" s="3" t="n">
        <f aca="false">IF(H368&lt;=1,0,IF(H368&lt;=10,11,IF(H368&lt;=14,12,IF(H368&lt;=17,13,IF(H368&lt;=20,14,IF(H368&lt;=22,15,IF(H368&lt;=25,16,IF(H368&lt;=27,17,IF(H368&lt;=29,18,IF(H368&lt;=32,19,IF(H368&lt;=34,20,IF(H368&lt;=36,21,IF(H368&lt;=40,22,24)))))))))))))</f>
        <v>0</v>
      </c>
      <c r="K368" s="3" t="s">
        <v>27</v>
      </c>
      <c r="M368" s="3" t="n">
        <f aca="false">_xlfn.IFS(K368="взв",11,K368="накл",24,K368="прокл",25,K368="пт",26,K368=90,10,K368=85,10,K368=80,9,K368=75,8,K368=70,8,K368=65,7,K368=60,7,K368=55,6,K368=50,6,K368=45,6,K368=40,5,K368=35,4,K368=30,4,K368=25,3,K368=20,2,K368=15,1,K368=10,1,K368=0,0)</f>
        <v>24</v>
      </c>
      <c r="N368" s="3" t="n">
        <f aca="false">IF(L368&lt;=1,0,IF(L368&lt;=10,11,IF(L368&lt;=14,12,IF(L368&lt;=17,13,IF(L368&lt;=20,14,IF(L368&lt;=22,15,IF(L368&lt;=25,16,IF(L368&lt;=27,17,IF(L368&lt;=29,18,IF(L368&lt;=32,19,IF(L368&lt;=34,20,IF(L368&lt;=36,21,IF(L368&lt;=40,22,24)))))))))))))</f>
        <v>0</v>
      </c>
      <c r="O368" s="3" t="s">
        <v>27</v>
      </c>
      <c r="P368" s="0"/>
      <c r="Q368" s="3" t="n">
        <f aca="false">_xlfn.IFS(O368="взв",11,O368="накл",24,O368="прокл",25,O368="пт",26,O368=90,10,O368=85,10,O368=80,9,O368=75,8,O368=70,8,O368=65,7,O368=60,7,O368=55,6,O368=50,6,O368=45,6,O368=40,5,O368=35,4,O368=30,4,O368=25,3,O368=20,2,O368=15,1,O368=10,1,O368=0,0)</f>
        <v>24</v>
      </c>
      <c r="R368" s="3" t="n">
        <f aca="false">IF(P368&lt;=1,0,IF(P368&lt;=10,11,IF(P368&lt;=14,12,IF(P368&lt;=17,13,IF(P368&lt;=20,14,IF(P368&lt;=22,15,IF(P368&lt;=25,16,IF(P368&lt;=27,17,IF(P368&lt;=29,18,IF(P368&lt;=32,19,IF(P368&lt;=34,20,IF(P368&lt;=36,21,IF(P368&lt;=40,22,24)))))))))))))</f>
        <v>0</v>
      </c>
      <c r="S368" s="14" t="n">
        <f aca="false">ROUND((Q368+R368+I368+J368+M368+N368)/3,0)</f>
        <v>24</v>
      </c>
      <c r="T368" s="15" t="n">
        <f aca="false">F368*LOG10(S368+2)</f>
        <v>2.82994669594164</v>
      </c>
    </row>
    <row r="369" customFormat="false" ht="14.65" hidden="false" customHeight="true" outlineLevel="0" collapsed="false">
      <c r="A369" s="12" t="s">
        <v>411</v>
      </c>
      <c r="B369" s="13" t="n">
        <v>38879</v>
      </c>
      <c r="C369" s="3" t="s">
        <v>24</v>
      </c>
      <c r="D369" s="4" t="s">
        <v>398</v>
      </c>
      <c r="E369" s="3" t="n">
        <v>8</v>
      </c>
      <c r="F369" s="3" t="n">
        <v>2</v>
      </c>
      <c r="H369" s="3" t="n">
        <v>27</v>
      </c>
      <c r="I369" s="3" t="n">
        <f aca="false">_xlfn.IFS(G369="взв",11,G369="накл",24,G369="прокл",25,G369="пт",26,G369=90,10,G369=85,10,G369=80,9,G369=75,8,G369=70,8,G369=65,7,G369=60,7,G369=55,6,G369=50,6,G369=45,6,G369=40,5,G369=35,4,G369=30,4,G369=25,3,G369=20,2,G369=15,1,G369=10,1,G369=0,0)</f>
        <v>0</v>
      </c>
      <c r="J369" s="3" t="n">
        <f aca="false">IF(H369&lt;=1,0,IF(H369&lt;=10,11,IF(H369&lt;=14,12,IF(H369&lt;=17,13,IF(H369&lt;=20,14,IF(H369&lt;=22,15,IF(H369&lt;=25,16,IF(H369&lt;=27,17,IF(H369&lt;=29,18,IF(H369&lt;=32,19,IF(H369&lt;=34,20,IF(H369&lt;=36,21,IF(H369&lt;=40,22,24)))))))))))))</f>
        <v>17</v>
      </c>
      <c r="L369" s="3" t="n">
        <v>32</v>
      </c>
      <c r="M369" s="3" t="n">
        <f aca="false">_xlfn.IFS(K369="взв",11,K369="накл",24,K369="прокл",25,K369="пт",26,K369=90,10,K369=85,10,K369=80,9,K369=75,8,K369=70,8,K369=65,7,K369=60,7,K369=55,6,K369=50,6,K369=45,6,K369=40,5,K369=35,4,K369=30,4,K369=25,3,K369=20,2,K369=15,1,K369=10,1,K369=0,0)</f>
        <v>0</v>
      </c>
      <c r="N369" s="3" t="n">
        <f aca="false">IF(L369&lt;=1,0,IF(L369&lt;=10,11,IF(L369&lt;=14,12,IF(L369&lt;=17,13,IF(L369&lt;=20,14,IF(L369&lt;=22,15,IF(L369&lt;=25,16,IF(L369&lt;=27,17,IF(L369&lt;=29,18,IF(L369&lt;=32,19,IF(L369&lt;=34,20,IF(L369&lt;=36,21,IF(L369&lt;=40,22,24)))))))))))))</f>
        <v>19</v>
      </c>
      <c r="P369" s="3" t="n">
        <v>31</v>
      </c>
      <c r="Q369" s="3" t="n">
        <f aca="false">_xlfn.IFS(O369="взв",11,O369="накл",24,O369="прокл",25,O369="пт",26,O369=90,10,O369=85,10,O369=80,9,O369=75,8,O369=70,8,O369=65,7,O369=60,7,O369=55,6,O369=50,6,O369=45,6,O369=40,5,O369=35,4,O369=30,4,O369=25,3,O369=20,2,O369=15,1,O369=10,1,O369=0,0)</f>
        <v>0</v>
      </c>
      <c r="R369" s="3" t="n">
        <f aca="false">IF(P369&lt;=1,0,IF(P369&lt;=10,11,IF(P369&lt;=14,12,IF(P369&lt;=17,13,IF(P369&lt;=20,14,IF(P369&lt;=22,15,IF(P369&lt;=25,16,IF(P369&lt;=27,17,IF(P369&lt;=29,18,IF(P369&lt;=32,19,IF(P369&lt;=34,20,IF(P369&lt;=36,21,IF(P369&lt;=40,22,24)))))))))))))</f>
        <v>19</v>
      </c>
      <c r="S369" s="14" t="n">
        <f aca="false">ROUND((Q369+R369+I369+J369+M369+N369)/3,0)</f>
        <v>18</v>
      </c>
      <c r="T369" s="15" t="n">
        <f aca="false">F369*LOG10(S369+2)</f>
        <v>2.60205999132796</v>
      </c>
    </row>
    <row r="370" customFormat="false" ht="14.65" hidden="false" customHeight="true" outlineLevel="0" collapsed="false">
      <c r="A370" s="12" t="s">
        <v>412</v>
      </c>
      <c r="B370" s="13" t="n">
        <v>38879</v>
      </c>
      <c r="C370" s="3" t="s">
        <v>24</v>
      </c>
      <c r="D370" s="4" t="s">
        <v>398</v>
      </c>
      <c r="E370" s="3" t="n">
        <v>5</v>
      </c>
      <c r="F370" s="3" t="n">
        <v>2</v>
      </c>
      <c r="H370" s="3" t="n">
        <v>40</v>
      </c>
      <c r="I370" s="3" t="n">
        <f aca="false">_xlfn.IFS(G370="взв",11,G370="накл",24,G370="прокл",25,G370="пт",26,G370=90,10,G370=85,10,G370=80,9,G370=75,8,G370=70,8,G370=65,7,G370=60,7,G370=55,6,G370=50,6,G370=45,6,G370=40,5,G370=35,4,G370=30,4,G370=25,3,G370=20,2,G370=15,1,G370=10,1,G370=0,0)</f>
        <v>0</v>
      </c>
      <c r="J370" s="3" t="n">
        <f aca="false">IF(H370&lt;=1,0,IF(H370&lt;=10,11,IF(H370&lt;=14,12,IF(H370&lt;=17,13,IF(H370&lt;=20,14,IF(H370&lt;=22,15,IF(H370&lt;=25,16,IF(H370&lt;=27,17,IF(H370&lt;=29,18,IF(H370&lt;=32,19,IF(H370&lt;=34,20,IF(H370&lt;=36,21,IF(H370&lt;=40,22,24)))))))))))))</f>
        <v>22</v>
      </c>
      <c r="L370" s="3" t="n">
        <v>36</v>
      </c>
      <c r="M370" s="3" t="n">
        <f aca="false">_xlfn.IFS(K370="взв",11,K370="накл",24,K370="прокл",25,K370="пт",26,K370=90,10,K370=85,10,K370=80,9,K370=75,8,K370=70,8,K370=65,7,K370=60,7,K370=55,6,K370=50,6,K370=45,6,K370=40,5,K370=35,4,K370=30,4,K370=25,3,K370=20,2,K370=15,1,K370=10,1,K370=0,0)</f>
        <v>0</v>
      </c>
      <c r="N370" s="3" t="n">
        <f aca="false">IF(L370&lt;=1,0,IF(L370&lt;=10,11,IF(L370&lt;=14,12,IF(L370&lt;=17,13,IF(L370&lt;=20,14,IF(L370&lt;=22,15,IF(L370&lt;=25,16,IF(L370&lt;=27,17,IF(L370&lt;=29,18,IF(L370&lt;=32,19,IF(L370&lt;=34,20,IF(L370&lt;=36,21,IF(L370&lt;=40,22,24)))))))))))))</f>
        <v>21</v>
      </c>
      <c r="P370" s="3" t="n">
        <v>32</v>
      </c>
      <c r="Q370" s="3" t="n">
        <f aca="false">_xlfn.IFS(O370="взв",11,O370="накл",24,O370="прокл",25,O370="пт",26,O370=90,10,O370=85,10,O370=80,9,O370=75,8,O370=70,8,O370=65,7,O370=60,7,O370=55,6,O370=50,6,O370=45,6,O370=40,5,O370=35,4,O370=30,4,O370=25,3,O370=20,2,O370=15,1,O370=10,1,O370=0,0)</f>
        <v>0</v>
      </c>
      <c r="R370" s="3" t="n">
        <f aca="false">IF(P370&lt;=1,0,IF(P370&lt;=10,11,IF(P370&lt;=14,12,IF(P370&lt;=17,13,IF(P370&lt;=20,14,IF(P370&lt;=22,15,IF(P370&lt;=25,16,IF(P370&lt;=27,17,IF(P370&lt;=29,18,IF(P370&lt;=32,19,IF(P370&lt;=34,20,IF(P370&lt;=36,21,IF(P370&lt;=40,22,24)))))))))))))</f>
        <v>19</v>
      </c>
      <c r="S370" s="14" t="n">
        <f aca="false">ROUND((Q370+R370+I370+J370+M370+N370)/3,0)</f>
        <v>21</v>
      </c>
      <c r="T370" s="15" t="n">
        <f aca="false">F370*LOG10(S370+2)</f>
        <v>2.72345567203519</v>
      </c>
    </row>
    <row r="371" customFormat="false" ht="14.65" hidden="false" customHeight="true" outlineLevel="0" collapsed="false">
      <c r="A371" s="12" t="s">
        <v>413</v>
      </c>
      <c r="B371" s="13" t="n">
        <v>38879</v>
      </c>
      <c r="C371" s="3" t="s">
        <v>24</v>
      </c>
      <c r="D371" s="4" t="s">
        <v>398</v>
      </c>
      <c r="E371" s="3" t="n">
        <v>4</v>
      </c>
      <c r="F371" s="3" t="n">
        <v>2</v>
      </c>
      <c r="H371" s="3" t="n">
        <v>38</v>
      </c>
      <c r="I371" s="3" t="n">
        <f aca="false">_xlfn.IFS(G371="взв",11,G371="накл",24,G371="прокл",25,G371="пт",26,G371=90,10,G371=85,10,G371=80,9,G371=75,8,G371=70,8,G371=65,7,G371=60,7,G371=55,6,G371=50,6,G371=45,6,G371=40,5,G371=35,4,G371=30,4,G371=25,3,G371=20,2,G371=15,1,G371=10,1,G371=0,0)</f>
        <v>0</v>
      </c>
      <c r="J371" s="3" t="n">
        <f aca="false">IF(H371&lt;=1,0,IF(H371&lt;=10,11,IF(H371&lt;=14,12,IF(H371&lt;=17,13,IF(H371&lt;=20,14,IF(H371&lt;=22,15,IF(H371&lt;=25,16,IF(H371&lt;=27,17,IF(H371&lt;=29,18,IF(H371&lt;=32,19,IF(H371&lt;=34,20,IF(H371&lt;=36,21,IF(H371&lt;=40,22,24)))))))))))))</f>
        <v>22</v>
      </c>
      <c r="L371" s="3" t="n">
        <v>36</v>
      </c>
      <c r="M371" s="3" t="n">
        <f aca="false">_xlfn.IFS(K371="взв",11,K371="накл",24,K371="прокл",25,K371="пт",26,K371=90,10,K371=85,10,K371=80,9,K371=75,8,K371=70,8,K371=65,7,K371=60,7,K371=55,6,K371=50,6,K371=45,6,K371=40,5,K371=35,4,K371=30,4,K371=25,3,K371=20,2,K371=15,1,K371=10,1,K371=0,0)</f>
        <v>0</v>
      </c>
      <c r="N371" s="3" t="n">
        <f aca="false">IF(L371&lt;=1,0,IF(L371&lt;=10,11,IF(L371&lt;=14,12,IF(L371&lt;=17,13,IF(L371&lt;=20,14,IF(L371&lt;=22,15,IF(L371&lt;=25,16,IF(L371&lt;=27,17,IF(L371&lt;=29,18,IF(L371&lt;=32,19,IF(L371&lt;=34,20,IF(L371&lt;=36,21,IF(L371&lt;=40,22,24)))))))))))))</f>
        <v>21</v>
      </c>
      <c r="P371" s="3" t="n">
        <v>31</v>
      </c>
      <c r="Q371" s="3" t="n">
        <f aca="false">_xlfn.IFS(O371="взв",11,O371="накл",24,O371="прокл",25,O371="пт",26,O371=90,10,O371=85,10,O371=80,9,O371=75,8,O371=70,8,O371=65,7,O371=60,7,O371=55,6,O371=50,6,O371=45,6,O371=40,5,O371=35,4,O371=30,4,O371=25,3,O371=20,2,O371=15,1,O371=10,1,O371=0,0)</f>
        <v>0</v>
      </c>
      <c r="R371" s="3" t="n">
        <f aca="false">IF(P371&lt;=1,0,IF(P371&lt;=10,11,IF(P371&lt;=14,12,IF(P371&lt;=17,13,IF(P371&lt;=20,14,IF(P371&lt;=22,15,IF(P371&lt;=25,16,IF(P371&lt;=27,17,IF(P371&lt;=29,18,IF(P371&lt;=32,19,IF(P371&lt;=34,20,IF(P371&lt;=36,21,IF(P371&lt;=40,22,24)))))))))))))</f>
        <v>19</v>
      </c>
      <c r="S371" s="14" t="n">
        <f aca="false">ROUND((Q371+R371+I371+J371+M371+N371)/3,0)</f>
        <v>21</v>
      </c>
      <c r="T371" s="15" t="n">
        <f aca="false">F371*LOG10(S371+2)</f>
        <v>2.72345567203519</v>
      </c>
    </row>
    <row r="372" customFormat="false" ht="14.65" hidden="false" customHeight="true" outlineLevel="0" collapsed="false">
      <c r="A372" s="12" t="s">
        <v>414</v>
      </c>
      <c r="B372" s="13" t="n">
        <v>38879</v>
      </c>
      <c r="C372" s="3" t="s">
        <v>24</v>
      </c>
      <c r="D372" s="4" t="s">
        <v>398</v>
      </c>
      <c r="E372" s="3" t="n">
        <v>6</v>
      </c>
      <c r="F372" s="3" t="n">
        <v>3</v>
      </c>
      <c r="H372" s="3" t="n">
        <v>34</v>
      </c>
      <c r="I372" s="3" t="n">
        <f aca="false">_xlfn.IFS(G372="взв",11,G372="накл",24,G372="прокл",25,G372="пт",26,G372=90,10,G372=85,10,G372=80,9,G372=75,8,G372=70,8,G372=65,7,G372=60,7,G372=55,6,G372=50,6,G372=45,6,G372=40,5,G372=35,4,G372=30,4,G372=25,3,G372=20,2,G372=15,1,G372=10,1,G372=0,0)</f>
        <v>0</v>
      </c>
      <c r="J372" s="3" t="n">
        <f aca="false">IF(H372&lt;=1,0,IF(H372&lt;=10,11,IF(H372&lt;=14,12,IF(H372&lt;=17,13,IF(H372&lt;=20,14,IF(H372&lt;=22,15,IF(H372&lt;=25,16,IF(H372&lt;=27,17,IF(H372&lt;=29,18,IF(H372&lt;=32,19,IF(H372&lt;=34,20,IF(H372&lt;=36,21,IF(H372&lt;=40,22,24)))))))))))))</f>
        <v>20</v>
      </c>
      <c r="L372" s="3" t="n">
        <v>37</v>
      </c>
      <c r="M372" s="3" t="n">
        <f aca="false">_xlfn.IFS(K372="взв",11,K372="накл",24,K372="прокл",25,K372="пт",26,K372=90,10,K372=85,10,K372=80,9,K372=75,8,K372=70,8,K372=65,7,K372=60,7,K372=55,6,K372=50,6,K372=45,6,K372=40,5,K372=35,4,K372=30,4,K372=25,3,K372=20,2,K372=15,1,K372=10,1,K372=0,0)</f>
        <v>0</v>
      </c>
      <c r="N372" s="3" t="n">
        <f aca="false">IF(L372&lt;=1,0,IF(L372&lt;=10,11,IF(L372&lt;=14,12,IF(L372&lt;=17,13,IF(L372&lt;=20,14,IF(L372&lt;=22,15,IF(L372&lt;=25,16,IF(L372&lt;=27,17,IF(L372&lt;=29,18,IF(L372&lt;=32,19,IF(L372&lt;=34,20,IF(L372&lt;=36,21,IF(L372&lt;=40,22,24)))))))))))))</f>
        <v>22</v>
      </c>
      <c r="P372" s="3" t="n">
        <v>31</v>
      </c>
      <c r="Q372" s="3" t="n">
        <f aca="false">_xlfn.IFS(O372="взв",11,O372="накл",24,O372="прокл",25,O372="пт",26,O372=90,10,O372=85,10,O372=80,9,O372=75,8,O372=70,8,O372=65,7,O372=60,7,O372=55,6,O372=50,6,O372=45,6,O372=40,5,O372=35,4,O372=30,4,O372=25,3,O372=20,2,O372=15,1,O372=10,1,O372=0,0)</f>
        <v>0</v>
      </c>
      <c r="R372" s="3" t="n">
        <f aca="false">IF(P372&lt;=1,0,IF(P372&lt;=10,11,IF(P372&lt;=14,12,IF(P372&lt;=17,13,IF(P372&lt;=20,14,IF(P372&lt;=22,15,IF(P372&lt;=25,16,IF(P372&lt;=27,17,IF(P372&lt;=29,18,IF(P372&lt;=32,19,IF(P372&lt;=34,20,IF(P372&lt;=36,21,IF(P372&lt;=40,22,24)))))))))))))</f>
        <v>19</v>
      </c>
      <c r="S372" s="14" t="n">
        <f aca="false">ROUND((Q372+R372+I372+J372+M372+N372)/3,0)</f>
        <v>20</v>
      </c>
      <c r="T372" s="15" t="n">
        <f aca="false">F372*LOG10(S372+2)</f>
        <v>4.02726804246662</v>
      </c>
    </row>
    <row r="373" customFormat="false" ht="14.65" hidden="false" customHeight="true" outlineLevel="0" collapsed="false">
      <c r="A373" s="12" t="s">
        <v>415</v>
      </c>
      <c r="B373" s="13" t="n">
        <v>38879</v>
      </c>
      <c r="C373" s="3" t="s">
        <v>24</v>
      </c>
      <c r="D373" s="4" t="s">
        <v>398</v>
      </c>
      <c r="E373" s="3" t="n">
        <v>4</v>
      </c>
      <c r="F373" s="3" t="n">
        <v>3</v>
      </c>
      <c r="G373" s="3" t="s">
        <v>38</v>
      </c>
      <c r="I373" s="3" t="n">
        <f aca="false">_xlfn.IFS(G373="взв",11,G373="накл",24,G373="прокл",25,G373="пт",26,G373=90,10,G373=85,10,G373=80,9,G373=75,8,G373=70,8,G373=65,7,G373=60,7,G373=55,6,G373=50,6,G373=45,6,G373=40,5,G373=35,4,G373=30,4,G373=25,3,G373=20,2,G373=15,1,G373=10,1,G373=0,0)</f>
        <v>26</v>
      </c>
      <c r="J373" s="3" t="n">
        <f aca="false">IF(H373&lt;=1,0,IF(H373&lt;=10,11,IF(H373&lt;=14,12,IF(H373&lt;=17,13,IF(H373&lt;=20,14,IF(H373&lt;=22,15,IF(H373&lt;=25,16,IF(H373&lt;=27,17,IF(H373&lt;=29,18,IF(H373&lt;=32,19,IF(H373&lt;=34,20,IF(H373&lt;=36,21,IF(H373&lt;=40,22,24)))))))))))))</f>
        <v>0</v>
      </c>
      <c r="K373" s="3" t="s">
        <v>38</v>
      </c>
      <c r="M373" s="3" t="n">
        <f aca="false">_xlfn.IFS(K373="взв",11,K373="накл",24,K373="прокл",25,K373="пт",26,K373=90,10,K373=85,10,K373=80,9,K373=75,8,K373=70,8,K373=65,7,K373=60,7,K373=55,6,K373=50,6,K373=45,6,K373=40,5,K373=35,4,K373=30,4,K373=25,3,K373=20,2,K373=15,1,K373=10,1,K373=0,0)</f>
        <v>26</v>
      </c>
      <c r="N373" s="3" t="n">
        <f aca="false">IF(L373&lt;=1,0,IF(L373&lt;=10,11,IF(L373&lt;=14,12,IF(L373&lt;=17,13,IF(L373&lt;=20,14,IF(L373&lt;=22,15,IF(L373&lt;=25,16,IF(L373&lt;=27,17,IF(L373&lt;=29,18,IF(L373&lt;=32,19,IF(L373&lt;=34,20,IF(L373&lt;=36,21,IF(L373&lt;=40,22,24)))))))))))))</f>
        <v>0</v>
      </c>
      <c r="O373" s="3" t="s">
        <v>38</v>
      </c>
      <c r="Q373" s="3" t="n">
        <f aca="false">_xlfn.IFS(O373="взв",11,O373="накл",24,O373="прокл",25,O373="пт",26,O373=90,10,O373=85,10,O373=80,9,O373=75,8,O373=70,8,O373=65,7,O373=60,7,O373=55,6,O373=50,6,O373=45,6,O373=40,5,O373=35,4,O373=30,4,O373=25,3,O373=20,2,O373=15,1,O373=10,1,O373=0,0)</f>
        <v>26</v>
      </c>
      <c r="R373" s="3" t="n">
        <f aca="false">IF(P373&lt;=1,0,IF(P373&lt;=10,11,IF(P373&lt;=14,12,IF(P373&lt;=17,13,IF(P373&lt;=20,14,IF(P373&lt;=22,15,IF(P373&lt;=25,16,IF(P373&lt;=27,17,IF(P373&lt;=29,18,IF(P373&lt;=32,19,IF(P373&lt;=34,20,IF(P373&lt;=36,21,IF(P373&lt;=40,22,24)))))))))))))</f>
        <v>0</v>
      </c>
      <c r="S373" s="14" t="n">
        <f aca="false">ROUND((Q373+R373+I373+J373+M373+N373)/3,0)</f>
        <v>26</v>
      </c>
      <c r="T373" s="15" t="n">
        <f aca="false">F373*LOG10(S373+2)</f>
        <v>4.34147409402666</v>
      </c>
    </row>
    <row r="374" customFormat="false" ht="14.65" hidden="false" customHeight="true" outlineLevel="0" collapsed="false">
      <c r="A374" s="12" t="s">
        <v>416</v>
      </c>
      <c r="B374" s="13" t="n">
        <v>38879</v>
      </c>
      <c r="C374" s="3" t="s">
        <v>24</v>
      </c>
      <c r="D374" s="4" t="s">
        <v>398</v>
      </c>
      <c r="E374" s="3" t="n">
        <v>4</v>
      </c>
      <c r="F374" s="3" t="n">
        <v>3</v>
      </c>
      <c r="H374" s="3" t="n">
        <v>31</v>
      </c>
      <c r="I374" s="3" t="n">
        <f aca="false">_xlfn.IFS(G374="взв",11,G374="накл",24,G374="прокл",25,G374="пт",26,G374=90,10,G374=85,10,G374=80,9,G374=75,8,G374=70,8,G374=65,7,G374=60,7,G374=55,6,G374=50,6,G374=45,6,G374=40,5,G374=35,4,G374=30,4,G374=25,3,G374=20,2,G374=15,1,G374=10,1,G374=0,0)</f>
        <v>0</v>
      </c>
      <c r="J374" s="3" t="n">
        <f aca="false">IF(H374&lt;=1,0,IF(H374&lt;=10,11,IF(H374&lt;=14,12,IF(H374&lt;=17,13,IF(H374&lt;=20,14,IF(H374&lt;=22,15,IF(H374&lt;=25,16,IF(H374&lt;=27,17,IF(H374&lt;=29,18,IF(H374&lt;=32,19,IF(H374&lt;=34,20,IF(H374&lt;=36,21,IF(H374&lt;=40,22,24)))))))))))))</f>
        <v>19</v>
      </c>
      <c r="L374" s="3" t="n">
        <v>27</v>
      </c>
      <c r="M374" s="3" t="n">
        <f aca="false">_xlfn.IFS(K374="взв",11,K374="накл",24,K374="прокл",25,K374="пт",26,K374=90,10,K374=85,10,K374=80,9,K374=75,8,K374=70,8,K374=65,7,K374=60,7,K374=55,6,K374=50,6,K374=45,6,K374=40,5,K374=35,4,K374=30,4,K374=25,3,K374=20,2,K374=15,1,K374=10,1,K374=0,0)</f>
        <v>0</v>
      </c>
      <c r="N374" s="3" t="n">
        <f aca="false">IF(L374&lt;=1,0,IF(L374&lt;=10,11,IF(L374&lt;=14,12,IF(L374&lt;=17,13,IF(L374&lt;=20,14,IF(L374&lt;=22,15,IF(L374&lt;=25,16,IF(L374&lt;=27,17,IF(L374&lt;=29,18,IF(L374&lt;=32,19,IF(L374&lt;=34,20,IF(L374&lt;=36,21,IF(L374&lt;=40,22,24)))))))))))))</f>
        <v>17</v>
      </c>
      <c r="P374" s="3" t="n">
        <v>29</v>
      </c>
      <c r="Q374" s="3" t="n">
        <f aca="false">_xlfn.IFS(O374="взв",11,O374="накл",24,O374="прокл",25,O374="пт",26,O374=90,10,O374=85,10,O374=80,9,O374=75,8,O374=70,8,O374=65,7,O374=60,7,O374=55,6,O374=50,6,O374=45,6,O374=40,5,O374=35,4,O374=30,4,O374=25,3,O374=20,2,O374=15,1,O374=10,1,O374=0,0)</f>
        <v>0</v>
      </c>
      <c r="R374" s="3" t="n">
        <f aca="false">IF(P374&lt;=1,0,IF(P374&lt;=10,11,IF(P374&lt;=14,12,IF(P374&lt;=17,13,IF(P374&lt;=20,14,IF(P374&lt;=22,15,IF(P374&lt;=25,16,IF(P374&lt;=27,17,IF(P374&lt;=29,18,IF(P374&lt;=32,19,IF(P374&lt;=34,20,IF(P374&lt;=36,21,IF(P374&lt;=40,22,24)))))))))))))</f>
        <v>18</v>
      </c>
      <c r="S374" s="14" t="n">
        <f aca="false">ROUND((Q374+R374+I374+J374+M374+N374)/3,0)</f>
        <v>18</v>
      </c>
      <c r="T374" s="15" t="n">
        <f aca="false">F374*LOG10(S374+2)</f>
        <v>3.90308998699194</v>
      </c>
    </row>
    <row r="375" customFormat="false" ht="14.65" hidden="false" customHeight="true" outlineLevel="0" collapsed="false">
      <c r="A375" s="12" t="s">
        <v>417</v>
      </c>
      <c r="B375" s="13" t="n">
        <v>38879</v>
      </c>
      <c r="C375" s="3" t="s">
        <v>24</v>
      </c>
      <c r="D375" s="4" t="s">
        <v>398</v>
      </c>
      <c r="E375" s="3" t="n">
        <v>6</v>
      </c>
      <c r="F375" s="3" t="n">
        <v>3</v>
      </c>
      <c r="H375" s="3" t="n">
        <v>33</v>
      </c>
      <c r="I375" s="3" t="n">
        <f aca="false">_xlfn.IFS(G375="взв",11,G375="накл",24,G375="прокл",25,G375="пт",26,G375=90,10,G375=85,10,G375=80,9,G375=75,8,G375=70,8,G375=65,7,G375=60,7,G375=55,6,G375=50,6,G375=45,6,G375=40,5,G375=35,4,G375=30,4,G375=25,3,G375=20,2,G375=15,1,G375=10,1,G375=0,0)</f>
        <v>0</v>
      </c>
      <c r="J375" s="3" t="n">
        <f aca="false">IF(H375&lt;=1,0,IF(H375&lt;=10,11,IF(H375&lt;=14,12,IF(H375&lt;=17,13,IF(H375&lt;=20,14,IF(H375&lt;=22,15,IF(H375&lt;=25,16,IF(H375&lt;=27,17,IF(H375&lt;=29,18,IF(H375&lt;=32,19,IF(H375&lt;=34,20,IF(H375&lt;=36,21,IF(H375&lt;=40,22,24)))))))))))))</f>
        <v>20</v>
      </c>
      <c r="L375" s="3" t="n">
        <v>32</v>
      </c>
      <c r="M375" s="3" t="n">
        <f aca="false">_xlfn.IFS(K375="взв",11,K375="накл",24,K375="прокл",25,K375="пт",26,K375=90,10,K375=85,10,K375=80,9,K375=75,8,K375=70,8,K375=65,7,K375=60,7,K375=55,6,K375=50,6,K375=45,6,K375=40,5,K375=35,4,K375=30,4,K375=25,3,K375=20,2,K375=15,1,K375=10,1,K375=0,0)</f>
        <v>0</v>
      </c>
      <c r="N375" s="3" t="n">
        <f aca="false">IF(L375&lt;=1,0,IF(L375&lt;=10,11,IF(L375&lt;=14,12,IF(L375&lt;=17,13,IF(L375&lt;=20,14,IF(L375&lt;=22,15,IF(L375&lt;=25,16,IF(L375&lt;=27,17,IF(L375&lt;=29,18,IF(L375&lt;=32,19,IF(L375&lt;=34,20,IF(L375&lt;=36,21,IF(L375&lt;=40,22,24)))))))))))))</f>
        <v>19</v>
      </c>
      <c r="P375" s="3" t="n">
        <v>30</v>
      </c>
      <c r="Q375" s="3" t="n">
        <f aca="false">_xlfn.IFS(O375="взв",11,O375="накл",24,O375="прокл",25,O375="пт",26,O375=90,10,O375=85,10,O375=80,9,O375=75,8,O375=70,8,O375=65,7,O375=60,7,O375=55,6,O375=50,6,O375=45,6,O375=40,5,O375=35,4,O375=30,4,O375=25,3,O375=20,2,O375=15,1,O375=10,1,O375=0,0)</f>
        <v>0</v>
      </c>
      <c r="R375" s="3" t="n">
        <f aca="false">IF(P375&lt;=1,0,IF(P375&lt;=10,11,IF(P375&lt;=14,12,IF(P375&lt;=17,13,IF(P375&lt;=20,14,IF(P375&lt;=22,15,IF(P375&lt;=25,16,IF(P375&lt;=27,17,IF(P375&lt;=29,18,IF(P375&lt;=32,19,IF(P375&lt;=34,20,IF(P375&lt;=36,21,IF(P375&lt;=40,22,24)))))))))))))</f>
        <v>19</v>
      </c>
      <c r="S375" s="14" t="n">
        <f aca="false">ROUND((Q375+R375+I375+J375+M375+N375)/3,0)</f>
        <v>19</v>
      </c>
      <c r="T375" s="15" t="n">
        <f aca="false">F375*LOG10(S375+2)</f>
        <v>3.96665788420176</v>
      </c>
    </row>
    <row r="376" customFormat="false" ht="14.65" hidden="false" customHeight="true" outlineLevel="0" collapsed="false">
      <c r="A376" s="12" t="s">
        <v>418</v>
      </c>
      <c r="B376" s="13" t="n">
        <v>38879</v>
      </c>
      <c r="C376" s="3" t="s">
        <v>24</v>
      </c>
      <c r="D376" s="4" t="s">
        <v>398</v>
      </c>
      <c r="E376" s="3" t="n">
        <v>5</v>
      </c>
      <c r="F376" s="3" t="n">
        <v>3</v>
      </c>
      <c r="G376" s="3" t="n">
        <v>90</v>
      </c>
      <c r="I376" s="3" t="n">
        <f aca="false">_xlfn.IFS(G376="взв",11,G376="накл",24,G376="прокл",25,G376="пт",26,G376=90,10,G376=85,10,G376=80,9,G376=75,8,G376=70,8,G376=65,7,G376=60,7,G376=55,6,G376=50,6,G376=45,6,G376=40,5,G376=35,4,G376=30,4,G376=25,3,G376=20,2,G376=15,1,G376=10,1,G376=0,0)</f>
        <v>10</v>
      </c>
      <c r="J376" s="3" t="n">
        <f aca="false">IF(H376&lt;=1,0,IF(H376&lt;=10,11,IF(H376&lt;=14,12,IF(H376&lt;=17,13,IF(H376&lt;=20,14,IF(H376&lt;=22,15,IF(H376&lt;=25,16,IF(H376&lt;=27,17,IF(H376&lt;=29,18,IF(H376&lt;=32,19,IF(H376&lt;=34,20,IF(H376&lt;=36,21,IF(H376&lt;=40,22,24)))))))))))))</f>
        <v>0</v>
      </c>
      <c r="K376" s="3" t="n">
        <v>90</v>
      </c>
      <c r="M376" s="3" t="n">
        <f aca="false">_xlfn.IFS(K376="взв",11,K376="накл",24,K376="прокл",25,K376="пт",26,K376=90,10,K376=85,10,K376=80,9,K376=75,8,K376=70,8,K376=65,7,K376=60,7,K376=55,6,K376=50,6,K376=45,6,K376=40,5,K376=35,4,K376=30,4,K376=25,3,K376=20,2,K376=15,1,K376=10,1,K376=0,0)</f>
        <v>10</v>
      </c>
      <c r="N376" s="3" t="n">
        <f aca="false">IF(L376&lt;=1,0,IF(L376&lt;=10,11,IF(L376&lt;=14,12,IF(L376&lt;=17,13,IF(L376&lt;=20,14,IF(L376&lt;=22,15,IF(L376&lt;=25,16,IF(L376&lt;=27,17,IF(L376&lt;=29,18,IF(L376&lt;=32,19,IF(L376&lt;=34,20,IF(L376&lt;=36,21,IF(L376&lt;=40,22,24)))))))))))))</f>
        <v>0</v>
      </c>
      <c r="O376" s="3" t="n">
        <v>90</v>
      </c>
      <c r="Q376" s="3" t="n">
        <f aca="false">_xlfn.IFS(O376="взв",11,O376="накл",24,O376="прокл",25,O376="пт",26,O376=90,10,O376=85,10,O376=80,9,O376=75,8,O376=70,8,O376=65,7,O376=60,7,O376=55,6,O376=50,6,O376=45,6,O376=40,5,O376=35,4,O376=30,4,O376=25,3,O376=20,2,O376=15,1,O376=10,1,O376=0,0)</f>
        <v>10</v>
      </c>
      <c r="R376" s="3" t="n">
        <f aca="false">IF(P376&lt;=1,0,IF(P376&lt;=10,11,IF(P376&lt;=14,12,IF(P376&lt;=17,13,IF(P376&lt;=20,14,IF(P376&lt;=22,15,IF(P376&lt;=25,16,IF(P376&lt;=27,17,IF(P376&lt;=29,18,IF(P376&lt;=32,19,IF(P376&lt;=34,20,IF(P376&lt;=36,21,IF(P376&lt;=40,22,24)))))))))))))</f>
        <v>0</v>
      </c>
      <c r="S376" s="14" t="n">
        <f aca="false">ROUND((Q376+R376+I376+J376+M376+N376)/3,0)</f>
        <v>10</v>
      </c>
      <c r="T376" s="15" t="n">
        <f aca="false">F376*LOG10(S376+2)</f>
        <v>3.23754373814287</v>
      </c>
    </row>
    <row r="377" customFormat="false" ht="14.65" hidden="false" customHeight="true" outlineLevel="0" collapsed="false">
      <c r="A377" s="12" t="s">
        <v>419</v>
      </c>
      <c r="B377" s="13" t="n">
        <v>38879</v>
      </c>
      <c r="C377" s="3" t="s">
        <v>24</v>
      </c>
      <c r="D377" s="4" t="s">
        <v>398</v>
      </c>
      <c r="E377" s="3" t="n">
        <v>5</v>
      </c>
      <c r="F377" s="3" t="n">
        <v>3</v>
      </c>
      <c r="H377" s="3" t="n">
        <v>27</v>
      </c>
      <c r="I377" s="3" t="n">
        <f aca="false">_xlfn.IFS(G377="взв",11,G377="накл",24,G377="прокл",25,G377="пт",26,G377=90,10,G377=85,10,G377=80,9,G377=75,8,G377=70,8,G377=65,7,G377=60,7,G377=55,6,G377=50,6,G377=45,6,G377=40,5,G377=35,4,G377=30,4,G377=25,3,G377=20,2,G377=15,1,G377=10,1,G377=0,0)</f>
        <v>0</v>
      </c>
      <c r="J377" s="3" t="n">
        <f aca="false">IF(H377&lt;=1,0,IF(H377&lt;=10,11,IF(H377&lt;=14,12,IF(H377&lt;=17,13,IF(H377&lt;=20,14,IF(H377&lt;=22,15,IF(H377&lt;=25,16,IF(H377&lt;=27,17,IF(H377&lt;=29,18,IF(H377&lt;=32,19,IF(H377&lt;=34,20,IF(H377&lt;=36,21,IF(H377&lt;=40,22,24)))))))))))))</f>
        <v>17</v>
      </c>
      <c r="L377" s="3" t="n">
        <v>24</v>
      </c>
      <c r="M377" s="3" t="n">
        <f aca="false">_xlfn.IFS(K377="взв",11,K377="накл",24,K377="прокл",25,K377="пт",26,K377=90,10,K377=85,10,K377=80,9,K377=75,8,K377=70,8,K377=65,7,K377=60,7,K377=55,6,K377=50,6,K377=45,6,K377=40,5,K377=35,4,K377=30,4,K377=25,3,K377=20,2,K377=15,1,K377=10,1,K377=0,0)</f>
        <v>0</v>
      </c>
      <c r="N377" s="3" t="n">
        <f aca="false">IF(L377&lt;=1,0,IF(L377&lt;=10,11,IF(L377&lt;=14,12,IF(L377&lt;=17,13,IF(L377&lt;=20,14,IF(L377&lt;=22,15,IF(L377&lt;=25,16,IF(L377&lt;=27,17,IF(L377&lt;=29,18,IF(L377&lt;=32,19,IF(L377&lt;=34,20,IF(L377&lt;=36,21,IF(L377&lt;=40,22,24)))))))))))))</f>
        <v>16</v>
      </c>
      <c r="P377" s="3" t="n">
        <v>28</v>
      </c>
      <c r="Q377" s="3" t="n">
        <f aca="false">_xlfn.IFS(O377="взв",11,O377="накл",24,O377="прокл",25,O377="пт",26,O377=90,10,O377=85,10,O377=80,9,O377=75,8,O377=70,8,O377=65,7,O377=60,7,O377=55,6,O377=50,6,O377=45,6,O377=40,5,O377=35,4,O377=30,4,O377=25,3,O377=20,2,O377=15,1,O377=10,1,O377=0,0)</f>
        <v>0</v>
      </c>
      <c r="R377" s="3" t="n">
        <f aca="false">IF(P377&lt;=1,0,IF(P377&lt;=10,11,IF(P377&lt;=14,12,IF(P377&lt;=17,13,IF(P377&lt;=20,14,IF(P377&lt;=22,15,IF(P377&lt;=25,16,IF(P377&lt;=27,17,IF(P377&lt;=29,18,IF(P377&lt;=32,19,IF(P377&lt;=34,20,IF(P377&lt;=36,21,IF(P377&lt;=40,22,24)))))))))))))</f>
        <v>18</v>
      </c>
      <c r="S377" s="14" t="n">
        <f aca="false">ROUND((Q377+R377+I377+J377+M377+N377)/3,0)</f>
        <v>17</v>
      </c>
      <c r="T377" s="15" t="n">
        <f aca="false">F377*LOG10(S377+2)</f>
        <v>3.83626080285849</v>
      </c>
    </row>
    <row r="378" customFormat="false" ht="14.65" hidden="false" customHeight="true" outlineLevel="0" collapsed="false">
      <c r="A378" s="12" t="s">
        <v>420</v>
      </c>
      <c r="B378" s="13" t="n">
        <v>38879</v>
      </c>
      <c r="C378" s="3" t="s">
        <v>24</v>
      </c>
      <c r="D378" s="4" t="s">
        <v>398</v>
      </c>
      <c r="E378" s="3" t="n">
        <v>4</v>
      </c>
      <c r="F378" s="3" t="n">
        <v>3</v>
      </c>
      <c r="H378" s="3" t="n">
        <v>30</v>
      </c>
      <c r="I378" s="3" t="n">
        <f aca="false">_xlfn.IFS(G378="взв",11,G378="накл",24,G378="прокл",25,G378="пт",26,G378=90,10,G378=85,10,G378=80,9,G378=75,8,G378=70,8,G378=65,7,G378=60,7,G378=55,6,G378=50,6,G378=45,6,G378=40,5,G378=35,4,G378=30,4,G378=25,3,G378=20,2,G378=15,1,G378=10,1,G378=0,0)</f>
        <v>0</v>
      </c>
      <c r="J378" s="3" t="n">
        <f aca="false">IF(H378&lt;=1,0,IF(H378&lt;=10,11,IF(H378&lt;=14,12,IF(H378&lt;=17,13,IF(H378&lt;=20,14,IF(H378&lt;=22,15,IF(H378&lt;=25,16,IF(H378&lt;=27,17,IF(H378&lt;=29,18,IF(H378&lt;=32,19,IF(H378&lt;=34,20,IF(H378&lt;=36,21,IF(H378&lt;=40,22,24)))))))))))))</f>
        <v>19</v>
      </c>
      <c r="L378" s="3" t="n">
        <v>32</v>
      </c>
      <c r="M378" s="3" t="n">
        <f aca="false">_xlfn.IFS(K378="взв",11,K378="накл",24,K378="прокл",25,K378="пт",26,K378=90,10,K378=85,10,K378=80,9,K378=75,8,K378=70,8,K378=65,7,K378=60,7,K378=55,6,K378=50,6,K378=45,6,K378=40,5,K378=35,4,K378=30,4,K378=25,3,K378=20,2,K378=15,1,K378=10,1,K378=0,0)</f>
        <v>0</v>
      </c>
      <c r="N378" s="3" t="n">
        <f aca="false">IF(L378&lt;=1,0,IF(L378&lt;=10,11,IF(L378&lt;=14,12,IF(L378&lt;=17,13,IF(L378&lt;=20,14,IF(L378&lt;=22,15,IF(L378&lt;=25,16,IF(L378&lt;=27,17,IF(L378&lt;=29,18,IF(L378&lt;=32,19,IF(L378&lt;=34,20,IF(L378&lt;=36,21,IF(L378&lt;=40,22,24)))))))))))))</f>
        <v>19</v>
      </c>
      <c r="P378" s="3" t="n">
        <v>32</v>
      </c>
      <c r="Q378" s="3" t="n">
        <f aca="false">_xlfn.IFS(O378="взв",11,O378="накл",24,O378="прокл",25,O378="пт",26,O378=90,10,O378=85,10,O378=80,9,O378=75,8,O378=70,8,O378=65,7,O378=60,7,O378=55,6,O378=50,6,O378=45,6,O378=40,5,O378=35,4,O378=30,4,O378=25,3,O378=20,2,O378=15,1,O378=10,1,O378=0,0)</f>
        <v>0</v>
      </c>
      <c r="R378" s="3" t="n">
        <f aca="false">IF(P378&lt;=1,0,IF(P378&lt;=10,11,IF(P378&lt;=14,12,IF(P378&lt;=17,13,IF(P378&lt;=20,14,IF(P378&lt;=22,15,IF(P378&lt;=25,16,IF(P378&lt;=27,17,IF(P378&lt;=29,18,IF(P378&lt;=32,19,IF(P378&lt;=34,20,IF(P378&lt;=36,21,IF(P378&lt;=40,22,24)))))))))))))</f>
        <v>19</v>
      </c>
      <c r="S378" s="14" t="n">
        <f aca="false">ROUND((Q378+R378+I378+J378+M378+N378)/3,0)</f>
        <v>19</v>
      </c>
      <c r="T378" s="15" t="n">
        <f aca="false">F378*LOG10(S378+2)</f>
        <v>3.96665788420176</v>
      </c>
    </row>
    <row r="379" customFormat="false" ht="14.65" hidden="false" customHeight="true" outlineLevel="0" collapsed="false">
      <c r="A379" s="12" t="s">
        <v>421</v>
      </c>
      <c r="B379" s="13" t="n">
        <v>38879</v>
      </c>
      <c r="C379" s="3" t="s">
        <v>24</v>
      </c>
      <c r="D379" s="4" t="s">
        <v>398</v>
      </c>
      <c r="E379" s="3" t="n">
        <v>4</v>
      </c>
      <c r="F379" s="3" t="n">
        <v>3</v>
      </c>
      <c r="H379" s="3" t="n">
        <v>30</v>
      </c>
      <c r="I379" s="3" t="n">
        <f aca="false">_xlfn.IFS(G379="взв",11,G379="накл",24,G379="прокл",25,G379="пт",26,G379=90,10,G379=85,10,G379=80,9,G379=75,8,G379=70,8,G379=65,7,G379=60,7,G379=55,6,G379=50,6,G379=45,6,G379=40,5,G379=35,4,G379=30,4,G379=25,3,G379=20,2,G379=15,1,G379=10,1,G379=0,0)</f>
        <v>0</v>
      </c>
      <c r="J379" s="3" t="n">
        <f aca="false">IF(H379&lt;=1,0,IF(H379&lt;=10,11,IF(H379&lt;=14,12,IF(H379&lt;=17,13,IF(H379&lt;=20,14,IF(H379&lt;=22,15,IF(H379&lt;=25,16,IF(H379&lt;=27,17,IF(H379&lt;=29,18,IF(H379&lt;=32,19,IF(H379&lt;=34,20,IF(H379&lt;=36,21,IF(H379&lt;=40,22,24)))))))))))))</f>
        <v>19</v>
      </c>
      <c r="L379" s="3" t="n">
        <v>37</v>
      </c>
      <c r="M379" s="3" t="n">
        <f aca="false">_xlfn.IFS(K379="взв",11,K379="накл",24,K379="прокл",25,K379="пт",26,K379=90,10,K379=85,10,K379=80,9,K379=75,8,K379=70,8,K379=65,7,K379=60,7,K379=55,6,K379=50,6,K379=45,6,K379=40,5,K379=35,4,K379=30,4,K379=25,3,K379=20,2,K379=15,1,K379=10,1,K379=0,0)</f>
        <v>0</v>
      </c>
      <c r="N379" s="3" t="n">
        <f aca="false">IF(L379&lt;=1,0,IF(L379&lt;=10,11,IF(L379&lt;=14,12,IF(L379&lt;=17,13,IF(L379&lt;=20,14,IF(L379&lt;=22,15,IF(L379&lt;=25,16,IF(L379&lt;=27,17,IF(L379&lt;=29,18,IF(L379&lt;=32,19,IF(L379&lt;=34,20,IF(L379&lt;=36,21,IF(L379&lt;=40,22,24)))))))))))))</f>
        <v>22</v>
      </c>
      <c r="P379" s="3" t="n">
        <v>31</v>
      </c>
      <c r="Q379" s="3" t="n">
        <f aca="false">_xlfn.IFS(O379="взв",11,O379="накл",24,O379="прокл",25,O379="пт",26,O379=90,10,O379=85,10,O379=80,9,O379=75,8,O379=70,8,O379=65,7,O379=60,7,O379=55,6,O379=50,6,O379=45,6,O379=40,5,O379=35,4,O379=30,4,O379=25,3,O379=20,2,O379=15,1,O379=10,1,O379=0,0)</f>
        <v>0</v>
      </c>
      <c r="R379" s="3" t="n">
        <f aca="false">IF(P379&lt;=1,0,IF(P379&lt;=10,11,IF(P379&lt;=14,12,IF(P379&lt;=17,13,IF(P379&lt;=20,14,IF(P379&lt;=22,15,IF(P379&lt;=25,16,IF(P379&lt;=27,17,IF(P379&lt;=29,18,IF(P379&lt;=32,19,IF(P379&lt;=34,20,IF(P379&lt;=36,21,IF(P379&lt;=40,22,24)))))))))))))</f>
        <v>19</v>
      </c>
      <c r="S379" s="14" t="n">
        <f aca="false">ROUND((Q379+R379+I379+J379+M379+N379)/3,0)</f>
        <v>20</v>
      </c>
      <c r="T379" s="15" t="n">
        <f aca="false">F379*LOG10(S379+2)</f>
        <v>4.02726804246662</v>
      </c>
    </row>
    <row r="380" customFormat="false" ht="14.65" hidden="false" customHeight="true" outlineLevel="0" collapsed="false">
      <c r="A380" s="12" t="s">
        <v>422</v>
      </c>
      <c r="B380" s="13" t="n">
        <v>38879</v>
      </c>
      <c r="C380" s="3" t="s">
        <v>24</v>
      </c>
      <c r="D380" s="4" t="s">
        <v>398</v>
      </c>
      <c r="E380" s="3" t="n">
        <v>2</v>
      </c>
      <c r="F380" s="3" t="n">
        <v>3</v>
      </c>
      <c r="G380" s="3" t="n">
        <v>90</v>
      </c>
      <c r="I380" s="3" t="n">
        <f aca="false">_xlfn.IFS(G380="взв",11,G380="накл",24,G380="прокл",25,G380="пт",26,G380=90,10,G380=85,10,G380=80,9,G380=75,8,G380=70,8,G380=65,7,G380=60,7,G380=55,6,G380=50,6,G380=45,6,G380=40,5,G380=35,4,G380=30,4,G380=25,3,G380=20,2,G380=15,1,G380=10,1,G380=0,0)</f>
        <v>10</v>
      </c>
      <c r="J380" s="3" t="n">
        <f aca="false">IF(H380&lt;=1,0,IF(H380&lt;=10,11,IF(H380&lt;=14,12,IF(H380&lt;=17,13,IF(H380&lt;=20,14,IF(H380&lt;=22,15,IF(H380&lt;=25,16,IF(H380&lt;=27,17,IF(H380&lt;=29,18,IF(H380&lt;=32,19,IF(H380&lt;=34,20,IF(H380&lt;=36,21,IF(H380&lt;=40,22,24)))))))))))))</f>
        <v>0</v>
      </c>
      <c r="L380" s="3" t="n">
        <v>20</v>
      </c>
      <c r="M380" s="3" t="n">
        <f aca="false">_xlfn.IFS(K380="взв",11,K380="накл",24,K380="прокл",25,K380="пт",26,K380=90,10,K380=85,10,K380=80,9,K380=75,8,K380=70,8,K380=65,7,K380=60,7,K380=55,6,K380=50,6,K380=45,6,K380=40,5,K380=35,4,K380=30,4,K380=25,3,K380=20,2,K380=15,1,K380=10,1,K380=0,0)</f>
        <v>0</v>
      </c>
      <c r="N380" s="3" t="n">
        <f aca="false">IF(L380&lt;=1,0,IF(L380&lt;=10,11,IF(L380&lt;=14,12,IF(L380&lt;=17,13,IF(L380&lt;=20,14,IF(L380&lt;=22,15,IF(L380&lt;=25,16,IF(L380&lt;=27,17,IF(L380&lt;=29,18,IF(L380&lt;=32,19,IF(L380&lt;=34,20,IF(L380&lt;=36,21,IF(L380&lt;=40,22,24)))))))))))))</f>
        <v>14</v>
      </c>
      <c r="Q380" s="3" t="n">
        <f aca="false">_xlfn.IFS(O380="взв",11,O380="накл",24,O380="прокл",25,O380="пт",26,O380=90,10,O380=85,10,O380=80,9,O380=75,8,O380=70,8,O380=65,7,O380=60,7,O380=55,6,O380=50,6,O380=45,6,O380=40,5,O380=35,4,O380=30,4,O380=25,3,O380=20,2,O380=15,1,O380=10,1,O380=0,0)</f>
        <v>0</v>
      </c>
      <c r="R380" s="3" t="n">
        <f aca="false">IF(P380&lt;=1,0,IF(P380&lt;=10,11,IF(P380&lt;=14,12,IF(P380&lt;=17,13,IF(P380&lt;=20,14,IF(P380&lt;=22,15,IF(P380&lt;=25,16,IF(P380&lt;=27,17,IF(P380&lt;=29,18,IF(P380&lt;=32,19,IF(P380&lt;=34,20,IF(P380&lt;=36,21,IF(P380&lt;=40,22,24)))))))))))))</f>
        <v>0</v>
      </c>
      <c r="S380" s="14" t="n">
        <f aca="false">ROUND((Q380+R380+I380+J380+M380+N380)/2,0)</f>
        <v>12</v>
      </c>
      <c r="T380" s="15" t="n">
        <f aca="false">F380*LOG10(S380+2)</f>
        <v>3.43838410703471</v>
      </c>
    </row>
    <row r="381" customFormat="false" ht="14.65" hidden="false" customHeight="true" outlineLevel="0" collapsed="false">
      <c r="A381" s="12" t="s">
        <v>423</v>
      </c>
      <c r="B381" s="13" t="n">
        <v>38879</v>
      </c>
      <c r="C381" s="3" t="s">
        <v>24</v>
      </c>
      <c r="D381" s="4" t="s">
        <v>398</v>
      </c>
      <c r="E381" s="3" t="n">
        <v>3</v>
      </c>
      <c r="F381" s="3" t="n">
        <v>4</v>
      </c>
      <c r="G381" s="3" t="n">
        <v>0</v>
      </c>
      <c r="I381" s="3" t="n">
        <f aca="false">_xlfn.IFS(G381="взв",11,G381="накл",24,G381="прокл",25,G381="пт",26,G381=90,10,G381=85,10,G381=80,9,G381=75,8,G381=70,8,G381=65,7,G381=60,7,G381=55,6,G381=50,6,G381=45,6,G381=40,5,G381=35,4,G381=30,4,G381=25,3,G381=20,2,G381=15,1,G381=10,1,G381=0,0)</f>
        <v>0</v>
      </c>
      <c r="J381" s="3" t="n">
        <f aca="false">IF(H381&lt;=1,0,IF(H381&lt;=10,11,IF(H381&lt;=14,12,IF(H381&lt;=17,13,IF(H381&lt;=20,14,IF(H381&lt;=22,15,IF(H381&lt;=25,16,IF(H381&lt;=27,17,IF(H381&lt;=29,18,IF(H381&lt;=32,19,IF(H381&lt;=34,20,IF(H381&lt;=36,21,IF(H381&lt;=40,22,24)))))))))))))</f>
        <v>0</v>
      </c>
      <c r="K381" s="3" t="n">
        <v>15</v>
      </c>
      <c r="M381" s="3" t="n">
        <f aca="false">_xlfn.IFS(K381="взв",11,K381="накл",24,K381="прокл",25,K381="пт",26,K381=90,10,K381=85,10,K381=80,9,K381=75,8,K381=70,8,K381=65,7,K381=60,7,K381=55,6,K381=50,6,K381=45,6,K381=40,5,K381=35,4,K381=30,4,K381=25,3,K381=20,2,K381=15,1,K381=10,1,K381=0,0)</f>
        <v>1</v>
      </c>
      <c r="N381" s="3" t="n">
        <f aca="false">IF(L381&lt;=1,0,IF(L381&lt;=10,11,IF(L381&lt;=14,12,IF(L381&lt;=17,13,IF(L381&lt;=20,14,IF(L381&lt;=22,15,IF(L381&lt;=25,16,IF(L381&lt;=27,17,IF(L381&lt;=29,18,IF(L381&lt;=32,19,IF(L381&lt;=34,20,IF(L381&lt;=36,21,IF(L381&lt;=40,22,24)))))))))))))</f>
        <v>0</v>
      </c>
      <c r="O381" s="3" t="n">
        <v>0</v>
      </c>
      <c r="Q381" s="3" t="n">
        <f aca="false">_xlfn.IFS(O381="взв",11,O381="накл",24,O381="прокл",25,O381="пт",26,O381=90,10,O381=85,10,O381=80,9,O381=75,8,O381=70,8,O381=65,7,O381=60,7,O381=55,6,O381=50,6,O381=45,6,O381=40,5,O381=35,4,O381=30,4,O381=25,3,O381=20,2,O381=15,1,O381=10,1,O381=0,0)</f>
        <v>0</v>
      </c>
      <c r="R381" s="3" t="n">
        <f aca="false">IF(P381&lt;=1,0,IF(P381&lt;=10,11,IF(P381&lt;=14,12,IF(P381&lt;=17,13,IF(P381&lt;=20,14,IF(P381&lt;=22,15,IF(P381&lt;=25,16,IF(P381&lt;=27,17,IF(P381&lt;=29,18,IF(P381&lt;=32,19,IF(P381&lt;=34,20,IF(P381&lt;=36,21,IF(P381&lt;=40,22,24)))))))))))))</f>
        <v>0</v>
      </c>
      <c r="S381" s="14" t="n">
        <f aca="false">ROUND((Q381+R381+I381+J381+M381+N381)/3,0)</f>
        <v>0</v>
      </c>
      <c r="T381" s="15" t="n">
        <f aca="false">F381*LOG10(S381+2)</f>
        <v>1.20411998265592</v>
      </c>
    </row>
    <row r="382" customFormat="false" ht="14.65" hidden="false" customHeight="true" outlineLevel="0" collapsed="false">
      <c r="A382" s="12" t="s">
        <v>424</v>
      </c>
      <c r="B382" s="13" t="n">
        <v>38879</v>
      </c>
      <c r="C382" s="3" t="s">
        <v>24</v>
      </c>
      <c r="D382" s="4" t="s">
        <v>398</v>
      </c>
      <c r="E382" s="3" t="n">
        <v>5</v>
      </c>
      <c r="F382" s="3" t="n">
        <v>4</v>
      </c>
      <c r="H382" s="3" t="n">
        <v>45</v>
      </c>
      <c r="I382" s="3" t="n">
        <f aca="false">_xlfn.IFS(G382="взв",11,G382="накл",24,G382="прокл",25,G382="пт",26,G382=90,10,G382=85,10,G382=80,9,G382=75,8,G382=70,8,G382=65,7,G382=60,7,G382=55,6,G382=50,6,G382=45,6,G382=40,5,G382=35,4,G382=30,4,G382=25,3,G382=20,2,G382=15,1,G382=10,1,G382=0,0)</f>
        <v>0</v>
      </c>
      <c r="J382" s="3" t="n">
        <f aca="false">IF(H382&lt;=1,0,IF(H382&lt;=10,11,IF(H382&lt;=14,12,IF(H382&lt;=17,13,IF(H382&lt;=20,14,IF(H382&lt;=22,15,IF(H382&lt;=25,16,IF(H382&lt;=27,17,IF(H382&lt;=29,18,IF(H382&lt;=32,19,IF(H382&lt;=34,20,IF(H382&lt;=36,21,IF(H382&lt;=40,22,24)))))))))))))</f>
        <v>24</v>
      </c>
      <c r="L382" s="3" t="n">
        <v>42</v>
      </c>
      <c r="M382" s="3" t="n">
        <f aca="false">_xlfn.IFS(K382="взв",11,K382="накл",24,K382="прокл",25,K382="пт",26,K382=90,10,K382=85,10,K382=80,9,K382=75,8,K382=70,8,K382=65,7,K382=60,7,K382=55,6,K382=50,6,K382=45,6,K382=40,5,K382=35,4,K382=30,4,K382=25,3,K382=20,2,K382=15,1,K382=10,1,K382=0,0)</f>
        <v>0</v>
      </c>
      <c r="N382" s="3" t="n">
        <f aca="false">IF(L382&lt;=1,0,IF(L382&lt;=10,11,IF(L382&lt;=14,12,IF(L382&lt;=17,13,IF(L382&lt;=20,14,IF(L382&lt;=22,15,IF(L382&lt;=25,16,IF(L382&lt;=27,17,IF(L382&lt;=29,18,IF(L382&lt;=32,19,IF(L382&lt;=34,20,IF(L382&lt;=36,21,IF(L382&lt;=40,22,24)))))))))))))</f>
        <v>24</v>
      </c>
      <c r="P382" s="3" t="n">
        <v>40</v>
      </c>
      <c r="Q382" s="3" t="n">
        <f aca="false">_xlfn.IFS(O382="взв",11,O382="накл",24,O382="прокл",25,O382="пт",26,O382=90,10,O382=85,10,O382=80,9,O382=75,8,O382=70,8,O382=65,7,O382=60,7,O382=55,6,O382=50,6,O382=45,6,O382=40,5,O382=35,4,O382=30,4,O382=25,3,O382=20,2,O382=15,1,O382=10,1,O382=0,0)</f>
        <v>0</v>
      </c>
      <c r="R382" s="3" t="n">
        <f aca="false">IF(P382&lt;=1,0,IF(P382&lt;=10,11,IF(P382&lt;=14,12,IF(P382&lt;=17,13,IF(P382&lt;=20,14,IF(P382&lt;=22,15,IF(P382&lt;=25,16,IF(P382&lt;=27,17,IF(P382&lt;=29,18,IF(P382&lt;=32,19,IF(P382&lt;=34,20,IF(P382&lt;=36,21,IF(P382&lt;=40,22,24)))))))))))))</f>
        <v>22</v>
      </c>
      <c r="S382" s="14" t="n">
        <f aca="false">ROUND((Q382+R382+I382+J382+M382+N382)/3,0)</f>
        <v>23</v>
      </c>
      <c r="T382" s="15" t="n">
        <f aca="false">F382*LOG10(S382+2)</f>
        <v>5.59176003468815</v>
      </c>
    </row>
    <row r="383" customFormat="false" ht="14.65" hidden="false" customHeight="true" outlineLevel="0" collapsed="false">
      <c r="A383" s="12" t="s">
        <v>425</v>
      </c>
      <c r="B383" s="13" t="n">
        <v>38879</v>
      </c>
      <c r="C383" s="3" t="s">
        <v>24</v>
      </c>
      <c r="D383" s="4" t="s">
        <v>398</v>
      </c>
      <c r="E383" s="3" t="n">
        <v>4</v>
      </c>
      <c r="F383" s="3" t="n">
        <v>4</v>
      </c>
      <c r="G383" s="3" t="n">
        <v>75</v>
      </c>
      <c r="I383" s="3" t="n">
        <f aca="false">_xlfn.IFS(G383="взв",11,G383="накл",24,G383="прокл",25,G383="пт",26,G383=90,10,G383=85,10,G383=80,9,G383=75,8,G383=70,8,G383=65,7,G383=60,7,G383=55,6,G383=50,6,G383=45,6,G383=40,5,G383=35,4,G383=30,4,G383=25,3,G383=20,2,G383=15,1,G383=10,1,G383=0,0)</f>
        <v>8</v>
      </c>
      <c r="J383" s="3" t="n">
        <f aca="false">IF(H383&lt;=1,0,IF(H383&lt;=10,11,IF(H383&lt;=14,12,IF(H383&lt;=17,13,IF(H383&lt;=20,14,IF(H383&lt;=22,15,IF(H383&lt;=25,16,IF(H383&lt;=27,17,IF(H383&lt;=29,18,IF(H383&lt;=32,19,IF(H383&lt;=34,20,IF(H383&lt;=36,21,IF(H383&lt;=40,22,24)))))))))))))</f>
        <v>0</v>
      </c>
      <c r="L383" s="3" t="n">
        <v>15</v>
      </c>
      <c r="M383" s="3" t="n">
        <f aca="false">_xlfn.IFS(K383="взв",11,K383="накл",24,K383="прокл",25,K383="пт",26,K383=90,10,K383=85,10,K383=80,9,K383=75,8,K383=70,8,K383=65,7,K383=60,7,K383=55,6,K383=50,6,K383=45,6,K383=40,5,K383=35,4,K383=30,4,K383=25,3,K383=20,2,K383=15,1,K383=10,1,K383=0,0)</f>
        <v>0</v>
      </c>
      <c r="N383" s="3" t="n">
        <f aca="false">IF(L383&lt;=1,0,IF(L383&lt;=10,11,IF(L383&lt;=14,12,IF(L383&lt;=17,13,IF(L383&lt;=20,14,IF(L383&lt;=22,15,IF(L383&lt;=25,16,IF(L383&lt;=27,17,IF(L383&lt;=29,18,IF(L383&lt;=32,19,IF(L383&lt;=34,20,IF(L383&lt;=36,21,IF(L383&lt;=40,22,24)))))))))))))</f>
        <v>13</v>
      </c>
      <c r="P383" s="3" t="n">
        <v>17</v>
      </c>
      <c r="Q383" s="3" t="n">
        <f aca="false">_xlfn.IFS(O383="взв",11,O383="накл",24,O383="прокл",25,O383="пт",26,O383=90,10,O383=85,10,O383=80,9,O383=75,8,O383=70,8,O383=65,7,O383=60,7,O383=55,6,O383=50,6,O383=45,6,O383=40,5,O383=35,4,O383=30,4,O383=25,3,O383=20,2,O383=15,1,O383=10,1,O383=0,0)</f>
        <v>0</v>
      </c>
      <c r="R383" s="3" t="n">
        <f aca="false">IF(P383&lt;=1,0,IF(P383&lt;=10,11,IF(P383&lt;=14,12,IF(P383&lt;=17,13,IF(P383&lt;=20,14,IF(P383&lt;=22,15,IF(P383&lt;=25,16,IF(P383&lt;=27,17,IF(P383&lt;=29,18,IF(P383&lt;=32,19,IF(P383&lt;=34,20,IF(P383&lt;=36,21,IF(P383&lt;=40,22,24)))))))))))))</f>
        <v>13</v>
      </c>
      <c r="S383" s="14" t="n">
        <f aca="false">ROUND((Q383+R383+I383+J383+M383+N383)/3,0)</f>
        <v>11</v>
      </c>
      <c r="T383" s="15" t="n">
        <f aca="false">F383*LOG10(S383+2)</f>
        <v>4.45577340922735</v>
      </c>
    </row>
    <row r="384" customFormat="false" ht="14.65" hidden="false" customHeight="true" outlineLevel="0" collapsed="false">
      <c r="A384" s="12" t="s">
        <v>426</v>
      </c>
      <c r="B384" s="13" t="n">
        <v>38879</v>
      </c>
      <c r="C384" s="3" t="s">
        <v>24</v>
      </c>
      <c r="D384" s="4" t="s">
        <v>398</v>
      </c>
      <c r="E384" s="3" t="n">
        <v>3</v>
      </c>
      <c r="F384" s="3" t="n">
        <v>4</v>
      </c>
      <c r="G384" s="3" t="n">
        <v>90</v>
      </c>
      <c r="I384" s="3" t="n">
        <f aca="false">_xlfn.IFS(G384="взв",11,G384="накл",24,G384="прокл",25,G384="пт",26,G384=90,10,G384=85,10,G384=80,9,G384=75,8,G384=70,8,G384=65,7,G384=60,7,G384=55,6,G384=50,6,G384=45,6,G384=40,5,G384=35,4,G384=30,4,G384=25,3,G384=20,2,G384=15,1,G384=10,1,G384=0,0)</f>
        <v>10</v>
      </c>
      <c r="J384" s="3" t="n">
        <f aca="false">IF(H384&lt;=1,0,IF(H384&lt;=10,11,IF(H384&lt;=14,12,IF(H384&lt;=17,13,IF(H384&lt;=20,14,IF(H384&lt;=22,15,IF(H384&lt;=25,16,IF(H384&lt;=27,17,IF(H384&lt;=29,18,IF(H384&lt;=32,19,IF(H384&lt;=34,20,IF(H384&lt;=36,21,IF(H384&lt;=40,22,24)))))))))))))</f>
        <v>0</v>
      </c>
      <c r="K384" s="3" t="n">
        <v>90</v>
      </c>
      <c r="M384" s="3" t="n">
        <f aca="false">_xlfn.IFS(K384="взв",11,K384="накл",24,K384="прокл",25,K384="пт",26,K384=90,10,K384=85,10,K384=80,9,K384=75,8,K384=70,8,K384=65,7,K384=60,7,K384=55,6,K384=50,6,K384=45,6,K384=40,5,K384=35,4,K384=30,4,K384=25,3,K384=20,2,K384=15,1,K384=10,1,K384=0,0)</f>
        <v>10</v>
      </c>
      <c r="N384" s="3" t="n">
        <f aca="false">IF(L384&lt;=1,0,IF(L384&lt;=10,11,IF(L384&lt;=14,12,IF(L384&lt;=17,13,IF(L384&lt;=20,14,IF(L384&lt;=22,15,IF(L384&lt;=25,16,IF(L384&lt;=27,17,IF(L384&lt;=29,18,IF(L384&lt;=32,19,IF(L384&lt;=34,20,IF(L384&lt;=36,21,IF(L384&lt;=40,22,24)))))))))))))</f>
        <v>0</v>
      </c>
      <c r="P384" s="3" t="n">
        <v>20</v>
      </c>
      <c r="Q384" s="3" t="n">
        <f aca="false">_xlfn.IFS(O384="взв",11,O384="накл",24,O384="прокл",25,O384="пт",26,O384=90,10,O384=85,10,O384=80,9,O384=75,8,O384=70,8,O384=65,7,O384=60,7,O384=55,6,O384=50,6,O384=45,6,O384=40,5,O384=35,4,O384=30,4,O384=25,3,O384=20,2,O384=15,1,O384=10,1,O384=0,0)</f>
        <v>0</v>
      </c>
      <c r="R384" s="3" t="n">
        <f aca="false">IF(P384&lt;=1,0,IF(P384&lt;=10,11,IF(P384&lt;=14,12,IF(P384&lt;=17,13,IF(P384&lt;=20,14,IF(P384&lt;=22,15,IF(P384&lt;=25,16,IF(P384&lt;=27,17,IF(P384&lt;=29,18,IF(P384&lt;=32,19,IF(P384&lt;=34,20,IF(P384&lt;=36,21,IF(P384&lt;=40,22,24)))))))))))))</f>
        <v>14</v>
      </c>
      <c r="S384" s="14" t="n">
        <f aca="false">ROUND((Q384+R384+I384+J384+M384+N384)/3,0)</f>
        <v>11</v>
      </c>
      <c r="T384" s="15" t="n">
        <f aca="false">F384*LOG10(S384+2)</f>
        <v>4.45577340922735</v>
      </c>
    </row>
    <row r="385" customFormat="false" ht="14.65" hidden="false" customHeight="true" outlineLevel="0" collapsed="false">
      <c r="A385" s="12" t="s">
        <v>427</v>
      </c>
      <c r="B385" s="13" t="n">
        <v>38879</v>
      </c>
      <c r="C385" s="3" t="s">
        <v>24</v>
      </c>
      <c r="D385" s="4" t="s">
        <v>398</v>
      </c>
      <c r="E385" s="3" t="n">
        <v>4</v>
      </c>
      <c r="F385" s="3" t="n">
        <v>4</v>
      </c>
      <c r="G385" s="3" t="n">
        <v>75</v>
      </c>
      <c r="I385" s="3" t="n">
        <f aca="false">_xlfn.IFS(G385="взв",11,G385="накл",24,G385="прокл",25,G385="пт",26,G385=90,10,G385=85,10,G385=80,9,G385=75,8,G385=70,8,G385=65,7,G385=60,7,G385=55,6,G385=50,6,G385=45,6,G385=40,5,G385=35,4,G385=30,4,G385=25,3,G385=20,2,G385=15,1,G385=10,1,G385=0,0)</f>
        <v>8</v>
      </c>
      <c r="J385" s="3" t="n">
        <f aca="false">IF(H385&lt;=1,0,IF(H385&lt;=10,11,IF(H385&lt;=14,12,IF(H385&lt;=17,13,IF(H385&lt;=20,14,IF(H385&lt;=22,15,IF(H385&lt;=25,16,IF(H385&lt;=27,17,IF(H385&lt;=29,18,IF(H385&lt;=32,19,IF(H385&lt;=34,20,IF(H385&lt;=36,21,IF(H385&lt;=40,22,24)))))))))))))</f>
        <v>0</v>
      </c>
      <c r="K385" s="3" t="n">
        <v>45</v>
      </c>
      <c r="M385" s="3" t="n">
        <f aca="false">_xlfn.IFS(K385="взв",11,K385="накл",24,K385="прокл",25,K385="пт",26,K385=90,10,K385=85,10,K385=80,9,K385=75,8,K385=70,8,K385=65,7,K385=60,7,K385=55,6,K385=50,6,K385=45,6,K385=40,5,K385=35,4,K385=30,4,K385=25,3,K385=20,2,K385=15,1,K385=10,1,K385=0,0)</f>
        <v>6</v>
      </c>
      <c r="N385" s="3" t="n">
        <f aca="false">IF(L385&lt;=1,0,IF(L385&lt;=10,11,IF(L385&lt;=14,12,IF(L385&lt;=17,13,IF(L385&lt;=20,14,IF(L385&lt;=22,15,IF(L385&lt;=25,16,IF(L385&lt;=27,17,IF(L385&lt;=29,18,IF(L385&lt;=32,19,IF(L385&lt;=34,20,IF(L385&lt;=36,21,IF(L385&lt;=40,22,24)))))))))))))</f>
        <v>0</v>
      </c>
      <c r="O385" s="3" t="n">
        <v>45</v>
      </c>
      <c r="Q385" s="3" t="n">
        <f aca="false">_xlfn.IFS(O385="взв",11,O385="накл",24,O385="прокл",25,O385="пт",26,O385=90,10,O385=85,10,O385=80,9,O385=75,8,O385=70,8,O385=65,7,O385=60,7,O385=55,6,O385=50,6,O385=45,6,O385=40,5,O385=35,4,O385=30,4,O385=25,3,O385=20,2,O385=15,1,O385=10,1,O385=0,0)</f>
        <v>6</v>
      </c>
      <c r="R385" s="3" t="n">
        <f aca="false">IF(P385&lt;=1,0,IF(P385&lt;=10,11,IF(P385&lt;=14,12,IF(P385&lt;=17,13,IF(P385&lt;=20,14,IF(P385&lt;=22,15,IF(P385&lt;=25,16,IF(P385&lt;=27,17,IF(P385&lt;=29,18,IF(P385&lt;=32,19,IF(P385&lt;=34,20,IF(P385&lt;=36,21,IF(P385&lt;=40,22,24)))))))))))))</f>
        <v>0</v>
      </c>
      <c r="S385" s="14" t="n">
        <f aca="false">ROUND((Q385+R385+I385+J385+M385+N385)/3,0)</f>
        <v>7</v>
      </c>
      <c r="T385" s="15" t="n">
        <f aca="false">F385*LOG10(S385+2)</f>
        <v>3.8169700377573</v>
      </c>
    </row>
    <row r="386" customFormat="false" ht="14.65" hidden="false" customHeight="true" outlineLevel="0" collapsed="false">
      <c r="A386" s="12" t="s">
        <v>428</v>
      </c>
      <c r="B386" s="13" t="n">
        <v>38879</v>
      </c>
      <c r="C386" s="3" t="s">
        <v>24</v>
      </c>
      <c r="D386" s="4" t="s">
        <v>398</v>
      </c>
      <c r="E386" s="3" t="n">
        <v>3</v>
      </c>
      <c r="F386" s="3" t="n">
        <v>4</v>
      </c>
      <c r="G386" s="3" t="s">
        <v>47</v>
      </c>
      <c r="I386" s="3" t="n">
        <f aca="false">_xlfn.IFS(G386="взв",11,G386="накл",24,G386="прокл",25,G386="пт",26,G386=90,10,G386=85,10,G386=80,9,G386=75,8,G386=70,8,G386=65,7,G386=60,7,G386=55,6,G386=50,6,G386=45,6,G386=40,5,G386=35,4,G386=30,4,G386=25,3,G386=20,2,G386=15,1,G386=10,1,G386=0,0)</f>
        <v>25</v>
      </c>
      <c r="J386" s="3" t="n">
        <f aca="false">IF(H386&lt;=1,0,IF(H386&lt;=10,11,IF(H386&lt;=14,12,IF(H386&lt;=17,13,IF(H386&lt;=20,14,IF(H386&lt;=22,15,IF(H386&lt;=25,16,IF(H386&lt;=27,17,IF(H386&lt;=29,18,IF(H386&lt;=32,19,IF(H386&lt;=34,20,IF(H386&lt;=36,21,IF(H386&lt;=40,22,24)))))))))))))</f>
        <v>0</v>
      </c>
      <c r="K386" s="3" t="s">
        <v>47</v>
      </c>
      <c r="L386" s="0"/>
      <c r="M386" s="3" t="n">
        <f aca="false">_xlfn.IFS(K386="взв",11,K386="накл",24,K386="прокл",25,K386="пт",26,K386=90,10,K386=85,10,K386=80,9,K386=75,8,K386=70,8,K386=65,7,K386=60,7,K386=55,6,K386=50,6,K386=45,6,K386=40,5,K386=35,4,K386=30,4,K386=25,3,K386=20,2,K386=15,1,K386=10,1,K386=0,0)</f>
        <v>25</v>
      </c>
      <c r="N386" s="3" t="n">
        <f aca="false">IF(L386&lt;=1,0,IF(L386&lt;=10,11,IF(L386&lt;=14,12,IF(L386&lt;=17,13,IF(L386&lt;=20,14,IF(L386&lt;=22,15,IF(L386&lt;=25,16,IF(L386&lt;=27,17,IF(L386&lt;=29,18,IF(L386&lt;=32,19,IF(L386&lt;=34,20,IF(L386&lt;=36,21,IF(L386&lt;=40,22,24)))))))))))))</f>
        <v>0</v>
      </c>
      <c r="Q386" s="3" t="n">
        <f aca="false">_xlfn.IFS(O386="взв",11,O386="накл",24,O386="прокл",25,O386="пт",26,O386=90,10,O386=85,10,O386=80,9,O386=75,8,O386=70,8,O386=65,7,O386=60,7,O386=55,6,O386=50,6,O386=45,6,O386=40,5,O386=35,4,O386=30,4,O386=25,3,O386=20,2,O386=15,1,O386=10,1,O386=0,0)</f>
        <v>0</v>
      </c>
      <c r="R386" s="3" t="n">
        <f aca="false">IF(P386&lt;=1,0,IF(P386&lt;=10,11,IF(P386&lt;=14,12,IF(P386&lt;=17,13,IF(P386&lt;=20,14,IF(P386&lt;=22,15,IF(P386&lt;=25,16,IF(P386&lt;=27,17,IF(P386&lt;=29,18,IF(P386&lt;=32,19,IF(P386&lt;=34,20,IF(P386&lt;=36,21,IF(P386&lt;=40,22,24)))))))))))))</f>
        <v>0</v>
      </c>
      <c r="S386" s="14" t="n">
        <v>25</v>
      </c>
      <c r="T386" s="15" t="n">
        <f aca="false">F386*LOG10(S386+2)</f>
        <v>5.72545505663595</v>
      </c>
    </row>
    <row r="387" customFormat="false" ht="14.65" hidden="false" customHeight="true" outlineLevel="0" collapsed="false">
      <c r="A387" s="12" t="s">
        <v>429</v>
      </c>
      <c r="B387" s="13" t="n">
        <v>38879</v>
      </c>
      <c r="C387" s="3" t="s">
        <v>24</v>
      </c>
      <c r="D387" s="4" t="s">
        <v>398</v>
      </c>
      <c r="E387" s="3" t="n">
        <v>5</v>
      </c>
      <c r="F387" s="3" t="n">
        <v>4</v>
      </c>
      <c r="G387" s="3" t="n">
        <v>90</v>
      </c>
      <c r="I387" s="3" t="n">
        <f aca="false">_xlfn.IFS(G387="взв",11,G387="накл",24,G387="прокл",25,G387="пт",26,G387=90,10,G387=85,10,G387=80,9,G387=75,8,G387=70,8,G387=65,7,G387=60,7,G387=55,6,G387=50,6,G387=45,6,G387=40,5,G387=35,4,G387=30,4,G387=25,3,G387=20,2,G387=15,1,G387=10,1,G387=0,0)</f>
        <v>10</v>
      </c>
      <c r="J387" s="3" t="n">
        <f aca="false">IF(H387&lt;=1,0,IF(H387&lt;=10,11,IF(H387&lt;=14,12,IF(H387&lt;=17,13,IF(H387&lt;=20,14,IF(H387&lt;=22,15,IF(H387&lt;=25,16,IF(H387&lt;=27,17,IF(H387&lt;=29,18,IF(H387&lt;=32,19,IF(H387&lt;=34,20,IF(H387&lt;=36,21,IF(H387&lt;=40,22,24)))))))))))))</f>
        <v>0</v>
      </c>
      <c r="K387" s="3" t="n">
        <v>75</v>
      </c>
      <c r="M387" s="3" t="n">
        <f aca="false">_xlfn.IFS(K387="взв",11,K387="накл",24,K387="прокл",25,K387="пт",26,K387=90,10,K387=85,10,K387=80,9,K387=75,8,K387=70,8,K387=65,7,K387=60,7,K387=55,6,K387=50,6,K387=45,6,K387=40,5,K387=35,4,K387=30,4,K387=25,3,K387=20,2,K387=15,1,K387=10,1,K387=0,0)</f>
        <v>8</v>
      </c>
      <c r="N387" s="3" t="n">
        <f aca="false">IF(L387&lt;=1,0,IF(L387&lt;=10,11,IF(L387&lt;=14,12,IF(L387&lt;=17,13,IF(L387&lt;=20,14,IF(L387&lt;=22,15,IF(L387&lt;=25,16,IF(L387&lt;=27,17,IF(L387&lt;=29,18,IF(L387&lt;=32,19,IF(L387&lt;=34,20,IF(L387&lt;=36,21,IF(L387&lt;=40,22,24)))))))))))))</f>
        <v>0</v>
      </c>
      <c r="O387" s="3" t="n">
        <v>90</v>
      </c>
      <c r="Q387" s="3" t="n">
        <f aca="false">_xlfn.IFS(O387="взв",11,O387="накл",24,O387="прокл",25,O387="пт",26,O387=90,10,O387=85,10,O387=80,9,O387=75,8,O387=70,8,O387=65,7,O387=60,7,O387=55,6,O387=50,6,O387=45,6,O387=40,5,O387=35,4,O387=30,4,O387=25,3,O387=20,2,O387=15,1,O387=10,1,O387=0,0)</f>
        <v>10</v>
      </c>
      <c r="R387" s="3" t="n">
        <f aca="false">IF(P387&lt;=1,0,IF(P387&lt;=10,11,IF(P387&lt;=14,12,IF(P387&lt;=17,13,IF(P387&lt;=20,14,IF(P387&lt;=22,15,IF(P387&lt;=25,16,IF(P387&lt;=27,17,IF(P387&lt;=29,18,IF(P387&lt;=32,19,IF(P387&lt;=34,20,IF(P387&lt;=36,21,IF(P387&lt;=40,22,24)))))))))))))</f>
        <v>0</v>
      </c>
      <c r="S387" s="14" t="n">
        <f aca="false">ROUND((Q387+R387+I387+J387+M387+N387)/3,0)</f>
        <v>9</v>
      </c>
      <c r="T387" s="15" t="n">
        <f aca="false">F387*LOG10(S387+2)</f>
        <v>4.1655707406329</v>
      </c>
    </row>
    <row r="388" customFormat="false" ht="14.65" hidden="false" customHeight="true" outlineLevel="0" collapsed="false">
      <c r="A388" s="12" t="s">
        <v>430</v>
      </c>
      <c r="B388" s="13" t="n">
        <v>38879</v>
      </c>
      <c r="C388" s="3" t="s">
        <v>24</v>
      </c>
      <c r="D388" s="4" t="s">
        <v>398</v>
      </c>
      <c r="E388" s="3" t="n">
        <v>6</v>
      </c>
      <c r="F388" s="3" t="n">
        <v>4</v>
      </c>
      <c r="H388" s="3" t="n">
        <v>27</v>
      </c>
      <c r="I388" s="3" t="n">
        <f aca="false">_xlfn.IFS(G388="взв",11,G388="накл",24,G388="прокл",25,G388="пт",26,G388=90,10,G388=85,10,G388=80,9,G388=75,8,G388=70,8,G388=65,7,G388=60,7,G388=55,6,G388=50,6,G388=45,6,G388=40,5,G388=35,4,G388=30,4,G388=25,3,G388=20,2,G388=15,1,G388=10,1,G388=0,0)</f>
        <v>0</v>
      </c>
      <c r="J388" s="3" t="n">
        <f aca="false">IF(H388&lt;=1,0,IF(H388&lt;=10,11,IF(H388&lt;=14,12,IF(H388&lt;=17,13,IF(H388&lt;=20,14,IF(H388&lt;=22,15,IF(H388&lt;=25,16,IF(H388&lt;=27,17,IF(H388&lt;=29,18,IF(H388&lt;=32,19,IF(H388&lt;=34,20,IF(H388&lt;=36,21,IF(H388&lt;=40,22,24)))))))))))))</f>
        <v>17</v>
      </c>
      <c r="L388" s="3" t="n">
        <v>30</v>
      </c>
      <c r="M388" s="3" t="n">
        <f aca="false">_xlfn.IFS(K388="взв",11,K388="накл",24,K388="прокл",25,K388="пт",26,K388=90,10,K388=85,10,K388=80,9,K388=75,8,K388=70,8,K388=65,7,K388=60,7,K388=55,6,K388=50,6,K388=45,6,K388=40,5,K388=35,4,K388=30,4,K388=25,3,K388=20,2,K388=15,1,K388=10,1,K388=0,0)</f>
        <v>0</v>
      </c>
      <c r="N388" s="3" t="n">
        <f aca="false">IF(L388&lt;=1,0,IF(L388&lt;=10,11,IF(L388&lt;=14,12,IF(L388&lt;=17,13,IF(L388&lt;=20,14,IF(L388&lt;=22,15,IF(L388&lt;=25,16,IF(L388&lt;=27,17,IF(L388&lt;=29,18,IF(L388&lt;=32,19,IF(L388&lt;=34,20,IF(L388&lt;=36,21,IF(L388&lt;=40,22,24)))))))))))))</f>
        <v>19</v>
      </c>
      <c r="P388" s="3" t="n">
        <v>30</v>
      </c>
      <c r="Q388" s="3" t="n">
        <f aca="false">_xlfn.IFS(O388="взв",11,O388="накл",24,O388="прокл",25,O388="пт",26,O388=90,10,O388=85,10,O388=80,9,O388=75,8,O388=70,8,O388=65,7,O388=60,7,O388=55,6,O388=50,6,O388=45,6,O388=40,5,O388=35,4,O388=30,4,O388=25,3,O388=20,2,O388=15,1,O388=10,1,O388=0,0)</f>
        <v>0</v>
      </c>
      <c r="R388" s="3" t="n">
        <f aca="false">IF(P388&lt;=1,0,IF(P388&lt;=10,11,IF(P388&lt;=14,12,IF(P388&lt;=17,13,IF(P388&lt;=20,14,IF(P388&lt;=22,15,IF(P388&lt;=25,16,IF(P388&lt;=27,17,IF(P388&lt;=29,18,IF(P388&lt;=32,19,IF(P388&lt;=34,20,IF(P388&lt;=36,21,IF(P388&lt;=40,22,24)))))))))))))</f>
        <v>19</v>
      </c>
      <c r="S388" s="14" t="n">
        <f aca="false">ROUND((Q388+R388+I388+J388+M388+N388)/3,0)</f>
        <v>18</v>
      </c>
      <c r="T388" s="15" t="n">
        <f aca="false">F388*LOG10(S388+2)</f>
        <v>5.20411998265593</v>
      </c>
    </row>
    <row r="389" customFormat="false" ht="14.65" hidden="false" customHeight="true" outlineLevel="0" collapsed="false">
      <c r="A389" s="12" t="s">
        <v>431</v>
      </c>
      <c r="B389" s="13" t="n">
        <v>38879</v>
      </c>
      <c r="C389" s="3" t="s">
        <v>24</v>
      </c>
      <c r="D389" s="4" t="s">
        <v>398</v>
      </c>
      <c r="E389" s="3" t="n">
        <v>5</v>
      </c>
      <c r="F389" s="3" t="n">
        <v>4</v>
      </c>
      <c r="H389" s="3" t="n">
        <v>37</v>
      </c>
      <c r="I389" s="3" t="n">
        <f aca="false">_xlfn.IFS(G389="взв",11,G389="накл",24,G389="прокл",25,G389="пт",26,G389=90,10,G389=85,10,G389=80,9,G389=75,8,G389=70,8,G389=65,7,G389=60,7,G389=55,6,G389=50,6,G389=45,6,G389=40,5,G389=35,4,G389=30,4,G389=25,3,G389=20,2,G389=15,1,G389=10,1,G389=0,0)</f>
        <v>0</v>
      </c>
      <c r="J389" s="3" t="n">
        <f aca="false">IF(H389&lt;=1,0,IF(H389&lt;=10,11,IF(H389&lt;=14,12,IF(H389&lt;=17,13,IF(H389&lt;=20,14,IF(H389&lt;=22,15,IF(H389&lt;=25,16,IF(H389&lt;=27,17,IF(H389&lt;=29,18,IF(H389&lt;=32,19,IF(H389&lt;=34,20,IF(H389&lt;=36,21,IF(H389&lt;=40,22,24)))))))))))))</f>
        <v>22</v>
      </c>
      <c r="L389" s="3" t="n">
        <v>34</v>
      </c>
      <c r="M389" s="3" t="n">
        <f aca="false">_xlfn.IFS(K389="взв",11,K389="накл",24,K389="прокл",25,K389="пт",26,K389=90,10,K389=85,10,K389=80,9,K389=75,8,K389=70,8,K389=65,7,K389=60,7,K389=55,6,K389=50,6,K389=45,6,K389=40,5,K389=35,4,K389=30,4,K389=25,3,K389=20,2,K389=15,1,K389=10,1,K389=0,0)</f>
        <v>0</v>
      </c>
      <c r="N389" s="3" t="n">
        <f aca="false">IF(L389&lt;=1,0,IF(L389&lt;=10,11,IF(L389&lt;=14,12,IF(L389&lt;=17,13,IF(L389&lt;=20,14,IF(L389&lt;=22,15,IF(L389&lt;=25,16,IF(L389&lt;=27,17,IF(L389&lt;=29,18,IF(L389&lt;=32,19,IF(L389&lt;=34,20,IF(L389&lt;=36,21,IF(L389&lt;=40,22,24)))))))))))))</f>
        <v>20</v>
      </c>
      <c r="P389" s="3" t="n">
        <v>30</v>
      </c>
      <c r="Q389" s="3" t="n">
        <f aca="false">_xlfn.IFS(O389="взв",11,O389="накл",24,O389="прокл",25,O389="пт",26,O389=90,10,O389=85,10,O389=80,9,O389=75,8,O389=70,8,O389=65,7,O389=60,7,O389=55,6,O389=50,6,O389=45,6,O389=40,5,O389=35,4,O389=30,4,O389=25,3,O389=20,2,O389=15,1,O389=10,1,O389=0,0)</f>
        <v>0</v>
      </c>
      <c r="R389" s="3" t="n">
        <f aca="false">IF(P389&lt;=1,0,IF(P389&lt;=10,11,IF(P389&lt;=14,12,IF(P389&lt;=17,13,IF(P389&lt;=20,14,IF(P389&lt;=22,15,IF(P389&lt;=25,16,IF(P389&lt;=27,17,IF(P389&lt;=29,18,IF(P389&lt;=32,19,IF(P389&lt;=34,20,IF(P389&lt;=36,21,IF(P389&lt;=40,22,24)))))))))))))</f>
        <v>19</v>
      </c>
      <c r="S389" s="14" t="n">
        <f aca="false">ROUND((Q389+R389+I389+J389+M389+N389)/3,0)</f>
        <v>20</v>
      </c>
      <c r="T389" s="15" t="n">
        <f aca="false">F389*LOG10(S389+2)</f>
        <v>5.36969072328883</v>
      </c>
    </row>
    <row r="390" customFormat="false" ht="14.65" hidden="false" customHeight="true" outlineLevel="0" collapsed="false">
      <c r="A390" s="12" t="s">
        <v>432</v>
      </c>
      <c r="B390" s="13" t="n">
        <v>38879</v>
      </c>
      <c r="C390" s="3" t="s">
        <v>24</v>
      </c>
      <c r="D390" s="4" t="s">
        <v>398</v>
      </c>
      <c r="E390" s="3" t="n">
        <v>4</v>
      </c>
      <c r="F390" s="3" t="n">
        <v>5</v>
      </c>
      <c r="G390" s="3" t="n">
        <v>90</v>
      </c>
      <c r="I390" s="3" t="n">
        <f aca="false">_xlfn.IFS(G390="взв",11,G390="накл",24,G390="прокл",25,G390="пт",26,G390=90,10,G390=85,10,G390=80,9,G390=75,8,G390=70,8,G390=65,7,G390=60,7,G390=55,6,G390=50,6,G390=45,6,G390=40,5,G390=35,4,G390=30,4,G390=25,3,G390=20,2,G390=15,1,G390=10,1,G390=0,0)</f>
        <v>10</v>
      </c>
      <c r="J390" s="3" t="n">
        <f aca="false">IF(H390&lt;=1,0,IF(H390&lt;=10,11,IF(H390&lt;=14,12,IF(H390&lt;=17,13,IF(H390&lt;=20,14,IF(H390&lt;=22,15,IF(H390&lt;=25,16,IF(H390&lt;=27,17,IF(H390&lt;=29,18,IF(H390&lt;=32,19,IF(H390&lt;=34,20,IF(H390&lt;=36,21,IF(H390&lt;=40,22,24)))))))))))))</f>
        <v>0</v>
      </c>
      <c r="K390" s="3" t="n">
        <v>90</v>
      </c>
      <c r="M390" s="3" t="n">
        <f aca="false">_xlfn.IFS(K390="взв",11,K390="накл",24,K390="прокл",25,K390="пт",26,K390=90,10,K390=85,10,K390=80,9,K390=75,8,K390=70,8,K390=65,7,K390=60,7,K390=55,6,K390=50,6,K390=45,6,K390=40,5,K390=35,4,K390=30,4,K390=25,3,K390=20,2,K390=15,1,K390=10,1,K390=0,0)</f>
        <v>10</v>
      </c>
      <c r="N390" s="3" t="n">
        <f aca="false">IF(L390&lt;=1,0,IF(L390&lt;=10,11,IF(L390&lt;=14,12,IF(L390&lt;=17,13,IF(L390&lt;=20,14,IF(L390&lt;=22,15,IF(L390&lt;=25,16,IF(L390&lt;=27,17,IF(L390&lt;=29,18,IF(L390&lt;=32,19,IF(L390&lt;=34,20,IF(L390&lt;=36,21,IF(L390&lt;=40,22,24)))))))))))))</f>
        <v>0</v>
      </c>
      <c r="O390" s="3" t="n">
        <v>90</v>
      </c>
      <c r="Q390" s="3" t="n">
        <f aca="false">_xlfn.IFS(O390="взв",11,O390="накл",24,O390="прокл",25,O390="пт",26,O390=90,10,O390=85,10,O390=80,9,O390=75,8,O390=70,8,O390=65,7,O390=60,7,O390=55,6,O390=50,6,O390=45,6,O390=40,5,O390=35,4,O390=30,4,O390=25,3,O390=20,2,O390=15,1,O390=10,1,O390=0,0)</f>
        <v>10</v>
      </c>
      <c r="R390" s="3" t="n">
        <f aca="false">IF(P390&lt;=1,0,IF(P390&lt;=10,11,IF(P390&lt;=14,12,IF(P390&lt;=17,13,IF(P390&lt;=20,14,IF(P390&lt;=22,15,IF(P390&lt;=25,16,IF(P390&lt;=27,17,IF(P390&lt;=29,18,IF(P390&lt;=32,19,IF(P390&lt;=34,20,IF(P390&lt;=36,21,IF(P390&lt;=40,22,24)))))))))))))</f>
        <v>0</v>
      </c>
      <c r="S390" s="14" t="n">
        <f aca="false">ROUND((Q390+R390+I390+J390+M390+N390)/3,0)</f>
        <v>10</v>
      </c>
      <c r="T390" s="15" t="n">
        <f aca="false">F390*LOG10(S390+2)</f>
        <v>5.39590623023813</v>
      </c>
    </row>
    <row r="391" customFormat="false" ht="14.65" hidden="false" customHeight="true" outlineLevel="0" collapsed="false">
      <c r="A391" s="12" t="s">
        <v>433</v>
      </c>
      <c r="B391" s="13" t="n">
        <v>38879</v>
      </c>
      <c r="C391" s="3" t="s">
        <v>24</v>
      </c>
      <c r="D391" s="4" t="s">
        <v>398</v>
      </c>
      <c r="E391" s="3" t="n">
        <v>5</v>
      </c>
      <c r="F391" s="3" t="n">
        <v>5</v>
      </c>
      <c r="H391" s="3" t="n">
        <v>20</v>
      </c>
      <c r="I391" s="3" t="n">
        <f aca="false">_xlfn.IFS(G391="взв",11,G391="накл",24,G391="прокл",25,G391="пт",26,G391=90,10,G391=85,10,G391=80,9,G391=75,8,G391=70,8,G391=65,7,G391=60,7,G391=55,6,G391=50,6,G391=45,6,G391=40,5,G391=35,4,G391=30,4,G391=25,3,G391=20,2,G391=15,1,G391=10,1,G391=0,0)</f>
        <v>0</v>
      </c>
      <c r="J391" s="3" t="n">
        <f aca="false">IF(H391&lt;=1,0,IF(H391&lt;=10,11,IF(H391&lt;=14,12,IF(H391&lt;=17,13,IF(H391&lt;=20,14,IF(H391&lt;=22,15,IF(H391&lt;=25,16,IF(H391&lt;=27,17,IF(H391&lt;=29,18,IF(H391&lt;=32,19,IF(H391&lt;=34,20,IF(H391&lt;=36,21,IF(H391&lt;=40,22,24)))))))))))))</f>
        <v>14</v>
      </c>
      <c r="K391" s="3" t="n">
        <v>90</v>
      </c>
      <c r="M391" s="3" t="n">
        <f aca="false">_xlfn.IFS(K391="взв",11,K391="накл",24,K391="прокл",25,K391="пт",26,K391=90,10,K391=85,10,K391=80,9,K391=75,8,K391=70,8,K391=65,7,K391=60,7,K391=55,6,K391=50,6,K391=45,6,K391=40,5,K391=35,4,K391=30,4,K391=25,3,K391=20,2,K391=15,1,K391=10,1,K391=0,0)</f>
        <v>10</v>
      </c>
      <c r="N391" s="3" t="n">
        <f aca="false">IF(L391&lt;=1,0,IF(L391&lt;=10,11,IF(L391&lt;=14,12,IF(L391&lt;=17,13,IF(L391&lt;=20,14,IF(L391&lt;=22,15,IF(L391&lt;=25,16,IF(L391&lt;=27,17,IF(L391&lt;=29,18,IF(L391&lt;=32,19,IF(L391&lt;=34,20,IF(L391&lt;=36,21,IF(L391&lt;=40,22,24)))))))))))))</f>
        <v>0</v>
      </c>
      <c r="O391" s="3" t="s">
        <v>50</v>
      </c>
      <c r="P391" s="0"/>
      <c r="Q391" s="3" t="n">
        <f aca="false">_xlfn.IFS(O391="взв",11,O391="накл",24,O391="прокл",25,O391="пт",26,O391=90,10,O391=85,10,O391=80,9,O391=75,8,O391=70,8,O391=65,7,O391=60,7,O391=55,6,O391=50,6,O391=45,6,O391=40,5,O391=35,4,O391=30,4,O391=25,3,O391=20,2,O391=15,1,O391=10,1,O391=0,0)</f>
        <v>11</v>
      </c>
      <c r="R391" s="3" t="n">
        <f aca="false">IF(P391&lt;=1,0,IF(P391&lt;=10,11,IF(P391&lt;=14,12,IF(P391&lt;=17,13,IF(P391&lt;=20,14,IF(P391&lt;=22,15,IF(P391&lt;=25,16,IF(P391&lt;=27,17,IF(P391&lt;=29,18,IF(P391&lt;=32,19,IF(P391&lt;=34,20,IF(P391&lt;=36,21,IF(P391&lt;=40,22,24)))))))))))))</f>
        <v>0</v>
      </c>
      <c r="S391" s="14" t="n">
        <f aca="false">ROUND((Q391+R391+I391+J391+M391+N391)/3,0)</f>
        <v>12</v>
      </c>
      <c r="T391" s="15" t="n">
        <f aca="false">F391*LOG10(S391+2)</f>
        <v>5.73064017839119</v>
      </c>
    </row>
    <row r="392" customFormat="false" ht="14.65" hidden="false" customHeight="true" outlineLevel="0" collapsed="false">
      <c r="A392" s="12" t="s">
        <v>434</v>
      </c>
      <c r="B392" s="13" t="n">
        <v>38879</v>
      </c>
      <c r="C392" s="3" t="s">
        <v>24</v>
      </c>
      <c r="D392" s="4" t="s">
        <v>398</v>
      </c>
      <c r="E392" s="3" t="n">
        <v>4</v>
      </c>
      <c r="F392" s="3" t="n">
        <v>5</v>
      </c>
      <c r="H392" s="3" t="n">
        <v>29</v>
      </c>
      <c r="I392" s="3" t="n">
        <f aca="false">_xlfn.IFS(G392="взв",11,G392="накл",24,G392="прокл",25,G392="пт",26,G392=90,10,G392=85,10,G392=80,9,G392=75,8,G392=70,8,G392=65,7,G392=60,7,G392=55,6,G392=50,6,G392=45,6,G392=40,5,G392=35,4,G392=30,4,G392=25,3,G392=20,2,G392=15,1,G392=10,1,G392=0,0)</f>
        <v>0</v>
      </c>
      <c r="J392" s="3" t="n">
        <f aca="false">IF(H392&lt;=1,0,IF(H392&lt;=10,11,IF(H392&lt;=14,12,IF(H392&lt;=17,13,IF(H392&lt;=20,14,IF(H392&lt;=22,15,IF(H392&lt;=25,16,IF(H392&lt;=27,17,IF(H392&lt;=29,18,IF(H392&lt;=32,19,IF(H392&lt;=34,20,IF(H392&lt;=36,21,IF(H392&lt;=40,22,24)))))))))))))</f>
        <v>18</v>
      </c>
      <c r="L392" s="3" t="n">
        <v>30</v>
      </c>
      <c r="M392" s="3" t="n">
        <f aca="false">_xlfn.IFS(K392="взв",11,K392="накл",24,K392="прокл",25,K392="пт",26,K392=90,10,K392=85,10,K392=80,9,K392=75,8,K392=70,8,K392=65,7,K392=60,7,K392=55,6,K392=50,6,K392=45,6,K392=40,5,K392=35,4,K392=30,4,K392=25,3,K392=20,2,K392=15,1,K392=10,1,K392=0,0)</f>
        <v>0</v>
      </c>
      <c r="N392" s="3" t="n">
        <f aca="false">IF(L392&lt;=1,0,IF(L392&lt;=10,11,IF(L392&lt;=14,12,IF(L392&lt;=17,13,IF(L392&lt;=20,14,IF(L392&lt;=22,15,IF(L392&lt;=25,16,IF(L392&lt;=27,17,IF(L392&lt;=29,18,IF(L392&lt;=32,19,IF(L392&lt;=34,20,IF(L392&lt;=36,21,IF(L392&lt;=40,22,24)))))))))))))</f>
        <v>19</v>
      </c>
      <c r="P392" s="3" t="n">
        <v>29</v>
      </c>
      <c r="Q392" s="3" t="n">
        <f aca="false">_xlfn.IFS(O392="взв",11,O392="накл",24,O392="прокл",25,O392="пт",26,O392=90,10,O392=85,10,O392=80,9,O392=75,8,O392=70,8,O392=65,7,O392=60,7,O392=55,6,O392=50,6,O392=45,6,O392=40,5,O392=35,4,O392=30,4,O392=25,3,O392=20,2,O392=15,1,O392=10,1,O392=0,0)</f>
        <v>0</v>
      </c>
      <c r="R392" s="3" t="n">
        <f aca="false">IF(P392&lt;=1,0,IF(P392&lt;=10,11,IF(P392&lt;=14,12,IF(P392&lt;=17,13,IF(P392&lt;=20,14,IF(P392&lt;=22,15,IF(P392&lt;=25,16,IF(P392&lt;=27,17,IF(P392&lt;=29,18,IF(P392&lt;=32,19,IF(P392&lt;=34,20,IF(P392&lt;=36,21,IF(P392&lt;=40,22,24)))))))))))))</f>
        <v>18</v>
      </c>
      <c r="S392" s="14" t="n">
        <f aca="false">ROUND((Q392+R392+I392+J392+M392+N392)/3,0)</f>
        <v>18</v>
      </c>
      <c r="T392" s="15" t="n">
        <f aca="false">F392*LOG10(S392+2)</f>
        <v>6.50514997831991</v>
      </c>
    </row>
    <row r="393" customFormat="false" ht="14.65" hidden="false" customHeight="true" outlineLevel="0" collapsed="false">
      <c r="A393" s="12" t="s">
        <v>435</v>
      </c>
      <c r="B393" s="13" t="n">
        <v>38879</v>
      </c>
      <c r="C393" s="3" t="s">
        <v>24</v>
      </c>
      <c r="D393" s="4" t="s">
        <v>398</v>
      </c>
      <c r="E393" s="3" t="n">
        <v>4</v>
      </c>
      <c r="F393" s="3" t="n">
        <v>5</v>
      </c>
      <c r="H393" s="3" t="n">
        <v>25</v>
      </c>
      <c r="I393" s="3" t="n">
        <f aca="false">_xlfn.IFS(G393="взв",11,G393="накл",24,G393="прокл",25,G393="пт",26,G393=90,10,G393=85,10,G393=80,9,G393=75,8,G393=70,8,G393=65,7,G393=60,7,G393=55,6,G393=50,6,G393=45,6,G393=40,5,G393=35,4,G393=30,4,G393=25,3,G393=20,2,G393=15,1,G393=10,1,G393=0,0)</f>
        <v>0</v>
      </c>
      <c r="J393" s="3" t="n">
        <f aca="false">IF(H393&lt;=1,0,IF(H393&lt;=10,11,IF(H393&lt;=14,12,IF(H393&lt;=17,13,IF(H393&lt;=20,14,IF(H393&lt;=22,15,IF(H393&lt;=25,16,IF(H393&lt;=27,17,IF(H393&lt;=29,18,IF(H393&lt;=32,19,IF(H393&lt;=34,20,IF(H393&lt;=36,21,IF(H393&lt;=40,22,24)))))))))))))</f>
        <v>16</v>
      </c>
      <c r="L393" s="3" t="n">
        <v>15</v>
      </c>
      <c r="M393" s="3" t="n">
        <f aca="false">_xlfn.IFS(K393="взв",11,K393="накл",24,K393="прокл",25,K393="пт",26,K393=90,10,K393=85,10,K393=80,9,K393=75,8,K393=70,8,K393=65,7,K393=60,7,K393=55,6,K393=50,6,K393=45,6,K393=40,5,K393=35,4,K393=30,4,K393=25,3,K393=20,2,K393=15,1,K393=10,1,K393=0,0)</f>
        <v>0</v>
      </c>
      <c r="N393" s="3" t="n">
        <f aca="false">IF(L393&lt;=1,0,IF(L393&lt;=10,11,IF(L393&lt;=14,12,IF(L393&lt;=17,13,IF(L393&lt;=20,14,IF(L393&lt;=22,15,IF(L393&lt;=25,16,IF(L393&lt;=27,17,IF(L393&lt;=29,18,IF(L393&lt;=32,19,IF(L393&lt;=34,20,IF(L393&lt;=36,21,IF(L393&lt;=40,22,24)))))))))))))</f>
        <v>13</v>
      </c>
      <c r="P393" s="3" t="n">
        <v>20</v>
      </c>
      <c r="Q393" s="3" t="n">
        <f aca="false">_xlfn.IFS(O393="взв",11,O393="накл",24,O393="прокл",25,O393="пт",26,O393=90,10,O393=85,10,O393=80,9,O393=75,8,O393=70,8,O393=65,7,O393=60,7,O393=55,6,O393=50,6,O393=45,6,O393=40,5,O393=35,4,O393=30,4,O393=25,3,O393=20,2,O393=15,1,O393=10,1,O393=0,0)</f>
        <v>0</v>
      </c>
      <c r="R393" s="3" t="n">
        <f aca="false">IF(P393&lt;=1,0,IF(P393&lt;=10,11,IF(P393&lt;=14,12,IF(P393&lt;=17,13,IF(P393&lt;=20,14,IF(P393&lt;=22,15,IF(P393&lt;=25,16,IF(P393&lt;=27,17,IF(P393&lt;=29,18,IF(P393&lt;=32,19,IF(P393&lt;=34,20,IF(P393&lt;=36,21,IF(P393&lt;=40,22,24)))))))))))))</f>
        <v>14</v>
      </c>
      <c r="S393" s="14" t="n">
        <f aca="false">ROUND((Q393+R393+I393+J393+M393+N393)/3,0)</f>
        <v>14</v>
      </c>
      <c r="T393" s="15" t="n">
        <f aca="false">F393*LOG10(S393+2)</f>
        <v>6.02059991327962</v>
      </c>
    </row>
    <row r="394" customFormat="false" ht="14.65" hidden="false" customHeight="true" outlineLevel="0" collapsed="false">
      <c r="A394" s="12" t="s">
        <v>436</v>
      </c>
      <c r="B394" s="13" t="n">
        <v>38879</v>
      </c>
      <c r="C394" s="3" t="s">
        <v>24</v>
      </c>
      <c r="D394" s="4" t="s">
        <v>398</v>
      </c>
      <c r="E394" s="3" t="n">
        <v>5</v>
      </c>
      <c r="F394" s="3" t="n">
        <v>5</v>
      </c>
      <c r="H394" s="3" t="n">
        <v>35</v>
      </c>
      <c r="I394" s="3" t="n">
        <f aca="false">_xlfn.IFS(G394="взв",11,G394="накл",24,G394="прокл",25,G394="пт",26,G394=90,10,G394=85,10,G394=80,9,G394=75,8,G394=70,8,G394=65,7,G394=60,7,G394=55,6,G394=50,6,G394=45,6,G394=40,5,G394=35,4,G394=30,4,G394=25,3,G394=20,2,G394=15,1,G394=10,1,G394=0,0)</f>
        <v>0</v>
      </c>
      <c r="J394" s="3" t="n">
        <f aca="false">IF(H394&lt;=1,0,IF(H394&lt;=10,11,IF(H394&lt;=14,12,IF(H394&lt;=17,13,IF(H394&lt;=20,14,IF(H394&lt;=22,15,IF(H394&lt;=25,16,IF(H394&lt;=27,17,IF(H394&lt;=29,18,IF(H394&lt;=32,19,IF(H394&lt;=34,20,IF(H394&lt;=36,21,IF(H394&lt;=40,22,24)))))))))))))</f>
        <v>21</v>
      </c>
      <c r="L394" s="3" t="n">
        <v>37</v>
      </c>
      <c r="M394" s="3" t="n">
        <f aca="false">_xlfn.IFS(K394="взв",11,K394="накл",24,K394="прокл",25,K394="пт",26,K394=90,10,K394=85,10,K394=80,9,K394=75,8,K394=70,8,K394=65,7,K394=60,7,K394=55,6,K394=50,6,K394=45,6,K394=40,5,K394=35,4,K394=30,4,K394=25,3,K394=20,2,K394=15,1,K394=10,1,K394=0,0)</f>
        <v>0</v>
      </c>
      <c r="N394" s="3" t="n">
        <f aca="false">IF(L394&lt;=1,0,IF(L394&lt;=10,11,IF(L394&lt;=14,12,IF(L394&lt;=17,13,IF(L394&lt;=20,14,IF(L394&lt;=22,15,IF(L394&lt;=25,16,IF(L394&lt;=27,17,IF(L394&lt;=29,18,IF(L394&lt;=32,19,IF(L394&lt;=34,20,IF(L394&lt;=36,21,IF(L394&lt;=40,22,24)))))))))))))</f>
        <v>22</v>
      </c>
      <c r="P394" s="3" t="n">
        <v>25</v>
      </c>
      <c r="Q394" s="3" t="n">
        <f aca="false">_xlfn.IFS(O394="взв",11,O394="накл",24,O394="прокл",25,O394="пт",26,O394=90,10,O394=85,10,O394=80,9,O394=75,8,O394=70,8,O394=65,7,O394=60,7,O394=55,6,O394=50,6,O394=45,6,O394=40,5,O394=35,4,O394=30,4,O394=25,3,O394=20,2,O394=15,1,O394=10,1,O394=0,0)</f>
        <v>0</v>
      </c>
      <c r="R394" s="3" t="n">
        <f aca="false">IF(P394&lt;=1,0,IF(P394&lt;=10,11,IF(P394&lt;=14,12,IF(P394&lt;=17,13,IF(P394&lt;=20,14,IF(P394&lt;=22,15,IF(P394&lt;=25,16,IF(P394&lt;=27,17,IF(P394&lt;=29,18,IF(P394&lt;=32,19,IF(P394&lt;=34,20,IF(P394&lt;=36,21,IF(P394&lt;=40,22,24)))))))))))))</f>
        <v>16</v>
      </c>
      <c r="S394" s="14" t="n">
        <f aca="false">ROUND((Q394+R394+I394+J394+M394+N394)/3,0)</f>
        <v>20</v>
      </c>
      <c r="T394" s="15" t="n">
        <f aca="false">F394*LOG10(S394+2)</f>
        <v>6.71211340411103</v>
      </c>
    </row>
    <row r="395" customFormat="false" ht="14.65" hidden="false" customHeight="true" outlineLevel="0" collapsed="false">
      <c r="A395" s="12" t="s">
        <v>437</v>
      </c>
      <c r="B395" s="13" t="n">
        <v>38879</v>
      </c>
      <c r="C395" s="3" t="s">
        <v>24</v>
      </c>
      <c r="D395" s="4" t="s">
        <v>398</v>
      </c>
      <c r="E395" s="3" t="n">
        <v>5</v>
      </c>
      <c r="F395" s="3" t="n">
        <v>6</v>
      </c>
      <c r="H395" s="3" t="n">
        <v>40</v>
      </c>
      <c r="I395" s="3" t="n">
        <f aca="false">_xlfn.IFS(G395="взв",11,G395="накл",24,G395="прокл",25,G395="пт",26,G395=90,10,G395=85,10,G395=80,9,G395=75,8,G395=70,8,G395=65,7,G395=60,7,G395=55,6,G395=50,6,G395=45,6,G395=40,5,G395=35,4,G395=30,4,G395=25,3,G395=20,2,G395=15,1,G395=10,1,G395=0,0)</f>
        <v>0</v>
      </c>
      <c r="J395" s="3" t="n">
        <f aca="false">IF(H395&lt;=1,0,IF(H395&lt;=10,11,IF(H395&lt;=14,12,IF(H395&lt;=17,13,IF(H395&lt;=20,14,IF(H395&lt;=22,15,IF(H395&lt;=25,16,IF(H395&lt;=27,17,IF(H395&lt;=29,18,IF(H395&lt;=32,19,IF(H395&lt;=34,20,IF(H395&lt;=36,21,IF(H395&lt;=40,22,24)))))))))))))</f>
        <v>22</v>
      </c>
      <c r="L395" s="3" t="n">
        <v>36</v>
      </c>
      <c r="M395" s="3" t="n">
        <f aca="false">_xlfn.IFS(K395="взв",11,K395="накл",24,K395="прокл",25,K395="пт",26,K395=90,10,K395=85,10,K395=80,9,K395=75,8,K395=70,8,K395=65,7,K395=60,7,K395=55,6,K395=50,6,K395=45,6,K395=40,5,K395=35,4,K395=30,4,K395=25,3,K395=20,2,K395=15,1,K395=10,1,K395=0,0)</f>
        <v>0</v>
      </c>
      <c r="N395" s="3" t="n">
        <f aca="false">IF(L395&lt;=1,0,IF(L395&lt;=10,11,IF(L395&lt;=14,12,IF(L395&lt;=17,13,IF(L395&lt;=20,14,IF(L395&lt;=22,15,IF(L395&lt;=25,16,IF(L395&lt;=27,17,IF(L395&lt;=29,18,IF(L395&lt;=32,19,IF(L395&lt;=34,20,IF(L395&lt;=36,21,IF(L395&lt;=40,22,24)))))))))))))</f>
        <v>21</v>
      </c>
      <c r="P395" s="3" t="n">
        <v>37</v>
      </c>
      <c r="Q395" s="3" t="n">
        <f aca="false">_xlfn.IFS(O395="взв",11,O395="накл",24,O395="прокл",25,O395="пт",26,O395=90,10,O395=85,10,O395=80,9,O395=75,8,O395=70,8,O395=65,7,O395=60,7,O395=55,6,O395=50,6,O395=45,6,O395=40,5,O395=35,4,O395=30,4,O395=25,3,O395=20,2,O395=15,1,O395=10,1,O395=0,0)</f>
        <v>0</v>
      </c>
      <c r="R395" s="3" t="n">
        <f aca="false">IF(P395&lt;=1,0,IF(P395&lt;=10,11,IF(P395&lt;=14,12,IF(P395&lt;=17,13,IF(P395&lt;=20,14,IF(P395&lt;=22,15,IF(P395&lt;=25,16,IF(P395&lt;=27,17,IF(P395&lt;=29,18,IF(P395&lt;=32,19,IF(P395&lt;=34,20,IF(P395&lt;=36,21,IF(P395&lt;=40,22,24)))))))))))))</f>
        <v>22</v>
      </c>
      <c r="S395" s="14" t="n">
        <f aca="false">ROUND((Q395+R395+I395+J395+M395+N395)/3,0)</f>
        <v>22</v>
      </c>
      <c r="T395" s="15" t="n">
        <f aca="false">F395*LOG10(S395+2)</f>
        <v>8.28126745026964</v>
      </c>
    </row>
    <row r="396" customFormat="false" ht="14.65" hidden="false" customHeight="true" outlineLevel="0" collapsed="false">
      <c r="A396" s="12" t="s">
        <v>438</v>
      </c>
      <c r="B396" s="13" t="n">
        <v>38879</v>
      </c>
      <c r="C396" s="3" t="s">
        <v>24</v>
      </c>
      <c r="D396" s="4" t="s">
        <v>398</v>
      </c>
      <c r="E396" s="3" t="n">
        <v>5</v>
      </c>
      <c r="F396" s="3" t="n">
        <v>6</v>
      </c>
      <c r="H396" s="3" t="n">
        <v>33</v>
      </c>
      <c r="I396" s="3" t="n">
        <f aca="false">_xlfn.IFS(G396="взв",11,G396="накл",24,G396="прокл",25,G396="пт",26,G396=90,10,G396=85,10,G396=80,9,G396=75,8,G396=70,8,G396=65,7,G396=60,7,G396=55,6,G396=50,6,G396=45,6,G396=40,5,G396=35,4,G396=30,4,G396=25,3,G396=20,2,G396=15,1,G396=10,1,G396=0,0)</f>
        <v>0</v>
      </c>
      <c r="J396" s="3" t="n">
        <f aca="false">IF(H396&lt;=1,0,IF(H396&lt;=10,11,IF(H396&lt;=14,12,IF(H396&lt;=17,13,IF(H396&lt;=20,14,IF(H396&lt;=22,15,IF(H396&lt;=25,16,IF(H396&lt;=27,17,IF(H396&lt;=29,18,IF(H396&lt;=32,19,IF(H396&lt;=34,20,IF(H396&lt;=36,21,IF(H396&lt;=40,22,24)))))))))))))</f>
        <v>20</v>
      </c>
      <c r="L396" s="3" t="n">
        <v>31</v>
      </c>
      <c r="M396" s="3" t="n">
        <f aca="false">_xlfn.IFS(K396="взв",11,K396="накл",24,K396="прокл",25,K396="пт",26,K396=90,10,K396=85,10,K396=80,9,K396=75,8,K396=70,8,K396=65,7,K396=60,7,K396=55,6,K396=50,6,K396=45,6,K396=40,5,K396=35,4,K396=30,4,K396=25,3,K396=20,2,K396=15,1,K396=10,1,K396=0,0)</f>
        <v>0</v>
      </c>
      <c r="N396" s="3" t="n">
        <f aca="false">IF(L396&lt;=1,0,IF(L396&lt;=10,11,IF(L396&lt;=14,12,IF(L396&lt;=17,13,IF(L396&lt;=20,14,IF(L396&lt;=22,15,IF(L396&lt;=25,16,IF(L396&lt;=27,17,IF(L396&lt;=29,18,IF(L396&lt;=32,19,IF(L396&lt;=34,20,IF(L396&lt;=36,21,IF(L396&lt;=40,22,24)))))))))))))</f>
        <v>19</v>
      </c>
      <c r="P396" s="3" t="n">
        <v>37</v>
      </c>
      <c r="Q396" s="3" t="n">
        <f aca="false">_xlfn.IFS(O396="взв",11,O396="накл",24,O396="прокл",25,O396="пт",26,O396=90,10,O396=85,10,O396=80,9,O396=75,8,O396=70,8,O396=65,7,O396=60,7,O396=55,6,O396=50,6,O396=45,6,O396=40,5,O396=35,4,O396=30,4,O396=25,3,O396=20,2,O396=15,1,O396=10,1,O396=0,0)</f>
        <v>0</v>
      </c>
      <c r="R396" s="3" t="n">
        <f aca="false">IF(P396&lt;=1,0,IF(P396&lt;=10,11,IF(P396&lt;=14,12,IF(P396&lt;=17,13,IF(P396&lt;=20,14,IF(P396&lt;=22,15,IF(P396&lt;=25,16,IF(P396&lt;=27,17,IF(P396&lt;=29,18,IF(P396&lt;=32,19,IF(P396&lt;=34,20,IF(P396&lt;=36,21,IF(P396&lt;=40,22,24)))))))))))))</f>
        <v>22</v>
      </c>
      <c r="S396" s="14" t="n">
        <f aca="false">ROUND((Q396+R396+I396+J396+M396+N396)/3,0)</f>
        <v>20</v>
      </c>
      <c r="T396" s="15" t="n">
        <f aca="false">F396*LOG10(S396+2)</f>
        <v>8.05453608493324</v>
      </c>
    </row>
    <row r="397" customFormat="false" ht="14.65" hidden="false" customHeight="true" outlineLevel="0" collapsed="false">
      <c r="A397" s="12" t="s">
        <v>439</v>
      </c>
      <c r="B397" s="13" t="n">
        <v>38879</v>
      </c>
      <c r="C397" s="3" t="s">
        <v>24</v>
      </c>
      <c r="D397" s="4" t="s">
        <v>398</v>
      </c>
      <c r="E397" s="3" t="n">
        <v>6</v>
      </c>
      <c r="F397" s="3" t="n">
        <v>6</v>
      </c>
      <c r="H397" s="3" t="n">
        <v>41</v>
      </c>
      <c r="I397" s="3" t="n">
        <f aca="false">_xlfn.IFS(G397="взв",11,G397="накл",24,G397="прокл",25,G397="пт",26,G397=90,10,G397=85,10,G397=80,9,G397=75,8,G397=70,8,G397=65,7,G397=60,7,G397=55,6,G397=50,6,G397=45,6,G397=40,5,G397=35,4,G397=30,4,G397=25,3,G397=20,2,G397=15,1,G397=10,1,G397=0,0)</f>
        <v>0</v>
      </c>
      <c r="J397" s="3" t="n">
        <f aca="false">IF(H397&lt;=1,0,IF(H397&lt;=10,11,IF(H397&lt;=14,12,IF(H397&lt;=17,13,IF(H397&lt;=20,14,IF(H397&lt;=22,15,IF(H397&lt;=25,16,IF(H397&lt;=27,17,IF(H397&lt;=29,18,IF(H397&lt;=32,19,IF(H397&lt;=34,20,IF(H397&lt;=36,21,IF(H397&lt;=40,22,24)))))))))))))</f>
        <v>24</v>
      </c>
      <c r="L397" s="3" t="n">
        <v>40</v>
      </c>
      <c r="M397" s="3" t="n">
        <f aca="false">_xlfn.IFS(K397="взв",11,K397="накл",24,K397="прокл",25,K397="пт",26,K397=90,10,K397=85,10,K397=80,9,K397=75,8,K397=70,8,K397=65,7,K397=60,7,K397=55,6,K397=50,6,K397=45,6,K397=40,5,K397=35,4,K397=30,4,K397=25,3,K397=20,2,K397=15,1,K397=10,1,K397=0,0)</f>
        <v>0</v>
      </c>
      <c r="N397" s="3" t="n">
        <f aca="false">IF(L397&lt;=1,0,IF(L397&lt;=10,11,IF(L397&lt;=14,12,IF(L397&lt;=17,13,IF(L397&lt;=20,14,IF(L397&lt;=22,15,IF(L397&lt;=25,16,IF(L397&lt;=27,17,IF(L397&lt;=29,18,IF(L397&lt;=32,19,IF(L397&lt;=34,20,IF(L397&lt;=36,21,IF(L397&lt;=40,22,24)))))))))))))</f>
        <v>22</v>
      </c>
      <c r="P397" s="3" t="n">
        <v>42</v>
      </c>
      <c r="Q397" s="3" t="n">
        <f aca="false">_xlfn.IFS(O397="взв",11,O397="накл",24,O397="прокл",25,O397="пт",26,O397=90,10,O397=85,10,O397=80,9,O397=75,8,O397=70,8,O397=65,7,O397=60,7,O397=55,6,O397=50,6,O397=45,6,O397=40,5,O397=35,4,O397=30,4,O397=25,3,O397=20,2,O397=15,1,O397=10,1,O397=0,0)</f>
        <v>0</v>
      </c>
      <c r="R397" s="3" t="n">
        <f aca="false">IF(P397&lt;=1,0,IF(P397&lt;=10,11,IF(P397&lt;=14,12,IF(P397&lt;=17,13,IF(P397&lt;=20,14,IF(P397&lt;=22,15,IF(P397&lt;=25,16,IF(P397&lt;=27,17,IF(P397&lt;=29,18,IF(P397&lt;=32,19,IF(P397&lt;=34,20,IF(P397&lt;=36,21,IF(P397&lt;=40,22,24)))))))))))))</f>
        <v>24</v>
      </c>
      <c r="S397" s="14" t="n">
        <f aca="false">ROUND((Q397+R397+I397+J397+M397+N397)/3,0)</f>
        <v>23</v>
      </c>
      <c r="T397" s="15" t="n">
        <f aca="false">F397*LOG10(S397+2)</f>
        <v>8.38764005203223</v>
      </c>
    </row>
    <row r="398" customFormat="false" ht="14.65" hidden="false" customHeight="true" outlineLevel="0" collapsed="false">
      <c r="A398" s="12" t="s">
        <v>440</v>
      </c>
      <c r="B398" s="13" t="n">
        <v>38879</v>
      </c>
      <c r="C398" s="3" t="s">
        <v>24</v>
      </c>
      <c r="D398" s="4" t="s">
        <v>398</v>
      </c>
      <c r="E398" s="3" t="n">
        <v>2</v>
      </c>
      <c r="F398" s="3" t="n">
        <v>6</v>
      </c>
      <c r="H398" s="3" t="n">
        <v>36</v>
      </c>
      <c r="I398" s="3" t="n">
        <f aca="false">_xlfn.IFS(G398="взв",11,G398="накл",24,G398="прокл",25,G398="пт",26,G398=90,10,G398=85,10,G398=80,9,G398=75,8,G398=70,8,G398=65,7,G398=60,7,G398=55,6,G398=50,6,G398=45,6,G398=40,5,G398=35,4,G398=30,4,G398=25,3,G398=20,2,G398=15,1,G398=10,1,G398=0,0)</f>
        <v>0</v>
      </c>
      <c r="J398" s="3" t="n">
        <f aca="false">IF(H398&lt;=1,0,IF(H398&lt;=10,11,IF(H398&lt;=14,12,IF(H398&lt;=17,13,IF(H398&lt;=20,14,IF(H398&lt;=22,15,IF(H398&lt;=25,16,IF(H398&lt;=27,17,IF(H398&lt;=29,18,IF(H398&lt;=32,19,IF(H398&lt;=34,20,IF(H398&lt;=36,21,IF(H398&lt;=40,22,24)))))))))))))</f>
        <v>21</v>
      </c>
      <c r="L398" s="3" t="n">
        <v>35</v>
      </c>
      <c r="M398" s="3" t="n">
        <f aca="false">_xlfn.IFS(K398="взв",11,K398="накл",24,K398="прокл",25,K398="пт",26,K398=90,10,K398=85,10,K398=80,9,K398=75,8,K398=70,8,K398=65,7,K398=60,7,K398=55,6,K398=50,6,K398=45,6,K398=40,5,K398=35,4,K398=30,4,K398=25,3,K398=20,2,K398=15,1,K398=10,1,K398=0,0)</f>
        <v>0</v>
      </c>
      <c r="N398" s="3" t="n">
        <f aca="false">IF(L398&lt;=1,0,IF(L398&lt;=10,11,IF(L398&lt;=14,12,IF(L398&lt;=17,13,IF(L398&lt;=20,14,IF(L398&lt;=22,15,IF(L398&lt;=25,16,IF(L398&lt;=27,17,IF(L398&lt;=29,18,IF(L398&lt;=32,19,IF(L398&lt;=34,20,IF(L398&lt;=36,21,IF(L398&lt;=40,22,24)))))))))))))</f>
        <v>21</v>
      </c>
      <c r="Q398" s="3" t="n">
        <f aca="false">_xlfn.IFS(O398="взв",11,O398="накл",24,O398="прокл",25,O398="пт",26,O398=90,10,O398=85,10,O398=80,9,O398=75,8,O398=70,8,O398=65,7,O398=60,7,O398=55,6,O398=50,6,O398=45,6,O398=40,5,O398=35,4,O398=30,4,O398=25,3,O398=20,2,O398=15,1,O398=10,1,O398=0,0)</f>
        <v>0</v>
      </c>
      <c r="R398" s="3" t="n">
        <f aca="false">IF(P398&lt;=1,0,IF(P398&lt;=10,11,IF(P398&lt;=14,12,IF(P398&lt;=17,13,IF(P398&lt;=20,14,IF(P398&lt;=22,15,IF(P398&lt;=25,16,IF(P398&lt;=27,17,IF(P398&lt;=29,18,IF(P398&lt;=32,19,IF(P398&lt;=34,20,IF(P398&lt;=36,21,IF(P398&lt;=40,22,24)))))))))))))</f>
        <v>0</v>
      </c>
      <c r="S398" s="14" t="n">
        <f aca="false">ROUND((Q398+R398+I398+J398+M398+N398)/3,0)</f>
        <v>14</v>
      </c>
      <c r="T398" s="15" t="n">
        <f aca="false">F398*LOG10(S398+2)</f>
        <v>7.22471989593555</v>
      </c>
    </row>
    <row r="399" customFormat="false" ht="14.65" hidden="false" customHeight="true" outlineLevel="0" collapsed="false">
      <c r="A399" s="12" t="s">
        <v>441</v>
      </c>
      <c r="B399" s="13" t="n">
        <v>38879</v>
      </c>
      <c r="C399" s="3" t="s">
        <v>24</v>
      </c>
      <c r="D399" s="4" t="s">
        <v>398</v>
      </c>
      <c r="E399" s="3" t="n">
        <v>3</v>
      </c>
      <c r="F399" s="3" t="n">
        <v>7</v>
      </c>
      <c r="G399" s="3" t="n">
        <v>15</v>
      </c>
      <c r="I399" s="3" t="n">
        <f aca="false">_xlfn.IFS(G399="взв",11,G399="накл",24,G399="прокл",25,G399="пт",26,G399=90,10,G399=85,10,G399=80,9,G399=75,8,G399=70,8,G399=65,7,G399=60,7,G399=55,6,G399=50,6,G399=45,6,G399=40,5,G399=35,4,G399=30,4,G399=25,3,G399=20,2,G399=15,1,G399=10,1,G399=0,0)</f>
        <v>1</v>
      </c>
      <c r="J399" s="3" t="n">
        <f aca="false">IF(H399&lt;=1,0,IF(H399&lt;=10,11,IF(H399&lt;=14,12,IF(H399&lt;=17,13,IF(H399&lt;=20,14,IF(H399&lt;=22,15,IF(H399&lt;=25,16,IF(H399&lt;=27,17,IF(H399&lt;=29,18,IF(H399&lt;=32,19,IF(H399&lt;=34,20,IF(H399&lt;=36,21,IF(H399&lt;=40,22,24)))))))))))))</f>
        <v>0</v>
      </c>
      <c r="K399" s="3" t="n">
        <v>15</v>
      </c>
      <c r="M399" s="3" t="n">
        <f aca="false">_xlfn.IFS(K399="взв",11,K399="накл",24,K399="прокл",25,K399="пт",26,K399=90,10,K399=85,10,K399=80,9,K399=75,8,K399=70,8,K399=65,7,K399=60,7,K399=55,6,K399=50,6,K399=45,6,K399=40,5,K399=35,4,K399=30,4,K399=25,3,K399=20,2,K399=15,1,K399=10,1,K399=0,0)</f>
        <v>1</v>
      </c>
      <c r="N399" s="3" t="n">
        <f aca="false">IF(L399&lt;=1,0,IF(L399&lt;=10,11,IF(L399&lt;=14,12,IF(L399&lt;=17,13,IF(L399&lt;=20,14,IF(L399&lt;=22,15,IF(L399&lt;=25,16,IF(L399&lt;=27,17,IF(L399&lt;=29,18,IF(L399&lt;=32,19,IF(L399&lt;=34,20,IF(L399&lt;=36,21,IF(L399&lt;=40,22,24)))))))))))))</f>
        <v>0</v>
      </c>
      <c r="O399" s="3" t="n">
        <v>0</v>
      </c>
      <c r="Q399" s="3" t="n">
        <f aca="false">_xlfn.IFS(O399="взв",11,O399="накл",24,O399="прокл",25,O399="пт",26,O399=90,10,O399=85,10,O399=80,9,O399=75,8,O399=70,8,O399=65,7,O399=60,7,O399=55,6,O399=50,6,O399=45,6,O399=40,5,O399=35,4,O399=30,4,O399=25,3,O399=20,2,O399=15,1,O399=10,1,O399=0,0)</f>
        <v>0</v>
      </c>
      <c r="R399" s="3" t="n">
        <f aca="false">IF(P399&lt;=1,0,IF(P399&lt;=10,11,IF(P399&lt;=14,12,IF(P399&lt;=17,13,IF(P399&lt;=20,14,IF(P399&lt;=22,15,IF(P399&lt;=25,16,IF(P399&lt;=27,17,IF(P399&lt;=29,18,IF(P399&lt;=32,19,IF(P399&lt;=34,20,IF(P399&lt;=36,21,IF(P399&lt;=40,22,24)))))))))))))</f>
        <v>0</v>
      </c>
      <c r="S399" s="14" t="n">
        <f aca="false">ROUND((Q399+R399+I399+J399+M399+N399)/3,0)</f>
        <v>1</v>
      </c>
      <c r="T399" s="15" t="n">
        <f aca="false">F399*LOG10(S399+2)</f>
        <v>3.33984878303764</v>
      </c>
    </row>
    <row r="400" customFormat="false" ht="14.65" hidden="false" customHeight="true" outlineLevel="0" collapsed="false">
      <c r="A400" s="12" t="s">
        <v>442</v>
      </c>
      <c r="B400" s="13" t="n">
        <v>38879</v>
      </c>
      <c r="C400" s="3" t="s">
        <v>24</v>
      </c>
      <c r="D400" s="4" t="s">
        <v>398</v>
      </c>
      <c r="E400" s="3" t="n">
        <v>5</v>
      </c>
      <c r="F400" s="3" t="n">
        <v>10</v>
      </c>
      <c r="H400" s="3" t="n">
        <v>44</v>
      </c>
      <c r="I400" s="3" t="n">
        <f aca="false">_xlfn.IFS(G400="взв",11,G400="накл",24,G400="прокл",25,G400="пт",26,G400=90,10,G400=85,10,G400=80,9,G400=75,8,G400=70,8,G400=65,7,G400=60,7,G400=55,6,G400=50,6,G400=45,6,G400=40,5,G400=35,4,G400=30,4,G400=25,3,G400=20,2,G400=15,1,G400=10,1,G400=0,0)</f>
        <v>0</v>
      </c>
      <c r="J400" s="3" t="n">
        <f aca="false">IF(H400&lt;=1,0,IF(H400&lt;=10,11,IF(H400&lt;=14,12,IF(H400&lt;=17,13,IF(H400&lt;=20,14,IF(H400&lt;=22,15,IF(H400&lt;=25,16,IF(H400&lt;=27,17,IF(H400&lt;=29,18,IF(H400&lt;=32,19,IF(H400&lt;=34,20,IF(H400&lt;=36,21,IF(H400&lt;=40,22,24)))))))))))))</f>
        <v>24</v>
      </c>
      <c r="L400" s="3" t="n">
        <v>42</v>
      </c>
      <c r="M400" s="3" t="n">
        <f aca="false">_xlfn.IFS(K400="взв",11,K400="накл",24,K400="прокл",25,K400="пт",26,K400=90,10,K400=85,10,K400=80,9,K400=75,8,K400=70,8,K400=65,7,K400=60,7,K400=55,6,K400=50,6,K400=45,6,K400=40,5,K400=35,4,K400=30,4,K400=25,3,K400=20,2,K400=15,1,K400=10,1,K400=0,0)</f>
        <v>0</v>
      </c>
      <c r="N400" s="3" t="n">
        <f aca="false">IF(L400&lt;=1,0,IF(L400&lt;=10,11,IF(L400&lt;=14,12,IF(L400&lt;=17,13,IF(L400&lt;=20,14,IF(L400&lt;=22,15,IF(L400&lt;=25,16,IF(L400&lt;=27,17,IF(L400&lt;=29,18,IF(L400&lt;=32,19,IF(L400&lt;=34,20,IF(L400&lt;=36,21,IF(L400&lt;=40,22,24)))))))))))))</f>
        <v>24</v>
      </c>
      <c r="P400" s="3" t="n">
        <v>41</v>
      </c>
      <c r="Q400" s="3" t="n">
        <f aca="false">_xlfn.IFS(O400="взв",11,O400="накл",24,O400="прокл",25,O400="пт",26,O400=90,10,O400=85,10,O400=80,9,O400=75,8,O400=70,8,O400=65,7,O400=60,7,O400=55,6,O400=50,6,O400=45,6,O400=40,5,O400=35,4,O400=30,4,O400=25,3,O400=20,2,O400=15,1,O400=10,1,O400=0,0)</f>
        <v>0</v>
      </c>
      <c r="R400" s="3" t="n">
        <f aca="false">IF(P400&lt;=1,0,IF(P400&lt;=10,11,IF(P400&lt;=14,12,IF(P400&lt;=17,13,IF(P400&lt;=20,14,IF(P400&lt;=22,15,IF(P400&lt;=25,16,IF(P400&lt;=27,17,IF(P400&lt;=29,18,IF(P400&lt;=32,19,IF(P400&lt;=34,20,IF(P400&lt;=36,21,IF(P400&lt;=40,22,24)))))))))))))</f>
        <v>24</v>
      </c>
      <c r="S400" s="14" t="n">
        <f aca="false">ROUND((Q400+R400+I400+J400+M400+N400)/3,0)</f>
        <v>24</v>
      </c>
      <c r="T400" s="15" t="n">
        <f aca="false">F400*LOG10(S400+2)</f>
        <v>14.1497334797082</v>
      </c>
    </row>
    <row r="401" customFormat="false" ht="14.65" hidden="false" customHeight="true" outlineLevel="0" collapsed="false">
      <c r="A401" s="12" t="s">
        <v>443</v>
      </c>
      <c r="B401" s="13" t="n">
        <v>38879</v>
      </c>
      <c r="C401" s="3" t="s">
        <v>24</v>
      </c>
      <c r="D401" s="4" t="s">
        <v>398</v>
      </c>
      <c r="E401" s="3" t="n">
        <v>4</v>
      </c>
      <c r="F401" s="3" t="n">
        <v>13</v>
      </c>
      <c r="G401" s="3" t="n">
        <v>90</v>
      </c>
      <c r="I401" s="3" t="n">
        <f aca="false">_xlfn.IFS(G401="взв",11,G401="накл",24,G401="прокл",25,G401="пт",26,G401=90,10,G401=85,10,G401=80,9,G401=75,8,G401=70,8,G401=65,7,G401=60,7,G401=55,6,G401=50,6,G401=45,6,G401=40,5,G401=35,4,G401=30,4,G401=25,3,G401=20,2,G401=15,1,G401=10,1,G401=0,0)</f>
        <v>10</v>
      </c>
      <c r="J401" s="3" t="n">
        <f aca="false">IF(H401&lt;=1,0,IF(H401&lt;=10,11,IF(H401&lt;=14,12,IF(H401&lt;=17,13,IF(H401&lt;=20,14,IF(H401&lt;=22,15,IF(H401&lt;=25,16,IF(H401&lt;=27,17,IF(H401&lt;=29,18,IF(H401&lt;=32,19,IF(H401&lt;=34,20,IF(H401&lt;=36,21,IF(H401&lt;=40,22,24)))))))))))))</f>
        <v>0</v>
      </c>
      <c r="K401" s="3" t="n">
        <v>90</v>
      </c>
      <c r="M401" s="3" t="n">
        <f aca="false">_xlfn.IFS(K401="взв",11,K401="накл",24,K401="прокл",25,K401="пт",26,K401=90,10,K401=85,10,K401=80,9,K401=75,8,K401=70,8,K401=65,7,K401=60,7,K401=55,6,K401=50,6,K401=45,6,K401=40,5,K401=35,4,K401=30,4,K401=25,3,K401=20,2,K401=15,1,K401=10,1,K401=0,0)</f>
        <v>10</v>
      </c>
      <c r="N401" s="3" t="n">
        <f aca="false">IF(L401&lt;=1,0,IF(L401&lt;=10,11,IF(L401&lt;=14,12,IF(L401&lt;=17,13,IF(L401&lt;=20,14,IF(L401&lt;=22,15,IF(L401&lt;=25,16,IF(L401&lt;=27,17,IF(L401&lt;=29,18,IF(L401&lt;=32,19,IF(L401&lt;=34,20,IF(L401&lt;=36,21,IF(L401&lt;=40,22,24)))))))))))))</f>
        <v>0</v>
      </c>
      <c r="O401" s="3" t="n">
        <v>90</v>
      </c>
      <c r="Q401" s="3" t="n">
        <f aca="false">_xlfn.IFS(O401="взв",11,O401="накл",24,O401="прокл",25,O401="пт",26,O401=90,10,O401=85,10,O401=80,9,O401=75,8,O401=70,8,O401=65,7,O401=60,7,O401=55,6,O401=50,6,O401=45,6,O401=40,5,O401=35,4,O401=30,4,O401=25,3,O401=20,2,O401=15,1,O401=10,1,O401=0,0)</f>
        <v>10</v>
      </c>
      <c r="R401" s="3" t="n">
        <f aca="false">IF(P401&lt;=1,0,IF(P401&lt;=10,11,IF(P401&lt;=14,12,IF(P401&lt;=17,13,IF(P401&lt;=20,14,IF(P401&lt;=22,15,IF(P401&lt;=25,16,IF(P401&lt;=27,17,IF(P401&lt;=29,18,IF(P401&lt;=32,19,IF(P401&lt;=34,20,IF(P401&lt;=36,21,IF(P401&lt;=40,22,24)))))))))))))</f>
        <v>0</v>
      </c>
      <c r="S401" s="14" t="n">
        <f aca="false">ROUND((Q401+R401+I401+J401+M401+N401)/3,0)</f>
        <v>10</v>
      </c>
      <c r="T401" s="15" t="n">
        <f aca="false">F401*LOG10(S401+2)</f>
        <v>14.0293561986191</v>
      </c>
    </row>
    <row r="402" customFormat="false" ht="14.65" hidden="false" customHeight="true" outlineLevel="0" collapsed="false">
      <c r="A402" s="12" t="s">
        <v>444</v>
      </c>
      <c r="B402" s="13" t="n">
        <v>38879</v>
      </c>
      <c r="C402" s="3" t="s">
        <v>24</v>
      </c>
      <c r="D402" s="4" t="s">
        <v>398</v>
      </c>
      <c r="E402" s="3" t="n">
        <v>5</v>
      </c>
      <c r="F402" s="3" t="n">
        <v>15</v>
      </c>
      <c r="G402" s="3" t="n">
        <v>90</v>
      </c>
      <c r="I402" s="3" t="n">
        <f aca="false">_xlfn.IFS(G402="взв",11,G402="накл",24,G402="прокл",25,G402="пт",26,G402=90,10,G402=85,10,G402=80,9,G402=75,8,G402=70,8,G402=65,7,G402=60,7,G402=55,6,G402=50,6,G402=45,6,G402=40,5,G402=35,4,G402=30,4,G402=25,3,G402=20,2,G402=15,1,G402=10,1,G402=0,0)</f>
        <v>10</v>
      </c>
      <c r="J402" s="3" t="n">
        <f aca="false">IF(H402&lt;=1,0,IF(H402&lt;=10,11,IF(H402&lt;=14,12,IF(H402&lt;=17,13,IF(H402&lt;=20,14,IF(H402&lt;=22,15,IF(H402&lt;=25,16,IF(H402&lt;=27,17,IF(H402&lt;=29,18,IF(H402&lt;=32,19,IF(H402&lt;=34,20,IF(H402&lt;=36,21,IF(H402&lt;=40,22,24)))))))))))))</f>
        <v>0</v>
      </c>
      <c r="K402" s="3" t="n">
        <v>90</v>
      </c>
      <c r="M402" s="3" t="n">
        <f aca="false">_xlfn.IFS(K402="взв",11,K402="накл",24,K402="прокл",25,K402="пт",26,K402=90,10,K402=85,10,K402=80,9,K402=75,8,K402=70,8,K402=65,7,K402=60,7,K402=55,6,K402=50,6,K402=45,6,K402=40,5,K402=35,4,K402=30,4,K402=25,3,K402=20,2,K402=15,1,K402=10,1,K402=0,0)</f>
        <v>10</v>
      </c>
      <c r="N402" s="3" t="n">
        <f aca="false">IF(L402&lt;=1,0,IF(L402&lt;=10,11,IF(L402&lt;=14,12,IF(L402&lt;=17,13,IF(L402&lt;=20,14,IF(L402&lt;=22,15,IF(L402&lt;=25,16,IF(L402&lt;=27,17,IF(L402&lt;=29,18,IF(L402&lt;=32,19,IF(L402&lt;=34,20,IF(L402&lt;=36,21,IF(L402&lt;=40,22,24)))))))))))))</f>
        <v>0</v>
      </c>
      <c r="O402" s="3" t="n">
        <v>90</v>
      </c>
      <c r="Q402" s="3" t="n">
        <f aca="false">_xlfn.IFS(O402="взв",11,O402="накл",24,O402="прокл",25,O402="пт",26,O402=90,10,O402=85,10,O402=80,9,O402=75,8,O402=70,8,O402=65,7,O402=60,7,O402=55,6,O402=50,6,O402=45,6,O402=40,5,O402=35,4,O402=30,4,O402=25,3,O402=20,2,O402=15,1,O402=10,1,O402=0,0)</f>
        <v>10</v>
      </c>
      <c r="R402" s="3" t="n">
        <f aca="false">IF(P402&lt;=1,0,IF(P402&lt;=10,11,IF(P402&lt;=14,12,IF(P402&lt;=17,13,IF(P402&lt;=20,14,IF(P402&lt;=22,15,IF(P402&lt;=25,16,IF(P402&lt;=27,17,IF(P402&lt;=29,18,IF(P402&lt;=32,19,IF(P402&lt;=34,20,IF(P402&lt;=36,21,IF(P402&lt;=40,22,24)))))))))))))</f>
        <v>0</v>
      </c>
      <c r="S402" s="14" t="n">
        <f aca="false">ROUND((Q402+R402+I402+J402+M402+N402)/3,0)</f>
        <v>10</v>
      </c>
      <c r="T402" s="15" t="n">
        <f aca="false">F402*LOG10(S402+2)</f>
        <v>16.1877186907144</v>
      </c>
    </row>
    <row r="403" customFormat="false" ht="14.65" hidden="false" customHeight="true" outlineLevel="0" collapsed="false">
      <c r="A403" s="12" t="s">
        <v>445</v>
      </c>
      <c r="B403" s="13" t="n">
        <v>38879</v>
      </c>
      <c r="C403" s="3" t="s">
        <v>24</v>
      </c>
      <c r="D403" s="4" t="s">
        <v>398</v>
      </c>
      <c r="E403" s="3" t="n">
        <v>5</v>
      </c>
      <c r="F403" s="3" t="n">
        <v>15</v>
      </c>
      <c r="H403" s="3" t="n">
        <v>35</v>
      </c>
      <c r="I403" s="3" t="n">
        <f aca="false">_xlfn.IFS(G403="взв",11,G403="накл",24,G403="прокл",25,G403="пт",26,G403=90,10,G403=85,10,G403=80,9,G403=75,8,G403=70,8,G403=65,7,G403=60,7,G403=55,6,G403=50,6,G403=45,6,G403=40,5,G403=35,4,G403=30,4,G403=25,3,G403=20,2,G403=15,1,G403=10,1,G403=0,0)</f>
        <v>0</v>
      </c>
      <c r="J403" s="3" t="n">
        <f aca="false">IF(H403&lt;=1,0,IF(H403&lt;=10,11,IF(H403&lt;=14,12,IF(H403&lt;=17,13,IF(H403&lt;=20,14,IF(H403&lt;=22,15,IF(H403&lt;=25,16,IF(H403&lt;=27,17,IF(H403&lt;=29,18,IF(H403&lt;=32,19,IF(H403&lt;=34,20,IF(H403&lt;=36,21,IF(H403&lt;=40,22,24)))))))))))))</f>
        <v>21</v>
      </c>
      <c r="L403" s="3" t="n">
        <v>34</v>
      </c>
      <c r="M403" s="3" t="n">
        <f aca="false">_xlfn.IFS(K403="взв",11,K403="накл",24,K403="прокл",25,K403="пт",26,K403=90,10,K403=85,10,K403=80,9,K403=75,8,K403=70,8,K403=65,7,K403=60,7,K403=55,6,K403=50,6,K403=45,6,K403=40,5,K403=35,4,K403=30,4,K403=25,3,K403=20,2,K403=15,1,K403=10,1,K403=0,0)</f>
        <v>0</v>
      </c>
      <c r="N403" s="3" t="n">
        <f aca="false">IF(L403&lt;=1,0,IF(L403&lt;=10,11,IF(L403&lt;=14,12,IF(L403&lt;=17,13,IF(L403&lt;=20,14,IF(L403&lt;=22,15,IF(L403&lt;=25,16,IF(L403&lt;=27,17,IF(L403&lt;=29,18,IF(L403&lt;=32,19,IF(L403&lt;=34,20,IF(L403&lt;=36,21,IF(L403&lt;=40,22,24)))))))))))))</f>
        <v>20</v>
      </c>
      <c r="P403" s="3" t="n">
        <v>33</v>
      </c>
      <c r="Q403" s="3" t="n">
        <f aca="false">_xlfn.IFS(O403="взв",11,O403="накл",24,O403="прокл",25,O403="пт",26,O403=90,10,O403=85,10,O403=80,9,O403=75,8,O403=70,8,O403=65,7,O403=60,7,O403=55,6,O403=50,6,O403=45,6,O403=40,5,O403=35,4,O403=30,4,O403=25,3,O403=20,2,O403=15,1,O403=10,1,O403=0,0)</f>
        <v>0</v>
      </c>
      <c r="R403" s="3" t="n">
        <f aca="false">IF(P403&lt;=1,0,IF(P403&lt;=10,11,IF(P403&lt;=14,12,IF(P403&lt;=17,13,IF(P403&lt;=20,14,IF(P403&lt;=22,15,IF(P403&lt;=25,16,IF(P403&lt;=27,17,IF(P403&lt;=29,18,IF(P403&lt;=32,19,IF(P403&lt;=34,20,IF(P403&lt;=36,21,IF(P403&lt;=40,22,24)))))))))))))</f>
        <v>20</v>
      </c>
      <c r="S403" s="14" t="n">
        <f aca="false">ROUND((Q403+R403+I403+J403+M403+N403)/3,0)</f>
        <v>20</v>
      </c>
      <c r="T403" s="15" t="n">
        <f aca="false">F403*LOG10(S403+2)</f>
        <v>20.1363402123331</v>
      </c>
    </row>
    <row r="404" customFormat="false" ht="14.65" hidden="false" customHeight="true" outlineLevel="0" collapsed="false">
      <c r="A404" s="12" t="s">
        <v>446</v>
      </c>
      <c r="B404" s="13" t="n">
        <v>38879</v>
      </c>
      <c r="C404" s="3" t="s">
        <v>24</v>
      </c>
      <c r="D404" s="4" t="s">
        <v>398</v>
      </c>
      <c r="E404" s="3" t="n">
        <v>2</v>
      </c>
      <c r="F404" s="3" t="n">
        <v>15</v>
      </c>
      <c r="H404" s="3" t="n">
        <v>34</v>
      </c>
      <c r="I404" s="3" t="n">
        <f aca="false">_xlfn.IFS(G404="взв",11,G404="накл",24,G404="прокл",25,G404="пт",26,G404=90,10,G404=85,10,G404=80,9,G404=75,8,G404=70,8,G404=65,7,G404=60,7,G404=55,6,G404=50,6,G404=45,6,G404=40,5,G404=35,4,G404=30,4,G404=25,3,G404=20,2,G404=15,1,G404=10,1,G404=0,0)</f>
        <v>0</v>
      </c>
      <c r="J404" s="3" t="n">
        <f aca="false">IF(H404&lt;=1,0,IF(H404&lt;=10,11,IF(H404&lt;=14,12,IF(H404&lt;=17,13,IF(H404&lt;=20,14,IF(H404&lt;=22,15,IF(H404&lt;=25,16,IF(H404&lt;=27,17,IF(H404&lt;=29,18,IF(H404&lt;=32,19,IF(H404&lt;=34,20,IF(H404&lt;=36,21,IF(H404&lt;=40,22,24)))))))))))))</f>
        <v>20</v>
      </c>
      <c r="L404" s="3" t="n">
        <v>32</v>
      </c>
      <c r="M404" s="3" t="n">
        <f aca="false">_xlfn.IFS(K404="взв",11,K404="накл",24,K404="прокл",25,K404="пт",26,K404=90,10,K404=85,10,K404=80,9,K404=75,8,K404=70,8,K404=65,7,K404=60,7,K404=55,6,K404=50,6,K404=45,6,K404=40,5,K404=35,4,K404=30,4,K404=25,3,K404=20,2,K404=15,1,K404=10,1,K404=0,0)</f>
        <v>0</v>
      </c>
      <c r="N404" s="3" t="n">
        <f aca="false">IF(L404&lt;=1,0,IF(L404&lt;=10,11,IF(L404&lt;=14,12,IF(L404&lt;=17,13,IF(L404&lt;=20,14,IF(L404&lt;=22,15,IF(L404&lt;=25,16,IF(L404&lt;=27,17,IF(L404&lt;=29,18,IF(L404&lt;=32,19,IF(L404&lt;=34,20,IF(L404&lt;=36,21,IF(L404&lt;=40,22,24)))))))))))))</f>
        <v>19</v>
      </c>
      <c r="Q404" s="3" t="n">
        <f aca="false">_xlfn.IFS(O404="взв",11,O404="накл",24,O404="прокл",25,O404="пт",26,O404=90,10,O404=85,10,O404=80,9,O404=75,8,O404=70,8,O404=65,7,O404=60,7,O404=55,6,O404=50,6,O404=45,6,O404=40,5,O404=35,4,O404=30,4,O404=25,3,O404=20,2,O404=15,1,O404=10,1,O404=0,0)</f>
        <v>0</v>
      </c>
      <c r="R404" s="3" t="n">
        <f aca="false">IF(P404&lt;=1,0,IF(P404&lt;=10,11,IF(P404&lt;=14,12,IF(P404&lt;=17,13,IF(P404&lt;=20,14,IF(P404&lt;=22,15,IF(P404&lt;=25,16,IF(P404&lt;=27,17,IF(P404&lt;=29,18,IF(P404&lt;=32,19,IF(P404&lt;=34,20,IF(P404&lt;=36,21,IF(P404&lt;=40,22,24)))))))))))))</f>
        <v>0</v>
      </c>
      <c r="S404" s="14" t="n">
        <f aca="false">ROUND((Q404+R404+I404+J404+M404+N404)/2,0)</f>
        <v>20</v>
      </c>
      <c r="T404" s="15" t="n">
        <f aca="false">F404*LOG10(S404+2)</f>
        <v>20.1363402123331</v>
      </c>
    </row>
    <row r="405" customFormat="false" ht="14.65" hidden="false" customHeight="true" outlineLevel="0" collapsed="false">
      <c r="A405" s="12" t="s">
        <v>447</v>
      </c>
      <c r="B405" s="13" t="n">
        <v>38879</v>
      </c>
      <c r="C405" s="3" t="s">
        <v>24</v>
      </c>
      <c r="D405" s="4" t="s">
        <v>398</v>
      </c>
      <c r="E405" s="3" t="n">
        <v>4</v>
      </c>
      <c r="F405" s="3" t="n">
        <v>15</v>
      </c>
      <c r="H405" s="3" t="n">
        <v>35</v>
      </c>
      <c r="I405" s="3" t="n">
        <f aca="false">_xlfn.IFS(G405="взв",11,G405="накл",24,G405="прокл",25,G405="пт",26,G405=90,10,G405=85,10,G405=80,9,G405=75,8,G405=70,8,G405=65,7,G405=60,7,G405=55,6,G405=50,6,G405=45,6,G405=40,5,G405=35,4,G405=30,4,G405=25,3,G405=20,2,G405=15,1,G405=10,1,G405=0,0)</f>
        <v>0</v>
      </c>
      <c r="J405" s="3" t="n">
        <f aca="false">IF(H405&lt;=1,0,IF(H405&lt;=10,11,IF(H405&lt;=14,12,IF(H405&lt;=17,13,IF(H405&lt;=20,14,IF(H405&lt;=22,15,IF(H405&lt;=25,16,IF(H405&lt;=27,17,IF(H405&lt;=29,18,IF(H405&lt;=32,19,IF(H405&lt;=34,20,IF(H405&lt;=36,21,IF(H405&lt;=40,22,24)))))))))))))</f>
        <v>21</v>
      </c>
      <c r="L405" s="3" t="n">
        <v>37</v>
      </c>
      <c r="M405" s="3" t="n">
        <f aca="false">_xlfn.IFS(K405="взв",11,K405="накл",24,K405="прокл",25,K405="пт",26,K405=90,10,K405=85,10,K405=80,9,K405=75,8,K405=70,8,K405=65,7,K405=60,7,K405=55,6,K405=50,6,K405=45,6,K405=40,5,K405=35,4,K405=30,4,K405=25,3,K405=20,2,K405=15,1,K405=10,1,K405=0,0)</f>
        <v>0</v>
      </c>
      <c r="N405" s="3" t="n">
        <f aca="false">IF(L405&lt;=1,0,IF(L405&lt;=10,11,IF(L405&lt;=14,12,IF(L405&lt;=17,13,IF(L405&lt;=20,14,IF(L405&lt;=22,15,IF(L405&lt;=25,16,IF(L405&lt;=27,17,IF(L405&lt;=29,18,IF(L405&lt;=32,19,IF(L405&lt;=34,20,IF(L405&lt;=36,21,IF(L405&lt;=40,22,24)))))))))))))</f>
        <v>22</v>
      </c>
      <c r="P405" s="3" t="n">
        <v>34</v>
      </c>
      <c r="Q405" s="3" t="n">
        <f aca="false">_xlfn.IFS(O405="взв",11,O405="накл",24,O405="прокл",25,O405="пт",26,O405=90,10,O405=85,10,O405=80,9,O405=75,8,O405=70,8,O405=65,7,O405=60,7,O405=55,6,O405=50,6,O405=45,6,O405=40,5,O405=35,4,O405=30,4,O405=25,3,O405=20,2,O405=15,1,O405=10,1,O405=0,0)</f>
        <v>0</v>
      </c>
      <c r="R405" s="3" t="n">
        <f aca="false">IF(P405&lt;=1,0,IF(P405&lt;=10,11,IF(P405&lt;=14,12,IF(P405&lt;=17,13,IF(P405&lt;=20,14,IF(P405&lt;=22,15,IF(P405&lt;=25,16,IF(P405&lt;=27,17,IF(P405&lt;=29,18,IF(P405&lt;=32,19,IF(P405&lt;=34,20,IF(P405&lt;=36,21,IF(P405&lt;=40,22,24)))))))))))))</f>
        <v>20</v>
      </c>
      <c r="S405" s="14" t="n">
        <f aca="false">ROUND((Q405+R405+I405+J405+M405+N405)/3,0)</f>
        <v>21</v>
      </c>
      <c r="T405" s="15" t="n">
        <f aca="false">F405*LOG10(S405+2)</f>
        <v>20.4259175402639</v>
      </c>
    </row>
    <row r="406" customFormat="false" ht="14.65" hidden="false" customHeight="true" outlineLevel="0" collapsed="false">
      <c r="A406" s="12" t="s">
        <v>448</v>
      </c>
      <c r="B406" s="13" t="n">
        <v>38879</v>
      </c>
      <c r="C406" s="3" t="s">
        <v>24</v>
      </c>
      <c r="D406" s="4" t="s">
        <v>398</v>
      </c>
      <c r="E406" s="3" t="n">
        <v>1</v>
      </c>
      <c r="F406" s="3" t="n">
        <v>20</v>
      </c>
      <c r="G406" s="3" t="n">
        <v>90</v>
      </c>
      <c r="I406" s="3" t="n">
        <f aca="false">_xlfn.IFS(G406="взв",11,G406="накл",24,G406="прокл",25,G406="пт",26,G406=90,10,G406=85,10,G406=80,9,G406=75,8,G406=70,8,G406=65,7,G406=60,7,G406=55,6,G406=50,6,G406=45,6,G406=40,5,G406=35,4,G406=30,4,G406=25,3,G406=20,2,G406=15,1,G406=10,1,G406=0,0)</f>
        <v>10</v>
      </c>
      <c r="J406" s="3" t="n">
        <f aca="false">IF(H406&lt;=1,0,IF(H406&lt;=10,11,IF(H406&lt;=14,12,IF(H406&lt;=17,13,IF(H406&lt;=20,14,IF(H406&lt;=22,15,IF(H406&lt;=25,16,IF(H406&lt;=27,17,IF(H406&lt;=29,18,IF(H406&lt;=32,19,IF(H406&lt;=34,20,IF(H406&lt;=36,21,IF(H406&lt;=40,22,24)))))))))))))</f>
        <v>0</v>
      </c>
      <c r="M406" s="3" t="n">
        <f aca="false">_xlfn.IFS(K406="взв",11,K406="накл",24,K406="прокл",25,K406="пт",26,K406=90,10,K406=85,10,K406=80,9,K406=75,8,K406=70,8,K406=65,7,K406=60,7,K406=55,6,K406=50,6,K406=45,6,K406=40,5,K406=35,4,K406=30,4,K406=25,3,K406=20,2,K406=15,1,K406=10,1,K406=0,0)</f>
        <v>0</v>
      </c>
      <c r="N406" s="3" t="n">
        <f aca="false">IF(L406&lt;=1,0,IF(L406&lt;=10,11,IF(L406&lt;=14,12,IF(L406&lt;=17,13,IF(L406&lt;=20,14,IF(L406&lt;=22,15,IF(L406&lt;=25,16,IF(L406&lt;=27,17,IF(L406&lt;=29,18,IF(L406&lt;=32,19,IF(L406&lt;=34,20,IF(L406&lt;=36,21,IF(L406&lt;=40,22,24)))))))))))))</f>
        <v>0</v>
      </c>
      <c r="Q406" s="3" t="n">
        <f aca="false">_xlfn.IFS(O406="взв",11,O406="накл",24,O406="прокл",25,O406="пт",26,O406=90,10,O406=85,10,O406=80,9,O406=75,8,O406=70,8,O406=65,7,O406=60,7,O406=55,6,O406=50,6,O406=45,6,O406=40,5,O406=35,4,O406=30,4,O406=25,3,O406=20,2,O406=15,1,O406=10,1,O406=0,0)</f>
        <v>0</v>
      </c>
      <c r="R406" s="3" t="n">
        <f aca="false">IF(P406&lt;=1,0,IF(P406&lt;=10,11,IF(P406&lt;=14,12,IF(P406&lt;=17,13,IF(P406&lt;=20,14,IF(P406&lt;=22,15,IF(P406&lt;=25,16,IF(P406&lt;=27,17,IF(P406&lt;=29,18,IF(P406&lt;=32,19,IF(P406&lt;=34,20,IF(P406&lt;=36,21,IF(P406&lt;=40,22,24)))))))))))))</f>
        <v>0</v>
      </c>
      <c r="S406" s="14" t="n">
        <v>10</v>
      </c>
      <c r="T406" s="15" t="n">
        <f aca="false">F406*LOG10(S406+2)</f>
        <v>21.5836249209525</v>
      </c>
    </row>
    <row r="407" customFormat="false" ht="14.65" hidden="false" customHeight="true" outlineLevel="0" collapsed="false">
      <c r="A407" s="12" t="s">
        <v>449</v>
      </c>
      <c r="B407" s="13" t="n">
        <v>38892</v>
      </c>
      <c r="C407" s="3" t="s">
        <v>21</v>
      </c>
      <c r="D407" s="4" t="s">
        <v>398</v>
      </c>
      <c r="E407" s="3" t="n">
        <v>3</v>
      </c>
      <c r="F407" s="3" t="n">
        <v>0</v>
      </c>
      <c r="H407" s="3" t="n">
        <v>36</v>
      </c>
      <c r="I407" s="3" t="n">
        <f aca="false">_xlfn.IFS(G407="взв",11,G407="накл",24,G407="прокл",25,G407="пт",26,G407=90,10,G407=85,10,G407=80,9,G407=75,8,G407=70,8,G407=65,7,G407=60,7,G407=55,6,G407=50,6,G407=45,6,G407=40,5,G407=35,4,G407=30,4,G407=25,3,G407=20,2,G407=15,1,G407=10,1,G407=0,0)</f>
        <v>0</v>
      </c>
      <c r="J407" s="3" t="n">
        <f aca="false">IF(H407&lt;=1,0,IF(H407&lt;=10,11,IF(H407&lt;=14,12,IF(H407&lt;=17,13,IF(H407&lt;=20,14,IF(H407&lt;=22,15,IF(H407&lt;=25,16,IF(H407&lt;=27,17,IF(H407&lt;=29,18,IF(H407&lt;=32,19,IF(H407&lt;=34,20,IF(H407&lt;=36,21,IF(H407&lt;=40,22,24)))))))))))))</f>
        <v>21</v>
      </c>
      <c r="L407" s="3" t="n">
        <v>34</v>
      </c>
      <c r="M407" s="3" t="n">
        <f aca="false">_xlfn.IFS(K407="взв",11,K407="накл",24,K407="прокл",25,K407="пт",26,K407=90,10,K407=85,10,K407=80,9,K407=75,8,K407=70,8,K407=65,7,K407=60,7,K407=55,6,K407=50,6,K407=45,6,K407=40,5,K407=35,4,K407=30,4,K407=25,3,K407=20,2,K407=15,1,K407=10,1,K407=0,0)</f>
        <v>0</v>
      </c>
      <c r="N407" s="3" t="n">
        <f aca="false">IF(L407&lt;=1,0,IF(L407&lt;=10,11,IF(L407&lt;=14,12,IF(L407&lt;=17,13,IF(L407&lt;=20,14,IF(L407&lt;=22,15,IF(L407&lt;=25,16,IF(L407&lt;=27,17,IF(L407&lt;=29,18,IF(L407&lt;=32,19,IF(L407&lt;=34,20,IF(L407&lt;=36,21,IF(L407&lt;=40,22,24)))))))))))))</f>
        <v>20</v>
      </c>
      <c r="P407" s="3" t="n">
        <v>38</v>
      </c>
      <c r="Q407" s="3" t="n">
        <f aca="false">_xlfn.IFS(O407="взв",11,O407="накл",24,O407="прокл",25,O407="пт",26,O407=90,10,O407=85,10,O407=80,9,O407=75,8,O407=70,8,O407=65,7,O407=60,7,O407=55,6,O407=50,6,O407=45,6,O407=40,5,O407=35,4,O407=30,4,O407=25,3,O407=20,2,O407=15,1,O407=10,1,O407=0,0)</f>
        <v>0</v>
      </c>
      <c r="R407" s="3" t="n">
        <f aca="false">IF(P407&lt;=1,0,IF(P407&lt;=10,11,IF(P407&lt;=14,12,IF(P407&lt;=17,13,IF(P407&lt;=20,14,IF(P407&lt;=22,15,IF(P407&lt;=25,16,IF(P407&lt;=27,17,IF(P407&lt;=29,18,IF(P407&lt;=32,19,IF(P407&lt;=34,20,IF(P407&lt;=36,21,IF(P407&lt;=40,22,24)))))))))))))</f>
        <v>22</v>
      </c>
      <c r="S407" s="14" t="n">
        <f aca="false">ROUND((Q407+R407+I407+J407+M407+N407)/3,0)</f>
        <v>21</v>
      </c>
      <c r="T407" s="15" t="n">
        <f aca="false">F407*LOG10(S407+2)</f>
        <v>0</v>
      </c>
    </row>
    <row r="408" customFormat="false" ht="14.65" hidden="false" customHeight="true" outlineLevel="0" collapsed="false">
      <c r="A408" s="12" t="s">
        <v>450</v>
      </c>
      <c r="B408" s="13" t="n">
        <v>38892</v>
      </c>
      <c r="C408" s="3" t="s">
        <v>21</v>
      </c>
      <c r="D408" s="4" t="s">
        <v>398</v>
      </c>
      <c r="E408" s="3" t="n">
        <v>4</v>
      </c>
      <c r="F408" s="3" t="n">
        <v>0</v>
      </c>
      <c r="G408" s="3" t="n">
        <v>90</v>
      </c>
      <c r="I408" s="3" t="n">
        <f aca="false">_xlfn.IFS(G408="взв",11,G408="накл",24,G408="прокл",25,G408="пт",26,G408=90,10,G408=85,10,G408=80,9,G408=75,8,G408=70,8,G408=65,7,G408=60,7,G408=55,6,G408=50,6,G408=45,6,G408=40,5,G408=35,4,G408=30,4,G408=25,3,G408=20,2,G408=15,1,G408=10,1,G408=0,0)</f>
        <v>10</v>
      </c>
      <c r="J408" s="3" t="n">
        <f aca="false">IF(H408&lt;=1,0,IF(H408&lt;=10,11,IF(H408&lt;=14,12,IF(H408&lt;=17,13,IF(H408&lt;=20,14,IF(H408&lt;=22,15,IF(H408&lt;=25,16,IF(H408&lt;=27,17,IF(H408&lt;=29,18,IF(H408&lt;=32,19,IF(H408&lt;=34,20,IF(H408&lt;=36,21,IF(H408&lt;=40,22,24)))))))))))))</f>
        <v>0</v>
      </c>
      <c r="K408" s="3" t="n">
        <v>90</v>
      </c>
      <c r="M408" s="3" t="n">
        <f aca="false">_xlfn.IFS(K408="взв",11,K408="накл",24,K408="прокл",25,K408="пт",26,K408=90,10,K408=85,10,K408=80,9,K408=75,8,K408=70,8,K408=65,7,K408=60,7,K408=55,6,K408=50,6,K408=45,6,K408=40,5,K408=35,4,K408=30,4,K408=25,3,K408=20,2,K408=15,1,K408=10,1,K408=0,0)</f>
        <v>10</v>
      </c>
      <c r="N408" s="3" t="n">
        <f aca="false">IF(L408&lt;=1,0,IF(L408&lt;=10,11,IF(L408&lt;=14,12,IF(L408&lt;=17,13,IF(L408&lt;=20,14,IF(L408&lt;=22,15,IF(L408&lt;=25,16,IF(L408&lt;=27,17,IF(L408&lt;=29,18,IF(L408&lt;=32,19,IF(L408&lt;=34,20,IF(L408&lt;=36,21,IF(L408&lt;=40,22,24)))))))))))))</f>
        <v>0</v>
      </c>
      <c r="O408" s="3" t="n">
        <v>75</v>
      </c>
      <c r="Q408" s="3" t="n">
        <f aca="false">_xlfn.IFS(O408="взв",11,O408="накл",24,O408="прокл",25,O408="пт",26,O408=90,10,O408=85,10,O408=80,9,O408=75,8,O408=70,8,O408=65,7,O408=60,7,O408=55,6,O408=50,6,O408=45,6,O408=40,5,O408=35,4,O408=30,4,O408=25,3,O408=20,2,O408=15,1,O408=10,1,O408=0,0)</f>
        <v>8</v>
      </c>
      <c r="R408" s="3" t="n">
        <f aca="false">IF(P408&lt;=1,0,IF(P408&lt;=10,11,IF(P408&lt;=14,12,IF(P408&lt;=17,13,IF(P408&lt;=20,14,IF(P408&lt;=22,15,IF(P408&lt;=25,16,IF(P408&lt;=27,17,IF(P408&lt;=29,18,IF(P408&lt;=32,19,IF(P408&lt;=34,20,IF(P408&lt;=36,21,IF(P408&lt;=40,22,24)))))))))))))</f>
        <v>0</v>
      </c>
      <c r="S408" s="14" t="n">
        <f aca="false">ROUND((Q408+R408+I408+J408+M408+N408)/3,0)</f>
        <v>9</v>
      </c>
      <c r="T408" s="15" t="n">
        <f aca="false">F408*LOG10(S408+2)</f>
        <v>0</v>
      </c>
    </row>
    <row r="409" customFormat="false" ht="14.65" hidden="false" customHeight="true" outlineLevel="0" collapsed="false">
      <c r="A409" s="12" t="s">
        <v>451</v>
      </c>
      <c r="B409" s="13" t="n">
        <v>38879</v>
      </c>
      <c r="C409" s="3" t="s">
        <v>24</v>
      </c>
      <c r="D409" s="4" t="s">
        <v>398</v>
      </c>
      <c r="E409" s="3" t="n">
        <v>4</v>
      </c>
      <c r="F409" s="3" t="n">
        <v>0</v>
      </c>
      <c r="H409" s="3" t="n">
        <v>29</v>
      </c>
      <c r="I409" s="3" t="n">
        <f aca="false">_xlfn.IFS(G409="взв",11,G409="накл",24,G409="прокл",25,G409="пт",26,G409=90,10,G409=85,10,G409=80,9,G409=75,8,G409=70,8,G409=65,7,G409=60,7,G409=55,6,G409=50,6,G409=45,6,G409=40,5,G409=35,4,G409=30,4,G409=25,3,G409=20,2,G409=15,1,G409=10,1,G409=0,0)</f>
        <v>0</v>
      </c>
      <c r="J409" s="3" t="n">
        <f aca="false">IF(H409&lt;=1,0,IF(H409&lt;=10,11,IF(H409&lt;=14,12,IF(H409&lt;=17,13,IF(H409&lt;=20,14,IF(H409&lt;=22,15,IF(H409&lt;=25,16,IF(H409&lt;=27,17,IF(H409&lt;=29,18,IF(H409&lt;=32,19,IF(H409&lt;=34,20,IF(H409&lt;=36,21,IF(H409&lt;=40,22,24)))))))))))))</f>
        <v>18</v>
      </c>
      <c r="L409" s="3" t="n">
        <v>26</v>
      </c>
      <c r="M409" s="3" t="n">
        <f aca="false">_xlfn.IFS(K409="взв",11,K409="накл",24,K409="прокл",25,K409="пт",26,K409=90,10,K409=85,10,K409=80,9,K409=75,8,K409=70,8,K409=65,7,K409=60,7,K409=55,6,K409=50,6,K409=45,6,K409=40,5,K409=35,4,K409=30,4,K409=25,3,K409=20,2,K409=15,1,K409=10,1,K409=0,0)</f>
        <v>0</v>
      </c>
      <c r="N409" s="3" t="n">
        <f aca="false">IF(L409&lt;=1,0,IF(L409&lt;=10,11,IF(L409&lt;=14,12,IF(L409&lt;=17,13,IF(L409&lt;=20,14,IF(L409&lt;=22,15,IF(L409&lt;=25,16,IF(L409&lt;=27,17,IF(L409&lt;=29,18,IF(L409&lt;=32,19,IF(L409&lt;=34,20,IF(L409&lt;=36,21,IF(L409&lt;=40,22,24)))))))))))))</f>
        <v>17</v>
      </c>
      <c r="P409" s="3" t="n">
        <v>29</v>
      </c>
      <c r="Q409" s="3" t="n">
        <f aca="false">_xlfn.IFS(O409="взв",11,O409="накл",24,O409="прокл",25,O409="пт",26,O409=90,10,O409=85,10,O409=80,9,O409=75,8,O409=70,8,O409=65,7,O409=60,7,O409=55,6,O409=50,6,O409=45,6,O409=40,5,O409=35,4,O409=30,4,O409=25,3,O409=20,2,O409=15,1,O409=10,1,O409=0,0)</f>
        <v>0</v>
      </c>
      <c r="R409" s="3" t="n">
        <f aca="false">IF(P409&lt;=1,0,IF(P409&lt;=10,11,IF(P409&lt;=14,12,IF(P409&lt;=17,13,IF(P409&lt;=20,14,IF(P409&lt;=22,15,IF(P409&lt;=25,16,IF(P409&lt;=27,17,IF(P409&lt;=29,18,IF(P409&lt;=32,19,IF(P409&lt;=34,20,IF(P409&lt;=36,21,IF(P409&lt;=40,22,24)))))))))))))</f>
        <v>18</v>
      </c>
      <c r="S409" s="14" t="n">
        <f aca="false">ROUND((Q409+R409+I409+J409+M409+N409)/3,0)</f>
        <v>18</v>
      </c>
      <c r="T409" s="15" t="n">
        <f aca="false">F409*LOG10(S409+2)</f>
        <v>0</v>
      </c>
    </row>
    <row r="410" customFormat="false" ht="14.65" hidden="false" customHeight="true" outlineLevel="0" collapsed="false">
      <c r="A410" s="12" t="s">
        <v>452</v>
      </c>
      <c r="B410" s="13" t="n">
        <v>38879</v>
      </c>
      <c r="C410" s="3" t="s">
        <v>24</v>
      </c>
      <c r="D410" s="4" t="s">
        <v>398</v>
      </c>
      <c r="E410" s="3" t="n">
        <v>4</v>
      </c>
      <c r="F410" s="3" t="n">
        <v>0</v>
      </c>
      <c r="G410" s="3" t="n">
        <v>45</v>
      </c>
      <c r="I410" s="3" t="n">
        <f aca="false">_xlfn.IFS(G410="взв",11,G410="накл",24,G410="прокл",25,G410="пт",26,G410=90,10,G410=85,10,G410=80,9,G410=75,8,G410=70,8,G410=65,7,G410=60,7,G410=55,6,G410=50,6,G410=45,6,G410=40,5,G410=35,4,G410=30,4,G410=25,3,G410=20,2,G410=15,1,G410=10,1,G410=0,0)</f>
        <v>6</v>
      </c>
      <c r="J410" s="3" t="n">
        <f aca="false">IF(H410&lt;=1,0,IF(H410&lt;=10,11,IF(H410&lt;=14,12,IF(H410&lt;=17,13,IF(H410&lt;=20,14,IF(H410&lt;=22,15,IF(H410&lt;=25,16,IF(H410&lt;=27,17,IF(H410&lt;=29,18,IF(H410&lt;=32,19,IF(H410&lt;=34,20,IF(H410&lt;=36,21,IF(H410&lt;=40,22,24)))))))))))))</f>
        <v>0</v>
      </c>
      <c r="K410" s="3" t="n">
        <v>45</v>
      </c>
      <c r="M410" s="3" t="n">
        <f aca="false">_xlfn.IFS(K410="взв",11,K410="накл",24,K410="прокл",25,K410="пт",26,K410=90,10,K410=85,10,K410=80,9,K410=75,8,K410=70,8,K410=65,7,K410=60,7,K410=55,6,K410=50,6,K410=45,6,K410=40,5,K410=35,4,K410=30,4,K410=25,3,K410=20,2,K410=15,1,K410=10,1,K410=0,0)</f>
        <v>6</v>
      </c>
      <c r="N410" s="3" t="n">
        <f aca="false">IF(L410&lt;=1,0,IF(L410&lt;=10,11,IF(L410&lt;=14,12,IF(L410&lt;=17,13,IF(L410&lt;=20,14,IF(L410&lt;=22,15,IF(L410&lt;=25,16,IF(L410&lt;=27,17,IF(L410&lt;=29,18,IF(L410&lt;=32,19,IF(L410&lt;=34,20,IF(L410&lt;=36,21,IF(L410&lt;=40,22,24)))))))))))))</f>
        <v>0</v>
      </c>
      <c r="O410" s="3" t="n">
        <v>30</v>
      </c>
      <c r="Q410" s="3" t="n">
        <f aca="false">_xlfn.IFS(O410="взв",11,O410="накл",24,O410="прокл",25,O410="пт",26,O410=90,10,O410=85,10,O410=80,9,O410=75,8,O410=70,8,O410=65,7,O410=60,7,O410=55,6,O410=50,6,O410=45,6,O410=40,5,O410=35,4,O410=30,4,O410=25,3,O410=20,2,O410=15,1,O410=10,1,O410=0,0)</f>
        <v>4</v>
      </c>
      <c r="R410" s="3" t="n">
        <f aca="false">IF(P410&lt;=1,0,IF(P410&lt;=10,11,IF(P410&lt;=14,12,IF(P410&lt;=17,13,IF(P410&lt;=20,14,IF(P410&lt;=22,15,IF(P410&lt;=25,16,IF(P410&lt;=27,17,IF(P410&lt;=29,18,IF(P410&lt;=32,19,IF(P410&lt;=34,20,IF(P410&lt;=36,21,IF(P410&lt;=40,22,24)))))))))))))</f>
        <v>0</v>
      </c>
      <c r="S410" s="14" t="n">
        <f aca="false">ROUND((Q410+R410+I410+J410+M410+N410)/3,0)</f>
        <v>5</v>
      </c>
      <c r="T410" s="15" t="n">
        <f aca="false">F410*LOG10(S410+2)</f>
        <v>0</v>
      </c>
    </row>
    <row r="411" customFormat="false" ht="14.65" hidden="false" customHeight="true" outlineLevel="0" collapsed="false">
      <c r="A411" s="12" t="s">
        <v>453</v>
      </c>
      <c r="B411" s="13" t="n">
        <v>38879</v>
      </c>
      <c r="C411" s="3" t="s">
        <v>24</v>
      </c>
      <c r="D411" s="4" t="s">
        <v>398</v>
      </c>
      <c r="E411" s="3" t="n">
        <v>5</v>
      </c>
      <c r="F411" s="3" t="n">
        <v>0</v>
      </c>
      <c r="G411" s="3" t="s">
        <v>47</v>
      </c>
      <c r="I411" s="3" t="n">
        <f aca="false">_xlfn.IFS(G411="взв",11,G411="накл",24,G411="прокл",25,G411="пт",26,G411=90,10,G411=85,10,G411=80,9,G411=75,8,G411=70,8,G411=65,7,G411=60,7,G411=55,6,G411=50,6,G411=45,6,G411=40,5,G411=35,4,G411=30,4,G411=25,3,G411=20,2,G411=15,1,G411=10,1,G411=0,0)</f>
        <v>25</v>
      </c>
      <c r="J411" s="3" t="n">
        <f aca="false">IF(H411&lt;=1,0,IF(H411&lt;=10,11,IF(H411&lt;=14,12,IF(H411&lt;=17,13,IF(H411&lt;=20,14,IF(H411&lt;=22,15,IF(H411&lt;=25,16,IF(H411&lt;=27,17,IF(H411&lt;=29,18,IF(H411&lt;=32,19,IF(H411&lt;=34,20,IF(H411&lt;=36,21,IF(H411&lt;=40,22,24)))))))))))))</f>
        <v>0</v>
      </c>
      <c r="K411" s="3" t="s">
        <v>47</v>
      </c>
      <c r="M411" s="3" t="n">
        <f aca="false">_xlfn.IFS(K411="взв",11,K411="накл",24,K411="прокл",25,K411="пт",26,K411=90,10,K411=85,10,K411=80,9,K411=75,8,K411=70,8,K411=65,7,K411=60,7,K411=55,6,K411=50,6,K411=45,6,K411=40,5,K411=35,4,K411=30,4,K411=25,3,K411=20,2,K411=15,1,K411=10,1,K411=0,0)</f>
        <v>25</v>
      </c>
      <c r="N411" s="3" t="n">
        <f aca="false">IF(L411&lt;=1,0,IF(L411&lt;=10,11,IF(L411&lt;=14,12,IF(L411&lt;=17,13,IF(L411&lt;=20,14,IF(L411&lt;=22,15,IF(L411&lt;=25,16,IF(L411&lt;=27,17,IF(L411&lt;=29,18,IF(L411&lt;=32,19,IF(L411&lt;=34,20,IF(L411&lt;=36,21,IF(L411&lt;=40,22,24)))))))))))))</f>
        <v>0</v>
      </c>
      <c r="O411" s="3" t="s">
        <v>47</v>
      </c>
      <c r="P411" s="0"/>
      <c r="Q411" s="3" t="n">
        <f aca="false">_xlfn.IFS(O411="взв",11,O411="накл",24,O411="прокл",25,O411="пт",26,O411=90,10,O411=85,10,O411=80,9,O411=75,8,O411=70,8,O411=65,7,O411=60,7,O411=55,6,O411=50,6,O411=45,6,O411=40,5,O411=35,4,O411=30,4,O411=25,3,O411=20,2,O411=15,1,O411=10,1,O411=0,0)</f>
        <v>25</v>
      </c>
      <c r="R411" s="3" t="n">
        <f aca="false">IF(P411&lt;=1,0,IF(P411&lt;=10,11,IF(P411&lt;=14,12,IF(P411&lt;=17,13,IF(P411&lt;=20,14,IF(P411&lt;=22,15,IF(P411&lt;=25,16,IF(P411&lt;=27,17,IF(P411&lt;=29,18,IF(P411&lt;=32,19,IF(P411&lt;=34,20,IF(P411&lt;=36,21,IF(P411&lt;=40,22,24)))))))))))))</f>
        <v>0</v>
      </c>
      <c r="S411" s="14" t="n">
        <f aca="false">ROUND((Q411+R411+I411+J411+M411+N411)/3,0)</f>
        <v>25</v>
      </c>
      <c r="T411" s="15" t="n">
        <f aca="false">F411*LOG10(S411+2)</f>
        <v>0</v>
      </c>
    </row>
    <row r="412" customFormat="false" ht="14.65" hidden="false" customHeight="true" outlineLevel="0" collapsed="false">
      <c r="A412" s="12" t="s">
        <v>454</v>
      </c>
      <c r="B412" s="13" t="n">
        <v>38881</v>
      </c>
      <c r="C412" s="3" t="s">
        <v>24</v>
      </c>
      <c r="D412" s="4" t="s">
        <v>455</v>
      </c>
      <c r="E412" s="3" t="n">
        <v>5</v>
      </c>
      <c r="F412" s="3" t="n">
        <v>1</v>
      </c>
      <c r="H412" s="3" t="n">
        <v>39</v>
      </c>
      <c r="I412" s="3" t="n">
        <f aca="false">_xlfn.IFS(G412="взв",11,G412="накл",24,G412="прокл",25,G412="пт",26,G412=90,10,G412=85,10,G412=80,9,G412=75,8,G412=70,8,G412=65,7,G412=60,7,G412=55,6,G412=50,6,G412=45,6,G412=40,5,G412=35,4,G412=30,4,G412=25,3,G412=20,2,G412=15,1,G412=10,1,G412=0,0)</f>
        <v>0</v>
      </c>
      <c r="J412" s="3" t="n">
        <f aca="false">IF(H412&lt;=1,0,IF(H412&lt;=10,11,IF(H412&lt;=14,12,IF(H412&lt;=17,13,IF(H412&lt;=20,14,IF(H412&lt;=22,15,IF(H412&lt;=25,16,IF(H412&lt;=27,17,IF(H412&lt;=29,18,IF(H412&lt;=32,19,IF(H412&lt;=34,20,IF(H412&lt;=36,21,IF(H412&lt;=40,22,24)))))))))))))</f>
        <v>22</v>
      </c>
      <c r="L412" s="3" t="n">
        <v>39</v>
      </c>
      <c r="M412" s="3" t="n">
        <f aca="false">_xlfn.IFS(K412="взв",11,K412="накл",24,K412="прокл",25,K412="пт",26,K412=90,10,K412=85,10,K412=80,9,K412=75,8,K412=70,8,K412=65,7,K412=60,7,K412=55,6,K412=50,6,K412=45,6,K412=40,5,K412=35,4,K412=30,4,K412=25,3,K412=20,2,K412=15,1,K412=10,1,K412=0,0)</f>
        <v>0</v>
      </c>
      <c r="N412" s="3" t="n">
        <f aca="false">IF(L412&lt;=1,0,IF(L412&lt;=10,11,IF(L412&lt;=14,12,IF(L412&lt;=17,13,IF(L412&lt;=20,14,IF(L412&lt;=22,15,IF(L412&lt;=25,16,IF(L412&lt;=27,17,IF(L412&lt;=29,18,IF(L412&lt;=32,19,IF(L412&lt;=34,20,IF(L412&lt;=36,21,IF(L412&lt;=40,22,24)))))))))))))</f>
        <v>22</v>
      </c>
      <c r="P412" s="3" t="n">
        <v>34</v>
      </c>
      <c r="Q412" s="3" t="n">
        <f aca="false">_xlfn.IFS(O412="взв",11,O412="накл",24,O412="прокл",25,O412="пт",26,O412=90,10,O412=85,10,O412=80,9,O412=75,8,O412=70,8,O412=65,7,O412=60,7,O412=55,6,O412=50,6,O412=45,6,O412=40,5,O412=35,4,O412=30,4,O412=25,3,O412=20,2,O412=15,1,O412=10,1,O412=0,0)</f>
        <v>0</v>
      </c>
      <c r="R412" s="3" t="n">
        <f aca="false">IF(P412&lt;=1,0,IF(P412&lt;=10,11,IF(P412&lt;=14,12,IF(P412&lt;=17,13,IF(P412&lt;=20,14,IF(P412&lt;=22,15,IF(P412&lt;=25,16,IF(P412&lt;=27,17,IF(P412&lt;=29,18,IF(P412&lt;=32,19,IF(P412&lt;=34,20,IF(P412&lt;=36,21,IF(P412&lt;=40,22,24)))))))))))))</f>
        <v>20</v>
      </c>
      <c r="S412" s="14" t="n">
        <f aca="false">ROUND((Q412+R412+I412+J412+M412+N412)/3,0)</f>
        <v>21</v>
      </c>
      <c r="T412" s="15" t="n">
        <f aca="false">F412*LOG10(S412+2)</f>
        <v>1.36172783601759</v>
      </c>
    </row>
    <row r="413" customFormat="false" ht="14.65" hidden="false" customHeight="true" outlineLevel="0" collapsed="false">
      <c r="A413" s="12" t="s">
        <v>456</v>
      </c>
      <c r="B413" s="13" t="n">
        <v>38881</v>
      </c>
      <c r="C413" s="3" t="s">
        <v>24</v>
      </c>
      <c r="D413" s="4" t="s">
        <v>455</v>
      </c>
      <c r="E413" s="3" t="n">
        <v>6</v>
      </c>
      <c r="F413" s="3" t="n">
        <v>1</v>
      </c>
      <c r="H413" s="3" t="n">
        <v>35</v>
      </c>
      <c r="I413" s="3" t="n">
        <f aca="false">_xlfn.IFS(G413="взв",11,G413="накл",24,G413="прокл",25,G413="пт",26,G413=90,10,G413=85,10,G413=80,9,G413=75,8,G413=70,8,G413=65,7,G413=60,7,G413=55,6,G413=50,6,G413=45,6,G413=40,5,G413=35,4,G413=30,4,G413=25,3,G413=20,2,G413=15,1,G413=10,1,G413=0,0)</f>
        <v>0</v>
      </c>
      <c r="J413" s="3" t="n">
        <f aca="false">IF(H413&lt;=1,0,IF(H413&lt;=10,11,IF(H413&lt;=14,12,IF(H413&lt;=17,13,IF(H413&lt;=20,14,IF(H413&lt;=22,15,IF(H413&lt;=25,16,IF(H413&lt;=27,17,IF(H413&lt;=29,18,IF(H413&lt;=32,19,IF(H413&lt;=34,20,IF(H413&lt;=36,21,IF(H413&lt;=40,22,24)))))))))))))</f>
        <v>21</v>
      </c>
      <c r="L413" s="3" t="n">
        <v>33</v>
      </c>
      <c r="M413" s="3" t="n">
        <f aca="false">_xlfn.IFS(K413="взв",11,K413="накл",24,K413="прокл",25,K413="пт",26,K413=90,10,K413=85,10,K413=80,9,K413=75,8,K413=70,8,K413=65,7,K413=60,7,K413=55,6,K413=50,6,K413=45,6,K413=40,5,K413=35,4,K413=30,4,K413=25,3,K413=20,2,K413=15,1,K413=10,1,K413=0,0)</f>
        <v>0</v>
      </c>
      <c r="N413" s="3" t="n">
        <f aca="false">IF(L413&lt;=1,0,IF(L413&lt;=10,11,IF(L413&lt;=14,12,IF(L413&lt;=17,13,IF(L413&lt;=20,14,IF(L413&lt;=22,15,IF(L413&lt;=25,16,IF(L413&lt;=27,17,IF(L413&lt;=29,18,IF(L413&lt;=32,19,IF(L413&lt;=34,20,IF(L413&lt;=36,21,IF(L413&lt;=40,22,24)))))))))))))</f>
        <v>20</v>
      </c>
      <c r="P413" s="3" t="n">
        <v>36</v>
      </c>
      <c r="Q413" s="3" t="n">
        <f aca="false">_xlfn.IFS(O413="взв",11,O413="накл",24,O413="прокл",25,O413="пт",26,O413=90,10,O413=85,10,O413=80,9,O413=75,8,O413=70,8,O413=65,7,O413=60,7,O413=55,6,O413=50,6,O413=45,6,O413=40,5,O413=35,4,O413=30,4,O413=25,3,O413=20,2,O413=15,1,O413=10,1,O413=0,0)</f>
        <v>0</v>
      </c>
      <c r="R413" s="3" t="n">
        <f aca="false">IF(P413&lt;=1,0,IF(P413&lt;=10,11,IF(P413&lt;=14,12,IF(P413&lt;=17,13,IF(P413&lt;=20,14,IF(P413&lt;=22,15,IF(P413&lt;=25,16,IF(P413&lt;=27,17,IF(P413&lt;=29,18,IF(P413&lt;=32,19,IF(P413&lt;=34,20,IF(P413&lt;=36,21,IF(P413&lt;=40,22,24)))))))))))))</f>
        <v>21</v>
      </c>
      <c r="S413" s="14" t="n">
        <f aca="false">ROUND((Q413+R413+I413+J413+M413+N413)/3,0)</f>
        <v>21</v>
      </c>
      <c r="T413" s="15" t="n">
        <f aca="false">F413*LOG10(S413+2)</f>
        <v>1.36172783601759</v>
      </c>
    </row>
    <row r="414" customFormat="false" ht="14.65" hidden="false" customHeight="true" outlineLevel="0" collapsed="false">
      <c r="A414" s="12" t="s">
        <v>457</v>
      </c>
      <c r="B414" s="13" t="n">
        <v>38881</v>
      </c>
      <c r="C414" s="3" t="s">
        <v>24</v>
      </c>
      <c r="D414" s="4" t="s">
        <v>455</v>
      </c>
      <c r="E414" s="3" t="n">
        <v>4</v>
      </c>
      <c r="F414" s="3" t="n">
        <v>1</v>
      </c>
      <c r="G414" s="3" t="n">
        <v>60</v>
      </c>
      <c r="I414" s="3" t="n">
        <f aca="false">_xlfn.IFS(G414="взв",11,G414="накл",24,G414="прокл",25,G414="пт",26,G414=90,10,G414=85,10,G414=80,9,G414=75,8,G414=70,8,G414=65,7,G414=60,7,G414=55,6,G414=50,6,G414=45,6,G414=40,5,G414=35,4,G414=30,4,G414=25,3,G414=20,2,G414=15,1,G414=10,1,G414=0,0)</f>
        <v>7</v>
      </c>
      <c r="J414" s="3" t="n">
        <f aca="false">IF(H414&lt;=1,0,IF(H414&lt;=10,11,IF(H414&lt;=14,12,IF(H414&lt;=17,13,IF(H414&lt;=20,14,IF(H414&lt;=22,15,IF(H414&lt;=25,16,IF(H414&lt;=27,17,IF(H414&lt;=29,18,IF(H414&lt;=32,19,IF(H414&lt;=34,20,IF(H414&lt;=36,21,IF(H414&lt;=40,22,24)))))))))))))</f>
        <v>0</v>
      </c>
      <c r="L414" s="3" t="s">
        <v>50</v>
      </c>
      <c r="M414" s="3" t="n">
        <f aca="false">_xlfn.IFS(K414="взв",11,K414="накл",24,K414="прокл",25,K414="пт",26,K414=90,10,K414=85,10,K414=80,9,K414=75,8,K414=70,8,K414=65,7,K414=60,7,K414=55,6,K414=50,6,K414=45,6,K414=40,5,K414=35,4,K414=30,4,K414=25,3,K414=20,2,K414=15,1,K414=10,1,K414=0,0)</f>
        <v>0</v>
      </c>
      <c r="N414" s="3" t="n">
        <f aca="false">IF(L414&lt;=1,0,IF(L414&lt;=10,11,IF(L414&lt;=14,12,IF(L414&lt;=17,13,IF(L414&lt;=20,14,IF(L414&lt;=22,15,IF(L414&lt;=25,16,IF(L414&lt;=27,17,IF(L414&lt;=29,18,IF(L414&lt;=32,19,IF(L414&lt;=34,20,IF(L414&lt;=36,21,IF(L414&lt;=40,22,24)))))))))))))</f>
        <v>24</v>
      </c>
      <c r="O414" s="3" t="n">
        <v>75</v>
      </c>
      <c r="Q414" s="3" t="n">
        <f aca="false">_xlfn.IFS(O414="взв",11,O414="накл",24,O414="прокл",25,O414="пт",26,O414=90,10,O414=85,10,O414=80,9,O414=75,8,O414=70,8,O414=65,7,O414=60,7,O414=55,6,O414=50,6,O414=45,6,O414=40,5,O414=35,4,O414=30,4,O414=25,3,O414=20,2,O414=15,1,O414=10,1,O414=0,0)</f>
        <v>8</v>
      </c>
      <c r="R414" s="3" t="n">
        <f aca="false">IF(P414&lt;=1,0,IF(P414&lt;=10,11,IF(P414&lt;=14,12,IF(P414&lt;=17,13,IF(P414&lt;=20,14,IF(P414&lt;=22,15,IF(P414&lt;=25,16,IF(P414&lt;=27,17,IF(P414&lt;=29,18,IF(P414&lt;=32,19,IF(P414&lt;=34,20,IF(P414&lt;=36,21,IF(P414&lt;=40,22,24)))))))))))))</f>
        <v>0</v>
      </c>
      <c r="S414" s="14" t="n">
        <f aca="false">ROUND((Q414+R414+I414+J414+M414+N414)/3,0)</f>
        <v>13</v>
      </c>
      <c r="T414" s="15" t="n">
        <f aca="false">F414*LOG10(S414+2)</f>
        <v>1.17609125905568</v>
      </c>
    </row>
    <row r="415" customFormat="false" ht="14.65" hidden="false" customHeight="true" outlineLevel="0" collapsed="false">
      <c r="A415" s="12" t="s">
        <v>458</v>
      </c>
      <c r="B415" s="13" t="n">
        <v>38881</v>
      </c>
      <c r="C415" s="3" t="s">
        <v>24</v>
      </c>
      <c r="D415" s="4" t="s">
        <v>455</v>
      </c>
      <c r="E415" s="3" t="n">
        <v>6</v>
      </c>
      <c r="F415" s="3" t="n">
        <v>1</v>
      </c>
      <c r="G415" s="3" t="n">
        <v>90</v>
      </c>
      <c r="I415" s="3" t="n">
        <f aca="false">_xlfn.IFS(G415="взв",11,G415="накл",24,G415="прокл",25,G415="пт",26,G415=90,10,G415=85,10,G415=80,9,G415=75,8,G415=70,8,G415=65,7,G415=60,7,G415=55,6,G415=50,6,G415=45,6,G415=40,5,G415=35,4,G415=30,4,G415=25,3,G415=20,2,G415=15,1,G415=10,1,G415=0,0)</f>
        <v>10</v>
      </c>
      <c r="J415" s="3" t="n">
        <f aca="false">IF(H415&lt;=1,0,IF(H415&lt;=10,11,IF(H415&lt;=14,12,IF(H415&lt;=17,13,IF(H415&lt;=20,14,IF(H415&lt;=22,15,IF(H415&lt;=25,16,IF(H415&lt;=27,17,IF(H415&lt;=29,18,IF(H415&lt;=32,19,IF(H415&lt;=34,20,IF(H415&lt;=36,21,IF(H415&lt;=40,22,24)))))))))))))</f>
        <v>0</v>
      </c>
      <c r="L415" s="3" t="n">
        <v>23</v>
      </c>
      <c r="M415" s="3" t="n">
        <f aca="false">_xlfn.IFS(K415="взв",11,K415="накл",24,K415="прокл",25,K415="пт",26,K415=90,10,K415=85,10,K415=80,9,K415=75,8,K415=70,8,K415=65,7,K415=60,7,K415=55,6,K415=50,6,K415=45,6,K415=40,5,K415=35,4,K415=30,4,K415=25,3,K415=20,2,K415=15,1,K415=10,1,K415=0,0)</f>
        <v>0</v>
      </c>
      <c r="N415" s="3" t="n">
        <f aca="false">IF(L415&lt;=1,0,IF(L415&lt;=10,11,IF(L415&lt;=14,12,IF(L415&lt;=17,13,IF(L415&lt;=20,14,IF(L415&lt;=22,15,IF(L415&lt;=25,16,IF(L415&lt;=27,17,IF(L415&lt;=29,18,IF(L415&lt;=32,19,IF(L415&lt;=34,20,IF(L415&lt;=36,21,IF(L415&lt;=40,22,24)))))))))))))</f>
        <v>16</v>
      </c>
      <c r="P415" s="3" t="n">
        <v>22</v>
      </c>
      <c r="Q415" s="3" t="n">
        <f aca="false">_xlfn.IFS(O415="взв",11,O415="накл",24,O415="прокл",25,O415="пт",26,O415=90,10,O415=85,10,O415=80,9,O415=75,8,O415=70,8,O415=65,7,O415=60,7,O415=55,6,O415=50,6,O415=45,6,O415=40,5,O415=35,4,O415=30,4,O415=25,3,O415=20,2,O415=15,1,O415=10,1,O415=0,0)</f>
        <v>0</v>
      </c>
      <c r="R415" s="3" t="n">
        <f aca="false">IF(P415&lt;=1,0,IF(P415&lt;=10,11,IF(P415&lt;=14,12,IF(P415&lt;=17,13,IF(P415&lt;=20,14,IF(P415&lt;=22,15,IF(P415&lt;=25,16,IF(P415&lt;=27,17,IF(P415&lt;=29,18,IF(P415&lt;=32,19,IF(P415&lt;=34,20,IF(P415&lt;=36,21,IF(P415&lt;=40,22,24)))))))))))))</f>
        <v>15</v>
      </c>
      <c r="S415" s="14" t="n">
        <f aca="false">ROUND((Q415+R415+I415+J415+M415+N415)/3,0)</f>
        <v>14</v>
      </c>
      <c r="T415" s="15" t="n">
        <f aca="false">F415*LOG10(S415+2)</f>
        <v>1.20411998265592</v>
      </c>
    </row>
    <row r="416" customFormat="false" ht="14.65" hidden="false" customHeight="true" outlineLevel="0" collapsed="false">
      <c r="A416" s="12" t="s">
        <v>459</v>
      </c>
      <c r="B416" s="13" t="n">
        <v>38881</v>
      </c>
      <c r="C416" s="3" t="s">
        <v>24</v>
      </c>
      <c r="D416" s="4" t="s">
        <v>455</v>
      </c>
      <c r="E416" s="3" t="n">
        <v>5</v>
      </c>
      <c r="F416" s="3" t="n">
        <v>2</v>
      </c>
      <c r="G416" s="3" t="n">
        <v>45</v>
      </c>
      <c r="I416" s="3" t="n">
        <f aca="false">_xlfn.IFS(G416="взв",11,G416="накл",24,G416="прокл",25,G416="пт",26,G416=90,10,G416=85,10,G416=80,9,G416=75,8,G416=70,8,G416=65,7,G416=60,7,G416=55,6,G416=50,6,G416=45,6,G416=40,5,G416=35,4,G416=30,4,G416=25,3,G416=20,2,G416=15,1,G416=10,1,G416=0,0)</f>
        <v>6</v>
      </c>
      <c r="J416" s="3" t="n">
        <f aca="false">IF(H416&lt;=1,0,IF(H416&lt;=10,11,IF(H416&lt;=14,12,IF(H416&lt;=17,13,IF(H416&lt;=20,14,IF(H416&lt;=22,15,IF(H416&lt;=25,16,IF(H416&lt;=27,17,IF(H416&lt;=29,18,IF(H416&lt;=32,19,IF(H416&lt;=34,20,IF(H416&lt;=36,21,IF(H416&lt;=40,22,24)))))))))))))</f>
        <v>0</v>
      </c>
      <c r="K416" s="3" t="n">
        <v>45</v>
      </c>
      <c r="M416" s="3" t="n">
        <f aca="false">_xlfn.IFS(K416="взв",11,K416="накл",24,K416="прокл",25,K416="пт",26,K416=90,10,K416=85,10,K416=80,9,K416=75,8,K416=70,8,K416=65,7,K416=60,7,K416=55,6,K416=50,6,K416=45,6,K416=40,5,K416=35,4,K416=30,4,K416=25,3,K416=20,2,K416=15,1,K416=10,1,K416=0,0)</f>
        <v>6</v>
      </c>
      <c r="N416" s="3" t="n">
        <f aca="false">IF(L416&lt;=1,0,IF(L416&lt;=10,11,IF(L416&lt;=14,12,IF(L416&lt;=17,13,IF(L416&lt;=20,14,IF(L416&lt;=22,15,IF(L416&lt;=25,16,IF(L416&lt;=27,17,IF(L416&lt;=29,18,IF(L416&lt;=32,19,IF(L416&lt;=34,20,IF(L416&lt;=36,21,IF(L416&lt;=40,22,24)))))))))))))</f>
        <v>0</v>
      </c>
      <c r="O416" s="3" t="n">
        <v>30</v>
      </c>
      <c r="Q416" s="3" t="n">
        <f aca="false">_xlfn.IFS(O416="взв",11,O416="накл",24,O416="прокл",25,O416="пт",26,O416=90,10,O416=85,10,O416=80,9,O416=75,8,O416=70,8,O416=65,7,O416=60,7,O416=55,6,O416=50,6,O416=45,6,O416=40,5,O416=35,4,O416=30,4,O416=25,3,O416=20,2,O416=15,1,O416=10,1,O416=0,0)</f>
        <v>4</v>
      </c>
      <c r="R416" s="3" t="n">
        <f aca="false">IF(P416&lt;=1,0,IF(P416&lt;=10,11,IF(P416&lt;=14,12,IF(P416&lt;=17,13,IF(P416&lt;=20,14,IF(P416&lt;=22,15,IF(P416&lt;=25,16,IF(P416&lt;=27,17,IF(P416&lt;=29,18,IF(P416&lt;=32,19,IF(P416&lt;=34,20,IF(P416&lt;=36,21,IF(P416&lt;=40,22,24)))))))))))))</f>
        <v>0</v>
      </c>
      <c r="S416" s="14" t="n">
        <f aca="false">ROUND((Q416+R416+I416+J416+M416+N416)/3,0)</f>
        <v>5</v>
      </c>
      <c r="T416" s="15" t="n">
        <f aca="false">F416*LOG10(S416+2)</f>
        <v>1.69019608002851</v>
      </c>
    </row>
    <row r="417" customFormat="false" ht="14.65" hidden="false" customHeight="true" outlineLevel="0" collapsed="false">
      <c r="A417" s="12" t="s">
        <v>460</v>
      </c>
      <c r="B417" s="13" t="n">
        <v>38881</v>
      </c>
      <c r="C417" s="3" t="s">
        <v>24</v>
      </c>
      <c r="D417" s="4" t="s">
        <v>455</v>
      </c>
      <c r="E417" s="3" t="n">
        <v>5</v>
      </c>
      <c r="F417" s="3" t="n">
        <v>2</v>
      </c>
      <c r="G417" s="3" t="n">
        <v>75</v>
      </c>
      <c r="I417" s="3" t="n">
        <f aca="false">_xlfn.IFS(G417="взв",11,G417="накл",24,G417="прокл",25,G417="пт",26,G417=90,10,G417=85,10,G417=80,9,G417=75,8,G417=70,8,G417=65,7,G417=60,7,G417=55,6,G417=50,6,G417=45,6,G417=40,5,G417=35,4,G417=30,4,G417=25,3,G417=20,2,G417=15,1,G417=10,1,G417=0,0)</f>
        <v>8</v>
      </c>
      <c r="J417" s="3" t="n">
        <f aca="false">IF(H417&lt;=1,0,IF(H417&lt;=10,11,IF(H417&lt;=14,12,IF(H417&lt;=17,13,IF(H417&lt;=20,14,IF(H417&lt;=22,15,IF(H417&lt;=25,16,IF(H417&lt;=27,17,IF(H417&lt;=29,18,IF(H417&lt;=32,19,IF(H417&lt;=34,20,IF(H417&lt;=36,21,IF(H417&lt;=40,22,24)))))))))))))</f>
        <v>0</v>
      </c>
      <c r="K417" s="3" t="n">
        <v>60</v>
      </c>
      <c r="M417" s="3" t="n">
        <f aca="false">_xlfn.IFS(K417="взв",11,K417="накл",24,K417="прокл",25,K417="пт",26,K417=90,10,K417=85,10,K417=80,9,K417=75,8,K417=70,8,K417=65,7,K417=60,7,K417=55,6,K417=50,6,K417=45,6,K417=40,5,K417=35,4,K417=30,4,K417=25,3,K417=20,2,K417=15,1,K417=10,1,K417=0,0)</f>
        <v>7</v>
      </c>
      <c r="N417" s="3" t="n">
        <f aca="false">IF(L417&lt;=1,0,IF(L417&lt;=10,11,IF(L417&lt;=14,12,IF(L417&lt;=17,13,IF(L417&lt;=20,14,IF(L417&lt;=22,15,IF(L417&lt;=25,16,IF(L417&lt;=27,17,IF(L417&lt;=29,18,IF(L417&lt;=32,19,IF(L417&lt;=34,20,IF(L417&lt;=36,21,IF(L417&lt;=40,22,24)))))))))))))</f>
        <v>0</v>
      </c>
      <c r="O417" s="3" t="n">
        <v>75</v>
      </c>
      <c r="Q417" s="3" t="n">
        <f aca="false">_xlfn.IFS(O417="взв",11,O417="накл",24,O417="прокл",25,O417="пт",26,O417=90,10,O417=85,10,O417=80,9,O417=75,8,O417=70,8,O417=65,7,O417=60,7,O417=55,6,O417=50,6,O417=45,6,O417=40,5,O417=35,4,O417=30,4,O417=25,3,O417=20,2,O417=15,1,O417=10,1,O417=0,0)</f>
        <v>8</v>
      </c>
      <c r="R417" s="3" t="n">
        <f aca="false">IF(P417&lt;=1,0,IF(P417&lt;=10,11,IF(P417&lt;=14,12,IF(P417&lt;=17,13,IF(P417&lt;=20,14,IF(P417&lt;=22,15,IF(P417&lt;=25,16,IF(P417&lt;=27,17,IF(P417&lt;=29,18,IF(P417&lt;=32,19,IF(P417&lt;=34,20,IF(P417&lt;=36,21,IF(P417&lt;=40,22,24)))))))))))))</f>
        <v>0</v>
      </c>
      <c r="S417" s="14" t="n">
        <f aca="false">ROUND((Q417+R417+I417+J417+M417+N417)/3,0)</f>
        <v>8</v>
      </c>
      <c r="T417" s="15" t="n">
        <f aca="false">F417*LOG10(S417+2)</f>
        <v>2</v>
      </c>
    </row>
    <row r="418" customFormat="false" ht="14.65" hidden="false" customHeight="true" outlineLevel="0" collapsed="false">
      <c r="A418" s="12" t="s">
        <v>461</v>
      </c>
      <c r="B418" s="13" t="n">
        <v>38881</v>
      </c>
      <c r="C418" s="3" t="s">
        <v>24</v>
      </c>
      <c r="D418" s="4" t="s">
        <v>455</v>
      </c>
      <c r="E418" s="3" t="n">
        <v>2</v>
      </c>
      <c r="F418" s="3" t="n">
        <v>2</v>
      </c>
      <c r="H418" s="3" t="n">
        <v>19</v>
      </c>
      <c r="I418" s="3" t="n">
        <f aca="false">_xlfn.IFS(G418="взв",11,G418="накл",24,G418="прокл",25,G418="пт",26,G418=90,10,G418=85,10,G418=80,9,G418=75,8,G418=70,8,G418=65,7,G418=60,7,G418=55,6,G418=50,6,G418=45,6,G418=40,5,G418=35,4,G418=30,4,G418=25,3,G418=20,2,G418=15,1,G418=10,1,G418=0,0)</f>
        <v>0</v>
      </c>
      <c r="J418" s="3" t="n">
        <f aca="false">IF(H418&lt;=1,0,IF(H418&lt;=10,11,IF(H418&lt;=14,12,IF(H418&lt;=17,13,IF(H418&lt;=20,14,IF(H418&lt;=22,15,IF(H418&lt;=25,16,IF(H418&lt;=27,17,IF(H418&lt;=29,18,IF(H418&lt;=32,19,IF(H418&lt;=34,20,IF(H418&lt;=36,21,IF(H418&lt;=40,22,24)))))))))))))</f>
        <v>14</v>
      </c>
      <c r="L418" s="3" t="n">
        <v>27</v>
      </c>
      <c r="M418" s="3" t="n">
        <f aca="false">_xlfn.IFS(K418="взв",11,K418="накл",24,K418="прокл",25,K418="пт",26,K418=90,10,K418=85,10,K418=80,9,K418=75,8,K418=70,8,K418=65,7,K418=60,7,K418=55,6,K418=50,6,K418=45,6,K418=40,5,K418=35,4,K418=30,4,K418=25,3,K418=20,2,K418=15,1,K418=10,1,K418=0,0)</f>
        <v>0</v>
      </c>
      <c r="N418" s="3" t="n">
        <f aca="false">IF(L418&lt;=1,0,IF(L418&lt;=10,11,IF(L418&lt;=14,12,IF(L418&lt;=17,13,IF(L418&lt;=20,14,IF(L418&lt;=22,15,IF(L418&lt;=25,16,IF(L418&lt;=27,17,IF(L418&lt;=29,18,IF(L418&lt;=32,19,IF(L418&lt;=34,20,IF(L418&lt;=36,21,IF(L418&lt;=40,22,24)))))))))))))</f>
        <v>17</v>
      </c>
      <c r="Q418" s="3" t="n">
        <f aca="false">_xlfn.IFS(O418="взв",11,O418="накл",24,O418="прокл",25,O418="пт",26,O418=90,10,O418=85,10,O418=80,9,O418=75,8,O418=70,8,O418=65,7,O418=60,7,O418=55,6,O418=50,6,O418=45,6,O418=40,5,O418=35,4,O418=30,4,O418=25,3,O418=20,2,O418=15,1,O418=10,1,O418=0,0)</f>
        <v>0</v>
      </c>
      <c r="R418" s="3" t="n">
        <f aca="false">IF(P418&lt;=1,0,IF(P418&lt;=10,11,IF(P418&lt;=14,12,IF(P418&lt;=17,13,IF(P418&lt;=20,14,IF(P418&lt;=22,15,IF(P418&lt;=25,16,IF(P418&lt;=27,17,IF(P418&lt;=29,18,IF(P418&lt;=32,19,IF(P418&lt;=34,20,IF(P418&lt;=36,21,IF(P418&lt;=40,22,24)))))))))))))</f>
        <v>0</v>
      </c>
      <c r="S418" s="14" t="n">
        <f aca="false">ROUND((Q418+R418+I418+J418+M418+N418)/2,0)</f>
        <v>16</v>
      </c>
      <c r="T418" s="15" t="n">
        <f aca="false">F418*LOG10(S418+2)</f>
        <v>2.51054501020661</v>
      </c>
    </row>
    <row r="419" customFormat="false" ht="14.65" hidden="false" customHeight="true" outlineLevel="0" collapsed="false">
      <c r="A419" s="12" t="s">
        <v>462</v>
      </c>
      <c r="B419" s="13" t="n">
        <v>38881</v>
      </c>
      <c r="C419" s="3" t="s">
        <v>24</v>
      </c>
      <c r="D419" s="4" t="s">
        <v>455</v>
      </c>
      <c r="E419" s="3" t="n">
        <v>3</v>
      </c>
      <c r="F419" s="3" t="n">
        <v>2</v>
      </c>
      <c r="H419" s="3" t="n">
        <v>37</v>
      </c>
      <c r="I419" s="3" t="n">
        <f aca="false">_xlfn.IFS(G419="взв",11,G419="накл",24,G419="прокл",25,G419="пт",26,G419=90,10,G419=85,10,G419=80,9,G419=75,8,G419=70,8,G419=65,7,G419=60,7,G419=55,6,G419=50,6,G419=45,6,G419=40,5,G419=35,4,G419=30,4,G419=25,3,G419=20,2,G419=15,1,G419=10,1,G419=0,0)</f>
        <v>0</v>
      </c>
      <c r="J419" s="3" t="n">
        <f aca="false">IF(H419&lt;=1,0,IF(H419&lt;=10,11,IF(H419&lt;=14,12,IF(H419&lt;=17,13,IF(H419&lt;=20,14,IF(H419&lt;=22,15,IF(H419&lt;=25,16,IF(H419&lt;=27,17,IF(H419&lt;=29,18,IF(H419&lt;=32,19,IF(H419&lt;=34,20,IF(H419&lt;=36,21,IF(H419&lt;=40,22,24)))))))))))))</f>
        <v>22</v>
      </c>
      <c r="L419" s="3" t="n">
        <v>38</v>
      </c>
      <c r="M419" s="3" t="n">
        <f aca="false">_xlfn.IFS(K419="взв",11,K419="накл",24,K419="прокл",25,K419="пт",26,K419=90,10,K419=85,10,K419=80,9,K419=75,8,K419=70,8,K419=65,7,K419=60,7,K419=55,6,K419=50,6,K419=45,6,K419=40,5,K419=35,4,K419=30,4,K419=25,3,K419=20,2,K419=15,1,K419=10,1,K419=0,0)</f>
        <v>0</v>
      </c>
      <c r="N419" s="3" t="n">
        <f aca="false">IF(L419&lt;=1,0,IF(L419&lt;=10,11,IF(L419&lt;=14,12,IF(L419&lt;=17,13,IF(L419&lt;=20,14,IF(L419&lt;=22,15,IF(L419&lt;=25,16,IF(L419&lt;=27,17,IF(L419&lt;=29,18,IF(L419&lt;=32,19,IF(L419&lt;=34,20,IF(L419&lt;=36,21,IF(L419&lt;=40,22,24)))))))))))))</f>
        <v>22</v>
      </c>
      <c r="P419" s="3" t="n">
        <v>34</v>
      </c>
      <c r="Q419" s="3" t="n">
        <f aca="false">_xlfn.IFS(O419="взв",11,O419="накл",24,O419="прокл",25,O419="пт",26,O419=90,10,O419=85,10,O419=80,9,O419=75,8,O419=70,8,O419=65,7,O419=60,7,O419=55,6,O419=50,6,O419=45,6,O419=40,5,O419=35,4,O419=30,4,O419=25,3,O419=20,2,O419=15,1,O419=10,1,O419=0,0)</f>
        <v>0</v>
      </c>
      <c r="R419" s="3" t="n">
        <f aca="false">IF(P419&lt;=1,0,IF(P419&lt;=10,11,IF(P419&lt;=14,12,IF(P419&lt;=17,13,IF(P419&lt;=20,14,IF(P419&lt;=22,15,IF(P419&lt;=25,16,IF(P419&lt;=27,17,IF(P419&lt;=29,18,IF(P419&lt;=32,19,IF(P419&lt;=34,20,IF(P419&lt;=36,21,IF(P419&lt;=40,22,24)))))))))))))</f>
        <v>20</v>
      </c>
      <c r="S419" s="14" t="n">
        <f aca="false">ROUND((Q419+R419+I419+J419+M419+N419)/3,0)</f>
        <v>21</v>
      </c>
      <c r="T419" s="15" t="n">
        <f aca="false">F419*LOG10(S419+2)</f>
        <v>2.72345567203519</v>
      </c>
    </row>
    <row r="420" customFormat="false" ht="14.65" hidden="false" customHeight="true" outlineLevel="0" collapsed="false">
      <c r="A420" s="12" t="s">
        <v>463</v>
      </c>
      <c r="B420" s="13" t="n">
        <v>38881</v>
      </c>
      <c r="C420" s="3" t="s">
        <v>24</v>
      </c>
      <c r="D420" s="4" t="s">
        <v>455</v>
      </c>
      <c r="E420" s="3" t="n">
        <v>4</v>
      </c>
      <c r="F420" s="3" t="n">
        <v>2</v>
      </c>
      <c r="H420" s="3" t="n">
        <v>40</v>
      </c>
      <c r="I420" s="3" t="n">
        <f aca="false">_xlfn.IFS(G420="взв",11,G420="накл",24,G420="прокл",25,G420="пт",26,G420=90,10,G420=85,10,G420=80,9,G420=75,8,G420=70,8,G420=65,7,G420=60,7,G420=55,6,G420=50,6,G420=45,6,G420=40,5,G420=35,4,G420=30,4,G420=25,3,G420=20,2,G420=15,1,G420=10,1,G420=0,0)</f>
        <v>0</v>
      </c>
      <c r="J420" s="3" t="n">
        <f aca="false">IF(H420&lt;=1,0,IF(H420&lt;=10,11,IF(H420&lt;=14,12,IF(H420&lt;=17,13,IF(H420&lt;=20,14,IF(H420&lt;=22,15,IF(H420&lt;=25,16,IF(H420&lt;=27,17,IF(H420&lt;=29,18,IF(H420&lt;=32,19,IF(H420&lt;=34,20,IF(H420&lt;=36,21,IF(H420&lt;=40,22,24)))))))))))))</f>
        <v>22</v>
      </c>
      <c r="L420" s="3" t="n">
        <v>38</v>
      </c>
      <c r="M420" s="3" t="n">
        <f aca="false">_xlfn.IFS(K420="взв",11,K420="накл",24,K420="прокл",25,K420="пт",26,K420=90,10,K420=85,10,K420=80,9,K420=75,8,K420=70,8,K420=65,7,K420=60,7,K420=55,6,K420=50,6,K420=45,6,K420=40,5,K420=35,4,K420=30,4,K420=25,3,K420=20,2,K420=15,1,K420=10,1,K420=0,0)</f>
        <v>0</v>
      </c>
      <c r="N420" s="3" t="n">
        <f aca="false">IF(L420&lt;=1,0,IF(L420&lt;=10,11,IF(L420&lt;=14,12,IF(L420&lt;=17,13,IF(L420&lt;=20,14,IF(L420&lt;=22,15,IF(L420&lt;=25,16,IF(L420&lt;=27,17,IF(L420&lt;=29,18,IF(L420&lt;=32,19,IF(L420&lt;=34,20,IF(L420&lt;=36,21,IF(L420&lt;=40,22,24)))))))))))))</f>
        <v>22</v>
      </c>
      <c r="P420" s="3" t="n">
        <v>39</v>
      </c>
      <c r="Q420" s="3" t="n">
        <f aca="false">_xlfn.IFS(O420="взв",11,O420="накл",24,O420="прокл",25,O420="пт",26,O420=90,10,O420=85,10,O420=80,9,O420=75,8,O420=70,8,O420=65,7,O420=60,7,O420=55,6,O420=50,6,O420=45,6,O420=40,5,O420=35,4,O420=30,4,O420=25,3,O420=20,2,O420=15,1,O420=10,1,O420=0,0)</f>
        <v>0</v>
      </c>
      <c r="R420" s="3" t="n">
        <f aca="false">IF(P420&lt;=1,0,IF(P420&lt;=10,11,IF(P420&lt;=14,12,IF(P420&lt;=17,13,IF(P420&lt;=20,14,IF(P420&lt;=22,15,IF(P420&lt;=25,16,IF(P420&lt;=27,17,IF(P420&lt;=29,18,IF(P420&lt;=32,19,IF(P420&lt;=34,20,IF(P420&lt;=36,21,IF(P420&lt;=40,22,24)))))))))))))</f>
        <v>22</v>
      </c>
      <c r="S420" s="14" t="n">
        <f aca="false">ROUND((Q420+R420+I420+J420+M420+N420)/3,0)</f>
        <v>22</v>
      </c>
      <c r="T420" s="15" t="n">
        <f aca="false">F420*LOG10(S420+2)</f>
        <v>2.76042248342321</v>
      </c>
    </row>
    <row r="421" customFormat="false" ht="14.65" hidden="false" customHeight="true" outlineLevel="0" collapsed="false">
      <c r="A421" s="12" t="s">
        <v>464</v>
      </c>
      <c r="B421" s="13" t="n">
        <v>38881</v>
      </c>
      <c r="C421" s="3" t="s">
        <v>24</v>
      </c>
      <c r="D421" s="4" t="s">
        <v>455</v>
      </c>
      <c r="E421" s="3" t="n">
        <v>4</v>
      </c>
      <c r="F421" s="3" t="n">
        <v>2</v>
      </c>
      <c r="G421" s="3" t="s">
        <v>50</v>
      </c>
      <c r="H421" s="0"/>
      <c r="I421" s="3" t="n">
        <f aca="false">_xlfn.IFS(G421="взв",11,G421="накл",24,G421="прокл",25,G421="пт",26,G421=90,10,G421=85,10,G421=80,9,G421=75,8,G421=70,8,G421=65,7,G421=60,7,G421=55,6,G421=50,6,G421=45,6,G421=40,5,G421=35,4,G421=30,4,G421=25,3,G421=20,2,G421=15,1,G421=10,1,G421=0,0)</f>
        <v>11</v>
      </c>
      <c r="J421" s="3" t="n">
        <f aca="false">IF(H421&lt;=1,0,IF(H421&lt;=10,11,IF(H421&lt;=14,12,IF(H421&lt;=17,13,IF(H421&lt;=20,14,IF(H421&lt;=22,15,IF(H421&lt;=25,16,IF(H421&lt;=27,17,IF(H421&lt;=29,18,IF(H421&lt;=32,19,IF(H421&lt;=34,20,IF(H421&lt;=36,21,IF(H421&lt;=40,22,24)))))))))))))</f>
        <v>0</v>
      </c>
      <c r="K421" s="3" t="n">
        <v>90</v>
      </c>
      <c r="M421" s="3" t="n">
        <f aca="false">_xlfn.IFS(K421="взв",11,K421="накл",24,K421="прокл",25,K421="пт",26,K421=90,10,K421=85,10,K421=80,9,K421=75,8,K421=70,8,K421=65,7,K421=60,7,K421=55,6,K421=50,6,K421=45,6,K421=40,5,K421=35,4,K421=30,4,K421=25,3,K421=20,2,K421=15,1,K421=10,1,K421=0,0)</f>
        <v>10</v>
      </c>
      <c r="N421" s="3" t="n">
        <f aca="false">IF(L421&lt;=1,0,IF(L421&lt;=10,11,IF(L421&lt;=14,12,IF(L421&lt;=17,13,IF(L421&lt;=20,14,IF(L421&lt;=22,15,IF(L421&lt;=25,16,IF(L421&lt;=27,17,IF(L421&lt;=29,18,IF(L421&lt;=32,19,IF(L421&lt;=34,20,IF(L421&lt;=36,21,IF(L421&lt;=40,22,24)))))))))))))</f>
        <v>0</v>
      </c>
      <c r="O421" s="3" t="n">
        <v>60</v>
      </c>
      <c r="Q421" s="3" t="n">
        <f aca="false">_xlfn.IFS(O421="взв",11,O421="накл",24,O421="прокл",25,O421="пт",26,O421=90,10,O421=85,10,O421=80,9,O421=75,8,O421=70,8,O421=65,7,O421=60,7,O421=55,6,O421=50,6,O421=45,6,O421=40,5,O421=35,4,O421=30,4,O421=25,3,O421=20,2,O421=15,1,O421=10,1,O421=0,0)</f>
        <v>7</v>
      </c>
      <c r="R421" s="3" t="n">
        <f aca="false">IF(P421&lt;=1,0,IF(P421&lt;=10,11,IF(P421&lt;=14,12,IF(P421&lt;=17,13,IF(P421&lt;=20,14,IF(P421&lt;=22,15,IF(P421&lt;=25,16,IF(P421&lt;=27,17,IF(P421&lt;=29,18,IF(P421&lt;=32,19,IF(P421&lt;=34,20,IF(P421&lt;=36,21,IF(P421&lt;=40,22,24)))))))))))))</f>
        <v>0</v>
      </c>
      <c r="S421" s="14" t="n">
        <f aca="false">ROUND((Q421+R421+I421+J421+M421+N421)/3,0)</f>
        <v>9</v>
      </c>
      <c r="T421" s="15" t="n">
        <f aca="false">F421*LOG10(S421+2)</f>
        <v>2.08278537031645</v>
      </c>
    </row>
    <row r="422" customFormat="false" ht="14.65" hidden="false" customHeight="true" outlineLevel="0" collapsed="false">
      <c r="A422" s="12" t="s">
        <v>465</v>
      </c>
      <c r="B422" s="13" t="n">
        <v>38881</v>
      </c>
      <c r="C422" s="3" t="s">
        <v>24</v>
      </c>
      <c r="D422" s="4" t="s">
        <v>455</v>
      </c>
      <c r="E422" s="3" t="n">
        <v>5</v>
      </c>
      <c r="F422" s="3" t="n">
        <v>2</v>
      </c>
      <c r="H422" s="3" t="n">
        <v>36</v>
      </c>
      <c r="I422" s="3" t="n">
        <f aca="false">_xlfn.IFS(G422="взв",11,G422="накл",24,G422="прокл",25,G422="пт",26,G422=90,10,G422=85,10,G422=80,9,G422=75,8,G422=70,8,G422=65,7,G422=60,7,G422=55,6,G422=50,6,G422=45,6,G422=40,5,G422=35,4,G422=30,4,G422=25,3,G422=20,2,G422=15,1,G422=10,1,G422=0,0)</f>
        <v>0</v>
      </c>
      <c r="J422" s="3" t="n">
        <f aca="false">IF(H422&lt;=1,0,IF(H422&lt;=10,11,IF(H422&lt;=14,12,IF(H422&lt;=17,13,IF(H422&lt;=20,14,IF(H422&lt;=22,15,IF(H422&lt;=25,16,IF(H422&lt;=27,17,IF(H422&lt;=29,18,IF(H422&lt;=32,19,IF(H422&lt;=34,20,IF(H422&lt;=36,21,IF(H422&lt;=40,22,24)))))))))))))</f>
        <v>21</v>
      </c>
      <c r="L422" s="3" t="n">
        <v>33</v>
      </c>
      <c r="M422" s="3" t="n">
        <f aca="false">_xlfn.IFS(K422="взв",11,K422="накл",24,K422="прокл",25,K422="пт",26,K422=90,10,K422=85,10,K422=80,9,K422=75,8,K422=70,8,K422=65,7,K422=60,7,K422=55,6,K422=50,6,K422=45,6,K422=40,5,K422=35,4,K422=30,4,K422=25,3,K422=20,2,K422=15,1,K422=10,1,K422=0,0)</f>
        <v>0</v>
      </c>
      <c r="N422" s="3" t="n">
        <f aca="false">IF(L422&lt;=1,0,IF(L422&lt;=10,11,IF(L422&lt;=14,12,IF(L422&lt;=17,13,IF(L422&lt;=20,14,IF(L422&lt;=22,15,IF(L422&lt;=25,16,IF(L422&lt;=27,17,IF(L422&lt;=29,18,IF(L422&lt;=32,19,IF(L422&lt;=34,20,IF(L422&lt;=36,21,IF(L422&lt;=40,22,24)))))))))))))</f>
        <v>20</v>
      </c>
      <c r="P422" s="3" t="n">
        <v>33</v>
      </c>
      <c r="Q422" s="3" t="n">
        <f aca="false">_xlfn.IFS(O422="взв",11,O422="накл",24,O422="прокл",25,O422="пт",26,O422=90,10,O422=85,10,O422=80,9,O422=75,8,O422=70,8,O422=65,7,O422=60,7,O422=55,6,O422=50,6,O422=45,6,O422=40,5,O422=35,4,O422=30,4,O422=25,3,O422=20,2,O422=15,1,O422=10,1,O422=0,0)</f>
        <v>0</v>
      </c>
      <c r="R422" s="3" t="n">
        <f aca="false">IF(P422&lt;=1,0,IF(P422&lt;=10,11,IF(P422&lt;=14,12,IF(P422&lt;=17,13,IF(P422&lt;=20,14,IF(P422&lt;=22,15,IF(P422&lt;=25,16,IF(P422&lt;=27,17,IF(P422&lt;=29,18,IF(P422&lt;=32,19,IF(P422&lt;=34,20,IF(P422&lt;=36,21,IF(P422&lt;=40,22,24)))))))))))))</f>
        <v>20</v>
      </c>
      <c r="S422" s="14" t="n">
        <f aca="false">ROUND((Q422+R422+I422+J422+M422+N422)/3,0)</f>
        <v>20</v>
      </c>
      <c r="T422" s="15" t="n">
        <f aca="false">F422*LOG10(S422+2)</f>
        <v>2.68484536164441</v>
      </c>
    </row>
    <row r="423" customFormat="false" ht="14.65" hidden="false" customHeight="true" outlineLevel="0" collapsed="false">
      <c r="A423" s="12" t="s">
        <v>466</v>
      </c>
      <c r="B423" s="13" t="n">
        <v>38881</v>
      </c>
      <c r="C423" s="3" t="s">
        <v>24</v>
      </c>
      <c r="D423" s="4" t="s">
        <v>455</v>
      </c>
      <c r="E423" s="3" t="n">
        <v>4</v>
      </c>
      <c r="F423" s="3" t="n">
        <v>2</v>
      </c>
      <c r="G423" s="3" t="n">
        <v>90</v>
      </c>
      <c r="I423" s="3" t="n">
        <f aca="false">_xlfn.IFS(G423="взв",11,G423="накл",24,G423="прокл",25,G423="пт",26,G423=90,10,G423=85,10,G423=80,9,G423=75,8,G423=70,8,G423=65,7,G423=60,7,G423=55,6,G423=50,6,G423=45,6,G423=40,5,G423=35,4,G423=30,4,G423=25,3,G423=20,2,G423=15,1,G423=10,1,G423=0,0)</f>
        <v>10</v>
      </c>
      <c r="J423" s="3" t="n">
        <f aca="false">IF(H423&lt;=1,0,IF(H423&lt;=10,11,IF(H423&lt;=14,12,IF(H423&lt;=17,13,IF(H423&lt;=20,14,IF(H423&lt;=22,15,IF(H423&lt;=25,16,IF(H423&lt;=27,17,IF(H423&lt;=29,18,IF(H423&lt;=32,19,IF(H423&lt;=34,20,IF(H423&lt;=36,21,IF(H423&lt;=40,22,24)))))))))))))</f>
        <v>0</v>
      </c>
      <c r="K423" s="3" t="n">
        <v>90</v>
      </c>
      <c r="M423" s="3" t="n">
        <f aca="false">_xlfn.IFS(K423="взв",11,K423="накл",24,K423="прокл",25,K423="пт",26,K423=90,10,K423=85,10,K423=80,9,K423=75,8,K423=70,8,K423=65,7,K423=60,7,K423=55,6,K423=50,6,K423=45,6,K423=40,5,K423=35,4,K423=30,4,K423=25,3,K423=20,2,K423=15,1,K423=10,1,K423=0,0)</f>
        <v>10</v>
      </c>
      <c r="N423" s="3" t="n">
        <f aca="false">IF(L423&lt;=1,0,IF(L423&lt;=10,11,IF(L423&lt;=14,12,IF(L423&lt;=17,13,IF(L423&lt;=20,14,IF(L423&lt;=22,15,IF(L423&lt;=25,16,IF(L423&lt;=27,17,IF(L423&lt;=29,18,IF(L423&lt;=32,19,IF(L423&lt;=34,20,IF(L423&lt;=36,21,IF(L423&lt;=40,22,24)))))))))))))</f>
        <v>0</v>
      </c>
      <c r="O423" s="3" t="n">
        <v>90</v>
      </c>
      <c r="Q423" s="3" t="n">
        <f aca="false">_xlfn.IFS(O423="взв",11,O423="накл",24,O423="прокл",25,O423="пт",26,O423=90,10,O423=85,10,O423=80,9,O423=75,8,O423=70,8,O423=65,7,O423=60,7,O423=55,6,O423=50,6,O423=45,6,O423=40,5,O423=35,4,O423=30,4,O423=25,3,O423=20,2,O423=15,1,O423=10,1,O423=0,0)</f>
        <v>10</v>
      </c>
      <c r="R423" s="3" t="n">
        <f aca="false">IF(P423&lt;=1,0,IF(P423&lt;=10,11,IF(P423&lt;=14,12,IF(P423&lt;=17,13,IF(P423&lt;=20,14,IF(P423&lt;=22,15,IF(P423&lt;=25,16,IF(P423&lt;=27,17,IF(P423&lt;=29,18,IF(P423&lt;=32,19,IF(P423&lt;=34,20,IF(P423&lt;=36,21,IF(P423&lt;=40,22,24)))))))))))))</f>
        <v>0</v>
      </c>
      <c r="S423" s="14" t="n">
        <f aca="false">ROUND((Q423+R423+I423+J423+M423+N423)/3,0)</f>
        <v>10</v>
      </c>
      <c r="T423" s="15" t="n">
        <f aca="false">F423*LOG10(S423+2)</f>
        <v>2.15836249209525</v>
      </c>
    </row>
    <row r="424" customFormat="false" ht="14.65" hidden="false" customHeight="true" outlineLevel="0" collapsed="false">
      <c r="A424" s="12" t="s">
        <v>467</v>
      </c>
      <c r="B424" s="13" t="n">
        <v>38881</v>
      </c>
      <c r="C424" s="3" t="s">
        <v>24</v>
      </c>
      <c r="D424" s="4" t="s">
        <v>455</v>
      </c>
      <c r="E424" s="3" t="n">
        <v>5</v>
      </c>
      <c r="F424" s="3" t="n">
        <v>2</v>
      </c>
      <c r="H424" s="3" t="n">
        <v>37</v>
      </c>
      <c r="I424" s="3" t="n">
        <f aca="false">_xlfn.IFS(G424="взв",11,G424="накл",24,G424="прокл",25,G424="пт",26,G424=90,10,G424=85,10,G424=80,9,G424=75,8,G424=70,8,G424=65,7,G424=60,7,G424=55,6,G424=50,6,G424=45,6,G424=40,5,G424=35,4,G424=30,4,G424=25,3,G424=20,2,G424=15,1,G424=10,1,G424=0,0)</f>
        <v>0</v>
      </c>
      <c r="J424" s="3" t="n">
        <f aca="false">IF(H424&lt;=1,0,IF(H424&lt;=10,11,IF(H424&lt;=14,12,IF(H424&lt;=17,13,IF(H424&lt;=20,14,IF(H424&lt;=22,15,IF(H424&lt;=25,16,IF(H424&lt;=27,17,IF(H424&lt;=29,18,IF(H424&lt;=32,19,IF(H424&lt;=34,20,IF(H424&lt;=36,21,IF(H424&lt;=40,22,24)))))))))))))</f>
        <v>22</v>
      </c>
      <c r="L424" s="3" t="n">
        <v>39</v>
      </c>
      <c r="M424" s="3" t="n">
        <f aca="false">_xlfn.IFS(K424="взв",11,K424="накл",24,K424="прокл",25,K424="пт",26,K424=90,10,K424=85,10,K424=80,9,K424=75,8,K424=70,8,K424=65,7,K424=60,7,K424=55,6,K424=50,6,K424=45,6,K424=40,5,K424=35,4,K424=30,4,K424=25,3,K424=20,2,K424=15,1,K424=10,1,K424=0,0)</f>
        <v>0</v>
      </c>
      <c r="N424" s="3" t="n">
        <f aca="false">IF(L424&lt;=1,0,IF(L424&lt;=10,11,IF(L424&lt;=14,12,IF(L424&lt;=17,13,IF(L424&lt;=20,14,IF(L424&lt;=22,15,IF(L424&lt;=25,16,IF(L424&lt;=27,17,IF(L424&lt;=29,18,IF(L424&lt;=32,19,IF(L424&lt;=34,20,IF(L424&lt;=36,21,IF(L424&lt;=40,22,24)))))))))))))</f>
        <v>22</v>
      </c>
      <c r="P424" s="3" t="n">
        <v>33</v>
      </c>
      <c r="Q424" s="3" t="n">
        <f aca="false">_xlfn.IFS(O424="взв",11,O424="накл",24,O424="прокл",25,O424="пт",26,O424=90,10,O424=85,10,O424=80,9,O424=75,8,O424=70,8,O424=65,7,O424=60,7,O424=55,6,O424=50,6,O424=45,6,O424=40,5,O424=35,4,O424=30,4,O424=25,3,O424=20,2,O424=15,1,O424=10,1,O424=0,0)</f>
        <v>0</v>
      </c>
      <c r="R424" s="3" t="n">
        <f aca="false">IF(P424&lt;=1,0,IF(P424&lt;=10,11,IF(P424&lt;=14,12,IF(P424&lt;=17,13,IF(P424&lt;=20,14,IF(P424&lt;=22,15,IF(P424&lt;=25,16,IF(P424&lt;=27,17,IF(P424&lt;=29,18,IF(P424&lt;=32,19,IF(P424&lt;=34,20,IF(P424&lt;=36,21,IF(P424&lt;=40,22,24)))))))))))))</f>
        <v>20</v>
      </c>
      <c r="S424" s="14" t="n">
        <f aca="false">ROUND((Q424+R424+I424+J424+M424+N424)/3,0)</f>
        <v>21</v>
      </c>
      <c r="T424" s="15" t="n">
        <f aca="false">F424*LOG10(S424+2)</f>
        <v>2.72345567203519</v>
      </c>
    </row>
    <row r="425" customFormat="false" ht="14.65" hidden="false" customHeight="true" outlineLevel="0" collapsed="false">
      <c r="A425" s="12" t="s">
        <v>468</v>
      </c>
      <c r="B425" s="13" t="n">
        <v>38881</v>
      </c>
      <c r="C425" s="3" t="s">
        <v>24</v>
      </c>
      <c r="D425" s="4" t="s">
        <v>455</v>
      </c>
      <c r="E425" s="3" t="n">
        <v>4</v>
      </c>
      <c r="F425" s="3" t="n">
        <v>2</v>
      </c>
      <c r="H425" s="3" t="n">
        <v>35</v>
      </c>
      <c r="I425" s="3" t="n">
        <f aca="false">_xlfn.IFS(G425="взв",11,G425="накл",24,G425="прокл",25,G425="пт",26,G425=90,10,G425=85,10,G425=80,9,G425=75,8,G425=70,8,G425=65,7,G425=60,7,G425=55,6,G425=50,6,G425=45,6,G425=40,5,G425=35,4,G425=30,4,G425=25,3,G425=20,2,G425=15,1,G425=10,1,G425=0,0)</f>
        <v>0</v>
      </c>
      <c r="J425" s="3" t="n">
        <f aca="false">IF(H425&lt;=1,0,IF(H425&lt;=10,11,IF(H425&lt;=14,12,IF(H425&lt;=17,13,IF(H425&lt;=20,14,IF(H425&lt;=22,15,IF(H425&lt;=25,16,IF(H425&lt;=27,17,IF(H425&lt;=29,18,IF(H425&lt;=32,19,IF(H425&lt;=34,20,IF(H425&lt;=36,21,IF(H425&lt;=40,22,24)))))))))))))</f>
        <v>21</v>
      </c>
      <c r="L425" s="3" t="n">
        <v>38</v>
      </c>
      <c r="M425" s="3" t="n">
        <f aca="false">_xlfn.IFS(K425="взв",11,K425="накл",24,K425="прокл",25,K425="пт",26,K425=90,10,K425=85,10,K425=80,9,K425=75,8,K425=70,8,K425=65,7,K425=60,7,K425=55,6,K425=50,6,K425=45,6,K425=40,5,K425=35,4,K425=30,4,K425=25,3,K425=20,2,K425=15,1,K425=10,1,K425=0,0)</f>
        <v>0</v>
      </c>
      <c r="N425" s="3" t="n">
        <f aca="false">IF(L425&lt;=1,0,IF(L425&lt;=10,11,IF(L425&lt;=14,12,IF(L425&lt;=17,13,IF(L425&lt;=20,14,IF(L425&lt;=22,15,IF(L425&lt;=25,16,IF(L425&lt;=27,17,IF(L425&lt;=29,18,IF(L425&lt;=32,19,IF(L425&lt;=34,20,IF(L425&lt;=36,21,IF(L425&lt;=40,22,24)))))))))))))</f>
        <v>22</v>
      </c>
      <c r="P425" s="3" t="n">
        <v>39</v>
      </c>
      <c r="Q425" s="3" t="n">
        <f aca="false">_xlfn.IFS(O425="взв",11,O425="накл",24,O425="прокл",25,O425="пт",26,O425=90,10,O425=85,10,O425=80,9,O425=75,8,O425=70,8,O425=65,7,O425=60,7,O425=55,6,O425=50,6,O425=45,6,O425=40,5,O425=35,4,O425=30,4,O425=25,3,O425=20,2,O425=15,1,O425=10,1,O425=0,0)</f>
        <v>0</v>
      </c>
      <c r="R425" s="3" t="n">
        <f aca="false">IF(P425&lt;=1,0,IF(P425&lt;=10,11,IF(P425&lt;=14,12,IF(P425&lt;=17,13,IF(P425&lt;=20,14,IF(P425&lt;=22,15,IF(P425&lt;=25,16,IF(P425&lt;=27,17,IF(P425&lt;=29,18,IF(P425&lt;=32,19,IF(P425&lt;=34,20,IF(P425&lt;=36,21,IF(P425&lt;=40,22,24)))))))))))))</f>
        <v>22</v>
      </c>
      <c r="S425" s="14" t="n">
        <f aca="false">ROUND((Q425+R425+I425+J425+M425+N425)/3,0)</f>
        <v>22</v>
      </c>
      <c r="T425" s="15" t="n">
        <f aca="false">F425*LOG10(S425+2)</f>
        <v>2.76042248342321</v>
      </c>
    </row>
    <row r="426" customFormat="false" ht="14.65" hidden="false" customHeight="true" outlineLevel="0" collapsed="false">
      <c r="A426" s="12" t="s">
        <v>469</v>
      </c>
      <c r="B426" s="13" t="n">
        <v>38881</v>
      </c>
      <c r="C426" s="3" t="s">
        <v>24</v>
      </c>
      <c r="D426" s="4" t="s">
        <v>455</v>
      </c>
      <c r="E426" s="3" t="n">
        <v>3</v>
      </c>
      <c r="F426" s="3" t="n">
        <v>3</v>
      </c>
      <c r="G426" s="3" t="s">
        <v>38</v>
      </c>
      <c r="I426" s="3" t="n">
        <f aca="false">_xlfn.IFS(G426="взв",11,G426="накл",24,G426="прокл",25,G426="пт",26,G426=90,10,G426=85,10,G426=80,9,G426=75,8,G426=70,8,G426=65,7,G426=60,7,G426=55,6,G426=50,6,G426=45,6,G426=40,5,G426=35,4,G426=30,4,G426=25,3,G426=20,2,G426=15,1,G426=10,1,G426=0,0)</f>
        <v>26</v>
      </c>
      <c r="J426" s="3" t="n">
        <f aca="false">IF(H426&lt;=1,0,IF(H426&lt;=10,11,IF(H426&lt;=14,12,IF(H426&lt;=17,13,IF(H426&lt;=20,14,IF(H426&lt;=22,15,IF(H426&lt;=25,16,IF(H426&lt;=27,17,IF(H426&lt;=29,18,IF(H426&lt;=32,19,IF(H426&lt;=34,20,IF(H426&lt;=36,21,IF(H426&lt;=40,22,24)))))))))))))</f>
        <v>0</v>
      </c>
      <c r="K426" s="3" t="s">
        <v>38</v>
      </c>
      <c r="M426" s="3" t="n">
        <f aca="false">_xlfn.IFS(K426="взв",11,K426="накл",24,K426="прокл",25,K426="пт",26,K426=90,10,K426=85,10,K426=80,9,K426=75,8,K426=70,8,K426=65,7,K426=60,7,K426=55,6,K426=50,6,K426=45,6,K426=40,5,K426=35,4,K426=30,4,K426=25,3,K426=20,2,K426=15,1,K426=10,1,K426=0,0)</f>
        <v>26</v>
      </c>
      <c r="N426" s="3" t="n">
        <f aca="false">IF(L426&lt;=1,0,IF(L426&lt;=10,11,IF(L426&lt;=14,12,IF(L426&lt;=17,13,IF(L426&lt;=20,14,IF(L426&lt;=22,15,IF(L426&lt;=25,16,IF(L426&lt;=27,17,IF(L426&lt;=29,18,IF(L426&lt;=32,19,IF(L426&lt;=34,20,IF(L426&lt;=36,21,IF(L426&lt;=40,22,24)))))))))))))</f>
        <v>0</v>
      </c>
      <c r="O426" s="3" t="s">
        <v>38</v>
      </c>
      <c r="Q426" s="3" t="n">
        <f aca="false">_xlfn.IFS(O426="взв",11,O426="накл",24,O426="прокл",25,O426="пт",26,O426=90,10,O426=85,10,O426=80,9,O426=75,8,O426=70,8,O426=65,7,O426=60,7,O426=55,6,O426=50,6,O426=45,6,O426=40,5,O426=35,4,O426=30,4,O426=25,3,O426=20,2,O426=15,1,O426=10,1,O426=0,0)</f>
        <v>26</v>
      </c>
      <c r="R426" s="3" t="n">
        <f aca="false">IF(P426&lt;=1,0,IF(P426&lt;=10,11,IF(P426&lt;=14,12,IF(P426&lt;=17,13,IF(P426&lt;=20,14,IF(P426&lt;=22,15,IF(P426&lt;=25,16,IF(P426&lt;=27,17,IF(P426&lt;=29,18,IF(P426&lt;=32,19,IF(P426&lt;=34,20,IF(P426&lt;=36,21,IF(P426&lt;=40,22,24)))))))))))))</f>
        <v>0</v>
      </c>
      <c r="S426" s="14" t="n">
        <f aca="false">ROUND((Q426+R426+I426+J426+M426+N426)/3,0)</f>
        <v>26</v>
      </c>
      <c r="T426" s="15" t="n">
        <f aca="false">F426*LOG10(S426+2)</f>
        <v>4.34147409402666</v>
      </c>
    </row>
    <row r="427" customFormat="false" ht="14.65" hidden="false" customHeight="true" outlineLevel="0" collapsed="false">
      <c r="A427" s="12" t="s">
        <v>470</v>
      </c>
      <c r="B427" s="13" t="n">
        <v>38881</v>
      </c>
      <c r="C427" s="3" t="s">
        <v>24</v>
      </c>
      <c r="D427" s="4" t="s">
        <v>455</v>
      </c>
      <c r="E427" s="3" t="n">
        <v>4</v>
      </c>
      <c r="F427" s="3" t="n">
        <v>3</v>
      </c>
      <c r="G427" s="3" t="n">
        <v>75</v>
      </c>
      <c r="I427" s="3" t="n">
        <f aca="false">_xlfn.IFS(G427="взв",11,G427="накл",24,G427="прокл",25,G427="пт",26,G427=90,10,G427=85,10,G427=80,9,G427=75,8,G427=70,8,G427=65,7,G427=60,7,G427=55,6,G427=50,6,G427=45,6,G427=40,5,G427=35,4,G427=30,4,G427=25,3,G427=20,2,G427=15,1,G427=10,1,G427=0,0)</f>
        <v>8</v>
      </c>
      <c r="J427" s="3" t="n">
        <f aca="false">IF(H427&lt;=1,0,IF(H427&lt;=10,11,IF(H427&lt;=14,12,IF(H427&lt;=17,13,IF(H427&lt;=20,14,IF(H427&lt;=22,15,IF(H427&lt;=25,16,IF(H427&lt;=27,17,IF(H427&lt;=29,18,IF(H427&lt;=32,19,IF(H427&lt;=34,20,IF(H427&lt;=36,21,IF(H427&lt;=40,22,24)))))))))))))</f>
        <v>0</v>
      </c>
      <c r="K427" s="3" t="n">
        <v>75</v>
      </c>
      <c r="M427" s="3" t="n">
        <f aca="false">_xlfn.IFS(K427="взв",11,K427="накл",24,K427="прокл",25,K427="пт",26,K427=90,10,K427=85,10,K427=80,9,K427=75,8,K427=70,8,K427=65,7,K427=60,7,K427=55,6,K427=50,6,K427=45,6,K427=40,5,K427=35,4,K427=30,4,K427=25,3,K427=20,2,K427=15,1,K427=10,1,K427=0,0)</f>
        <v>8</v>
      </c>
      <c r="N427" s="3" t="n">
        <f aca="false">IF(L427&lt;=1,0,IF(L427&lt;=10,11,IF(L427&lt;=14,12,IF(L427&lt;=17,13,IF(L427&lt;=20,14,IF(L427&lt;=22,15,IF(L427&lt;=25,16,IF(L427&lt;=27,17,IF(L427&lt;=29,18,IF(L427&lt;=32,19,IF(L427&lt;=34,20,IF(L427&lt;=36,21,IF(L427&lt;=40,22,24)))))))))))))</f>
        <v>0</v>
      </c>
      <c r="O427" s="3" t="n">
        <v>75</v>
      </c>
      <c r="Q427" s="3" t="n">
        <f aca="false">_xlfn.IFS(O427="взв",11,O427="накл",24,O427="прокл",25,O427="пт",26,O427=90,10,O427=85,10,O427=80,9,O427=75,8,O427=70,8,O427=65,7,O427=60,7,O427=55,6,O427=50,6,O427=45,6,O427=40,5,O427=35,4,O427=30,4,O427=25,3,O427=20,2,O427=15,1,O427=10,1,O427=0,0)</f>
        <v>8</v>
      </c>
      <c r="R427" s="3" t="n">
        <f aca="false">IF(P427&lt;=1,0,IF(P427&lt;=10,11,IF(P427&lt;=14,12,IF(P427&lt;=17,13,IF(P427&lt;=20,14,IF(P427&lt;=22,15,IF(P427&lt;=25,16,IF(P427&lt;=27,17,IF(P427&lt;=29,18,IF(P427&lt;=32,19,IF(P427&lt;=34,20,IF(P427&lt;=36,21,IF(P427&lt;=40,22,24)))))))))))))</f>
        <v>0</v>
      </c>
      <c r="S427" s="14" t="n">
        <f aca="false">ROUND((Q427+R427+I427+J427+M427+N427)/3,0)</f>
        <v>8</v>
      </c>
      <c r="T427" s="15" t="n">
        <f aca="false">F427*LOG10(S427+2)</f>
        <v>3</v>
      </c>
    </row>
    <row r="428" customFormat="false" ht="14.65" hidden="false" customHeight="true" outlineLevel="0" collapsed="false">
      <c r="A428" s="12" t="s">
        <v>471</v>
      </c>
      <c r="B428" s="13" t="n">
        <v>38881</v>
      </c>
      <c r="C428" s="3" t="s">
        <v>24</v>
      </c>
      <c r="D428" s="4" t="s">
        <v>455</v>
      </c>
      <c r="E428" s="3" t="n">
        <v>9</v>
      </c>
      <c r="F428" s="3" t="n">
        <v>3</v>
      </c>
      <c r="H428" s="3" t="n">
        <v>40</v>
      </c>
      <c r="I428" s="3" t="n">
        <f aca="false">_xlfn.IFS(G428="взв",11,G428="накл",24,G428="прокл",25,G428="пт",26,G428=90,10,G428=85,10,G428=80,9,G428=75,8,G428=70,8,G428=65,7,G428=60,7,G428=55,6,G428=50,6,G428=45,6,G428=40,5,G428=35,4,G428=30,4,G428=25,3,G428=20,2,G428=15,1,G428=10,1,G428=0,0)</f>
        <v>0</v>
      </c>
      <c r="J428" s="3" t="n">
        <f aca="false">IF(H428&lt;=1,0,IF(H428&lt;=10,11,IF(H428&lt;=14,12,IF(H428&lt;=17,13,IF(H428&lt;=20,14,IF(H428&lt;=22,15,IF(H428&lt;=25,16,IF(H428&lt;=27,17,IF(H428&lt;=29,18,IF(H428&lt;=32,19,IF(H428&lt;=34,20,IF(H428&lt;=36,21,IF(H428&lt;=40,22,24)))))))))))))</f>
        <v>22</v>
      </c>
      <c r="L428" s="3" t="n">
        <v>34</v>
      </c>
      <c r="M428" s="3" t="n">
        <f aca="false">_xlfn.IFS(K428="взв",11,K428="накл",24,K428="прокл",25,K428="пт",26,K428=90,10,K428=85,10,K428=80,9,K428=75,8,K428=70,8,K428=65,7,K428=60,7,K428=55,6,K428=50,6,K428=45,6,K428=40,5,K428=35,4,K428=30,4,K428=25,3,K428=20,2,K428=15,1,K428=10,1,K428=0,0)</f>
        <v>0</v>
      </c>
      <c r="N428" s="3" t="n">
        <f aca="false">IF(L428&lt;=1,0,IF(L428&lt;=10,11,IF(L428&lt;=14,12,IF(L428&lt;=17,13,IF(L428&lt;=20,14,IF(L428&lt;=22,15,IF(L428&lt;=25,16,IF(L428&lt;=27,17,IF(L428&lt;=29,18,IF(L428&lt;=32,19,IF(L428&lt;=34,20,IF(L428&lt;=36,21,IF(L428&lt;=40,22,24)))))))))))))</f>
        <v>20</v>
      </c>
      <c r="P428" s="3" t="n">
        <v>40</v>
      </c>
      <c r="Q428" s="3" t="n">
        <f aca="false">_xlfn.IFS(O428="взв",11,O428="накл",24,O428="прокл",25,O428="пт",26,O428=90,10,O428=85,10,O428=80,9,O428=75,8,O428=70,8,O428=65,7,O428=60,7,O428=55,6,O428=50,6,O428=45,6,O428=40,5,O428=35,4,O428=30,4,O428=25,3,O428=20,2,O428=15,1,O428=10,1,O428=0,0)</f>
        <v>0</v>
      </c>
      <c r="R428" s="3" t="n">
        <f aca="false">IF(P428&lt;=1,0,IF(P428&lt;=10,11,IF(P428&lt;=14,12,IF(P428&lt;=17,13,IF(P428&lt;=20,14,IF(P428&lt;=22,15,IF(P428&lt;=25,16,IF(P428&lt;=27,17,IF(P428&lt;=29,18,IF(P428&lt;=32,19,IF(P428&lt;=34,20,IF(P428&lt;=36,21,IF(P428&lt;=40,22,24)))))))))))))</f>
        <v>22</v>
      </c>
      <c r="S428" s="14" t="n">
        <f aca="false">ROUND((Q428+R428+I428+J428+M428+N428)/3,0)</f>
        <v>21</v>
      </c>
      <c r="T428" s="15" t="n">
        <f aca="false">F428*LOG10(S428+2)</f>
        <v>4.08518350805278</v>
      </c>
    </row>
    <row r="429" customFormat="false" ht="14.65" hidden="false" customHeight="true" outlineLevel="0" collapsed="false">
      <c r="A429" s="12" t="s">
        <v>472</v>
      </c>
      <c r="B429" s="13" t="n">
        <v>38881</v>
      </c>
      <c r="C429" s="3" t="s">
        <v>24</v>
      </c>
      <c r="D429" s="4" t="s">
        <v>455</v>
      </c>
      <c r="E429" s="3" t="n">
        <v>4</v>
      </c>
      <c r="F429" s="3" t="n">
        <v>3</v>
      </c>
      <c r="G429" s="3" t="s">
        <v>38</v>
      </c>
      <c r="I429" s="3" t="n">
        <f aca="false">_xlfn.IFS(G429="взв",11,G429="накл",24,G429="прокл",25,G429="пт",26,G429=90,10,G429=85,10,G429=80,9,G429=75,8,G429=70,8,G429=65,7,G429=60,7,G429=55,6,G429=50,6,G429=45,6,G429=40,5,G429=35,4,G429=30,4,G429=25,3,G429=20,2,G429=15,1,G429=10,1,G429=0,0)</f>
        <v>26</v>
      </c>
      <c r="J429" s="3" t="n">
        <f aca="false">IF(H429&lt;=1,0,IF(H429&lt;=10,11,IF(H429&lt;=14,12,IF(H429&lt;=17,13,IF(H429&lt;=20,14,IF(H429&lt;=22,15,IF(H429&lt;=25,16,IF(H429&lt;=27,17,IF(H429&lt;=29,18,IF(H429&lt;=32,19,IF(H429&lt;=34,20,IF(H429&lt;=36,21,IF(H429&lt;=40,22,24)))))))))))))</f>
        <v>0</v>
      </c>
      <c r="L429" s="3" t="s">
        <v>47</v>
      </c>
      <c r="M429" s="3" t="n">
        <f aca="false">_xlfn.IFS(K429="взв",11,K429="накл",24,K429="прокл",25,K429="пт",26,K429=90,10,K429=85,10,K429=80,9,K429=75,8,K429=70,8,K429=65,7,K429=60,7,K429=55,6,K429=50,6,K429=45,6,K429=40,5,K429=35,4,K429=30,4,K429=25,3,K429=20,2,K429=15,1,K429=10,1,K429=0,0)</f>
        <v>0</v>
      </c>
      <c r="N429" s="3" t="n">
        <f aca="false">IF(L429&lt;=1,0,IF(L429&lt;=10,11,IF(L429&lt;=14,12,IF(L429&lt;=17,13,IF(L429&lt;=20,14,IF(L429&lt;=22,15,IF(L429&lt;=25,16,IF(L429&lt;=27,17,IF(L429&lt;=29,18,IF(L429&lt;=32,19,IF(L429&lt;=34,20,IF(L429&lt;=36,21,IF(L429&lt;=40,22,24)))))))))))))</f>
        <v>24</v>
      </c>
      <c r="O429" s="3" t="s">
        <v>38</v>
      </c>
      <c r="Q429" s="3" t="n">
        <f aca="false">_xlfn.IFS(O429="взв",11,O429="накл",24,O429="прокл",25,O429="пт",26,O429=90,10,O429=85,10,O429=80,9,O429=75,8,O429=70,8,O429=65,7,O429=60,7,O429=55,6,O429=50,6,O429=45,6,O429=40,5,O429=35,4,O429=30,4,O429=25,3,O429=20,2,O429=15,1,O429=10,1,O429=0,0)</f>
        <v>26</v>
      </c>
      <c r="R429" s="3" t="n">
        <f aca="false">IF(P429&lt;=1,0,IF(P429&lt;=10,11,IF(P429&lt;=14,12,IF(P429&lt;=17,13,IF(P429&lt;=20,14,IF(P429&lt;=22,15,IF(P429&lt;=25,16,IF(P429&lt;=27,17,IF(P429&lt;=29,18,IF(P429&lt;=32,19,IF(P429&lt;=34,20,IF(P429&lt;=36,21,IF(P429&lt;=40,22,24)))))))))))))</f>
        <v>0</v>
      </c>
      <c r="S429" s="14" t="n">
        <f aca="false">ROUND((Q429+R429+I429+J429+M429+N429)/3,0)</f>
        <v>25</v>
      </c>
      <c r="T429" s="15" t="n">
        <f aca="false">F429*LOG10(S429+2)</f>
        <v>4.29409129247696</v>
      </c>
    </row>
    <row r="430" customFormat="false" ht="14.65" hidden="false" customHeight="true" outlineLevel="0" collapsed="false">
      <c r="A430" s="12" t="s">
        <v>473</v>
      </c>
      <c r="B430" s="13" t="n">
        <v>38881</v>
      </c>
      <c r="C430" s="3" t="s">
        <v>24</v>
      </c>
      <c r="D430" s="4" t="s">
        <v>455</v>
      </c>
      <c r="E430" s="3" t="n">
        <v>5</v>
      </c>
      <c r="F430" s="3" t="n">
        <v>3</v>
      </c>
      <c r="H430" s="3" t="n">
        <v>31</v>
      </c>
      <c r="I430" s="3" t="n">
        <f aca="false">_xlfn.IFS(G430="взв",11,G430="накл",24,G430="прокл",25,G430="пт",26,G430=90,10,G430=85,10,G430=80,9,G430=75,8,G430=70,8,G430=65,7,G430=60,7,G430=55,6,G430=50,6,G430=45,6,G430=40,5,G430=35,4,G430=30,4,G430=25,3,G430=20,2,G430=15,1,G430=10,1,G430=0,0)</f>
        <v>0</v>
      </c>
      <c r="J430" s="3" t="n">
        <f aca="false">IF(H430&lt;=1,0,IF(H430&lt;=10,11,IF(H430&lt;=14,12,IF(H430&lt;=17,13,IF(H430&lt;=20,14,IF(H430&lt;=22,15,IF(H430&lt;=25,16,IF(H430&lt;=27,17,IF(H430&lt;=29,18,IF(H430&lt;=32,19,IF(H430&lt;=34,20,IF(H430&lt;=36,21,IF(H430&lt;=40,22,24)))))))))))))</f>
        <v>19</v>
      </c>
      <c r="L430" s="3" t="n">
        <v>33</v>
      </c>
      <c r="M430" s="3" t="n">
        <f aca="false">_xlfn.IFS(K430="взв",11,K430="накл",24,K430="прокл",25,K430="пт",26,K430=90,10,K430=85,10,K430=80,9,K430=75,8,K430=70,8,K430=65,7,K430=60,7,K430=55,6,K430=50,6,K430=45,6,K430=40,5,K430=35,4,K430=30,4,K430=25,3,K430=20,2,K430=15,1,K430=10,1,K430=0,0)</f>
        <v>0</v>
      </c>
      <c r="N430" s="3" t="n">
        <f aca="false">IF(L430&lt;=1,0,IF(L430&lt;=10,11,IF(L430&lt;=14,12,IF(L430&lt;=17,13,IF(L430&lt;=20,14,IF(L430&lt;=22,15,IF(L430&lt;=25,16,IF(L430&lt;=27,17,IF(L430&lt;=29,18,IF(L430&lt;=32,19,IF(L430&lt;=34,20,IF(L430&lt;=36,21,IF(L430&lt;=40,22,24)))))))))))))</f>
        <v>20</v>
      </c>
      <c r="P430" s="3" t="n">
        <v>36</v>
      </c>
      <c r="Q430" s="3" t="n">
        <f aca="false">_xlfn.IFS(O430="взв",11,O430="накл",24,O430="прокл",25,O430="пт",26,O430=90,10,O430=85,10,O430=80,9,O430=75,8,O430=70,8,O430=65,7,O430=60,7,O430=55,6,O430=50,6,O430=45,6,O430=40,5,O430=35,4,O430=30,4,O430=25,3,O430=20,2,O430=15,1,O430=10,1,O430=0,0)</f>
        <v>0</v>
      </c>
      <c r="R430" s="3" t="n">
        <f aca="false">IF(P430&lt;=1,0,IF(P430&lt;=10,11,IF(P430&lt;=14,12,IF(P430&lt;=17,13,IF(P430&lt;=20,14,IF(P430&lt;=22,15,IF(P430&lt;=25,16,IF(P430&lt;=27,17,IF(P430&lt;=29,18,IF(P430&lt;=32,19,IF(P430&lt;=34,20,IF(P430&lt;=36,21,IF(P430&lt;=40,22,24)))))))))))))</f>
        <v>21</v>
      </c>
      <c r="S430" s="14" t="n">
        <f aca="false">ROUND((Q430+R430+I430+J430+M430+N430)/3,0)</f>
        <v>20</v>
      </c>
      <c r="T430" s="15" t="n">
        <f aca="false">F430*LOG10(S430+2)</f>
        <v>4.02726804246662</v>
      </c>
    </row>
    <row r="431" customFormat="false" ht="14.65" hidden="false" customHeight="true" outlineLevel="0" collapsed="false">
      <c r="A431" s="12" t="s">
        <v>474</v>
      </c>
      <c r="B431" s="13" t="n">
        <v>38881</v>
      </c>
      <c r="C431" s="3" t="s">
        <v>24</v>
      </c>
      <c r="D431" s="4" t="s">
        <v>455</v>
      </c>
      <c r="E431" s="3" t="n">
        <v>4</v>
      </c>
      <c r="F431" s="3" t="n">
        <v>3</v>
      </c>
      <c r="G431" s="3" t="s">
        <v>27</v>
      </c>
      <c r="I431" s="3" t="n">
        <f aca="false">_xlfn.IFS(G431="взв",11,G431="накл",24,G431="прокл",25,G431="пт",26,G431=90,10,G431=85,10,G431=80,9,G431=75,8,G431=70,8,G431=65,7,G431=60,7,G431=55,6,G431=50,6,G431=45,6,G431=40,5,G431=35,4,G431=30,4,G431=25,3,G431=20,2,G431=15,1,G431=10,1,G431=0,0)</f>
        <v>24</v>
      </c>
      <c r="J431" s="3" t="n">
        <f aca="false">IF(H431&lt;=1,0,IF(H431&lt;=10,11,IF(H431&lt;=14,12,IF(H431&lt;=17,13,IF(H431&lt;=20,14,IF(H431&lt;=22,15,IF(H431&lt;=25,16,IF(H431&lt;=27,17,IF(H431&lt;=29,18,IF(H431&lt;=32,19,IF(H431&lt;=34,20,IF(H431&lt;=36,21,IF(H431&lt;=40,22,24)))))))))))))</f>
        <v>0</v>
      </c>
      <c r="K431" s="3" t="s">
        <v>27</v>
      </c>
      <c r="M431" s="3" t="n">
        <f aca="false">_xlfn.IFS(K431="взв",11,K431="накл",24,K431="прокл",25,K431="пт",26,K431=90,10,K431=85,10,K431=80,9,K431=75,8,K431=70,8,K431=65,7,K431=60,7,K431=55,6,K431=50,6,K431=45,6,K431=40,5,K431=35,4,K431=30,4,K431=25,3,K431=20,2,K431=15,1,K431=10,1,K431=0,0)</f>
        <v>24</v>
      </c>
      <c r="N431" s="3" t="n">
        <f aca="false">IF(L431&lt;=1,0,IF(L431&lt;=10,11,IF(L431&lt;=14,12,IF(L431&lt;=17,13,IF(L431&lt;=20,14,IF(L431&lt;=22,15,IF(L431&lt;=25,16,IF(L431&lt;=27,17,IF(L431&lt;=29,18,IF(L431&lt;=32,19,IF(L431&lt;=34,20,IF(L431&lt;=36,21,IF(L431&lt;=40,22,24)))))))))))))</f>
        <v>0</v>
      </c>
      <c r="O431" s="3" t="s">
        <v>27</v>
      </c>
      <c r="P431" s="0"/>
      <c r="Q431" s="3" t="n">
        <f aca="false">_xlfn.IFS(O431="взв",11,O431="накл",24,O431="прокл",25,O431="пт",26,O431=90,10,O431=85,10,O431=80,9,O431=75,8,O431=70,8,O431=65,7,O431=60,7,O431=55,6,O431=50,6,O431=45,6,O431=40,5,O431=35,4,O431=30,4,O431=25,3,O431=20,2,O431=15,1,O431=10,1,O431=0,0)</f>
        <v>24</v>
      </c>
      <c r="R431" s="3" t="n">
        <f aca="false">IF(P431&lt;=1,0,IF(P431&lt;=10,11,IF(P431&lt;=14,12,IF(P431&lt;=17,13,IF(P431&lt;=20,14,IF(P431&lt;=22,15,IF(P431&lt;=25,16,IF(P431&lt;=27,17,IF(P431&lt;=29,18,IF(P431&lt;=32,19,IF(P431&lt;=34,20,IF(P431&lt;=36,21,IF(P431&lt;=40,22,24)))))))))))))</f>
        <v>0</v>
      </c>
      <c r="S431" s="14" t="n">
        <f aca="false">ROUND((Q431+R431+I431+J431+M431+N431)/3,0)</f>
        <v>24</v>
      </c>
      <c r="T431" s="15" t="n">
        <f aca="false">F431*LOG10(S431+2)</f>
        <v>4.24492004391245</v>
      </c>
    </row>
    <row r="432" customFormat="false" ht="14.65" hidden="false" customHeight="true" outlineLevel="0" collapsed="false">
      <c r="A432" s="12" t="s">
        <v>475</v>
      </c>
      <c r="B432" s="13" t="n">
        <v>38881</v>
      </c>
      <c r="C432" s="3" t="s">
        <v>24</v>
      </c>
      <c r="D432" s="4" t="s">
        <v>455</v>
      </c>
      <c r="E432" s="3" t="n">
        <v>5</v>
      </c>
      <c r="F432" s="3" t="n">
        <v>3</v>
      </c>
      <c r="H432" s="3" t="n">
        <v>37</v>
      </c>
      <c r="I432" s="3" t="n">
        <f aca="false">_xlfn.IFS(G432="взв",11,G432="накл",24,G432="прокл",25,G432="пт",26,G432=90,10,G432=85,10,G432=80,9,G432=75,8,G432=70,8,G432=65,7,G432=60,7,G432=55,6,G432=50,6,G432=45,6,G432=40,5,G432=35,4,G432=30,4,G432=25,3,G432=20,2,G432=15,1,G432=10,1,G432=0,0)</f>
        <v>0</v>
      </c>
      <c r="J432" s="3" t="n">
        <f aca="false">IF(H432&lt;=1,0,IF(H432&lt;=10,11,IF(H432&lt;=14,12,IF(H432&lt;=17,13,IF(H432&lt;=20,14,IF(H432&lt;=22,15,IF(H432&lt;=25,16,IF(H432&lt;=27,17,IF(H432&lt;=29,18,IF(H432&lt;=32,19,IF(H432&lt;=34,20,IF(H432&lt;=36,21,IF(H432&lt;=40,22,24)))))))))))))</f>
        <v>22</v>
      </c>
      <c r="L432" s="3" t="n">
        <v>34</v>
      </c>
      <c r="M432" s="3" t="n">
        <f aca="false">_xlfn.IFS(K432="взв",11,K432="накл",24,K432="прокл",25,K432="пт",26,K432=90,10,K432=85,10,K432=80,9,K432=75,8,K432=70,8,K432=65,7,K432=60,7,K432=55,6,K432=50,6,K432=45,6,K432=40,5,K432=35,4,K432=30,4,K432=25,3,K432=20,2,K432=15,1,K432=10,1,K432=0,0)</f>
        <v>0</v>
      </c>
      <c r="N432" s="3" t="n">
        <f aca="false">IF(L432&lt;=1,0,IF(L432&lt;=10,11,IF(L432&lt;=14,12,IF(L432&lt;=17,13,IF(L432&lt;=20,14,IF(L432&lt;=22,15,IF(L432&lt;=25,16,IF(L432&lt;=27,17,IF(L432&lt;=29,18,IF(L432&lt;=32,19,IF(L432&lt;=34,20,IF(L432&lt;=36,21,IF(L432&lt;=40,22,24)))))))))))))</f>
        <v>20</v>
      </c>
      <c r="P432" s="3" t="n">
        <v>36</v>
      </c>
      <c r="Q432" s="3" t="n">
        <f aca="false">_xlfn.IFS(O432="взв",11,O432="накл",24,O432="прокл",25,O432="пт",26,O432=90,10,O432=85,10,O432=80,9,O432=75,8,O432=70,8,O432=65,7,O432=60,7,O432=55,6,O432=50,6,O432=45,6,O432=40,5,O432=35,4,O432=30,4,O432=25,3,O432=20,2,O432=15,1,O432=10,1,O432=0,0)</f>
        <v>0</v>
      </c>
      <c r="R432" s="3" t="n">
        <f aca="false">IF(P432&lt;=1,0,IF(P432&lt;=10,11,IF(P432&lt;=14,12,IF(P432&lt;=17,13,IF(P432&lt;=20,14,IF(P432&lt;=22,15,IF(P432&lt;=25,16,IF(P432&lt;=27,17,IF(P432&lt;=29,18,IF(P432&lt;=32,19,IF(P432&lt;=34,20,IF(P432&lt;=36,21,IF(P432&lt;=40,22,24)))))))))))))</f>
        <v>21</v>
      </c>
      <c r="S432" s="14" t="n">
        <f aca="false">ROUND((Q432+R432+I432+J432+M432+N432)/3,0)</f>
        <v>21</v>
      </c>
      <c r="T432" s="15" t="n">
        <f aca="false">F432*LOG10(S432+2)</f>
        <v>4.08518350805278</v>
      </c>
    </row>
    <row r="433" customFormat="false" ht="14.65" hidden="false" customHeight="true" outlineLevel="0" collapsed="false">
      <c r="A433" s="12" t="s">
        <v>476</v>
      </c>
      <c r="B433" s="13" t="n">
        <v>38881</v>
      </c>
      <c r="C433" s="3" t="s">
        <v>24</v>
      </c>
      <c r="D433" s="4" t="s">
        <v>455</v>
      </c>
      <c r="E433" s="3" t="n">
        <v>4</v>
      </c>
      <c r="F433" s="3" t="n">
        <v>3</v>
      </c>
      <c r="H433" s="3" t="n">
        <v>25</v>
      </c>
      <c r="I433" s="3" t="n">
        <f aca="false">_xlfn.IFS(G433="взв",11,G433="накл",24,G433="прокл",25,G433="пт",26,G433=90,10,G433=85,10,G433=80,9,G433=75,8,G433=70,8,G433=65,7,G433=60,7,G433=55,6,G433=50,6,G433=45,6,G433=40,5,G433=35,4,G433=30,4,G433=25,3,G433=20,2,G433=15,1,G433=10,1,G433=0,0)</f>
        <v>0</v>
      </c>
      <c r="J433" s="3" t="n">
        <f aca="false">IF(H433&lt;=1,0,IF(H433&lt;=10,11,IF(H433&lt;=14,12,IF(H433&lt;=17,13,IF(H433&lt;=20,14,IF(H433&lt;=22,15,IF(H433&lt;=25,16,IF(H433&lt;=27,17,IF(H433&lt;=29,18,IF(H433&lt;=32,19,IF(H433&lt;=34,20,IF(H433&lt;=36,21,IF(H433&lt;=40,22,24)))))))))))))</f>
        <v>16</v>
      </c>
      <c r="L433" s="3" t="n">
        <v>30</v>
      </c>
      <c r="M433" s="3" t="n">
        <f aca="false">_xlfn.IFS(K433="взв",11,K433="накл",24,K433="прокл",25,K433="пт",26,K433=90,10,K433=85,10,K433=80,9,K433=75,8,K433=70,8,K433=65,7,K433=60,7,K433=55,6,K433=50,6,K433=45,6,K433=40,5,K433=35,4,K433=30,4,K433=25,3,K433=20,2,K433=15,1,K433=10,1,K433=0,0)</f>
        <v>0</v>
      </c>
      <c r="N433" s="3" t="n">
        <f aca="false">IF(L433&lt;=1,0,IF(L433&lt;=10,11,IF(L433&lt;=14,12,IF(L433&lt;=17,13,IF(L433&lt;=20,14,IF(L433&lt;=22,15,IF(L433&lt;=25,16,IF(L433&lt;=27,17,IF(L433&lt;=29,18,IF(L433&lt;=32,19,IF(L433&lt;=34,20,IF(L433&lt;=36,21,IF(L433&lt;=40,22,24)))))))))))))</f>
        <v>19</v>
      </c>
      <c r="P433" s="3" t="n">
        <v>31</v>
      </c>
      <c r="Q433" s="3" t="n">
        <f aca="false">_xlfn.IFS(O433="взв",11,O433="накл",24,O433="прокл",25,O433="пт",26,O433=90,10,O433=85,10,O433=80,9,O433=75,8,O433=70,8,O433=65,7,O433=60,7,O433=55,6,O433=50,6,O433=45,6,O433=40,5,O433=35,4,O433=30,4,O433=25,3,O433=20,2,O433=15,1,O433=10,1,O433=0,0)</f>
        <v>0</v>
      </c>
      <c r="R433" s="3" t="n">
        <f aca="false">IF(P433&lt;=1,0,IF(P433&lt;=10,11,IF(P433&lt;=14,12,IF(P433&lt;=17,13,IF(P433&lt;=20,14,IF(P433&lt;=22,15,IF(P433&lt;=25,16,IF(P433&lt;=27,17,IF(P433&lt;=29,18,IF(P433&lt;=32,19,IF(P433&lt;=34,20,IF(P433&lt;=36,21,IF(P433&lt;=40,22,24)))))))))))))</f>
        <v>19</v>
      </c>
      <c r="S433" s="14" t="n">
        <f aca="false">ROUND((Q433+R433+I433+J433+M433+N433)/3,0)</f>
        <v>18</v>
      </c>
      <c r="T433" s="15" t="n">
        <f aca="false">F433*LOG10(S433+2)</f>
        <v>3.90308998699194</v>
      </c>
    </row>
    <row r="434" customFormat="false" ht="14.65" hidden="false" customHeight="true" outlineLevel="0" collapsed="false">
      <c r="A434" s="12" t="s">
        <v>477</v>
      </c>
      <c r="B434" s="13" t="n">
        <v>38881</v>
      </c>
      <c r="C434" s="3" t="s">
        <v>24</v>
      </c>
      <c r="D434" s="4" t="s">
        <v>455</v>
      </c>
      <c r="E434" s="3" t="n">
        <v>4</v>
      </c>
      <c r="F434" s="3" t="n">
        <v>4</v>
      </c>
      <c r="G434" s="3" t="n">
        <v>60</v>
      </c>
      <c r="I434" s="3" t="n">
        <f aca="false">_xlfn.IFS(G434="взв",11,G434="накл",24,G434="прокл",25,G434="пт",26,G434=90,10,G434=85,10,G434=80,9,G434=75,8,G434=70,8,G434=65,7,G434=60,7,G434=55,6,G434=50,6,G434=45,6,G434=40,5,G434=35,4,G434=30,4,G434=25,3,G434=20,2,G434=15,1,G434=10,1,G434=0,0)</f>
        <v>7</v>
      </c>
      <c r="J434" s="3" t="n">
        <f aca="false">IF(H434&lt;=1,0,IF(H434&lt;=10,11,IF(H434&lt;=14,12,IF(H434&lt;=17,13,IF(H434&lt;=20,14,IF(H434&lt;=22,15,IF(H434&lt;=25,16,IF(H434&lt;=27,17,IF(H434&lt;=29,18,IF(H434&lt;=32,19,IF(H434&lt;=34,20,IF(H434&lt;=36,21,IF(H434&lt;=40,22,24)))))))))))))</f>
        <v>0</v>
      </c>
      <c r="K434" s="3" t="n">
        <v>60</v>
      </c>
      <c r="M434" s="3" t="n">
        <f aca="false">_xlfn.IFS(K434="взв",11,K434="накл",24,K434="прокл",25,K434="пт",26,K434=90,10,K434=85,10,K434=80,9,K434=75,8,K434=70,8,K434=65,7,K434=60,7,K434=55,6,K434=50,6,K434=45,6,K434=40,5,K434=35,4,K434=30,4,K434=25,3,K434=20,2,K434=15,1,K434=10,1,K434=0,0)</f>
        <v>7</v>
      </c>
      <c r="N434" s="3" t="n">
        <f aca="false">IF(L434&lt;=1,0,IF(L434&lt;=10,11,IF(L434&lt;=14,12,IF(L434&lt;=17,13,IF(L434&lt;=20,14,IF(L434&lt;=22,15,IF(L434&lt;=25,16,IF(L434&lt;=27,17,IF(L434&lt;=29,18,IF(L434&lt;=32,19,IF(L434&lt;=34,20,IF(L434&lt;=36,21,IF(L434&lt;=40,22,24)))))))))))))</f>
        <v>0</v>
      </c>
      <c r="O434" s="3" t="n">
        <v>45</v>
      </c>
      <c r="Q434" s="3" t="n">
        <f aca="false">_xlfn.IFS(O434="взв",11,O434="накл",24,O434="прокл",25,O434="пт",26,O434=90,10,O434=85,10,O434=80,9,O434=75,8,O434=70,8,O434=65,7,O434=60,7,O434=55,6,O434=50,6,O434=45,6,O434=40,5,O434=35,4,O434=30,4,O434=25,3,O434=20,2,O434=15,1,O434=10,1,O434=0,0)</f>
        <v>6</v>
      </c>
      <c r="R434" s="3" t="n">
        <f aca="false">IF(P434&lt;=1,0,IF(P434&lt;=10,11,IF(P434&lt;=14,12,IF(P434&lt;=17,13,IF(P434&lt;=20,14,IF(P434&lt;=22,15,IF(P434&lt;=25,16,IF(P434&lt;=27,17,IF(P434&lt;=29,18,IF(P434&lt;=32,19,IF(P434&lt;=34,20,IF(P434&lt;=36,21,IF(P434&lt;=40,22,24)))))))))))))</f>
        <v>0</v>
      </c>
      <c r="S434" s="14" t="n">
        <f aca="false">ROUND((Q434+R434+I434+J434+M434+N434)/3,0)</f>
        <v>7</v>
      </c>
      <c r="T434" s="15" t="n">
        <f aca="false">F434*LOG10(S434+2)</f>
        <v>3.8169700377573</v>
      </c>
    </row>
    <row r="435" customFormat="false" ht="14.65" hidden="false" customHeight="true" outlineLevel="0" collapsed="false">
      <c r="A435" s="12" t="s">
        <v>478</v>
      </c>
      <c r="B435" s="13" t="n">
        <v>38881</v>
      </c>
      <c r="C435" s="3" t="s">
        <v>24</v>
      </c>
      <c r="D435" s="4" t="s">
        <v>455</v>
      </c>
      <c r="E435" s="3" t="n">
        <v>3</v>
      </c>
      <c r="F435" s="3" t="n">
        <v>4</v>
      </c>
      <c r="G435" s="3" t="n">
        <v>75</v>
      </c>
      <c r="I435" s="3" t="n">
        <f aca="false">_xlfn.IFS(G435="взв",11,G435="накл",24,G435="прокл",25,G435="пт",26,G435=90,10,G435=85,10,G435=80,9,G435=75,8,G435=70,8,G435=65,7,G435=60,7,G435=55,6,G435=50,6,G435=45,6,G435=40,5,G435=35,4,G435=30,4,G435=25,3,G435=20,2,G435=15,1,G435=10,1,G435=0,0)</f>
        <v>8</v>
      </c>
      <c r="J435" s="3" t="n">
        <f aca="false">IF(H435&lt;=1,0,IF(H435&lt;=10,11,IF(H435&lt;=14,12,IF(H435&lt;=17,13,IF(H435&lt;=20,14,IF(H435&lt;=22,15,IF(H435&lt;=25,16,IF(H435&lt;=27,17,IF(H435&lt;=29,18,IF(H435&lt;=32,19,IF(H435&lt;=34,20,IF(H435&lt;=36,21,IF(H435&lt;=40,22,24)))))))))))))</f>
        <v>0</v>
      </c>
      <c r="K435" s="3" t="n">
        <v>90</v>
      </c>
      <c r="M435" s="3" t="n">
        <f aca="false">_xlfn.IFS(K435="взв",11,K435="накл",24,K435="прокл",25,K435="пт",26,K435=90,10,K435=85,10,K435=80,9,K435=75,8,K435=70,8,K435=65,7,K435=60,7,K435=55,6,K435=50,6,K435=45,6,K435=40,5,K435=35,4,K435=30,4,K435=25,3,K435=20,2,K435=15,1,K435=10,1,K435=0,0)</f>
        <v>10</v>
      </c>
      <c r="N435" s="3" t="n">
        <f aca="false">IF(L435&lt;=1,0,IF(L435&lt;=10,11,IF(L435&lt;=14,12,IF(L435&lt;=17,13,IF(L435&lt;=20,14,IF(L435&lt;=22,15,IF(L435&lt;=25,16,IF(L435&lt;=27,17,IF(L435&lt;=29,18,IF(L435&lt;=32,19,IF(L435&lt;=34,20,IF(L435&lt;=36,21,IF(L435&lt;=40,22,24)))))))))))))</f>
        <v>0</v>
      </c>
      <c r="O435" s="3" t="n">
        <v>75</v>
      </c>
      <c r="Q435" s="3" t="n">
        <f aca="false">_xlfn.IFS(O435="взв",11,O435="накл",24,O435="прокл",25,O435="пт",26,O435=90,10,O435=85,10,O435=80,9,O435=75,8,O435=70,8,O435=65,7,O435=60,7,O435=55,6,O435=50,6,O435=45,6,O435=40,5,O435=35,4,O435=30,4,O435=25,3,O435=20,2,O435=15,1,O435=10,1,O435=0,0)</f>
        <v>8</v>
      </c>
      <c r="R435" s="3" t="n">
        <f aca="false">IF(P435&lt;=1,0,IF(P435&lt;=10,11,IF(P435&lt;=14,12,IF(P435&lt;=17,13,IF(P435&lt;=20,14,IF(P435&lt;=22,15,IF(P435&lt;=25,16,IF(P435&lt;=27,17,IF(P435&lt;=29,18,IF(P435&lt;=32,19,IF(P435&lt;=34,20,IF(P435&lt;=36,21,IF(P435&lt;=40,22,24)))))))))))))</f>
        <v>0</v>
      </c>
      <c r="S435" s="14" t="n">
        <f aca="false">ROUND((Q435+R435+I435+J435+M435+N435)/3,0)</f>
        <v>9</v>
      </c>
      <c r="T435" s="15" t="n">
        <f aca="false">F435*LOG10(S435+2)</f>
        <v>4.1655707406329</v>
      </c>
    </row>
    <row r="436" customFormat="false" ht="14.65" hidden="false" customHeight="true" outlineLevel="0" collapsed="false">
      <c r="A436" s="12" t="s">
        <v>479</v>
      </c>
      <c r="B436" s="13" t="n">
        <v>38881</v>
      </c>
      <c r="C436" s="3" t="s">
        <v>24</v>
      </c>
      <c r="D436" s="4" t="s">
        <v>455</v>
      </c>
      <c r="E436" s="3" t="n">
        <v>5</v>
      </c>
      <c r="F436" s="3" t="n">
        <v>4</v>
      </c>
      <c r="H436" s="3" t="n">
        <v>15</v>
      </c>
      <c r="I436" s="3" t="n">
        <f aca="false">_xlfn.IFS(G436="взв",11,G436="накл",24,G436="прокл",25,G436="пт",26,G436=90,10,G436=85,10,G436=80,9,G436=75,8,G436=70,8,G436=65,7,G436=60,7,G436=55,6,G436=50,6,G436=45,6,G436=40,5,G436=35,4,G436=30,4,G436=25,3,G436=20,2,G436=15,1,G436=10,1,G436=0,0)</f>
        <v>0</v>
      </c>
      <c r="J436" s="3" t="n">
        <f aca="false">IF(H436&lt;=1,0,IF(H436&lt;=10,11,IF(H436&lt;=14,12,IF(H436&lt;=17,13,IF(H436&lt;=20,14,IF(H436&lt;=22,15,IF(H436&lt;=25,16,IF(H436&lt;=27,17,IF(H436&lt;=29,18,IF(H436&lt;=32,19,IF(H436&lt;=34,20,IF(H436&lt;=36,21,IF(H436&lt;=40,22,24)))))))))))))</f>
        <v>13</v>
      </c>
      <c r="L436" s="3" t="n">
        <v>15</v>
      </c>
      <c r="M436" s="3" t="n">
        <f aca="false">_xlfn.IFS(K436="взв",11,K436="накл",24,K436="прокл",25,K436="пт",26,K436=90,10,K436=85,10,K436=80,9,K436=75,8,K436=70,8,K436=65,7,K436=60,7,K436=55,6,K436=50,6,K436=45,6,K436=40,5,K436=35,4,K436=30,4,K436=25,3,K436=20,2,K436=15,1,K436=10,1,K436=0,0)</f>
        <v>0</v>
      </c>
      <c r="N436" s="3" t="n">
        <f aca="false">IF(L436&lt;=1,0,IF(L436&lt;=10,11,IF(L436&lt;=14,12,IF(L436&lt;=17,13,IF(L436&lt;=20,14,IF(L436&lt;=22,15,IF(L436&lt;=25,16,IF(L436&lt;=27,17,IF(L436&lt;=29,18,IF(L436&lt;=32,19,IF(L436&lt;=34,20,IF(L436&lt;=36,21,IF(L436&lt;=40,22,24)))))))))))))</f>
        <v>13</v>
      </c>
      <c r="P436" s="3" t="n">
        <v>19</v>
      </c>
      <c r="Q436" s="3" t="n">
        <f aca="false">_xlfn.IFS(O436="взв",11,O436="накл",24,O436="прокл",25,O436="пт",26,O436=90,10,O436=85,10,O436=80,9,O436=75,8,O436=70,8,O436=65,7,O436=60,7,O436=55,6,O436=50,6,O436=45,6,O436=40,5,O436=35,4,O436=30,4,O436=25,3,O436=20,2,O436=15,1,O436=10,1,O436=0,0)</f>
        <v>0</v>
      </c>
      <c r="R436" s="3" t="n">
        <f aca="false">IF(P436&lt;=1,0,IF(P436&lt;=10,11,IF(P436&lt;=14,12,IF(P436&lt;=17,13,IF(P436&lt;=20,14,IF(P436&lt;=22,15,IF(P436&lt;=25,16,IF(P436&lt;=27,17,IF(P436&lt;=29,18,IF(P436&lt;=32,19,IF(P436&lt;=34,20,IF(P436&lt;=36,21,IF(P436&lt;=40,22,24)))))))))))))</f>
        <v>14</v>
      </c>
      <c r="S436" s="14" t="n">
        <f aca="false">ROUND((Q436+R436+I436+J436+M436+N436)/3,0)</f>
        <v>13</v>
      </c>
      <c r="T436" s="15" t="n">
        <f aca="false">F436*LOG10(S436+2)</f>
        <v>4.70436503622273</v>
      </c>
    </row>
    <row r="437" customFormat="false" ht="14.65" hidden="false" customHeight="true" outlineLevel="0" collapsed="false">
      <c r="A437" s="12" t="s">
        <v>480</v>
      </c>
      <c r="B437" s="13" t="n">
        <v>38881</v>
      </c>
      <c r="C437" s="3" t="s">
        <v>24</v>
      </c>
      <c r="D437" s="4" t="s">
        <v>455</v>
      </c>
      <c r="E437" s="3" t="n">
        <v>4</v>
      </c>
      <c r="F437" s="3" t="n">
        <v>4</v>
      </c>
      <c r="H437" s="3" t="n">
        <v>32</v>
      </c>
      <c r="I437" s="3" t="n">
        <f aca="false">_xlfn.IFS(G437="взв",11,G437="накл",24,G437="прокл",25,G437="пт",26,G437=90,10,G437=85,10,G437=80,9,G437=75,8,G437=70,8,G437=65,7,G437=60,7,G437=55,6,G437=50,6,G437=45,6,G437=40,5,G437=35,4,G437=30,4,G437=25,3,G437=20,2,G437=15,1,G437=10,1,G437=0,0)</f>
        <v>0</v>
      </c>
      <c r="J437" s="3" t="n">
        <f aca="false">IF(H437&lt;=1,0,IF(H437&lt;=10,11,IF(H437&lt;=14,12,IF(H437&lt;=17,13,IF(H437&lt;=20,14,IF(H437&lt;=22,15,IF(H437&lt;=25,16,IF(H437&lt;=27,17,IF(H437&lt;=29,18,IF(H437&lt;=32,19,IF(H437&lt;=34,20,IF(H437&lt;=36,21,IF(H437&lt;=40,22,24)))))))))))))</f>
        <v>19</v>
      </c>
      <c r="L437" s="3" t="n">
        <v>29</v>
      </c>
      <c r="M437" s="3" t="n">
        <f aca="false">_xlfn.IFS(K437="взв",11,K437="накл",24,K437="прокл",25,K437="пт",26,K437=90,10,K437=85,10,K437=80,9,K437=75,8,K437=70,8,K437=65,7,K437=60,7,K437=55,6,K437=50,6,K437=45,6,K437=40,5,K437=35,4,K437=30,4,K437=25,3,K437=20,2,K437=15,1,K437=10,1,K437=0,0)</f>
        <v>0</v>
      </c>
      <c r="N437" s="3" t="n">
        <f aca="false">IF(L437&lt;=1,0,IF(L437&lt;=10,11,IF(L437&lt;=14,12,IF(L437&lt;=17,13,IF(L437&lt;=20,14,IF(L437&lt;=22,15,IF(L437&lt;=25,16,IF(L437&lt;=27,17,IF(L437&lt;=29,18,IF(L437&lt;=32,19,IF(L437&lt;=34,20,IF(L437&lt;=36,21,IF(L437&lt;=40,22,24)))))))))))))</f>
        <v>18</v>
      </c>
      <c r="P437" s="3" t="n">
        <v>31</v>
      </c>
      <c r="Q437" s="3" t="n">
        <f aca="false">_xlfn.IFS(O437="взв",11,O437="накл",24,O437="прокл",25,O437="пт",26,O437=90,10,O437=85,10,O437=80,9,O437=75,8,O437=70,8,O437=65,7,O437=60,7,O437=55,6,O437=50,6,O437=45,6,O437=40,5,O437=35,4,O437=30,4,O437=25,3,O437=20,2,O437=15,1,O437=10,1,O437=0,0)</f>
        <v>0</v>
      </c>
      <c r="R437" s="3" t="n">
        <f aca="false">IF(P437&lt;=1,0,IF(P437&lt;=10,11,IF(P437&lt;=14,12,IF(P437&lt;=17,13,IF(P437&lt;=20,14,IF(P437&lt;=22,15,IF(P437&lt;=25,16,IF(P437&lt;=27,17,IF(P437&lt;=29,18,IF(P437&lt;=32,19,IF(P437&lt;=34,20,IF(P437&lt;=36,21,IF(P437&lt;=40,22,24)))))))))))))</f>
        <v>19</v>
      </c>
      <c r="S437" s="14" t="n">
        <f aca="false">ROUND((Q437+R437+I437+J437+M437+N437)/3,0)</f>
        <v>19</v>
      </c>
      <c r="T437" s="15" t="n">
        <f aca="false">F437*LOG10(S437+2)</f>
        <v>5.28887717893568</v>
      </c>
    </row>
    <row r="438" customFormat="false" ht="14.65" hidden="false" customHeight="true" outlineLevel="0" collapsed="false">
      <c r="A438" s="12" t="s">
        <v>481</v>
      </c>
      <c r="B438" s="13" t="n">
        <v>38881</v>
      </c>
      <c r="C438" s="3" t="s">
        <v>24</v>
      </c>
      <c r="D438" s="4" t="s">
        <v>455</v>
      </c>
      <c r="E438" s="3" t="n">
        <v>3</v>
      </c>
      <c r="F438" s="3" t="n">
        <v>4</v>
      </c>
      <c r="H438" s="3" t="n">
        <v>33</v>
      </c>
      <c r="I438" s="3" t="n">
        <f aca="false">_xlfn.IFS(G438="взв",11,G438="накл",24,G438="прокл",25,G438="пт",26,G438=90,10,G438=85,10,G438=80,9,G438=75,8,G438=70,8,G438=65,7,G438=60,7,G438=55,6,G438=50,6,G438=45,6,G438=40,5,G438=35,4,G438=30,4,G438=25,3,G438=20,2,G438=15,1,G438=10,1,G438=0,0)</f>
        <v>0</v>
      </c>
      <c r="J438" s="3" t="n">
        <f aca="false">IF(H438&lt;=1,0,IF(H438&lt;=10,11,IF(H438&lt;=14,12,IF(H438&lt;=17,13,IF(H438&lt;=20,14,IF(H438&lt;=22,15,IF(H438&lt;=25,16,IF(H438&lt;=27,17,IF(H438&lt;=29,18,IF(H438&lt;=32,19,IF(H438&lt;=34,20,IF(H438&lt;=36,21,IF(H438&lt;=40,22,24)))))))))))))</f>
        <v>20</v>
      </c>
      <c r="L438" s="3" t="n">
        <v>34</v>
      </c>
      <c r="M438" s="3" t="n">
        <f aca="false">_xlfn.IFS(K438="взв",11,K438="накл",24,K438="прокл",25,K438="пт",26,K438=90,10,K438=85,10,K438=80,9,K438=75,8,K438=70,8,K438=65,7,K438=60,7,K438=55,6,K438=50,6,K438=45,6,K438=40,5,K438=35,4,K438=30,4,K438=25,3,K438=20,2,K438=15,1,K438=10,1,K438=0,0)</f>
        <v>0</v>
      </c>
      <c r="N438" s="3" t="n">
        <f aca="false">IF(L438&lt;=1,0,IF(L438&lt;=10,11,IF(L438&lt;=14,12,IF(L438&lt;=17,13,IF(L438&lt;=20,14,IF(L438&lt;=22,15,IF(L438&lt;=25,16,IF(L438&lt;=27,17,IF(L438&lt;=29,18,IF(L438&lt;=32,19,IF(L438&lt;=34,20,IF(L438&lt;=36,21,IF(L438&lt;=40,22,24)))))))))))))</f>
        <v>20</v>
      </c>
      <c r="P438" s="3" t="n">
        <v>37</v>
      </c>
      <c r="Q438" s="3" t="n">
        <f aca="false">_xlfn.IFS(O438="взв",11,O438="накл",24,O438="прокл",25,O438="пт",26,O438=90,10,O438=85,10,O438=80,9,O438=75,8,O438=70,8,O438=65,7,O438=60,7,O438=55,6,O438=50,6,O438=45,6,O438=40,5,O438=35,4,O438=30,4,O438=25,3,O438=20,2,O438=15,1,O438=10,1,O438=0,0)</f>
        <v>0</v>
      </c>
      <c r="R438" s="3" t="n">
        <f aca="false">IF(P438&lt;=1,0,IF(P438&lt;=10,11,IF(P438&lt;=14,12,IF(P438&lt;=17,13,IF(P438&lt;=20,14,IF(P438&lt;=22,15,IF(P438&lt;=25,16,IF(P438&lt;=27,17,IF(P438&lt;=29,18,IF(P438&lt;=32,19,IF(P438&lt;=34,20,IF(P438&lt;=36,21,IF(P438&lt;=40,22,24)))))))))))))</f>
        <v>22</v>
      </c>
      <c r="S438" s="14" t="n">
        <f aca="false">ROUND((Q438+R438+I438+J438+M438+N438)/3,0)</f>
        <v>21</v>
      </c>
      <c r="T438" s="15" t="n">
        <f aca="false">F438*LOG10(S438+2)</f>
        <v>5.44691134407037</v>
      </c>
    </row>
    <row r="439" customFormat="false" ht="14.65" hidden="false" customHeight="true" outlineLevel="0" collapsed="false">
      <c r="A439" s="12" t="s">
        <v>482</v>
      </c>
      <c r="B439" s="13" t="n">
        <v>38881</v>
      </c>
      <c r="C439" s="3" t="s">
        <v>24</v>
      </c>
      <c r="D439" s="4" t="s">
        <v>455</v>
      </c>
      <c r="E439" s="3" t="n">
        <v>4</v>
      </c>
      <c r="F439" s="3" t="n">
        <v>5</v>
      </c>
      <c r="G439" s="3" t="n">
        <v>45</v>
      </c>
      <c r="I439" s="3" t="n">
        <f aca="false">_xlfn.IFS(G439="взв",11,G439="накл",24,G439="прокл",25,G439="пт",26,G439=90,10,G439=85,10,G439=80,9,G439=75,8,G439=70,8,G439=65,7,G439=60,7,G439=55,6,G439=50,6,G439=45,6,G439=40,5,G439=35,4,G439=30,4,G439=25,3,G439=20,2,G439=15,1,G439=10,1,G439=0,0)</f>
        <v>6</v>
      </c>
      <c r="J439" s="3" t="n">
        <f aca="false">IF(H439&lt;=1,0,IF(H439&lt;=10,11,IF(H439&lt;=14,12,IF(H439&lt;=17,13,IF(H439&lt;=20,14,IF(H439&lt;=22,15,IF(H439&lt;=25,16,IF(H439&lt;=27,17,IF(H439&lt;=29,18,IF(H439&lt;=32,19,IF(H439&lt;=34,20,IF(H439&lt;=36,21,IF(H439&lt;=40,22,24)))))))))))))</f>
        <v>0</v>
      </c>
      <c r="K439" s="3" t="n">
        <v>30</v>
      </c>
      <c r="M439" s="3" t="n">
        <f aca="false">_xlfn.IFS(K439="взв",11,K439="накл",24,K439="прокл",25,K439="пт",26,K439=90,10,K439=85,10,K439=80,9,K439=75,8,K439=70,8,K439=65,7,K439=60,7,K439=55,6,K439=50,6,K439=45,6,K439=40,5,K439=35,4,K439=30,4,K439=25,3,K439=20,2,K439=15,1,K439=10,1,K439=0,0)</f>
        <v>4</v>
      </c>
      <c r="N439" s="3" t="n">
        <f aca="false">IF(L439&lt;=1,0,IF(L439&lt;=10,11,IF(L439&lt;=14,12,IF(L439&lt;=17,13,IF(L439&lt;=20,14,IF(L439&lt;=22,15,IF(L439&lt;=25,16,IF(L439&lt;=27,17,IF(L439&lt;=29,18,IF(L439&lt;=32,19,IF(L439&lt;=34,20,IF(L439&lt;=36,21,IF(L439&lt;=40,22,24)))))))))))))</f>
        <v>0</v>
      </c>
      <c r="O439" s="3" t="n">
        <v>30</v>
      </c>
      <c r="Q439" s="3" t="n">
        <f aca="false">_xlfn.IFS(O439="взв",11,O439="накл",24,O439="прокл",25,O439="пт",26,O439=90,10,O439=85,10,O439=80,9,O439=75,8,O439=70,8,O439=65,7,O439=60,7,O439=55,6,O439=50,6,O439=45,6,O439=40,5,O439=35,4,O439=30,4,O439=25,3,O439=20,2,O439=15,1,O439=10,1,O439=0,0)</f>
        <v>4</v>
      </c>
      <c r="R439" s="3" t="n">
        <f aca="false">IF(P439&lt;=1,0,IF(P439&lt;=10,11,IF(P439&lt;=14,12,IF(P439&lt;=17,13,IF(P439&lt;=20,14,IF(P439&lt;=22,15,IF(P439&lt;=25,16,IF(P439&lt;=27,17,IF(P439&lt;=29,18,IF(P439&lt;=32,19,IF(P439&lt;=34,20,IF(P439&lt;=36,21,IF(P439&lt;=40,22,24)))))))))))))</f>
        <v>0</v>
      </c>
      <c r="S439" s="14" t="n">
        <f aca="false">ROUND((Q439+R439+I439+J439+M439+N439)/3,0)</f>
        <v>5</v>
      </c>
      <c r="T439" s="15" t="n">
        <f aca="false">F439*LOG10(S439+2)</f>
        <v>4.22549020007128</v>
      </c>
    </row>
    <row r="440" customFormat="false" ht="14.65" hidden="false" customHeight="true" outlineLevel="0" collapsed="false">
      <c r="A440" s="12" t="s">
        <v>483</v>
      </c>
      <c r="B440" s="13" t="n">
        <v>38881</v>
      </c>
      <c r="C440" s="3" t="s">
        <v>24</v>
      </c>
      <c r="D440" s="4" t="s">
        <v>455</v>
      </c>
      <c r="E440" s="3" t="n">
        <v>5</v>
      </c>
      <c r="F440" s="3" t="n">
        <v>5</v>
      </c>
      <c r="H440" s="3" t="n">
        <v>32</v>
      </c>
      <c r="I440" s="3" t="n">
        <f aca="false">_xlfn.IFS(G440="взв",11,G440="накл",24,G440="прокл",25,G440="пт",26,G440=90,10,G440=85,10,G440=80,9,G440=75,8,G440=70,8,G440=65,7,G440=60,7,G440=55,6,G440=50,6,G440=45,6,G440=40,5,G440=35,4,G440=30,4,G440=25,3,G440=20,2,G440=15,1,G440=10,1,G440=0,0)</f>
        <v>0</v>
      </c>
      <c r="J440" s="3" t="n">
        <f aca="false">IF(H440&lt;=1,0,IF(H440&lt;=10,11,IF(H440&lt;=14,12,IF(H440&lt;=17,13,IF(H440&lt;=20,14,IF(H440&lt;=22,15,IF(H440&lt;=25,16,IF(H440&lt;=27,17,IF(H440&lt;=29,18,IF(H440&lt;=32,19,IF(H440&lt;=34,20,IF(H440&lt;=36,21,IF(H440&lt;=40,22,24)))))))))))))</f>
        <v>19</v>
      </c>
      <c r="L440" s="3" t="n">
        <v>36</v>
      </c>
      <c r="M440" s="3" t="n">
        <f aca="false">_xlfn.IFS(K440="взв",11,K440="накл",24,K440="прокл",25,K440="пт",26,K440=90,10,K440=85,10,K440=80,9,K440=75,8,K440=70,8,K440=65,7,K440=60,7,K440=55,6,K440=50,6,K440=45,6,K440=40,5,K440=35,4,K440=30,4,K440=25,3,K440=20,2,K440=15,1,K440=10,1,K440=0,0)</f>
        <v>0</v>
      </c>
      <c r="N440" s="3" t="n">
        <f aca="false">IF(L440&lt;=1,0,IF(L440&lt;=10,11,IF(L440&lt;=14,12,IF(L440&lt;=17,13,IF(L440&lt;=20,14,IF(L440&lt;=22,15,IF(L440&lt;=25,16,IF(L440&lt;=27,17,IF(L440&lt;=29,18,IF(L440&lt;=32,19,IF(L440&lt;=34,20,IF(L440&lt;=36,21,IF(L440&lt;=40,22,24)))))))))))))</f>
        <v>21</v>
      </c>
      <c r="P440" s="3" t="n">
        <v>31</v>
      </c>
      <c r="Q440" s="3" t="n">
        <f aca="false">_xlfn.IFS(O440="взв",11,O440="накл",24,O440="прокл",25,O440="пт",26,O440=90,10,O440=85,10,O440=80,9,O440=75,8,O440=70,8,O440=65,7,O440=60,7,O440=55,6,O440=50,6,O440=45,6,O440=40,5,O440=35,4,O440=30,4,O440=25,3,O440=20,2,O440=15,1,O440=10,1,O440=0,0)</f>
        <v>0</v>
      </c>
      <c r="R440" s="3" t="n">
        <f aca="false">IF(P440&lt;=1,0,IF(P440&lt;=10,11,IF(P440&lt;=14,12,IF(P440&lt;=17,13,IF(P440&lt;=20,14,IF(P440&lt;=22,15,IF(P440&lt;=25,16,IF(P440&lt;=27,17,IF(P440&lt;=29,18,IF(P440&lt;=32,19,IF(P440&lt;=34,20,IF(P440&lt;=36,21,IF(P440&lt;=40,22,24)))))))))))))</f>
        <v>19</v>
      </c>
      <c r="S440" s="14" t="n">
        <f aca="false">ROUND((Q440+R440+I440+J440+M440+N440)/3,0)</f>
        <v>20</v>
      </c>
      <c r="T440" s="15" t="n">
        <f aca="false">F440*LOG10(S440+2)</f>
        <v>6.71211340411103</v>
      </c>
    </row>
    <row r="441" customFormat="false" ht="14.65" hidden="false" customHeight="true" outlineLevel="0" collapsed="false">
      <c r="A441" s="12" t="s">
        <v>484</v>
      </c>
      <c r="B441" s="13" t="n">
        <v>38881</v>
      </c>
      <c r="C441" s="3" t="s">
        <v>24</v>
      </c>
      <c r="D441" s="4" t="s">
        <v>455</v>
      </c>
      <c r="E441" s="3" t="n">
        <v>4</v>
      </c>
      <c r="F441" s="3" t="n">
        <v>5</v>
      </c>
      <c r="H441" s="3" t="n">
        <v>36</v>
      </c>
      <c r="I441" s="3" t="n">
        <f aca="false">_xlfn.IFS(G441="взв",11,G441="накл",24,G441="прокл",25,G441="пт",26,G441=90,10,G441=85,10,G441=80,9,G441=75,8,G441=70,8,G441=65,7,G441=60,7,G441=55,6,G441=50,6,G441=45,6,G441=40,5,G441=35,4,G441=30,4,G441=25,3,G441=20,2,G441=15,1,G441=10,1,G441=0,0)</f>
        <v>0</v>
      </c>
      <c r="J441" s="3" t="n">
        <f aca="false">IF(H441&lt;=1,0,IF(H441&lt;=10,11,IF(H441&lt;=14,12,IF(H441&lt;=17,13,IF(H441&lt;=20,14,IF(H441&lt;=22,15,IF(H441&lt;=25,16,IF(H441&lt;=27,17,IF(H441&lt;=29,18,IF(H441&lt;=32,19,IF(H441&lt;=34,20,IF(H441&lt;=36,21,IF(H441&lt;=40,22,24)))))))))))))</f>
        <v>21</v>
      </c>
      <c r="L441" s="3" t="n">
        <v>37</v>
      </c>
      <c r="M441" s="3" t="n">
        <f aca="false">_xlfn.IFS(K441="взв",11,K441="накл",24,K441="прокл",25,K441="пт",26,K441=90,10,K441=85,10,K441=80,9,K441=75,8,K441=70,8,K441=65,7,K441=60,7,K441=55,6,K441=50,6,K441=45,6,K441=40,5,K441=35,4,K441=30,4,K441=25,3,K441=20,2,K441=15,1,K441=10,1,K441=0,0)</f>
        <v>0</v>
      </c>
      <c r="N441" s="3" t="n">
        <f aca="false">IF(L441&lt;=1,0,IF(L441&lt;=10,11,IF(L441&lt;=14,12,IF(L441&lt;=17,13,IF(L441&lt;=20,14,IF(L441&lt;=22,15,IF(L441&lt;=25,16,IF(L441&lt;=27,17,IF(L441&lt;=29,18,IF(L441&lt;=32,19,IF(L441&lt;=34,20,IF(L441&lt;=36,21,IF(L441&lt;=40,22,24)))))))))))))</f>
        <v>22</v>
      </c>
      <c r="P441" s="3" t="n">
        <v>39</v>
      </c>
      <c r="Q441" s="3" t="n">
        <f aca="false">_xlfn.IFS(O441="взв",11,O441="накл",24,O441="прокл",25,O441="пт",26,O441=90,10,O441=85,10,O441=80,9,O441=75,8,O441=70,8,O441=65,7,O441=60,7,O441=55,6,O441=50,6,O441=45,6,O441=40,5,O441=35,4,O441=30,4,O441=25,3,O441=20,2,O441=15,1,O441=10,1,O441=0,0)</f>
        <v>0</v>
      </c>
      <c r="R441" s="3" t="n">
        <f aca="false">IF(P441&lt;=1,0,IF(P441&lt;=10,11,IF(P441&lt;=14,12,IF(P441&lt;=17,13,IF(P441&lt;=20,14,IF(P441&lt;=22,15,IF(P441&lt;=25,16,IF(P441&lt;=27,17,IF(P441&lt;=29,18,IF(P441&lt;=32,19,IF(P441&lt;=34,20,IF(P441&lt;=36,21,IF(P441&lt;=40,22,24)))))))))))))</f>
        <v>22</v>
      </c>
      <c r="S441" s="14" t="n">
        <f aca="false">ROUND((Q441+R441+I441+J441+M441+N441)/3,0)</f>
        <v>22</v>
      </c>
      <c r="T441" s="15" t="n">
        <f aca="false">F441*LOG10(S441+2)</f>
        <v>6.90105620855803</v>
      </c>
    </row>
    <row r="442" customFormat="false" ht="14.65" hidden="false" customHeight="true" outlineLevel="0" collapsed="false">
      <c r="A442" s="12" t="s">
        <v>485</v>
      </c>
      <c r="B442" s="13" t="n">
        <v>38881</v>
      </c>
      <c r="C442" s="3" t="s">
        <v>24</v>
      </c>
      <c r="D442" s="4" t="s">
        <v>455</v>
      </c>
      <c r="E442" s="3" t="n">
        <v>4</v>
      </c>
      <c r="F442" s="3" t="n">
        <v>5</v>
      </c>
      <c r="H442" s="3" t="n">
        <v>24</v>
      </c>
      <c r="I442" s="3" t="n">
        <f aca="false">_xlfn.IFS(G442="взв",11,G442="накл",24,G442="прокл",25,G442="пт",26,G442=90,10,G442=85,10,G442=80,9,G442=75,8,G442=70,8,G442=65,7,G442=60,7,G442=55,6,G442=50,6,G442=45,6,G442=40,5,G442=35,4,G442=30,4,G442=25,3,G442=20,2,G442=15,1,G442=10,1,G442=0,0)</f>
        <v>0</v>
      </c>
      <c r="J442" s="3" t="n">
        <f aca="false">IF(H442&lt;=1,0,IF(H442&lt;=10,11,IF(H442&lt;=14,12,IF(H442&lt;=17,13,IF(H442&lt;=20,14,IF(H442&lt;=22,15,IF(H442&lt;=25,16,IF(H442&lt;=27,17,IF(H442&lt;=29,18,IF(H442&lt;=32,19,IF(H442&lt;=34,20,IF(H442&lt;=36,21,IF(H442&lt;=40,22,24)))))))))))))</f>
        <v>16</v>
      </c>
      <c r="L442" s="3" t="n">
        <v>26</v>
      </c>
      <c r="M442" s="3" t="n">
        <f aca="false">_xlfn.IFS(K442="взв",11,K442="накл",24,K442="прокл",25,K442="пт",26,K442=90,10,K442=85,10,K442=80,9,K442=75,8,K442=70,8,K442=65,7,K442=60,7,K442=55,6,K442=50,6,K442=45,6,K442=40,5,K442=35,4,K442=30,4,K442=25,3,K442=20,2,K442=15,1,K442=10,1,K442=0,0)</f>
        <v>0</v>
      </c>
      <c r="N442" s="3" t="n">
        <f aca="false">IF(L442&lt;=1,0,IF(L442&lt;=10,11,IF(L442&lt;=14,12,IF(L442&lt;=17,13,IF(L442&lt;=20,14,IF(L442&lt;=22,15,IF(L442&lt;=25,16,IF(L442&lt;=27,17,IF(L442&lt;=29,18,IF(L442&lt;=32,19,IF(L442&lt;=34,20,IF(L442&lt;=36,21,IF(L442&lt;=40,22,24)))))))))))))</f>
        <v>17</v>
      </c>
      <c r="O442" s="3" t="s">
        <v>50</v>
      </c>
      <c r="P442" s="0"/>
      <c r="Q442" s="3" t="n">
        <f aca="false">_xlfn.IFS(O442="взв",11,O442="накл",24,O442="прокл",25,O442="пт",26,O442=90,10,O442=85,10,O442=80,9,O442=75,8,O442=70,8,O442=65,7,O442=60,7,O442=55,6,O442=50,6,O442=45,6,O442=40,5,O442=35,4,O442=30,4,O442=25,3,O442=20,2,O442=15,1,O442=10,1,O442=0,0)</f>
        <v>11</v>
      </c>
      <c r="R442" s="3" t="n">
        <f aca="false">IF(P442&lt;=1,0,IF(P442&lt;=10,11,IF(P442&lt;=14,12,IF(P442&lt;=17,13,IF(P442&lt;=20,14,IF(P442&lt;=22,15,IF(P442&lt;=25,16,IF(P442&lt;=27,17,IF(P442&lt;=29,18,IF(P442&lt;=32,19,IF(P442&lt;=34,20,IF(P442&lt;=36,21,IF(P442&lt;=40,22,24)))))))))))))</f>
        <v>0</v>
      </c>
      <c r="S442" s="14" t="n">
        <f aca="false">ROUND((Q442+R442+I442+J442+M442+N442)/3,0)</f>
        <v>15</v>
      </c>
      <c r="T442" s="15" t="n">
        <f aca="false">F442*LOG10(S442+2)</f>
        <v>6.15224460689137</v>
      </c>
    </row>
    <row r="443" customFormat="false" ht="14.65" hidden="false" customHeight="true" outlineLevel="0" collapsed="false">
      <c r="A443" s="12" t="s">
        <v>486</v>
      </c>
      <c r="B443" s="13" t="n">
        <v>38881</v>
      </c>
      <c r="C443" s="3" t="s">
        <v>24</v>
      </c>
      <c r="D443" s="4" t="s">
        <v>455</v>
      </c>
      <c r="E443" s="3" t="n">
        <v>5</v>
      </c>
      <c r="F443" s="3" t="n">
        <v>6</v>
      </c>
      <c r="H443" s="3" t="n">
        <v>29</v>
      </c>
      <c r="I443" s="3" t="n">
        <f aca="false">_xlfn.IFS(G443="взв",11,G443="накл",24,G443="прокл",25,G443="пт",26,G443=90,10,G443=85,10,G443=80,9,G443=75,8,G443=70,8,G443=65,7,G443=60,7,G443=55,6,G443=50,6,G443=45,6,G443=40,5,G443=35,4,G443=30,4,G443=25,3,G443=20,2,G443=15,1,G443=10,1,G443=0,0)</f>
        <v>0</v>
      </c>
      <c r="J443" s="3" t="n">
        <f aca="false">IF(H443&lt;=1,0,IF(H443&lt;=10,11,IF(H443&lt;=14,12,IF(H443&lt;=17,13,IF(H443&lt;=20,14,IF(H443&lt;=22,15,IF(H443&lt;=25,16,IF(H443&lt;=27,17,IF(H443&lt;=29,18,IF(H443&lt;=32,19,IF(H443&lt;=34,20,IF(H443&lt;=36,21,IF(H443&lt;=40,22,24)))))))))))))</f>
        <v>18</v>
      </c>
      <c r="L443" s="3" t="n">
        <v>33</v>
      </c>
      <c r="M443" s="3" t="n">
        <f aca="false">_xlfn.IFS(K443="взв",11,K443="накл",24,K443="прокл",25,K443="пт",26,K443=90,10,K443=85,10,K443=80,9,K443=75,8,K443=70,8,K443=65,7,K443=60,7,K443=55,6,K443=50,6,K443=45,6,K443=40,5,K443=35,4,K443=30,4,K443=25,3,K443=20,2,K443=15,1,K443=10,1,K443=0,0)</f>
        <v>0</v>
      </c>
      <c r="N443" s="3" t="n">
        <f aca="false">IF(L443&lt;=1,0,IF(L443&lt;=10,11,IF(L443&lt;=14,12,IF(L443&lt;=17,13,IF(L443&lt;=20,14,IF(L443&lt;=22,15,IF(L443&lt;=25,16,IF(L443&lt;=27,17,IF(L443&lt;=29,18,IF(L443&lt;=32,19,IF(L443&lt;=34,20,IF(L443&lt;=36,21,IF(L443&lt;=40,22,24)))))))))))))</f>
        <v>20</v>
      </c>
      <c r="P443" s="3" t="n">
        <v>30</v>
      </c>
      <c r="Q443" s="3" t="n">
        <f aca="false">_xlfn.IFS(O443="взв",11,O443="накл",24,O443="прокл",25,O443="пт",26,O443=90,10,O443=85,10,O443=80,9,O443=75,8,O443=70,8,O443=65,7,O443=60,7,O443=55,6,O443=50,6,O443=45,6,O443=40,5,O443=35,4,O443=30,4,O443=25,3,O443=20,2,O443=15,1,O443=10,1,O443=0,0)</f>
        <v>0</v>
      </c>
      <c r="R443" s="3" t="n">
        <f aca="false">IF(P443&lt;=1,0,IF(P443&lt;=10,11,IF(P443&lt;=14,12,IF(P443&lt;=17,13,IF(P443&lt;=20,14,IF(P443&lt;=22,15,IF(P443&lt;=25,16,IF(P443&lt;=27,17,IF(P443&lt;=29,18,IF(P443&lt;=32,19,IF(P443&lt;=34,20,IF(P443&lt;=36,21,IF(P443&lt;=40,22,24)))))))))))))</f>
        <v>19</v>
      </c>
      <c r="S443" s="14" t="n">
        <f aca="false">ROUND((Q443+R443+I443+J443+M443+N443)/3,0)</f>
        <v>19</v>
      </c>
      <c r="T443" s="15" t="n">
        <f aca="false">F443*LOG10(S443+2)</f>
        <v>7.93331576840352</v>
      </c>
    </row>
    <row r="444" customFormat="false" ht="14.65" hidden="false" customHeight="true" outlineLevel="0" collapsed="false">
      <c r="A444" s="12" t="s">
        <v>487</v>
      </c>
      <c r="B444" s="13" t="n">
        <v>38881</v>
      </c>
      <c r="C444" s="3" t="s">
        <v>24</v>
      </c>
      <c r="D444" s="4" t="s">
        <v>455</v>
      </c>
      <c r="E444" s="3" t="n">
        <v>5</v>
      </c>
      <c r="F444" s="3" t="n">
        <v>7</v>
      </c>
      <c r="G444" s="3" t="n">
        <v>90</v>
      </c>
      <c r="I444" s="3" t="n">
        <f aca="false">_xlfn.IFS(G444="взв",11,G444="накл",24,G444="прокл",25,G444="пт",26,G444=90,10,G444=85,10,G444=80,9,G444=75,8,G444=70,8,G444=65,7,G444=60,7,G444=55,6,G444=50,6,G444=45,6,G444=40,5,G444=35,4,G444=30,4,G444=25,3,G444=20,2,G444=15,1,G444=10,1,G444=0,0)</f>
        <v>10</v>
      </c>
      <c r="J444" s="3" t="n">
        <f aca="false">IF(H444&lt;=1,0,IF(H444&lt;=10,11,IF(H444&lt;=14,12,IF(H444&lt;=17,13,IF(H444&lt;=20,14,IF(H444&lt;=22,15,IF(H444&lt;=25,16,IF(H444&lt;=27,17,IF(H444&lt;=29,18,IF(H444&lt;=32,19,IF(H444&lt;=34,20,IF(H444&lt;=36,21,IF(H444&lt;=40,22,24)))))))))))))</f>
        <v>0</v>
      </c>
      <c r="K444" s="3" t="n">
        <v>90</v>
      </c>
      <c r="M444" s="3" t="n">
        <f aca="false">_xlfn.IFS(K444="взв",11,K444="накл",24,K444="прокл",25,K444="пт",26,K444=90,10,K444=85,10,K444=80,9,K444=75,8,K444=70,8,K444=65,7,K444=60,7,K444=55,6,K444=50,6,K444=45,6,K444=40,5,K444=35,4,K444=30,4,K444=25,3,K444=20,2,K444=15,1,K444=10,1,K444=0,0)</f>
        <v>10</v>
      </c>
      <c r="N444" s="3" t="n">
        <f aca="false">IF(L444&lt;=1,0,IF(L444&lt;=10,11,IF(L444&lt;=14,12,IF(L444&lt;=17,13,IF(L444&lt;=20,14,IF(L444&lt;=22,15,IF(L444&lt;=25,16,IF(L444&lt;=27,17,IF(L444&lt;=29,18,IF(L444&lt;=32,19,IF(L444&lt;=34,20,IF(L444&lt;=36,21,IF(L444&lt;=40,22,24)))))))))))))</f>
        <v>0</v>
      </c>
      <c r="O444" s="3" t="n">
        <v>90</v>
      </c>
      <c r="Q444" s="3" t="n">
        <f aca="false">_xlfn.IFS(O444="взв",11,O444="накл",24,O444="прокл",25,O444="пт",26,O444=90,10,O444=85,10,O444=80,9,O444=75,8,O444=70,8,O444=65,7,O444=60,7,O444=55,6,O444=50,6,O444=45,6,O444=40,5,O444=35,4,O444=30,4,O444=25,3,O444=20,2,O444=15,1,O444=10,1,O444=0,0)</f>
        <v>10</v>
      </c>
      <c r="R444" s="3" t="n">
        <f aca="false">IF(P444&lt;=1,0,IF(P444&lt;=10,11,IF(P444&lt;=14,12,IF(P444&lt;=17,13,IF(P444&lt;=20,14,IF(P444&lt;=22,15,IF(P444&lt;=25,16,IF(P444&lt;=27,17,IF(P444&lt;=29,18,IF(P444&lt;=32,19,IF(P444&lt;=34,20,IF(P444&lt;=36,21,IF(P444&lt;=40,22,24)))))))))))))</f>
        <v>0</v>
      </c>
      <c r="S444" s="14" t="n">
        <f aca="false">ROUND((Q444+R444+I444+J444+M444+N444)/3,0)</f>
        <v>10</v>
      </c>
      <c r="T444" s="15" t="n">
        <f aca="false">F444*LOG10(S444+2)</f>
        <v>7.55426872233337</v>
      </c>
    </row>
    <row r="445" customFormat="false" ht="14.65" hidden="false" customHeight="true" outlineLevel="0" collapsed="false">
      <c r="A445" s="12" t="s">
        <v>488</v>
      </c>
      <c r="B445" s="13" t="n">
        <v>38881</v>
      </c>
      <c r="C445" s="3" t="s">
        <v>24</v>
      </c>
      <c r="D445" s="4" t="s">
        <v>455</v>
      </c>
      <c r="E445" s="3" t="n">
        <v>5</v>
      </c>
      <c r="F445" s="3" t="n">
        <v>7</v>
      </c>
      <c r="H445" s="3" t="n">
        <v>20</v>
      </c>
      <c r="I445" s="3" t="n">
        <f aca="false">_xlfn.IFS(G445="взв",11,G445="накл",24,G445="прокл",25,G445="пт",26,G445=90,10,G445=85,10,G445=80,9,G445=75,8,G445=70,8,G445=65,7,G445=60,7,G445=55,6,G445=50,6,G445=45,6,G445=40,5,G445=35,4,G445=30,4,G445=25,3,G445=20,2,G445=15,1,G445=10,1,G445=0,0)</f>
        <v>0</v>
      </c>
      <c r="J445" s="3" t="n">
        <f aca="false">IF(H445&lt;=1,0,IF(H445&lt;=10,11,IF(H445&lt;=14,12,IF(H445&lt;=17,13,IF(H445&lt;=20,14,IF(H445&lt;=22,15,IF(H445&lt;=25,16,IF(H445&lt;=27,17,IF(H445&lt;=29,18,IF(H445&lt;=32,19,IF(H445&lt;=34,20,IF(H445&lt;=36,21,IF(H445&lt;=40,22,24)))))))))))))</f>
        <v>14</v>
      </c>
      <c r="L445" s="3" t="n">
        <v>24</v>
      </c>
      <c r="M445" s="3" t="n">
        <f aca="false">_xlfn.IFS(K445="взв",11,K445="накл",24,K445="прокл",25,K445="пт",26,K445=90,10,K445=85,10,K445=80,9,K445=75,8,K445=70,8,K445=65,7,K445=60,7,K445=55,6,K445=50,6,K445=45,6,K445=40,5,K445=35,4,K445=30,4,K445=25,3,K445=20,2,K445=15,1,K445=10,1,K445=0,0)</f>
        <v>0</v>
      </c>
      <c r="N445" s="3" t="n">
        <f aca="false">IF(L445&lt;=1,0,IF(L445&lt;=10,11,IF(L445&lt;=14,12,IF(L445&lt;=17,13,IF(L445&lt;=20,14,IF(L445&lt;=22,15,IF(L445&lt;=25,16,IF(L445&lt;=27,17,IF(L445&lt;=29,18,IF(L445&lt;=32,19,IF(L445&lt;=34,20,IF(L445&lt;=36,21,IF(L445&lt;=40,22,24)))))))))))))</f>
        <v>16</v>
      </c>
      <c r="P445" s="3" t="n">
        <v>28</v>
      </c>
      <c r="Q445" s="3" t="n">
        <f aca="false">_xlfn.IFS(O445="взв",11,O445="накл",24,O445="прокл",25,O445="пт",26,O445=90,10,O445=85,10,O445=80,9,O445=75,8,O445=70,8,O445=65,7,O445=60,7,O445=55,6,O445=50,6,O445=45,6,O445=40,5,O445=35,4,O445=30,4,O445=25,3,O445=20,2,O445=15,1,O445=10,1,O445=0,0)</f>
        <v>0</v>
      </c>
      <c r="R445" s="3" t="n">
        <f aca="false">IF(P445&lt;=1,0,IF(P445&lt;=10,11,IF(P445&lt;=14,12,IF(P445&lt;=17,13,IF(P445&lt;=20,14,IF(P445&lt;=22,15,IF(P445&lt;=25,16,IF(P445&lt;=27,17,IF(P445&lt;=29,18,IF(P445&lt;=32,19,IF(P445&lt;=34,20,IF(P445&lt;=36,21,IF(P445&lt;=40,22,24)))))))))))))</f>
        <v>18</v>
      </c>
      <c r="S445" s="14" t="n">
        <f aca="false">ROUND((Q445+R445+I445+J445+M445+N445)/3,0)</f>
        <v>16</v>
      </c>
      <c r="T445" s="15" t="n">
        <f aca="false">F445*LOG10(S445+2)</f>
        <v>8.78690753572314</v>
      </c>
    </row>
    <row r="446" customFormat="false" ht="14.65" hidden="false" customHeight="true" outlineLevel="0" collapsed="false">
      <c r="A446" s="12" t="s">
        <v>489</v>
      </c>
      <c r="B446" s="13" t="n">
        <v>38881</v>
      </c>
      <c r="C446" s="3" t="s">
        <v>24</v>
      </c>
      <c r="D446" s="4" t="s">
        <v>455</v>
      </c>
      <c r="E446" s="3" t="n">
        <v>2</v>
      </c>
      <c r="F446" s="3" t="n">
        <v>8</v>
      </c>
      <c r="H446" s="3" t="n">
        <v>23</v>
      </c>
      <c r="I446" s="3" t="n">
        <f aca="false">_xlfn.IFS(G446="взв",11,G446="накл",24,G446="прокл",25,G446="пт",26,G446=90,10,G446=85,10,G446=80,9,G446=75,8,G446=70,8,G446=65,7,G446=60,7,G446=55,6,G446=50,6,G446=45,6,G446=40,5,G446=35,4,G446=30,4,G446=25,3,G446=20,2,G446=15,1,G446=10,1,G446=0,0)</f>
        <v>0</v>
      </c>
      <c r="J446" s="3" t="n">
        <f aca="false">IF(H446&lt;=1,0,IF(H446&lt;=10,11,IF(H446&lt;=14,12,IF(H446&lt;=17,13,IF(H446&lt;=20,14,IF(H446&lt;=22,15,IF(H446&lt;=25,16,IF(H446&lt;=27,17,IF(H446&lt;=29,18,IF(H446&lt;=32,19,IF(H446&lt;=34,20,IF(H446&lt;=36,21,IF(H446&lt;=40,22,24)))))))))))))</f>
        <v>16</v>
      </c>
      <c r="M446" s="3" t="n">
        <f aca="false">_xlfn.IFS(K446="взв",11,K446="накл",24,K446="прокл",25,K446="пт",26,K446=90,10,K446=85,10,K446=80,9,K446=75,8,K446=70,8,K446=65,7,K446=60,7,K446=55,6,K446=50,6,K446=45,6,K446=40,5,K446=35,4,K446=30,4,K446=25,3,K446=20,2,K446=15,1,K446=10,1,K446=0,0)</f>
        <v>0</v>
      </c>
      <c r="N446" s="3" t="n">
        <f aca="false">IF(L446&lt;=1,0,IF(L446&lt;=10,11,IF(L446&lt;=14,12,IF(L446&lt;=17,13,IF(L446&lt;=20,14,IF(L446&lt;=22,15,IF(L446&lt;=25,16,IF(L446&lt;=27,17,IF(L446&lt;=29,18,IF(L446&lt;=32,19,IF(L446&lt;=34,20,IF(L446&lt;=36,21,IF(L446&lt;=40,22,24)))))))))))))</f>
        <v>0</v>
      </c>
      <c r="Q446" s="3" t="n">
        <f aca="false">_xlfn.IFS(O446="взв",11,O446="накл",24,O446="прокл",25,O446="пт",26,O446=90,10,O446=85,10,O446=80,9,O446=75,8,O446=70,8,O446=65,7,O446=60,7,O446=55,6,O446=50,6,O446=45,6,O446=40,5,O446=35,4,O446=30,4,O446=25,3,O446=20,2,O446=15,1,O446=10,1,O446=0,0)</f>
        <v>0</v>
      </c>
      <c r="R446" s="3" t="n">
        <f aca="false">IF(P446&lt;=1,0,IF(P446&lt;=10,11,IF(P446&lt;=14,12,IF(P446&lt;=17,13,IF(P446&lt;=20,14,IF(P446&lt;=22,15,IF(P446&lt;=25,16,IF(P446&lt;=27,17,IF(P446&lt;=29,18,IF(P446&lt;=32,19,IF(P446&lt;=34,20,IF(P446&lt;=36,21,IF(P446&lt;=40,22,24)))))))))))))</f>
        <v>0</v>
      </c>
      <c r="S446" s="14" t="n">
        <v>16</v>
      </c>
      <c r="T446" s="15" t="n">
        <f aca="false">F446*LOG10(S446+2)</f>
        <v>10.0421800408264</v>
      </c>
    </row>
    <row r="447" customFormat="false" ht="14.65" hidden="false" customHeight="true" outlineLevel="0" collapsed="false">
      <c r="A447" s="12" t="s">
        <v>490</v>
      </c>
      <c r="B447" s="13" t="n">
        <v>38881</v>
      </c>
      <c r="C447" s="3" t="s">
        <v>24</v>
      </c>
      <c r="D447" s="4" t="s">
        <v>455</v>
      </c>
      <c r="E447" s="3" t="n">
        <v>7</v>
      </c>
      <c r="F447" s="3" t="n">
        <v>8</v>
      </c>
      <c r="H447" s="3" t="n">
        <v>36</v>
      </c>
      <c r="I447" s="3" t="n">
        <f aca="false">_xlfn.IFS(G447="взв",11,G447="накл",24,G447="прокл",25,G447="пт",26,G447=90,10,G447=85,10,G447=80,9,G447=75,8,G447=70,8,G447=65,7,G447=60,7,G447=55,6,G447=50,6,G447=45,6,G447=40,5,G447=35,4,G447=30,4,G447=25,3,G447=20,2,G447=15,1,G447=10,1,G447=0,0)</f>
        <v>0</v>
      </c>
      <c r="J447" s="3" t="n">
        <f aca="false">IF(H447&lt;=1,0,IF(H447&lt;=10,11,IF(H447&lt;=14,12,IF(H447&lt;=17,13,IF(H447&lt;=20,14,IF(H447&lt;=22,15,IF(H447&lt;=25,16,IF(H447&lt;=27,17,IF(H447&lt;=29,18,IF(H447&lt;=32,19,IF(H447&lt;=34,20,IF(H447&lt;=36,21,IF(H447&lt;=40,22,24)))))))))))))</f>
        <v>21</v>
      </c>
      <c r="L447" s="3" t="n">
        <v>35</v>
      </c>
      <c r="M447" s="3" t="n">
        <f aca="false">_xlfn.IFS(K447="взв",11,K447="накл",24,K447="прокл",25,K447="пт",26,K447=90,10,K447=85,10,K447=80,9,K447=75,8,K447=70,8,K447=65,7,K447=60,7,K447=55,6,K447=50,6,K447=45,6,K447=40,5,K447=35,4,K447=30,4,K447=25,3,K447=20,2,K447=15,1,K447=10,1,K447=0,0)</f>
        <v>0</v>
      </c>
      <c r="N447" s="3" t="n">
        <f aca="false">IF(L447&lt;=1,0,IF(L447&lt;=10,11,IF(L447&lt;=14,12,IF(L447&lt;=17,13,IF(L447&lt;=20,14,IF(L447&lt;=22,15,IF(L447&lt;=25,16,IF(L447&lt;=27,17,IF(L447&lt;=29,18,IF(L447&lt;=32,19,IF(L447&lt;=34,20,IF(L447&lt;=36,21,IF(L447&lt;=40,22,24)))))))))))))</f>
        <v>21</v>
      </c>
      <c r="P447" s="3" t="n">
        <v>34</v>
      </c>
      <c r="Q447" s="3" t="n">
        <f aca="false">_xlfn.IFS(O447="взв",11,O447="накл",24,O447="прокл",25,O447="пт",26,O447=90,10,O447=85,10,O447=80,9,O447=75,8,O447=70,8,O447=65,7,O447=60,7,O447=55,6,O447=50,6,O447=45,6,O447=40,5,O447=35,4,O447=30,4,O447=25,3,O447=20,2,O447=15,1,O447=10,1,O447=0,0)</f>
        <v>0</v>
      </c>
      <c r="R447" s="3" t="n">
        <f aca="false">IF(P447&lt;=1,0,IF(P447&lt;=10,11,IF(P447&lt;=14,12,IF(P447&lt;=17,13,IF(P447&lt;=20,14,IF(P447&lt;=22,15,IF(P447&lt;=25,16,IF(P447&lt;=27,17,IF(P447&lt;=29,18,IF(P447&lt;=32,19,IF(P447&lt;=34,20,IF(P447&lt;=36,21,IF(P447&lt;=40,22,24)))))))))))))</f>
        <v>20</v>
      </c>
      <c r="S447" s="14" t="n">
        <f aca="false">ROUND((Q447+R447+I447+J447+M447+N447)/3,0)</f>
        <v>21</v>
      </c>
      <c r="T447" s="15" t="n">
        <f aca="false">F447*LOG10(S447+2)</f>
        <v>10.8938226881407</v>
      </c>
    </row>
    <row r="448" customFormat="false" ht="14.65" hidden="false" customHeight="true" outlineLevel="0" collapsed="false">
      <c r="A448" s="12" t="s">
        <v>491</v>
      </c>
      <c r="B448" s="13" t="n">
        <v>38881</v>
      </c>
      <c r="C448" s="3" t="s">
        <v>24</v>
      </c>
      <c r="D448" s="4" t="s">
        <v>455</v>
      </c>
      <c r="E448" s="3" t="n">
        <v>5</v>
      </c>
      <c r="F448" s="3" t="n">
        <v>8</v>
      </c>
      <c r="G448" s="3" t="n">
        <v>90</v>
      </c>
      <c r="I448" s="3" t="n">
        <f aca="false">_xlfn.IFS(G448="взв",11,G448="накл",24,G448="прокл",25,G448="пт",26,G448=90,10,G448=85,10,G448=80,9,G448=75,8,G448=70,8,G448=65,7,G448=60,7,G448=55,6,G448=50,6,G448=45,6,G448=40,5,G448=35,4,G448=30,4,G448=25,3,G448=20,2,G448=15,1,G448=10,1,G448=0,0)</f>
        <v>10</v>
      </c>
      <c r="J448" s="3" t="n">
        <f aca="false">IF(H448&lt;=1,0,IF(H448&lt;=10,11,IF(H448&lt;=14,12,IF(H448&lt;=17,13,IF(H448&lt;=20,14,IF(H448&lt;=22,15,IF(H448&lt;=25,16,IF(H448&lt;=27,17,IF(H448&lt;=29,18,IF(H448&lt;=32,19,IF(H448&lt;=34,20,IF(H448&lt;=36,21,IF(H448&lt;=40,22,24)))))))))))))</f>
        <v>0</v>
      </c>
      <c r="K448" s="3" t="n">
        <v>75</v>
      </c>
      <c r="M448" s="3" t="n">
        <f aca="false">_xlfn.IFS(K448="взв",11,K448="накл",24,K448="прокл",25,K448="пт",26,K448=90,10,K448=85,10,K448=80,9,K448=75,8,K448=70,8,K448=65,7,K448=60,7,K448=55,6,K448=50,6,K448=45,6,K448=40,5,K448=35,4,K448=30,4,K448=25,3,K448=20,2,K448=15,1,K448=10,1,K448=0,0)</f>
        <v>8</v>
      </c>
      <c r="N448" s="3" t="n">
        <f aca="false">IF(L448&lt;=1,0,IF(L448&lt;=10,11,IF(L448&lt;=14,12,IF(L448&lt;=17,13,IF(L448&lt;=20,14,IF(L448&lt;=22,15,IF(L448&lt;=25,16,IF(L448&lt;=27,17,IF(L448&lt;=29,18,IF(L448&lt;=32,19,IF(L448&lt;=34,20,IF(L448&lt;=36,21,IF(L448&lt;=40,22,24)))))))))))))</f>
        <v>0</v>
      </c>
      <c r="O448" s="3" t="n">
        <v>90</v>
      </c>
      <c r="Q448" s="3" t="n">
        <f aca="false">_xlfn.IFS(O448="взв",11,O448="накл",24,O448="прокл",25,O448="пт",26,O448=90,10,O448=85,10,O448=80,9,O448=75,8,O448=70,8,O448=65,7,O448=60,7,O448=55,6,O448=50,6,O448=45,6,O448=40,5,O448=35,4,O448=30,4,O448=25,3,O448=20,2,O448=15,1,O448=10,1,O448=0,0)</f>
        <v>10</v>
      </c>
      <c r="R448" s="3" t="n">
        <f aca="false">IF(P448&lt;=1,0,IF(P448&lt;=10,11,IF(P448&lt;=14,12,IF(P448&lt;=17,13,IF(P448&lt;=20,14,IF(P448&lt;=22,15,IF(P448&lt;=25,16,IF(P448&lt;=27,17,IF(P448&lt;=29,18,IF(P448&lt;=32,19,IF(P448&lt;=34,20,IF(P448&lt;=36,21,IF(P448&lt;=40,22,24)))))))))))))</f>
        <v>0</v>
      </c>
      <c r="S448" s="14" t="n">
        <f aca="false">ROUND((Q448+R448+I448+J448+M448+N448)/3,0)</f>
        <v>9</v>
      </c>
      <c r="T448" s="15" t="n">
        <f aca="false">F448*LOG10(S448+2)</f>
        <v>8.3311414812658</v>
      </c>
    </row>
    <row r="449" customFormat="false" ht="14.65" hidden="false" customHeight="true" outlineLevel="0" collapsed="false">
      <c r="A449" s="12" t="s">
        <v>492</v>
      </c>
      <c r="B449" s="13" t="n">
        <v>38881</v>
      </c>
      <c r="C449" s="3" t="s">
        <v>24</v>
      </c>
      <c r="D449" s="4" t="s">
        <v>455</v>
      </c>
      <c r="E449" s="3" t="n">
        <v>6</v>
      </c>
      <c r="F449" s="3" t="n">
        <v>10</v>
      </c>
      <c r="G449" s="3" t="s">
        <v>47</v>
      </c>
      <c r="I449" s="3" t="n">
        <f aca="false">_xlfn.IFS(G449="взв",11,G449="накл",24,G449="прокл",25,G449="пт",26,G449=90,10,G449=85,10,G449=80,9,G449=75,8,G449=70,8,G449=65,7,G449=60,7,G449=55,6,G449=50,6,G449=45,6,G449=40,5,G449=35,4,G449=30,4,G449=25,3,G449=20,2,G449=15,1,G449=10,1,G449=0,0)</f>
        <v>25</v>
      </c>
      <c r="J449" s="3" t="n">
        <f aca="false">IF(H449&lt;=1,0,IF(H449&lt;=10,11,IF(H449&lt;=14,12,IF(H449&lt;=17,13,IF(H449&lt;=20,14,IF(H449&lt;=22,15,IF(H449&lt;=25,16,IF(H449&lt;=27,17,IF(H449&lt;=29,18,IF(H449&lt;=32,19,IF(H449&lt;=34,20,IF(H449&lt;=36,21,IF(H449&lt;=40,22,24)))))))))))))</f>
        <v>0</v>
      </c>
      <c r="K449" s="3" t="s">
        <v>27</v>
      </c>
      <c r="M449" s="3" t="n">
        <f aca="false">_xlfn.IFS(K449="взв",11,K449="накл",24,K449="прокл",25,K449="пт",26,K449=90,10,K449=85,10,K449=80,9,K449=75,8,K449=70,8,K449=65,7,K449=60,7,K449=55,6,K449=50,6,K449=45,6,K449=40,5,K449=35,4,K449=30,4,K449=25,3,K449=20,2,K449=15,1,K449=10,1,K449=0,0)</f>
        <v>24</v>
      </c>
      <c r="N449" s="3" t="n">
        <f aca="false">IF(L449&lt;=1,0,IF(L449&lt;=10,11,IF(L449&lt;=14,12,IF(L449&lt;=17,13,IF(L449&lt;=20,14,IF(L449&lt;=22,15,IF(L449&lt;=25,16,IF(L449&lt;=27,17,IF(L449&lt;=29,18,IF(L449&lt;=32,19,IF(L449&lt;=34,20,IF(L449&lt;=36,21,IF(L449&lt;=40,22,24)))))))))))))</f>
        <v>0</v>
      </c>
      <c r="O449" s="3" t="s">
        <v>47</v>
      </c>
      <c r="P449" s="0"/>
      <c r="Q449" s="3" t="n">
        <f aca="false">_xlfn.IFS(O449="взв",11,O449="накл",24,O449="прокл",25,O449="пт",26,O449=90,10,O449=85,10,O449=80,9,O449=75,8,O449=70,8,O449=65,7,O449=60,7,O449=55,6,O449=50,6,O449=45,6,O449=40,5,O449=35,4,O449=30,4,O449=25,3,O449=20,2,O449=15,1,O449=10,1,O449=0,0)</f>
        <v>25</v>
      </c>
      <c r="R449" s="3" t="n">
        <f aca="false">IF(P449&lt;=1,0,IF(P449&lt;=10,11,IF(P449&lt;=14,12,IF(P449&lt;=17,13,IF(P449&lt;=20,14,IF(P449&lt;=22,15,IF(P449&lt;=25,16,IF(P449&lt;=27,17,IF(P449&lt;=29,18,IF(P449&lt;=32,19,IF(P449&lt;=34,20,IF(P449&lt;=36,21,IF(P449&lt;=40,22,24)))))))))))))</f>
        <v>0</v>
      </c>
      <c r="S449" s="14" t="n">
        <f aca="false">ROUND((Q449+R449+I449+J449+M449+N449)/3,0)</f>
        <v>25</v>
      </c>
      <c r="T449" s="15" t="n">
        <f aca="false">F449*LOG10(S449+2)</f>
        <v>14.3136376415899</v>
      </c>
    </row>
    <row r="450" customFormat="false" ht="14.65" hidden="false" customHeight="true" outlineLevel="0" collapsed="false">
      <c r="A450" s="12" t="s">
        <v>493</v>
      </c>
      <c r="B450" s="13" t="n">
        <v>38881</v>
      </c>
      <c r="C450" s="3" t="s">
        <v>24</v>
      </c>
      <c r="D450" s="4" t="s">
        <v>455</v>
      </c>
      <c r="E450" s="3" t="n">
        <v>6</v>
      </c>
      <c r="F450" s="3" t="n">
        <v>10</v>
      </c>
      <c r="G450" s="3" t="s">
        <v>47</v>
      </c>
      <c r="I450" s="3" t="n">
        <f aca="false">_xlfn.IFS(G450="взв",11,G450="накл",24,G450="прокл",25,G450="пт",26,G450=90,10,G450=85,10,G450=80,9,G450=75,8,G450=70,8,G450=65,7,G450=60,7,G450=55,6,G450=50,6,G450=45,6,G450=40,5,G450=35,4,G450=30,4,G450=25,3,G450=20,2,G450=15,1,G450=10,1,G450=0,0)</f>
        <v>25</v>
      </c>
      <c r="J450" s="3" t="n">
        <f aca="false">IF(H450&lt;=1,0,IF(H450&lt;=10,11,IF(H450&lt;=14,12,IF(H450&lt;=17,13,IF(H450&lt;=20,14,IF(H450&lt;=22,15,IF(H450&lt;=25,16,IF(H450&lt;=27,17,IF(H450&lt;=29,18,IF(H450&lt;=32,19,IF(H450&lt;=34,20,IF(H450&lt;=36,21,IF(H450&lt;=40,22,24)))))))))))))</f>
        <v>0</v>
      </c>
      <c r="K450" s="3" t="s">
        <v>27</v>
      </c>
      <c r="M450" s="3" t="n">
        <f aca="false">_xlfn.IFS(K450="взв",11,K450="накл",24,K450="прокл",25,K450="пт",26,K450=90,10,K450=85,10,K450=80,9,K450=75,8,K450=70,8,K450=65,7,K450=60,7,K450=55,6,K450=50,6,K450=45,6,K450=40,5,K450=35,4,K450=30,4,K450=25,3,K450=20,2,K450=15,1,K450=10,1,K450=0,0)</f>
        <v>24</v>
      </c>
      <c r="N450" s="3" t="n">
        <f aca="false">IF(L450&lt;=1,0,IF(L450&lt;=10,11,IF(L450&lt;=14,12,IF(L450&lt;=17,13,IF(L450&lt;=20,14,IF(L450&lt;=22,15,IF(L450&lt;=25,16,IF(L450&lt;=27,17,IF(L450&lt;=29,18,IF(L450&lt;=32,19,IF(L450&lt;=34,20,IF(L450&lt;=36,21,IF(L450&lt;=40,22,24)))))))))))))</f>
        <v>0</v>
      </c>
      <c r="O450" s="3" t="s">
        <v>47</v>
      </c>
      <c r="P450" s="0"/>
      <c r="Q450" s="3" t="n">
        <f aca="false">_xlfn.IFS(O450="взв",11,O450="накл",24,O450="прокл",25,O450="пт",26,O450=90,10,O450=85,10,O450=80,9,O450=75,8,O450=70,8,O450=65,7,O450=60,7,O450=55,6,O450=50,6,O450=45,6,O450=40,5,O450=35,4,O450=30,4,O450=25,3,O450=20,2,O450=15,1,O450=10,1,O450=0,0)</f>
        <v>25</v>
      </c>
      <c r="R450" s="3" t="n">
        <f aca="false">IF(P450&lt;=1,0,IF(P450&lt;=10,11,IF(P450&lt;=14,12,IF(P450&lt;=17,13,IF(P450&lt;=20,14,IF(P450&lt;=22,15,IF(P450&lt;=25,16,IF(P450&lt;=27,17,IF(P450&lt;=29,18,IF(P450&lt;=32,19,IF(P450&lt;=34,20,IF(P450&lt;=36,21,IF(P450&lt;=40,22,24)))))))))))))</f>
        <v>0</v>
      </c>
      <c r="S450" s="14" t="n">
        <f aca="false">ROUND((Q450+R450+I450+J450+M450+N450)/3,0)</f>
        <v>25</v>
      </c>
      <c r="T450" s="15" t="n">
        <f aca="false">F450*LOG10(S450+2)</f>
        <v>14.3136376415899</v>
      </c>
    </row>
    <row r="451" customFormat="false" ht="14.65" hidden="false" customHeight="true" outlineLevel="0" collapsed="false">
      <c r="A451" s="12" t="s">
        <v>494</v>
      </c>
      <c r="B451" s="13" t="n">
        <v>38881</v>
      </c>
      <c r="C451" s="3" t="s">
        <v>24</v>
      </c>
      <c r="D451" s="4" t="s">
        <v>455</v>
      </c>
      <c r="E451" s="3" t="n">
        <v>4</v>
      </c>
      <c r="F451" s="3" t="n">
        <v>10</v>
      </c>
      <c r="G451" s="3" t="n">
        <v>90</v>
      </c>
      <c r="I451" s="3" t="n">
        <f aca="false">_xlfn.IFS(G451="взв",11,G451="накл",24,G451="прокл",25,G451="пт",26,G451=90,10,G451=85,10,G451=80,9,G451=75,8,G451=70,8,G451=65,7,G451=60,7,G451=55,6,G451=50,6,G451=45,6,G451=40,5,G451=35,4,G451=30,4,G451=25,3,G451=20,2,G451=15,1,G451=10,1,G451=0,0)</f>
        <v>10</v>
      </c>
      <c r="J451" s="3" t="n">
        <f aca="false">IF(H451&lt;=1,0,IF(H451&lt;=10,11,IF(H451&lt;=14,12,IF(H451&lt;=17,13,IF(H451&lt;=20,14,IF(H451&lt;=22,15,IF(H451&lt;=25,16,IF(H451&lt;=27,17,IF(H451&lt;=29,18,IF(H451&lt;=32,19,IF(H451&lt;=34,20,IF(H451&lt;=36,21,IF(H451&lt;=40,22,24)))))))))))))</f>
        <v>0</v>
      </c>
      <c r="K451" s="3" t="n">
        <v>90</v>
      </c>
      <c r="M451" s="3" t="n">
        <f aca="false">_xlfn.IFS(K451="взв",11,K451="накл",24,K451="прокл",25,K451="пт",26,K451=90,10,K451=85,10,K451=80,9,K451=75,8,K451=70,8,K451=65,7,K451=60,7,K451=55,6,K451=50,6,K451=45,6,K451=40,5,K451=35,4,K451=30,4,K451=25,3,K451=20,2,K451=15,1,K451=10,1,K451=0,0)</f>
        <v>10</v>
      </c>
      <c r="N451" s="3" t="n">
        <f aca="false">IF(L451&lt;=1,0,IF(L451&lt;=10,11,IF(L451&lt;=14,12,IF(L451&lt;=17,13,IF(L451&lt;=20,14,IF(L451&lt;=22,15,IF(L451&lt;=25,16,IF(L451&lt;=27,17,IF(L451&lt;=29,18,IF(L451&lt;=32,19,IF(L451&lt;=34,20,IF(L451&lt;=36,21,IF(L451&lt;=40,22,24)))))))))))))</f>
        <v>0</v>
      </c>
      <c r="O451" s="3" t="n">
        <v>90</v>
      </c>
      <c r="Q451" s="3" t="n">
        <f aca="false">_xlfn.IFS(O451="взв",11,O451="накл",24,O451="прокл",25,O451="пт",26,O451=90,10,O451=85,10,O451=80,9,O451=75,8,O451=70,8,O451=65,7,O451=60,7,O451=55,6,O451=50,6,O451=45,6,O451=40,5,O451=35,4,O451=30,4,O451=25,3,O451=20,2,O451=15,1,O451=10,1,O451=0,0)</f>
        <v>10</v>
      </c>
      <c r="R451" s="3" t="n">
        <f aca="false">IF(P451&lt;=1,0,IF(P451&lt;=10,11,IF(P451&lt;=14,12,IF(P451&lt;=17,13,IF(P451&lt;=20,14,IF(P451&lt;=22,15,IF(P451&lt;=25,16,IF(P451&lt;=27,17,IF(P451&lt;=29,18,IF(P451&lt;=32,19,IF(P451&lt;=34,20,IF(P451&lt;=36,21,IF(P451&lt;=40,22,24)))))))))))))</f>
        <v>0</v>
      </c>
      <c r="S451" s="14" t="n">
        <f aca="false">ROUND((Q451+R451+I451+J451+M451+N451)/3,0)</f>
        <v>10</v>
      </c>
      <c r="T451" s="15" t="n">
        <f aca="false">F451*LOG10(S451+2)</f>
        <v>10.7918124604763</v>
      </c>
    </row>
    <row r="452" customFormat="false" ht="14.65" hidden="false" customHeight="true" outlineLevel="0" collapsed="false">
      <c r="A452" s="12" t="s">
        <v>495</v>
      </c>
      <c r="B452" s="13" t="n">
        <v>38881</v>
      </c>
      <c r="C452" s="3" t="s">
        <v>24</v>
      </c>
      <c r="D452" s="4" t="s">
        <v>455</v>
      </c>
      <c r="E452" s="3" t="n">
        <v>4</v>
      </c>
      <c r="F452" s="3" t="n">
        <v>10</v>
      </c>
      <c r="H452" s="3" t="n">
        <v>20</v>
      </c>
      <c r="I452" s="3" t="n">
        <f aca="false">_xlfn.IFS(G452="взв",11,G452="накл",24,G452="прокл",25,G452="пт",26,G452=90,10,G452=85,10,G452=80,9,G452=75,8,G452=70,8,G452=65,7,G452=60,7,G452=55,6,G452=50,6,G452=45,6,G452=40,5,G452=35,4,G452=30,4,G452=25,3,G452=20,2,G452=15,1,G452=10,1,G452=0,0)</f>
        <v>0</v>
      </c>
      <c r="J452" s="3" t="n">
        <f aca="false">IF(H452&lt;=1,0,IF(H452&lt;=10,11,IF(H452&lt;=14,12,IF(H452&lt;=17,13,IF(H452&lt;=20,14,IF(H452&lt;=22,15,IF(H452&lt;=25,16,IF(H452&lt;=27,17,IF(H452&lt;=29,18,IF(H452&lt;=32,19,IF(H452&lt;=34,20,IF(H452&lt;=36,21,IF(H452&lt;=40,22,24)))))))))))))</f>
        <v>14</v>
      </c>
      <c r="L452" s="3" t="n">
        <v>20</v>
      </c>
      <c r="M452" s="3" t="n">
        <f aca="false">_xlfn.IFS(K452="взв",11,K452="накл",24,K452="прокл",25,K452="пт",26,K452=90,10,K452=85,10,K452=80,9,K452=75,8,K452=70,8,K452=65,7,K452=60,7,K452=55,6,K452=50,6,K452=45,6,K452=40,5,K452=35,4,K452=30,4,K452=25,3,K452=20,2,K452=15,1,K452=10,1,K452=0,0)</f>
        <v>0</v>
      </c>
      <c r="N452" s="3" t="n">
        <f aca="false">IF(L452&lt;=1,0,IF(L452&lt;=10,11,IF(L452&lt;=14,12,IF(L452&lt;=17,13,IF(L452&lt;=20,14,IF(L452&lt;=22,15,IF(L452&lt;=25,16,IF(L452&lt;=27,17,IF(L452&lt;=29,18,IF(L452&lt;=32,19,IF(L452&lt;=34,20,IF(L452&lt;=36,21,IF(L452&lt;=40,22,24)))))))))))))</f>
        <v>14</v>
      </c>
      <c r="P452" s="3" t="n">
        <v>25</v>
      </c>
      <c r="Q452" s="3" t="n">
        <f aca="false">_xlfn.IFS(O452="взв",11,O452="накл",24,O452="прокл",25,O452="пт",26,O452=90,10,O452=85,10,O452=80,9,O452=75,8,O452=70,8,O452=65,7,O452=60,7,O452=55,6,O452=50,6,O452=45,6,O452=40,5,O452=35,4,O452=30,4,O452=25,3,O452=20,2,O452=15,1,O452=10,1,O452=0,0)</f>
        <v>0</v>
      </c>
      <c r="R452" s="3" t="n">
        <f aca="false">IF(P452&lt;=1,0,IF(P452&lt;=10,11,IF(P452&lt;=14,12,IF(P452&lt;=17,13,IF(P452&lt;=20,14,IF(P452&lt;=22,15,IF(P452&lt;=25,16,IF(P452&lt;=27,17,IF(P452&lt;=29,18,IF(P452&lt;=32,19,IF(P452&lt;=34,20,IF(P452&lt;=36,21,IF(P452&lt;=40,22,24)))))))))))))</f>
        <v>16</v>
      </c>
      <c r="S452" s="14" t="n">
        <f aca="false">ROUND((Q452+R452+I452+J452+M452+N452)/3,0)</f>
        <v>15</v>
      </c>
      <c r="T452" s="15" t="n">
        <f aca="false">F452*LOG10(S452+2)</f>
        <v>12.3044892137827</v>
      </c>
    </row>
    <row r="453" customFormat="false" ht="14.65" hidden="false" customHeight="true" outlineLevel="0" collapsed="false">
      <c r="A453" s="12" t="s">
        <v>496</v>
      </c>
      <c r="B453" s="13" t="n">
        <v>38881</v>
      </c>
      <c r="C453" s="3" t="s">
        <v>24</v>
      </c>
      <c r="D453" s="4" t="s">
        <v>455</v>
      </c>
      <c r="E453" s="3" t="n">
        <v>3</v>
      </c>
      <c r="F453" s="3" t="n">
        <v>15</v>
      </c>
      <c r="H453" s="3" t="n">
        <v>36</v>
      </c>
      <c r="I453" s="3" t="n">
        <f aca="false">_xlfn.IFS(G453="взв",11,G453="накл",24,G453="прокл",25,G453="пт",26,G453=90,10,G453=85,10,G453=80,9,G453=75,8,G453=70,8,G453=65,7,G453=60,7,G453=55,6,G453=50,6,G453=45,6,G453=40,5,G453=35,4,G453=30,4,G453=25,3,G453=20,2,G453=15,1,G453=10,1,G453=0,0)</f>
        <v>0</v>
      </c>
      <c r="J453" s="3" t="n">
        <f aca="false">IF(H453&lt;=1,0,IF(H453&lt;=10,11,IF(H453&lt;=14,12,IF(H453&lt;=17,13,IF(H453&lt;=20,14,IF(H453&lt;=22,15,IF(H453&lt;=25,16,IF(H453&lt;=27,17,IF(H453&lt;=29,18,IF(H453&lt;=32,19,IF(H453&lt;=34,20,IF(H453&lt;=36,21,IF(H453&lt;=40,22,24)))))))))))))</f>
        <v>21</v>
      </c>
      <c r="L453" s="3" t="n">
        <v>32</v>
      </c>
      <c r="M453" s="3" t="n">
        <f aca="false">_xlfn.IFS(K453="взв",11,K453="накл",24,K453="прокл",25,K453="пт",26,K453=90,10,K453=85,10,K453=80,9,K453=75,8,K453=70,8,K453=65,7,K453=60,7,K453=55,6,K453=50,6,K453=45,6,K453=40,5,K453=35,4,K453=30,4,K453=25,3,K453=20,2,K453=15,1,K453=10,1,K453=0,0)</f>
        <v>0</v>
      </c>
      <c r="N453" s="3" t="n">
        <f aca="false">IF(L453&lt;=1,0,IF(L453&lt;=10,11,IF(L453&lt;=14,12,IF(L453&lt;=17,13,IF(L453&lt;=20,14,IF(L453&lt;=22,15,IF(L453&lt;=25,16,IF(L453&lt;=27,17,IF(L453&lt;=29,18,IF(L453&lt;=32,19,IF(L453&lt;=34,20,IF(L453&lt;=36,21,IF(L453&lt;=40,22,24)))))))))))))</f>
        <v>19</v>
      </c>
      <c r="P453" s="3" t="n">
        <v>37</v>
      </c>
      <c r="Q453" s="3" t="n">
        <f aca="false">_xlfn.IFS(O453="взв",11,O453="накл",24,O453="прокл",25,O453="пт",26,O453=90,10,O453=85,10,O453=80,9,O453=75,8,O453=70,8,O453=65,7,O453=60,7,O453=55,6,O453=50,6,O453=45,6,O453=40,5,O453=35,4,O453=30,4,O453=25,3,O453=20,2,O453=15,1,O453=10,1,O453=0,0)</f>
        <v>0</v>
      </c>
      <c r="R453" s="3" t="n">
        <f aca="false">IF(P453&lt;=1,0,IF(P453&lt;=10,11,IF(P453&lt;=14,12,IF(P453&lt;=17,13,IF(P453&lt;=20,14,IF(P453&lt;=22,15,IF(P453&lt;=25,16,IF(P453&lt;=27,17,IF(P453&lt;=29,18,IF(P453&lt;=32,19,IF(P453&lt;=34,20,IF(P453&lt;=36,21,IF(P453&lt;=40,22,24)))))))))))))</f>
        <v>22</v>
      </c>
      <c r="S453" s="14" t="n">
        <f aca="false">ROUND((Q453+R453+I453+J453+M453+N453)/3,0)</f>
        <v>21</v>
      </c>
      <c r="T453" s="15" t="n">
        <f aca="false">F453*LOG10(S453+2)</f>
        <v>20.4259175402639</v>
      </c>
    </row>
    <row r="454" customFormat="false" ht="14.65" hidden="false" customHeight="true" outlineLevel="0" collapsed="false">
      <c r="A454" s="12" t="s">
        <v>497</v>
      </c>
      <c r="B454" s="13" t="n">
        <v>38881</v>
      </c>
      <c r="C454" s="3" t="s">
        <v>24</v>
      </c>
      <c r="D454" s="4" t="s">
        <v>455</v>
      </c>
      <c r="E454" s="3" t="n">
        <v>5</v>
      </c>
      <c r="F454" s="3" t="n">
        <v>15</v>
      </c>
      <c r="G454" s="3" t="s">
        <v>47</v>
      </c>
      <c r="I454" s="3" t="n">
        <f aca="false">_xlfn.IFS(G454="взв",11,G454="накл",24,G454="прокл",25,G454="пт",26,G454=90,10,G454=85,10,G454=80,9,G454=75,8,G454=70,8,G454=65,7,G454=60,7,G454=55,6,G454=50,6,G454=45,6,G454=40,5,G454=35,4,G454=30,4,G454=25,3,G454=20,2,G454=15,1,G454=10,1,G454=0,0)</f>
        <v>25</v>
      </c>
      <c r="J454" s="3" t="n">
        <f aca="false">IF(H454&lt;=1,0,IF(H454&lt;=10,11,IF(H454&lt;=14,12,IF(H454&lt;=17,13,IF(H454&lt;=20,14,IF(H454&lt;=22,15,IF(H454&lt;=25,16,IF(H454&lt;=27,17,IF(H454&lt;=29,18,IF(H454&lt;=32,19,IF(H454&lt;=34,20,IF(H454&lt;=36,21,IF(H454&lt;=40,22,24)))))))))))))</f>
        <v>0</v>
      </c>
      <c r="K454" s="3" t="s">
        <v>47</v>
      </c>
      <c r="L454" s="0"/>
      <c r="M454" s="3" t="n">
        <f aca="false">_xlfn.IFS(K454="взв",11,K454="накл",24,K454="прокл",25,K454="пт",26,K454=90,10,K454=85,10,K454=80,9,K454=75,8,K454=70,8,K454=65,7,K454=60,7,K454=55,6,K454=50,6,K454=45,6,K454=40,5,K454=35,4,K454=30,4,K454=25,3,K454=20,2,K454=15,1,K454=10,1,K454=0,0)</f>
        <v>25</v>
      </c>
      <c r="N454" s="3" t="n">
        <f aca="false">IF(L454&lt;=1,0,IF(L454&lt;=10,11,IF(L454&lt;=14,12,IF(L454&lt;=17,13,IF(L454&lt;=20,14,IF(L454&lt;=22,15,IF(L454&lt;=25,16,IF(L454&lt;=27,17,IF(L454&lt;=29,18,IF(L454&lt;=32,19,IF(L454&lt;=34,20,IF(L454&lt;=36,21,IF(L454&lt;=40,22,24)))))))))))))</f>
        <v>0</v>
      </c>
      <c r="O454" s="3" t="s">
        <v>38</v>
      </c>
      <c r="Q454" s="3" t="n">
        <f aca="false">_xlfn.IFS(O454="взв",11,O454="накл",24,O454="прокл",25,O454="пт",26,O454=90,10,O454=85,10,O454=80,9,O454=75,8,O454=70,8,O454=65,7,O454=60,7,O454=55,6,O454=50,6,O454=45,6,O454=40,5,O454=35,4,O454=30,4,O454=25,3,O454=20,2,O454=15,1,O454=10,1,O454=0,0)</f>
        <v>26</v>
      </c>
      <c r="R454" s="3" t="n">
        <f aca="false">IF(P454&lt;=1,0,IF(P454&lt;=10,11,IF(P454&lt;=14,12,IF(P454&lt;=17,13,IF(P454&lt;=20,14,IF(P454&lt;=22,15,IF(P454&lt;=25,16,IF(P454&lt;=27,17,IF(P454&lt;=29,18,IF(P454&lt;=32,19,IF(P454&lt;=34,20,IF(P454&lt;=36,21,IF(P454&lt;=40,22,24)))))))))))))</f>
        <v>0</v>
      </c>
      <c r="S454" s="14" t="n">
        <f aca="false">ROUND((Q454+R454+I454+J454+M454+N454)/3,0)</f>
        <v>25</v>
      </c>
      <c r="T454" s="15" t="n">
        <f aca="false">F454*LOG10(S454+2)</f>
        <v>21.4704564623848</v>
      </c>
    </row>
    <row r="455" customFormat="false" ht="14.65" hidden="false" customHeight="true" outlineLevel="0" collapsed="false">
      <c r="A455" s="12" t="s">
        <v>498</v>
      </c>
      <c r="B455" s="13" t="n">
        <v>38881</v>
      </c>
      <c r="C455" s="3" t="s">
        <v>24</v>
      </c>
      <c r="D455" s="4" t="s">
        <v>455</v>
      </c>
      <c r="E455" s="3" t="n">
        <v>5</v>
      </c>
      <c r="F455" s="3" t="n">
        <v>15</v>
      </c>
      <c r="G455" s="3" t="s">
        <v>38</v>
      </c>
      <c r="I455" s="3" t="n">
        <f aca="false">_xlfn.IFS(G455="взв",11,G455="накл",24,G455="прокл",25,G455="пт",26,G455=90,10,G455=85,10,G455=80,9,G455=75,8,G455=70,8,G455=65,7,G455=60,7,G455=55,6,G455=50,6,G455=45,6,G455=40,5,G455=35,4,G455=30,4,G455=25,3,G455=20,2,G455=15,1,G455=10,1,G455=0,0)</f>
        <v>26</v>
      </c>
      <c r="J455" s="3" t="n">
        <f aca="false">IF(H455&lt;=1,0,IF(H455&lt;=10,11,IF(H455&lt;=14,12,IF(H455&lt;=17,13,IF(H455&lt;=20,14,IF(H455&lt;=22,15,IF(H455&lt;=25,16,IF(H455&lt;=27,17,IF(H455&lt;=29,18,IF(H455&lt;=32,19,IF(H455&lt;=34,20,IF(H455&lt;=36,21,IF(H455&lt;=40,22,24)))))))))))))</f>
        <v>0</v>
      </c>
      <c r="K455" s="3" t="s">
        <v>38</v>
      </c>
      <c r="M455" s="3" t="n">
        <f aca="false">_xlfn.IFS(K455="взв",11,K455="накл",24,K455="прокл",25,K455="пт",26,K455=90,10,K455=85,10,K455=80,9,K455=75,8,K455=70,8,K455=65,7,K455=60,7,K455=55,6,K455=50,6,K455=45,6,K455=40,5,K455=35,4,K455=30,4,K455=25,3,K455=20,2,K455=15,1,K455=10,1,K455=0,0)</f>
        <v>26</v>
      </c>
      <c r="N455" s="3" t="n">
        <f aca="false">IF(L455&lt;=1,0,IF(L455&lt;=10,11,IF(L455&lt;=14,12,IF(L455&lt;=17,13,IF(L455&lt;=20,14,IF(L455&lt;=22,15,IF(L455&lt;=25,16,IF(L455&lt;=27,17,IF(L455&lt;=29,18,IF(L455&lt;=32,19,IF(L455&lt;=34,20,IF(L455&lt;=36,21,IF(L455&lt;=40,22,24)))))))))))))</f>
        <v>0</v>
      </c>
      <c r="O455" s="3" t="s">
        <v>38</v>
      </c>
      <c r="Q455" s="3" t="n">
        <f aca="false">_xlfn.IFS(O455="взв",11,O455="накл",24,O455="прокл",25,O455="пт",26,O455=90,10,O455=85,10,O455=80,9,O455=75,8,O455=70,8,O455=65,7,O455=60,7,O455=55,6,O455=50,6,O455=45,6,O455=40,5,O455=35,4,O455=30,4,O455=25,3,O455=20,2,O455=15,1,O455=10,1,O455=0,0)</f>
        <v>26</v>
      </c>
      <c r="R455" s="3" t="n">
        <f aca="false">IF(P455&lt;=1,0,IF(P455&lt;=10,11,IF(P455&lt;=14,12,IF(P455&lt;=17,13,IF(P455&lt;=20,14,IF(P455&lt;=22,15,IF(P455&lt;=25,16,IF(P455&lt;=27,17,IF(P455&lt;=29,18,IF(P455&lt;=32,19,IF(P455&lt;=34,20,IF(P455&lt;=36,21,IF(P455&lt;=40,22,24)))))))))))))</f>
        <v>0</v>
      </c>
      <c r="S455" s="14" t="n">
        <f aca="false">ROUND((Q455+R455+I455+J455+M455+N455)/3,0)</f>
        <v>26</v>
      </c>
      <c r="T455" s="15" t="n">
        <f aca="false">F455*LOG10(S455+2)</f>
        <v>21.7073704701333</v>
      </c>
    </row>
    <row r="456" customFormat="false" ht="14.65" hidden="false" customHeight="true" outlineLevel="0" collapsed="false">
      <c r="A456" s="12" t="s">
        <v>499</v>
      </c>
      <c r="B456" s="13" t="n">
        <v>38881</v>
      </c>
      <c r="C456" s="3" t="s">
        <v>24</v>
      </c>
      <c r="D456" s="4" t="s">
        <v>455</v>
      </c>
      <c r="E456" s="3" t="n">
        <v>5</v>
      </c>
      <c r="F456" s="3" t="n">
        <v>30</v>
      </c>
      <c r="G456" s="3" t="n">
        <v>75</v>
      </c>
      <c r="I456" s="3" t="n">
        <f aca="false">_xlfn.IFS(G456="взв",11,G456="накл",24,G456="прокл",25,G456="пт",26,G456=90,10,G456=85,10,G456=80,9,G456=75,8,G456=70,8,G456=65,7,G456=60,7,G456=55,6,G456=50,6,G456=45,6,G456=40,5,G456=35,4,G456=30,4,G456=25,3,G456=20,2,G456=15,1,G456=10,1,G456=0,0)</f>
        <v>8</v>
      </c>
      <c r="J456" s="3" t="n">
        <f aca="false">IF(H456&lt;=1,0,IF(H456&lt;=10,11,IF(H456&lt;=14,12,IF(H456&lt;=17,13,IF(H456&lt;=20,14,IF(H456&lt;=22,15,IF(H456&lt;=25,16,IF(H456&lt;=27,17,IF(H456&lt;=29,18,IF(H456&lt;=32,19,IF(H456&lt;=34,20,IF(H456&lt;=36,21,IF(H456&lt;=40,22,24)))))))))))))</f>
        <v>0</v>
      </c>
      <c r="K456" s="3" t="n">
        <v>60</v>
      </c>
      <c r="M456" s="3" t="n">
        <f aca="false">_xlfn.IFS(K456="взв",11,K456="накл",24,K456="прокл",25,K456="пт",26,K456=90,10,K456=85,10,K456=80,9,K456=75,8,K456=70,8,K456=65,7,K456=60,7,K456=55,6,K456=50,6,K456=45,6,K456=40,5,K456=35,4,K456=30,4,K456=25,3,K456=20,2,K456=15,1,K456=10,1,K456=0,0)</f>
        <v>7</v>
      </c>
      <c r="N456" s="3" t="n">
        <f aca="false">IF(L456&lt;=1,0,IF(L456&lt;=10,11,IF(L456&lt;=14,12,IF(L456&lt;=17,13,IF(L456&lt;=20,14,IF(L456&lt;=22,15,IF(L456&lt;=25,16,IF(L456&lt;=27,17,IF(L456&lt;=29,18,IF(L456&lt;=32,19,IF(L456&lt;=34,20,IF(L456&lt;=36,21,IF(L456&lt;=40,22,24)))))))))))))</f>
        <v>0</v>
      </c>
      <c r="O456" s="3" t="n">
        <v>75</v>
      </c>
      <c r="Q456" s="3" t="n">
        <f aca="false">_xlfn.IFS(O456="взв",11,O456="накл",24,O456="прокл",25,O456="пт",26,O456=90,10,O456=85,10,O456=80,9,O456=75,8,O456=70,8,O456=65,7,O456=60,7,O456=55,6,O456=50,6,O456=45,6,O456=40,5,O456=35,4,O456=30,4,O456=25,3,O456=20,2,O456=15,1,O456=10,1,O456=0,0)</f>
        <v>8</v>
      </c>
      <c r="R456" s="3" t="n">
        <f aca="false">IF(P456&lt;=1,0,IF(P456&lt;=10,11,IF(P456&lt;=14,12,IF(P456&lt;=17,13,IF(P456&lt;=20,14,IF(P456&lt;=22,15,IF(P456&lt;=25,16,IF(P456&lt;=27,17,IF(P456&lt;=29,18,IF(P456&lt;=32,19,IF(P456&lt;=34,20,IF(P456&lt;=36,21,IF(P456&lt;=40,22,24)))))))))))))</f>
        <v>0</v>
      </c>
      <c r="S456" s="14" t="n">
        <f aca="false">ROUND((Q456+R456+I456+J456+M456+N456)/3,0)</f>
        <v>8</v>
      </c>
      <c r="T456" s="15" t="n">
        <f aca="false">F456*LOG10(S456+2)</f>
        <v>30</v>
      </c>
    </row>
    <row r="457" customFormat="false" ht="14.65" hidden="false" customHeight="true" outlineLevel="0" collapsed="false">
      <c r="A457" s="12" t="s">
        <v>500</v>
      </c>
      <c r="B457" s="13" t="n">
        <v>38881</v>
      </c>
      <c r="C457" s="3" t="s">
        <v>24</v>
      </c>
      <c r="D457" s="4" t="s">
        <v>455</v>
      </c>
      <c r="E457" s="3" t="n">
        <v>5</v>
      </c>
      <c r="F457" s="3" t="n">
        <v>0</v>
      </c>
      <c r="H457" s="3" t="n">
        <v>30</v>
      </c>
      <c r="I457" s="3" t="n">
        <f aca="false">_xlfn.IFS(G457="взв",11,G457="накл",24,G457="прокл",25,G457="пт",26,G457=90,10,G457=85,10,G457=80,9,G457=75,8,G457=70,8,G457=65,7,G457=60,7,G457=55,6,G457=50,6,G457=45,6,G457=40,5,G457=35,4,G457=30,4,G457=25,3,G457=20,2,G457=15,1,G457=10,1,G457=0,0)</f>
        <v>0</v>
      </c>
      <c r="J457" s="3" t="n">
        <f aca="false">IF(H457&lt;=1,0,IF(H457&lt;=10,11,IF(H457&lt;=14,12,IF(H457&lt;=17,13,IF(H457&lt;=20,14,IF(H457&lt;=22,15,IF(H457&lt;=25,16,IF(H457&lt;=27,17,IF(H457&lt;=29,18,IF(H457&lt;=32,19,IF(H457&lt;=34,20,IF(H457&lt;=36,21,IF(H457&lt;=40,22,24)))))))))))))</f>
        <v>19</v>
      </c>
      <c r="L457" s="3" t="n">
        <v>31</v>
      </c>
      <c r="M457" s="3" t="n">
        <f aca="false">_xlfn.IFS(K457="взв",11,K457="накл",24,K457="прокл",25,K457="пт",26,K457=90,10,K457=85,10,K457=80,9,K457=75,8,K457=70,8,K457=65,7,K457=60,7,K457=55,6,K457=50,6,K457=45,6,K457=40,5,K457=35,4,K457=30,4,K457=25,3,K457=20,2,K457=15,1,K457=10,1,K457=0,0)</f>
        <v>0</v>
      </c>
      <c r="N457" s="3" t="n">
        <f aca="false">IF(L457&lt;=1,0,IF(L457&lt;=10,11,IF(L457&lt;=14,12,IF(L457&lt;=17,13,IF(L457&lt;=20,14,IF(L457&lt;=22,15,IF(L457&lt;=25,16,IF(L457&lt;=27,17,IF(L457&lt;=29,18,IF(L457&lt;=32,19,IF(L457&lt;=34,20,IF(L457&lt;=36,21,IF(L457&lt;=40,22,24)))))))))))))</f>
        <v>19</v>
      </c>
      <c r="P457" s="3" t="n">
        <v>30</v>
      </c>
      <c r="Q457" s="3" t="n">
        <f aca="false">_xlfn.IFS(O457="взв",11,O457="накл",24,O457="прокл",25,O457="пт",26,O457=90,10,O457=85,10,O457=80,9,O457=75,8,O457=70,8,O457=65,7,O457=60,7,O457=55,6,O457=50,6,O457=45,6,O457=40,5,O457=35,4,O457=30,4,O457=25,3,O457=20,2,O457=15,1,O457=10,1,O457=0,0)</f>
        <v>0</v>
      </c>
      <c r="R457" s="3" t="n">
        <f aca="false">IF(P457&lt;=1,0,IF(P457&lt;=10,11,IF(P457&lt;=14,12,IF(P457&lt;=17,13,IF(P457&lt;=20,14,IF(P457&lt;=22,15,IF(P457&lt;=25,16,IF(P457&lt;=27,17,IF(P457&lt;=29,18,IF(P457&lt;=32,19,IF(P457&lt;=34,20,IF(P457&lt;=36,21,IF(P457&lt;=40,22,24)))))))))))))</f>
        <v>19</v>
      </c>
      <c r="S457" s="14" t="n">
        <f aca="false">ROUND((Q457+R457+I457+J457+M457+N457)/3,0)</f>
        <v>19</v>
      </c>
      <c r="T457" s="15" t="n">
        <f aca="false">F457*LOG10(S457+2)</f>
        <v>0</v>
      </c>
    </row>
    <row r="458" customFormat="false" ht="14.65" hidden="false" customHeight="true" outlineLevel="0" collapsed="false">
      <c r="A458" s="12" t="s">
        <v>501</v>
      </c>
      <c r="B458" s="13" t="n">
        <v>38881</v>
      </c>
      <c r="C458" s="3" t="s">
        <v>24</v>
      </c>
      <c r="D458" s="4" t="s">
        <v>455</v>
      </c>
      <c r="E458" s="3" t="n">
        <v>6</v>
      </c>
      <c r="F458" s="3" t="n">
        <v>0</v>
      </c>
      <c r="H458" s="3" t="n">
        <v>28</v>
      </c>
      <c r="I458" s="3" t="n">
        <f aca="false">_xlfn.IFS(G458="взв",11,G458="накл",24,G458="прокл",25,G458="пт",26,G458=90,10,G458=85,10,G458=80,9,G458=75,8,G458=70,8,G458=65,7,G458=60,7,G458=55,6,G458=50,6,G458=45,6,G458=40,5,G458=35,4,G458=30,4,G458=25,3,G458=20,2,G458=15,1,G458=10,1,G458=0,0)</f>
        <v>0</v>
      </c>
      <c r="J458" s="3" t="n">
        <f aca="false">IF(H458&lt;=1,0,IF(H458&lt;=10,11,IF(H458&lt;=14,12,IF(H458&lt;=17,13,IF(H458&lt;=20,14,IF(H458&lt;=22,15,IF(H458&lt;=25,16,IF(H458&lt;=27,17,IF(H458&lt;=29,18,IF(H458&lt;=32,19,IF(H458&lt;=34,20,IF(H458&lt;=36,21,IF(H458&lt;=40,22,24)))))))))))))</f>
        <v>18</v>
      </c>
      <c r="L458" s="3" t="n">
        <v>31</v>
      </c>
      <c r="M458" s="3" t="n">
        <f aca="false">_xlfn.IFS(K458="взв",11,K458="накл",24,K458="прокл",25,K458="пт",26,K458=90,10,K458=85,10,K458=80,9,K458=75,8,K458=70,8,K458=65,7,K458=60,7,K458=55,6,K458=50,6,K458=45,6,K458=40,5,K458=35,4,K458=30,4,K458=25,3,K458=20,2,K458=15,1,K458=10,1,K458=0,0)</f>
        <v>0</v>
      </c>
      <c r="N458" s="3" t="n">
        <f aca="false">IF(L458&lt;=1,0,IF(L458&lt;=10,11,IF(L458&lt;=14,12,IF(L458&lt;=17,13,IF(L458&lt;=20,14,IF(L458&lt;=22,15,IF(L458&lt;=25,16,IF(L458&lt;=27,17,IF(L458&lt;=29,18,IF(L458&lt;=32,19,IF(L458&lt;=34,20,IF(L458&lt;=36,21,IF(L458&lt;=40,22,24)))))))))))))</f>
        <v>19</v>
      </c>
      <c r="P458" s="3" t="n">
        <v>29</v>
      </c>
      <c r="Q458" s="3" t="n">
        <f aca="false">_xlfn.IFS(O458="взв",11,O458="накл",24,O458="прокл",25,O458="пт",26,O458=90,10,O458=85,10,O458=80,9,O458=75,8,O458=70,8,O458=65,7,O458=60,7,O458=55,6,O458=50,6,O458=45,6,O458=40,5,O458=35,4,O458=30,4,O458=25,3,O458=20,2,O458=15,1,O458=10,1,O458=0,0)</f>
        <v>0</v>
      </c>
      <c r="R458" s="3" t="n">
        <f aca="false">IF(P458&lt;=1,0,IF(P458&lt;=10,11,IF(P458&lt;=14,12,IF(P458&lt;=17,13,IF(P458&lt;=20,14,IF(P458&lt;=22,15,IF(P458&lt;=25,16,IF(P458&lt;=27,17,IF(P458&lt;=29,18,IF(P458&lt;=32,19,IF(P458&lt;=34,20,IF(P458&lt;=36,21,IF(P458&lt;=40,22,24)))))))))))))</f>
        <v>18</v>
      </c>
      <c r="S458" s="14" t="n">
        <f aca="false">ROUND((Q458+R458+I458+J458+M458+N458)/3,0)</f>
        <v>18</v>
      </c>
      <c r="T458" s="15" t="n">
        <f aca="false">F458*LOG10(S458+2)</f>
        <v>0</v>
      </c>
    </row>
    <row r="459" customFormat="false" ht="14.65" hidden="false" customHeight="true" outlineLevel="0" collapsed="false">
      <c r="A459" s="12" t="s">
        <v>502</v>
      </c>
      <c r="B459" s="13" t="n">
        <v>38881</v>
      </c>
      <c r="C459" s="3" t="s">
        <v>24</v>
      </c>
      <c r="D459" s="4" t="s">
        <v>455</v>
      </c>
      <c r="E459" s="3" t="n">
        <v>5</v>
      </c>
      <c r="F459" s="3" t="n">
        <v>0</v>
      </c>
      <c r="G459" s="3" t="s">
        <v>50</v>
      </c>
      <c r="H459" s="0"/>
      <c r="I459" s="3" t="n">
        <f aca="false">_xlfn.IFS(G459="взв",11,G459="накл",24,G459="прокл",25,G459="пт",26,G459=90,10,G459=85,10,G459=80,9,G459=75,8,G459=70,8,G459=65,7,G459=60,7,G459=55,6,G459=50,6,G459=45,6,G459=40,5,G459=35,4,G459=30,4,G459=25,3,G459=20,2,G459=15,1,G459=10,1,G459=0,0)</f>
        <v>11</v>
      </c>
      <c r="J459" s="3" t="n">
        <f aca="false">IF(H459&lt;=1,0,IF(H459&lt;=10,11,IF(H459&lt;=14,12,IF(H459&lt;=17,13,IF(H459&lt;=20,14,IF(H459&lt;=22,15,IF(H459&lt;=25,16,IF(H459&lt;=27,17,IF(H459&lt;=29,18,IF(H459&lt;=32,19,IF(H459&lt;=34,20,IF(H459&lt;=36,21,IF(H459&lt;=40,22,24)))))))))))))</f>
        <v>0</v>
      </c>
      <c r="K459" s="3" t="n">
        <v>90</v>
      </c>
      <c r="M459" s="3" t="n">
        <f aca="false">_xlfn.IFS(K459="взв",11,K459="накл",24,K459="прокл",25,K459="пт",26,K459=90,10,K459=85,10,K459=80,9,K459=75,8,K459=70,8,K459=65,7,K459=60,7,K459=55,6,K459=50,6,K459=45,6,K459=40,5,K459=35,4,K459=30,4,K459=25,3,K459=20,2,K459=15,1,K459=10,1,K459=0,0)</f>
        <v>10</v>
      </c>
      <c r="N459" s="3" t="n">
        <f aca="false">IF(L459&lt;=1,0,IF(L459&lt;=10,11,IF(L459&lt;=14,12,IF(L459&lt;=17,13,IF(L459&lt;=20,14,IF(L459&lt;=22,15,IF(L459&lt;=25,16,IF(L459&lt;=27,17,IF(L459&lt;=29,18,IF(L459&lt;=32,19,IF(L459&lt;=34,20,IF(L459&lt;=36,21,IF(L459&lt;=40,22,24)))))))))))))</f>
        <v>0</v>
      </c>
      <c r="P459" s="3" t="n">
        <v>13</v>
      </c>
      <c r="Q459" s="3" t="n">
        <f aca="false">_xlfn.IFS(O459="взв",11,O459="накл",24,O459="прокл",25,O459="пт",26,O459=90,10,O459=85,10,O459=80,9,O459=75,8,O459=70,8,O459=65,7,O459=60,7,O459=55,6,O459=50,6,O459=45,6,O459=40,5,O459=35,4,O459=30,4,O459=25,3,O459=20,2,O459=15,1,O459=10,1,O459=0,0)</f>
        <v>0</v>
      </c>
      <c r="R459" s="3" t="n">
        <f aca="false">IF(P459&lt;=1,0,IF(P459&lt;=10,11,IF(P459&lt;=14,12,IF(P459&lt;=17,13,IF(P459&lt;=20,14,IF(P459&lt;=22,15,IF(P459&lt;=25,16,IF(P459&lt;=27,17,IF(P459&lt;=29,18,IF(P459&lt;=32,19,IF(P459&lt;=34,20,IF(P459&lt;=36,21,IF(P459&lt;=40,22,24)))))))))))))</f>
        <v>12</v>
      </c>
      <c r="S459" s="14" t="n">
        <f aca="false">ROUND((Q459+R459+I459+J459+M459+N459)/3,0)</f>
        <v>11</v>
      </c>
      <c r="T459" s="15" t="n">
        <f aca="false">F459*LOG10(S459+2)</f>
        <v>0</v>
      </c>
    </row>
    <row r="460" customFormat="false" ht="14.65" hidden="false" customHeight="true" outlineLevel="0" collapsed="false">
      <c r="A460" s="12" t="s">
        <v>503</v>
      </c>
      <c r="B460" s="13" t="n">
        <v>38881</v>
      </c>
      <c r="C460" s="3" t="s">
        <v>24</v>
      </c>
      <c r="D460" s="4" t="s">
        <v>455</v>
      </c>
      <c r="E460" s="3" t="n">
        <v>6</v>
      </c>
      <c r="F460" s="3" t="n">
        <v>0</v>
      </c>
      <c r="H460" s="3" t="n">
        <v>28</v>
      </c>
      <c r="I460" s="3" t="n">
        <f aca="false">_xlfn.IFS(G460="взв",11,G460="накл",24,G460="прокл",25,G460="пт",26,G460=90,10,G460=85,10,G460=80,9,G460=75,8,G460=70,8,G460=65,7,G460=60,7,G460=55,6,G460=50,6,G460=45,6,G460=40,5,G460=35,4,G460=30,4,G460=25,3,G460=20,2,G460=15,1,G460=10,1,G460=0,0)</f>
        <v>0</v>
      </c>
      <c r="J460" s="3" t="n">
        <f aca="false">IF(H460&lt;=1,0,IF(H460&lt;=10,11,IF(H460&lt;=14,12,IF(H460&lt;=17,13,IF(H460&lt;=20,14,IF(H460&lt;=22,15,IF(H460&lt;=25,16,IF(H460&lt;=27,17,IF(H460&lt;=29,18,IF(H460&lt;=32,19,IF(H460&lt;=34,20,IF(H460&lt;=36,21,IF(H460&lt;=40,22,24)))))))))))))</f>
        <v>18</v>
      </c>
      <c r="L460" s="3" t="n">
        <v>18</v>
      </c>
      <c r="M460" s="3" t="n">
        <f aca="false">_xlfn.IFS(K460="взв",11,K460="накл",24,K460="прокл",25,K460="пт",26,K460=90,10,K460=85,10,K460=80,9,K460=75,8,K460=70,8,K460=65,7,K460=60,7,K460=55,6,K460=50,6,K460=45,6,K460=40,5,K460=35,4,K460=30,4,K460=25,3,K460=20,2,K460=15,1,K460=10,1,K460=0,0)</f>
        <v>0</v>
      </c>
      <c r="N460" s="3" t="n">
        <f aca="false">IF(L460&lt;=1,0,IF(L460&lt;=10,11,IF(L460&lt;=14,12,IF(L460&lt;=17,13,IF(L460&lt;=20,14,IF(L460&lt;=22,15,IF(L460&lt;=25,16,IF(L460&lt;=27,17,IF(L460&lt;=29,18,IF(L460&lt;=32,19,IF(L460&lt;=34,20,IF(L460&lt;=36,21,IF(L460&lt;=40,22,24)))))))))))))</f>
        <v>14</v>
      </c>
      <c r="P460" s="3" t="n">
        <v>24</v>
      </c>
      <c r="Q460" s="3" t="n">
        <f aca="false">_xlfn.IFS(O460="взв",11,O460="накл",24,O460="прокл",25,O460="пт",26,O460=90,10,O460=85,10,O460=80,9,O460=75,8,O460=70,8,O460=65,7,O460=60,7,O460=55,6,O460=50,6,O460=45,6,O460=40,5,O460=35,4,O460=30,4,O460=25,3,O460=20,2,O460=15,1,O460=10,1,O460=0,0)</f>
        <v>0</v>
      </c>
      <c r="R460" s="3" t="n">
        <f aca="false">IF(P460&lt;=1,0,IF(P460&lt;=10,11,IF(P460&lt;=14,12,IF(P460&lt;=17,13,IF(P460&lt;=20,14,IF(P460&lt;=22,15,IF(P460&lt;=25,16,IF(P460&lt;=27,17,IF(P460&lt;=29,18,IF(P460&lt;=32,19,IF(P460&lt;=34,20,IF(P460&lt;=36,21,IF(P460&lt;=40,22,24)))))))))))))</f>
        <v>16</v>
      </c>
      <c r="S460" s="14" t="n">
        <f aca="false">ROUND((Q460+R460+I460+J460+M460+N460)/3,0)</f>
        <v>16</v>
      </c>
      <c r="T460" s="15" t="n">
        <f aca="false">F460*LOG10(S460+2)</f>
        <v>0</v>
      </c>
    </row>
    <row r="461" customFormat="false" ht="14.65" hidden="false" customHeight="true" outlineLevel="0" collapsed="false">
      <c r="A461" s="12" t="s">
        <v>504</v>
      </c>
      <c r="B461" s="13" t="n">
        <v>38881</v>
      </c>
      <c r="C461" s="3" t="s">
        <v>24</v>
      </c>
      <c r="D461" s="4" t="s">
        <v>455</v>
      </c>
      <c r="E461" s="3" t="n">
        <v>5</v>
      </c>
      <c r="F461" s="3" t="n">
        <v>0</v>
      </c>
      <c r="H461" s="3" t="n">
        <v>40</v>
      </c>
      <c r="I461" s="3" t="n">
        <f aca="false">_xlfn.IFS(G461="взв",11,G461="накл",24,G461="прокл",25,G461="пт",26,G461=90,10,G461=85,10,G461=80,9,G461=75,8,G461=70,8,G461=65,7,G461=60,7,G461=55,6,G461=50,6,G461=45,6,G461=40,5,G461=35,4,G461=30,4,G461=25,3,G461=20,2,G461=15,1,G461=10,1,G461=0,0)</f>
        <v>0</v>
      </c>
      <c r="J461" s="3" t="n">
        <f aca="false">IF(H461&lt;=1,0,IF(H461&lt;=10,11,IF(H461&lt;=14,12,IF(H461&lt;=17,13,IF(H461&lt;=20,14,IF(H461&lt;=22,15,IF(H461&lt;=25,16,IF(H461&lt;=27,17,IF(H461&lt;=29,18,IF(H461&lt;=32,19,IF(H461&lt;=34,20,IF(H461&lt;=36,21,IF(H461&lt;=40,22,24)))))))))))))</f>
        <v>22</v>
      </c>
      <c r="L461" s="3" t="n">
        <v>34</v>
      </c>
      <c r="M461" s="3" t="n">
        <f aca="false">_xlfn.IFS(K461="взв",11,K461="накл",24,K461="прокл",25,K461="пт",26,K461=90,10,K461=85,10,K461=80,9,K461=75,8,K461=70,8,K461=65,7,K461=60,7,K461=55,6,K461=50,6,K461=45,6,K461=40,5,K461=35,4,K461=30,4,K461=25,3,K461=20,2,K461=15,1,K461=10,1,K461=0,0)</f>
        <v>0</v>
      </c>
      <c r="N461" s="3" t="n">
        <f aca="false">IF(L461&lt;=1,0,IF(L461&lt;=10,11,IF(L461&lt;=14,12,IF(L461&lt;=17,13,IF(L461&lt;=20,14,IF(L461&lt;=22,15,IF(L461&lt;=25,16,IF(L461&lt;=27,17,IF(L461&lt;=29,18,IF(L461&lt;=32,19,IF(L461&lt;=34,20,IF(L461&lt;=36,21,IF(L461&lt;=40,22,24)))))))))))))</f>
        <v>20</v>
      </c>
      <c r="P461" s="3" t="n">
        <v>31</v>
      </c>
      <c r="Q461" s="3" t="n">
        <f aca="false">_xlfn.IFS(O461="взв",11,O461="накл",24,O461="прокл",25,O461="пт",26,O461=90,10,O461=85,10,O461=80,9,O461=75,8,O461=70,8,O461=65,7,O461=60,7,O461=55,6,O461=50,6,O461=45,6,O461=40,5,O461=35,4,O461=30,4,O461=25,3,O461=20,2,O461=15,1,O461=10,1,O461=0,0)</f>
        <v>0</v>
      </c>
      <c r="R461" s="3" t="n">
        <f aca="false">IF(P461&lt;=1,0,IF(P461&lt;=10,11,IF(P461&lt;=14,12,IF(P461&lt;=17,13,IF(P461&lt;=20,14,IF(P461&lt;=22,15,IF(P461&lt;=25,16,IF(P461&lt;=27,17,IF(P461&lt;=29,18,IF(P461&lt;=32,19,IF(P461&lt;=34,20,IF(P461&lt;=36,21,IF(P461&lt;=40,22,24)))))))))))))</f>
        <v>19</v>
      </c>
      <c r="S461" s="14" t="n">
        <f aca="false">ROUND((Q461+R461+I461+J461+M461+N461)/3,0)</f>
        <v>20</v>
      </c>
      <c r="T461" s="15" t="n">
        <f aca="false">F461*LOG10(S461+2)</f>
        <v>0</v>
      </c>
    </row>
    <row r="462" customFormat="false" ht="14.65" hidden="false" customHeight="true" outlineLevel="0" collapsed="false">
      <c r="A462" s="12" t="s">
        <v>505</v>
      </c>
      <c r="B462" s="13" t="n">
        <v>38881</v>
      </c>
      <c r="C462" s="3" t="s">
        <v>24</v>
      </c>
      <c r="D462" s="4" t="s">
        <v>455</v>
      </c>
      <c r="E462" s="3" t="n">
        <v>4</v>
      </c>
      <c r="F462" s="3" t="n">
        <v>0</v>
      </c>
      <c r="H462" s="3" t="n">
        <v>32</v>
      </c>
      <c r="I462" s="3" t="n">
        <f aca="false">_xlfn.IFS(G462="взв",11,G462="накл",24,G462="прокл",25,G462="пт",26,G462=90,10,G462=85,10,G462=80,9,G462=75,8,G462=70,8,G462=65,7,G462=60,7,G462=55,6,G462=50,6,G462=45,6,G462=40,5,G462=35,4,G462=30,4,G462=25,3,G462=20,2,G462=15,1,G462=10,1,G462=0,0)</f>
        <v>0</v>
      </c>
      <c r="J462" s="3" t="n">
        <f aca="false">IF(H462&lt;=1,0,IF(H462&lt;=10,11,IF(H462&lt;=14,12,IF(H462&lt;=17,13,IF(H462&lt;=20,14,IF(H462&lt;=22,15,IF(H462&lt;=25,16,IF(H462&lt;=27,17,IF(H462&lt;=29,18,IF(H462&lt;=32,19,IF(H462&lt;=34,20,IF(H462&lt;=36,21,IF(H462&lt;=40,22,24)))))))))))))</f>
        <v>19</v>
      </c>
      <c r="L462" s="3" t="n">
        <v>37</v>
      </c>
      <c r="M462" s="3" t="n">
        <f aca="false">_xlfn.IFS(K462="взв",11,K462="накл",24,K462="прокл",25,K462="пт",26,K462=90,10,K462=85,10,K462=80,9,K462=75,8,K462=70,8,K462=65,7,K462=60,7,K462=55,6,K462=50,6,K462=45,6,K462=40,5,K462=35,4,K462=30,4,K462=25,3,K462=20,2,K462=15,1,K462=10,1,K462=0,0)</f>
        <v>0</v>
      </c>
      <c r="N462" s="3" t="n">
        <f aca="false">IF(L462&lt;=1,0,IF(L462&lt;=10,11,IF(L462&lt;=14,12,IF(L462&lt;=17,13,IF(L462&lt;=20,14,IF(L462&lt;=22,15,IF(L462&lt;=25,16,IF(L462&lt;=27,17,IF(L462&lt;=29,18,IF(L462&lt;=32,19,IF(L462&lt;=34,20,IF(L462&lt;=36,21,IF(L462&lt;=40,22,24)))))))))))))</f>
        <v>22</v>
      </c>
      <c r="P462" s="3" t="n">
        <v>37</v>
      </c>
      <c r="Q462" s="3" t="n">
        <f aca="false">_xlfn.IFS(O462="взв",11,O462="накл",24,O462="прокл",25,O462="пт",26,O462=90,10,O462=85,10,O462=80,9,O462=75,8,O462=70,8,O462=65,7,O462=60,7,O462=55,6,O462=50,6,O462=45,6,O462=40,5,O462=35,4,O462=30,4,O462=25,3,O462=20,2,O462=15,1,O462=10,1,O462=0,0)</f>
        <v>0</v>
      </c>
      <c r="R462" s="3" t="n">
        <f aca="false">IF(P462&lt;=1,0,IF(P462&lt;=10,11,IF(P462&lt;=14,12,IF(P462&lt;=17,13,IF(P462&lt;=20,14,IF(P462&lt;=22,15,IF(P462&lt;=25,16,IF(P462&lt;=27,17,IF(P462&lt;=29,18,IF(P462&lt;=32,19,IF(P462&lt;=34,20,IF(P462&lt;=36,21,IF(P462&lt;=40,22,24)))))))))))))</f>
        <v>22</v>
      </c>
      <c r="S462" s="14" t="n">
        <f aca="false">ROUND((Q462+R462+I462+J462+M462+N462)/3,0)</f>
        <v>21</v>
      </c>
      <c r="T462" s="15" t="n">
        <f aca="false">F462*LOG10(S462+2)</f>
        <v>0</v>
      </c>
    </row>
    <row r="463" customFormat="false" ht="14.65" hidden="false" customHeight="true" outlineLevel="0" collapsed="false">
      <c r="A463" s="12" t="s">
        <v>506</v>
      </c>
      <c r="B463" s="13" t="n">
        <v>38881</v>
      </c>
      <c r="C463" s="3" t="s">
        <v>24</v>
      </c>
      <c r="D463" s="4" t="s">
        <v>455</v>
      </c>
      <c r="E463" s="3" t="n">
        <v>5</v>
      </c>
      <c r="F463" s="3" t="n">
        <v>0</v>
      </c>
      <c r="H463" s="3" t="n">
        <v>35</v>
      </c>
      <c r="I463" s="3" t="n">
        <f aca="false">_xlfn.IFS(G463="взв",11,G463="накл",24,G463="прокл",25,G463="пт",26,G463=90,10,G463=85,10,G463=80,9,G463=75,8,G463=70,8,G463=65,7,G463=60,7,G463=55,6,G463=50,6,G463=45,6,G463=40,5,G463=35,4,G463=30,4,G463=25,3,G463=20,2,G463=15,1,G463=10,1,G463=0,0)</f>
        <v>0</v>
      </c>
      <c r="J463" s="3" t="n">
        <f aca="false">IF(H463&lt;=1,0,IF(H463&lt;=10,11,IF(H463&lt;=14,12,IF(H463&lt;=17,13,IF(H463&lt;=20,14,IF(H463&lt;=22,15,IF(H463&lt;=25,16,IF(H463&lt;=27,17,IF(H463&lt;=29,18,IF(H463&lt;=32,19,IF(H463&lt;=34,20,IF(H463&lt;=36,21,IF(H463&lt;=40,22,24)))))))))))))</f>
        <v>21</v>
      </c>
      <c r="L463" s="3" t="n">
        <v>38</v>
      </c>
      <c r="M463" s="3" t="n">
        <f aca="false">_xlfn.IFS(K463="взв",11,K463="накл",24,K463="прокл",25,K463="пт",26,K463=90,10,K463=85,10,K463=80,9,K463=75,8,K463=70,8,K463=65,7,K463=60,7,K463=55,6,K463=50,6,K463=45,6,K463=40,5,K463=35,4,K463=30,4,K463=25,3,K463=20,2,K463=15,1,K463=10,1,K463=0,0)</f>
        <v>0</v>
      </c>
      <c r="N463" s="3" t="n">
        <f aca="false">IF(L463&lt;=1,0,IF(L463&lt;=10,11,IF(L463&lt;=14,12,IF(L463&lt;=17,13,IF(L463&lt;=20,14,IF(L463&lt;=22,15,IF(L463&lt;=25,16,IF(L463&lt;=27,17,IF(L463&lt;=29,18,IF(L463&lt;=32,19,IF(L463&lt;=34,20,IF(L463&lt;=36,21,IF(L463&lt;=40,22,24)))))))))))))</f>
        <v>22</v>
      </c>
      <c r="P463" s="3" t="n">
        <v>40</v>
      </c>
      <c r="Q463" s="3" t="n">
        <f aca="false">_xlfn.IFS(O463="взв",11,O463="накл",24,O463="прокл",25,O463="пт",26,O463=90,10,O463=85,10,O463=80,9,O463=75,8,O463=70,8,O463=65,7,O463=60,7,O463=55,6,O463=50,6,O463=45,6,O463=40,5,O463=35,4,O463=30,4,O463=25,3,O463=20,2,O463=15,1,O463=10,1,O463=0,0)</f>
        <v>0</v>
      </c>
      <c r="R463" s="3" t="n">
        <f aca="false">IF(P463&lt;=1,0,IF(P463&lt;=10,11,IF(P463&lt;=14,12,IF(P463&lt;=17,13,IF(P463&lt;=20,14,IF(P463&lt;=22,15,IF(P463&lt;=25,16,IF(P463&lt;=27,17,IF(P463&lt;=29,18,IF(P463&lt;=32,19,IF(P463&lt;=34,20,IF(P463&lt;=36,21,IF(P463&lt;=40,22,24)))))))))))))</f>
        <v>22</v>
      </c>
      <c r="S463" s="14" t="n">
        <f aca="false">ROUND((Q463+R463+I463+J463+M463+N463)/3,0)</f>
        <v>22</v>
      </c>
      <c r="T463" s="15" t="n">
        <f aca="false">F463*LOG10(S463+2)</f>
        <v>0</v>
      </c>
    </row>
    <row r="464" customFormat="false" ht="14.65" hidden="false" customHeight="true" outlineLevel="0" collapsed="false">
      <c r="A464" s="12" t="s">
        <v>507</v>
      </c>
      <c r="B464" s="13" t="n">
        <v>38881</v>
      </c>
      <c r="C464" s="3" t="s">
        <v>24</v>
      </c>
      <c r="D464" s="4" t="s">
        <v>455</v>
      </c>
      <c r="E464" s="3" t="n">
        <v>3</v>
      </c>
      <c r="F464" s="3" t="n">
        <v>0</v>
      </c>
      <c r="H464" s="3" t="n">
        <v>31</v>
      </c>
      <c r="I464" s="3" t="n">
        <f aca="false">_xlfn.IFS(G464="взв",11,G464="накл",24,G464="прокл",25,G464="пт",26,G464=90,10,G464=85,10,G464=80,9,G464=75,8,G464=70,8,G464=65,7,G464=60,7,G464=55,6,G464=50,6,G464=45,6,G464=40,5,G464=35,4,G464=30,4,G464=25,3,G464=20,2,G464=15,1,G464=10,1,G464=0,0)</f>
        <v>0</v>
      </c>
      <c r="J464" s="3" t="n">
        <f aca="false">IF(H464&lt;=1,0,IF(H464&lt;=10,11,IF(H464&lt;=14,12,IF(H464&lt;=17,13,IF(H464&lt;=20,14,IF(H464&lt;=22,15,IF(H464&lt;=25,16,IF(H464&lt;=27,17,IF(H464&lt;=29,18,IF(H464&lt;=32,19,IF(H464&lt;=34,20,IF(H464&lt;=36,21,IF(H464&lt;=40,22,24)))))))))))))</f>
        <v>19</v>
      </c>
      <c r="L464" s="3" t="n">
        <v>32</v>
      </c>
      <c r="M464" s="3" t="n">
        <f aca="false">_xlfn.IFS(K464="взв",11,K464="накл",24,K464="прокл",25,K464="пт",26,K464=90,10,K464=85,10,K464=80,9,K464=75,8,K464=70,8,K464=65,7,K464=60,7,K464=55,6,K464=50,6,K464=45,6,K464=40,5,K464=35,4,K464=30,4,K464=25,3,K464=20,2,K464=15,1,K464=10,1,K464=0,0)</f>
        <v>0</v>
      </c>
      <c r="N464" s="3" t="n">
        <f aca="false">IF(L464&lt;=1,0,IF(L464&lt;=10,11,IF(L464&lt;=14,12,IF(L464&lt;=17,13,IF(L464&lt;=20,14,IF(L464&lt;=22,15,IF(L464&lt;=25,16,IF(L464&lt;=27,17,IF(L464&lt;=29,18,IF(L464&lt;=32,19,IF(L464&lt;=34,20,IF(L464&lt;=36,21,IF(L464&lt;=40,22,24)))))))))))))</f>
        <v>19</v>
      </c>
      <c r="P464" s="3" t="n">
        <v>34</v>
      </c>
      <c r="Q464" s="3" t="n">
        <f aca="false">_xlfn.IFS(O464="взв",11,O464="накл",24,O464="прокл",25,O464="пт",26,O464=90,10,O464=85,10,O464=80,9,O464=75,8,O464=70,8,O464=65,7,O464=60,7,O464=55,6,O464=50,6,O464=45,6,O464=40,5,O464=35,4,O464=30,4,O464=25,3,O464=20,2,O464=15,1,O464=10,1,O464=0,0)</f>
        <v>0</v>
      </c>
      <c r="R464" s="3" t="n">
        <f aca="false">IF(P464&lt;=1,0,IF(P464&lt;=10,11,IF(P464&lt;=14,12,IF(P464&lt;=17,13,IF(P464&lt;=20,14,IF(P464&lt;=22,15,IF(P464&lt;=25,16,IF(P464&lt;=27,17,IF(P464&lt;=29,18,IF(P464&lt;=32,19,IF(P464&lt;=34,20,IF(P464&lt;=36,21,IF(P464&lt;=40,22,24)))))))))))))</f>
        <v>20</v>
      </c>
      <c r="S464" s="14" t="n">
        <f aca="false">ROUND((Q464+R464+I464+J464+M464+N464)/3,0)</f>
        <v>19</v>
      </c>
      <c r="T464" s="15" t="n">
        <f aca="false">F464*LOG10(S464+2)</f>
        <v>0</v>
      </c>
    </row>
    <row r="465" customFormat="false" ht="14.65" hidden="false" customHeight="true" outlineLevel="0" collapsed="false">
      <c r="A465" s="12" t="s">
        <v>508</v>
      </c>
      <c r="B465" s="13" t="n">
        <v>38888</v>
      </c>
      <c r="C465" s="3" t="s">
        <v>24</v>
      </c>
      <c r="D465" s="4" t="s">
        <v>509</v>
      </c>
      <c r="E465" s="3" t="n">
        <v>4</v>
      </c>
      <c r="F465" s="3" t="n">
        <v>1</v>
      </c>
      <c r="G465" s="3" t="n">
        <v>45</v>
      </c>
      <c r="I465" s="3" t="n">
        <f aca="false">_xlfn.IFS(G465="взв",11,G465="накл",24,G465="прокл",25,G465="пт",26,G465=90,10,G465=85,10,G465=80,9,G465=75,8,G465=70,8,G465=65,7,G465=60,7,G465=55,6,G465=50,6,G465=45,6,G465=40,5,G465=35,4,G465=30,4,G465=25,3,G465=20,2,G465=15,1,G465=10,1,G465=0,0)</f>
        <v>6</v>
      </c>
      <c r="J465" s="3" t="n">
        <f aca="false">IF(H465&lt;=1,0,IF(H465&lt;=10,11,IF(H465&lt;=14,12,IF(H465&lt;=17,13,IF(H465&lt;=20,14,IF(H465&lt;=22,15,IF(H465&lt;=25,16,IF(H465&lt;=27,17,IF(H465&lt;=29,18,IF(H465&lt;=32,19,IF(H465&lt;=34,20,IF(H465&lt;=36,21,IF(H465&lt;=40,22,24)))))))))))))</f>
        <v>0</v>
      </c>
      <c r="K465" s="3" t="n">
        <v>45</v>
      </c>
      <c r="M465" s="3" t="n">
        <f aca="false">_xlfn.IFS(K465="взв",11,K465="накл",24,K465="прокл",25,K465="пт",26,K465=90,10,K465=85,10,K465=80,9,K465=75,8,K465=70,8,K465=65,7,K465=60,7,K465=55,6,K465=50,6,K465=45,6,K465=40,5,K465=35,4,K465=30,4,K465=25,3,K465=20,2,K465=15,1,K465=10,1,K465=0,0)</f>
        <v>6</v>
      </c>
      <c r="N465" s="3" t="n">
        <f aca="false">IF(L465&lt;=1,0,IF(L465&lt;=10,11,IF(L465&lt;=14,12,IF(L465&lt;=17,13,IF(L465&lt;=20,14,IF(L465&lt;=22,15,IF(L465&lt;=25,16,IF(L465&lt;=27,17,IF(L465&lt;=29,18,IF(L465&lt;=32,19,IF(L465&lt;=34,20,IF(L465&lt;=36,21,IF(L465&lt;=40,22,24)))))))))))))</f>
        <v>0</v>
      </c>
      <c r="O465" s="3" t="n">
        <v>60</v>
      </c>
      <c r="Q465" s="3" t="n">
        <f aca="false">_xlfn.IFS(O465="взв",11,O465="накл",24,O465="прокл",25,O465="пт",26,O465=90,10,O465=85,10,O465=80,9,O465=75,8,O465=70,8,O465=65,7,O465=60,7,O465=55,6,O465=50,6,O465=45,6,O465=40,5,O465=35,4,O465=30,4,O465=25,3,O465=20,2,O465=15,1,O465=10,1,O465=0,0)</f>
        <v>7</v>
      </c>
      <c r="R465" s="3" t="n">
        <f aca="false">IF(P465&lt;=1,0,IF(P465&lt;=10,11,IF(P465&lt;=14,12,IF(P465&lt;=17,13,IF(P465&lt;=20,14,IF(P465&lt;=22,15,IF(P465&lt;=25,16,IF(P465&lt;=27,17,IF(P465&lt;=29,18,IF(P465&lt;=32,19,IF(P465&lt;=34,20,IF(P465&lt;=36,21,IF(P465&lt;=40,22,24)))))))))))))</f>
        <v>0</v>
      </c>
      <c r="S465" s="14" t="n">
        <f aca="false">ROUND((Q465+R465+I465+J465+M465+N465)/3,0)</f>
        <v>6</v>
      </c>
      <c r="T465" s="15" t="n">
        <f aca="false">F465*LOG10(S465+2)</f>
        <v>0.903089986991944</v>
      </c>
    </row>
    <row r="466" customFormat="false" ht="14.65" hidden="false" customHeight="true" outlineLevel="0" collapsed="false">
      <c r="A466" s="12" t="s">
        <v>510</v>
      </c>
      <c r="B466" s="13" t="n">
        <v>38888</v>
      </c>
      <c r="C466" s="3" t="s">
        <v>24</v>
      </c>
      <c r="D466" s="4" t="s">
        <v>509</v>
      </c>
      <c r="E466" s="3" t="n">
        <v>5</v>
      </c>
      <c r="F466" s="3" t="n">
        <v>1</v>
      </c>
      <c r="G466" s="3" t="n">
        <v>45</v>
      </c>
      <c r="I466" s="3" t="n">
        <f aca="false">_xlfn.IFS(G466="взв",11,G466="накл",24,G466="прокл",25,G466="пт",26,G466=90,10,G466=85,10,G466=80,9,G466=75,8,G466=70,8,G466=65,7,G466=60,7,G466=55,6,G466=50,6,G466=45,6,G466=40,5,G466=35,4,G466=30,4,G466=25,3,G466=20,2,G466=15,1,G466=10,1,G466=0,0)</f>
        <v>6</v>
      </c>
      <c r="J466" s="3" t="n">
        <f aca="false">IF(H466&lt;=1,0,IF(H466&lt;=10,11,IF(H466&lt;=14,12,IF(H466&lt;=17,13,IF(H466&lt;=20,14,IF(H466&lt;=22,15,IF(H466&lt;=25,16,IF(H466&lt;=27,17,IF(H466&lt;=29,18,IF(H466&lt;=32,19,IF(H466&lt;=34,20,IF(H466&lt;=36,21,IF(H466&lt;=40,22,24)))))))))))))</f>
        <v>0</v>
      </c>
      <c r="K466" s="3" t="n">
        <v>60</v>
      </c>
      <c r="M466" s="3" t="n">
        <f aca="false">_xlfn.IFS(K466="взв",11,K466="накл",24,K466="прокл",25,K466="пт",26,K466=90,10,K466=85,10,K466=80,9,K466=75,8,K466=70,8,K466=65,7,K466=60,7,K466=55,6,K466=50,6,K466=45,6,K466=40,5,K466=35,4,K466=30,4,K466=25,3,K466=20,2,K466=15,1,K466=10,1,K466=0,0)</f>
        <v>7</v>
      </c>
      <c r="N466" s="3" t="n">
        <f aca="false">IF(L466&lt;=1,0,IF(L466&lt;=10,11,IF(L466&lt;=14,12,IF(L466&lt;=17,13,IF(L466&lt;=20,14,IF(L466&lt;=22,15,IF(L466&lt;=25,16,IF(L466&lt;=27,17,IF(L466&lt;=29,18,IF(L466&lt;=32,19,IF(L466&lt;=34,20,IF(L466&lt;=36,21,IF(L466&lt;=40,22,24)))))))))))))</f>
        <v>0</v>
      </c>
      <c r="O466" s="3" t="n">
        <v>60</v>
      </c>
      <c r="Q466" s="3" t="n">
        <f aca="false">_xlfn.IFS(O466="взв",11,O466="накл",24,O466="прокл",25,O466="пт",26,O466=90,10,O466=85,10,O466=80,9,O466=75,8,O466=70,8,O466=65,7,O466=60,7,O466=55,6,O466=50,6,O466=45,6,O466=40,5,O466=35,4,O466=30,4,O466=25,3,O466=20,2,O466=15,1,O466=10,1,O466=0,0)</f>
        <v>7</v>
      </c>
      <c r="R466" s="3" t="n">
        <f aca="false">IF(P466&lt;=1,0,IF(P466&lt;=10,11,IF(P466&lt;=14,12,IF(P466&lt;=17,13,IF(P466&lt;=20,14,IF(P466&lt;=22,15,IF(P466&lt;=25,16,IF(P466&lt;=27,17,IF(P466&lt;=29,18,IF(P466&lt;=32,19,IF(P466&lt;=34,20,IF(P466&lt;=36,21,IF(P466&lt;=40,22,24)))))))))))))</f>
        <v>0</v>
      </c>
      <c r="S466" s="14" t="n">
        <f aca="false">ROUND((Q466+R466+I466+J466+M466+N466)/3,0)</f>
        <v>7</v>
      </c>
      <c r="T466" s="15" t="n">
        <f aca="false">F466*LOG10(S466+2)</f>
        <v>0.954242509439325</v>
      </c>
    </row>
    <row r="467" customFormat="false" ht="14.65" hidden="false" customHeight="true" outlineLevel="0" collapsed="false">
      <c r="A467" s="12" t="s">
        <v>511</v>
      </c>
      <c r="B467" s="13" t="n">
        <v>38888</v>
      </c>
      <c r="C467" s="3" t="s">
        <v>24</v>
      </c>
      <c r="D467" s="4" t="s">
        <v>509</v>
      </c>
      <c r="E467" s="3" t="n">
        <v>4</v>
      </c>
      <c r="F467" s="3" t="n">
        <v>1.5</v>
      </c>
      <c r="G467" s="3" t="n">
        <v>60</v>
      </c>
      <c r="I467" s="3" t="n">
        <f aca="false">_xlfn.IFS(G467="взв",11,G467="накл",24,G467="прокл",25,G467="пт",26,G467=90,10,G467=85,10,G467=80,9,G467=75,8,G467=70,8,G467=65,7,G467=60,7,G467=55,6,G467=50,6,G467=45,6,G467=40,5,G467=35,4,G467=30,4,G467=25,3,G467=20,2,G467=15,1,G467=10,1,G467=0,0)</f>
        <v>7</v>
      </c>
      <c r="J467" s="3" t="n">
        <f aca="false">IF(H467&lt;=1,0,IF(H467&lt;=10,11,IF(H467&lt;=14,12,IF(H467&lt;=17,13,IF(H467&lt;=20,14,IF(H467&lt;=22,15,IF(H467&lt;=25,16,IF(H467&lt;=27,17,IF(H467&lt;=29,18,IF(H467&lt;=32,19,IF(H467&lt;=34,20,IF(H467&lt;=36,21,IF(H467&lt;=40,22,24)))))))))))))</f>
        <v>0</v>
      </c>
      <c r="K467" s="3" t="n">
        <v>75</v>
      </c>
      <c r="M467" s="3" t="n">
        <f aca="false">_xlfn.IFS(K467="взв",11,K467="накл",24,K467="прокл",25,K467="пт",26,K467=90,10,K467=85,10,K467=80,9,K467=75,8,K467=70,8,K467=65,7,K467=60,7,K467=55,6,K467=50,6,K467=45,6,K467=40,5,K467=35,4,K467=30,4,K467=25,3,K467=20,2,K467=15,1,K467=10,1,K467=0,0)</f>
        <v>8</v>
      </c>
      <c r="N467" s="3" t="n">
        <f aca="false">IF(L467&lt;=1,0,IF(L467&lt;=10,11,IF(L467&lt;=14,12,IF(L467&lt;=17,13,IF(L467&lt;=20,14,IF(L467&lt;=22,15,IF(L467&lt;=25,16,IF(L467&lt;=27,17,IF(L467&lt;=29,18,IF(L467&lt;=32,19,IF(L467&lt;=34,20,IF(L467&lt;=36,21,IF(L467&lt;=40,22,24)))))))))))))</f>
        <v>0</v>
      </c>
      <c r="O467" s="3" t="n">
        <v>75</v>
      </c>
      <c r="Q467" s="3" t="n">
        <f aca="false">_xlfn.IFS(O467="взв",11,O467="накл",24,O467="прокл",25,O467="пт",26,O467=90,10,O467=85,10,O467=80,9,O467=75,8,O467=70,8,O467=65,7,O467=60,7,O467=55,6,O467=50,6,O467=45,6,O467=40,5,O467=35,4,O467=30,4,O467=25,3,O467=20,2,O467=15,1,O467=10,1,O467=0,0)</f>
        <v>8</v>
      </c>
      <c r="R467" s="3" t="n">
        <f aca="false">IF(P467&lt;=1,0,IF(P467&lt;=10,11,IF(P467&lt;=14,12,IF(P467&lt;=17,13,IF(P467&lt;=20,14,IF(P467&lt;=22,15,IF(P467&lt;=25,16,IF(P467&lt;=27,17,IF(P467&lt;=29,18,IF(P467&lt;=32,19,IF(P467&lt;=34,20,IF(P467&lt;=36,21,IF(P467&lt;=40,22,24)))))))))))))</f>
        <v>0</v>
      </c>
      <c r="S467" s="14" t="n">
        <f aca="false">ROUND((Q467+R467+I467+J467+M467+N467)/3,0)</f>
        <v>8</v>
      </c>
      <c r="T467" s="15" t="n">
        <f aca="false">F467*LOG10(S467+2)</f>
        <v>1.5</v>
      </c>
    </row>
    <row r="468" customFormat="false" ht="14.65" hidden="false" customHeight="true" outlineLevel="0" collapsed="false">
      <c r="A468" s="12" t="s">
        <v>512</v>
      </c>
      <c r="B468" s="13" t="n">
        <v>38888</v>
      </c>
      <c r="C468" s="3" t="s">
        <v>24</v>
      </c>
      <c r="D468" s="4" t="s">
        <v>509</v>
      </c>
      <c r="E468" s="3" t="n">
        <v>4</v>
      </c>
      <c r="F468" s="3" t="n">
        <v>2</v>
      </c>
      <c r="G468" s="3" t="n">
        <v>75</v>
      </c>
      <c r="I468" s="3" t="n">
        <f aca="false">_xlfn.IFS(G468="взв",11,G468="накл",24,G468="прокл",25,G468="пт",26,G468=90,10,G468=85,10,G468=80,9,G468=75,8,G468=70,8,G468=65,7,G468=60,7,G468=55,6,G468=50,6,G468=45,6,G468=40,5,G468=35,4,G468=30,4,G468=25,3,G468=20,2,G468=15,1,G468=10,1,G468=0,0)</f>
        <v>8</v>
      </c>
      <c r="J468" s="3" t="n">
        <f aca="false">IF(H468&lt;=1,0,IF(H468&lt;=10,11,IF(H468&lt;=14,12,IF(H468&lt;=17,13,IF(H468&lt;=20,14,IF(H468&lt;=22,15,IF(H468&lt;=25,16,IF(H468&lt;=27,17,IF(H468&lt;=29,18,IF(H468&lt;=32,19,IF(H468&lt;=34,20,IF(H468&lt;=36,21,IF(H468&lt;=40,22,24)))))))))))))</f>
        <v>0</v>
      </c>
      <c r="K468" s="3" t="n">
        <v>90</v>
      </c>
      <c r="M468" s="3" t="n">
        <f aca="false">_xlfn.IFS(K468="взв",11,K468="накл",24,K468="прокл",25,K468="пт",26,K468=90,10,K468=85,10,K468=80,9,K468=75,8,K468=70,8,K468=65,7,K468=60,7,K468=55,6,K468=50,6,K468=45,6,K468=40,5,K468=35,4,K468=30,4,K468=25,3,K468=20,2,K468=15,1,K468=10,1,K468=0,0)</f>
        <v>10</v>
      </c>
      <c r="N468" s="3" t="n">
        <f aca="false">IF(L468&lt;=1,0,IF(L468&lt;=10,11,IF(L468&lt;=14,12,IF(L468&lt;=17,13,IF(L468&lt;=20,14,IF(L468&lt;=22,15,IF(L468&lt;=25,16,IF(L468&lt;=27,17,IF(L468&lt;=29,18,IF(L468&lt;=32,19,IF(L468&lt;=34,20,IF(L468&lt;=36,21,IF(L468&lt;=40,22,24)))))))))))))</f>
        <v>0</v>
      </c>
      <c r="O468" s="3" t="n">
        <v>90</v>
      </c>
      <c r="Q468" s="3" t="n">
        <f aca="false">_xlfn.IFS(O468="взв",11,O468="накл",24,O468="прокл",25,O468="пт",26,O468=90,10,O468=85,10,O468=80,9,O468=75,8,O468=70,8,O468=65,7,O468=60,7,O468=55,6,O468=50,6,O468=45,6,O468=40,5,O468=35,4,O468=30,4,O468=25,3,O468=20,2,O468=15,1,O468=10,1,O468=0,0)</f>
        <v>10</v>
      </c>
      <c r="R468" s="3" t="n">
        <f aca="false">IF(P468&lt;=1,0,IF(P468&lt;=10,11,IF(P468&lt;=14,12,IF(P468&lt;=17,13,IF(P468&lt;=20,14,IF(P468&lt;=22,15,IF(P468&lt;=25,16,IF(P468&lt;=27,17,IF(P468&lt;=29,18,IF(P468&lt;=32,19,IF(P468&lt;=34,20,IF(P468&lt;=36,21,IF(P468&lt;=40,22,24)))))))))))))</f>
        <v>0</v>
      </c>
      <c r="S468" s="14" t="n">
        <f aca="false">ROUND((Q468+R468+I468+J468+M468+N468)/3,0)</f>
        <v>9</v>
      </c>
      <c r="T468" s="15" t="n">
        <f aca="false">F468*LOG10(S468+2)</f>
        <v>2.08278537031645</v>
      </c>
    </row>
    <row r="469" customFormat="false" ht="14.65" hidden="false" customHeight="true" outlineLevel="0" collapsed="false">
      <c r="A469" s="12" t="s">
        <v>513</v>
      </c>
      <c r="B469" s="13" t="n">
        <v>38888</v>
      </c>
      <c r="C469" s="3" t="s">
        <v>24</v>
      </c>
      <c r="D469" s="4" t="s">
        <v>509</v>
      </c>
      <c r="E469" s="3" t="n">
        <v>2</v>
      </c>
      <c r="F469" s="3" t="n">
        <v>3</v>
      </c>
      <c r="G469" s="3" t="s">
        <v>50</v>
      </c>
      <c r="I469" s="3" t="n">
        <f aca="false">_xlfn.IFS(G469="взв",11,G469="накл",24,G469="прокл",25,G469="пт",26,G469=90,10,G469=85,10,G469=80,9,G469=75,8,G469=70,8,G469=65,7,G469=60,7,G469=55,6,G469=50,6,G469=45,6,G469=40,5,G469=35,4,G469=30,4,G469=25,3,G469=20,2,G469=15,1,G469=10,1,G469=0,0)</f>
        <v>11</v>
      </c>
      <c r="J469" s="3" t="n">
        <f aca="false">IF(H469&lt;=1,0,IF(H469&lt;=10,11,IF(H469&lt;=14,12,IF(H469&lt;=17,13,IF(H469&lt;=20,14,IF(H469&lt;=22,15,IF(H469&lt;=25,16,IF(H469&lt;=27,17,IF(H469&lt;=29,18,IF(H469&lt;=32,19,IF(H469&lt;=34,20,IF(H469&lt;=36,21,IF(H469&lt;=40,22,24)))))))))))))</f>
        <v>0</v>
      </c>
      <c r="K469" s="3" t="s">
        <v>50</v>
      </c>
      <c r="L469" s="0"/>
      <c r="M469" s="3" t="n">
        <f aca="false">_xlfn.IFS(K469="взв",11,K469="накл",24,K469="прокл",25,K469="пт",26,K469=90,10,K469=85,10,K469=80,9,K469=75,8,K469=70,8,K469=65,7,K469=60,7,K469=55,6,K469=50,6,K469=45,6,K469=40,5,K469=35,4,K469=30,4,K469=25,3,K469=20,2,K469=15,1,K469=10,1,K469=0,0)</f>
        <v>11</v>
      </c>
      <c r="N469" s="3" t="n">
        <f aca="false">IF(L469&lt;=1,0,IF(L469&lt;=10,11,IF(L469&lt;=14,12,IF(L469&lt;=17,13,IF(L469&lt;=20,14,IF(L469&lt;=22,15,IF(L469&lt;=25,16,IF(L469&lt;=27,17,IF(L469&lt;=29,18,IF(L469&lt;=32,19,IF(L469&lt;=34,20,IF(L469&lt;=36,21,IF(L469&lt;=40,22,24)))))))))))))</f>
        <v>0</v>
      </c>
      <c r="Q469" s="3" t="n">
        <f aca="false">_xlfn.IFS(O469="взв",11,O469="накл",24,O469="прокл",25,O469="пт",26,O469=90,10,O469=85,10,O469=80,9,O469=75,8,O469=70,8,O469=65,7,O469=60,7,O469=55,6,O469=50,6,O469=45,6,O469=40,5,O469=35,4,O469=30,4,O469=25,3,O469=20,2,O469=15,1,O469=10,1,O469=0,0)</f>
        <v>0</v>
      </c>
      <c r="R469" s="3" t="n">
        <f aca="false">IF(P469&lt;=1,0,IF(P469&lt;=10,11,IF(P469&lt;=14,12,IF(P469&lt;=17,13,IF(P469&lt;=20,14,IF(P469&lt;=22,15,IF(P469&lt;=25,16,IF(P469&lt;=27,17,IF(P469&lt;=29,18,IF(P469&lt;=32,19,IF(P469&lt;=34,20,IF(P469&lt;=36,21,IF(P469&lt;=40,22,24)))))))))))))</f>
        <v>0</v>
      </c>
      <c r="S469" s="14" t="n">
        <v>11</v>
      </c>
      <c r="T469" s="15" t="n">
        <f aca="false">F469*LOG10(S469+2)</f>
        <v>3.34183005692051</v>
      </c>
    </row>
    <row r="470" customFormat="false" ht="14.65" hidden="false" customHeight="true" outlineLevel="0" collapsed="false">
      <c r="A470" s="12" t="s">
        <v>514</v>
      </c>
      <c r="B470" s="13" t="n">
        <v>38888</v>
      </c>
      <c r="C470" s="3" t="s">
        <v>24</v>
      </c>
      <c r="D470" s="4" t="s">
        <v>509</v>
      </c>
      <c r="E470" s="3" t="n">
        <v>3</v>
      </c>
      <c r="F470" s="3" t="n">
        <v>7</v>
      </c>
      <c r="G470" s="3" t="n">
        <v>45</v>
      </c>
      <c r="I470" s="3" t="n">
        <f aca="false">_xlfn.IFS(G470="взв",11,G470="накл",24,G470="прокл",25,G470="пт",26,G470=90,10,G470=85,10,G470=80,9,G470=75,8,G470=70,8,G470=65,7,G470=60,7,G470=55,6,G470=50,6,G470=45,6,G470=40,5,G470=35,4,G470=30,4,G470=25,3,G470=20,2,G470=15,1,G470=10,1,G470=0,0)</f>
        <v>6</v>
      </c>
      <c r="J470" s="3" t="n">
        <f aca="false">IF(H470&lt;=1,0,IF(H470&lt;=10,11,IF(H470&lt;=14,12,IF(H470&lt;=17,13,IF(H470&lt;=20,14,IF(H470&lt;=22,15,IF(H470&lt;=25,16,IF(H470&lt;=27,17,IF(H470&lt;=29,18,IF(H470&lt;=32,19,IF(H470&lt;=34,20,IF(H470&lt;=36,21,IF(H470&lt;=40,22,24)))))))))))))</f>
        <v>0</v>
      </c>
      <c r="K470" s="3" t="n">
        <v>60</v>
      </c>
      <c r="M470" s="3" t="n">
        <f aca="false">_xlfn.IFS(K470="взв",11,K470="накл",24,K470="прокл",25,K470="пт",26,K470=90,10,K470=85,10,K470=80,9,K470=75,8,K470=70,8,K470=65,7,K470=60,7,K470=55,6,K470=50,6,K470=45,6,K470=40,5,K470=35,4,K470=30,4,K470=25,3,K470=20,2,K470=15,1,K470=10,1,K470=0,0)</f>
        <v>7</v>
      </c>
      <c r="N470" s="3" t="n">
        <f aca="false">IF(L470&lt;=1,0,IF(L470&lt;=10,11,IF(L470&lt;=14,12,IF(L470&lt;=17,13,IF(L470&lt;=20,14,IF(L470&lt;=22,15,IF(L470&lt;=25,16,IF(L470&lt;=27,17,IF(L470&lt;=29,18,IF(L470&lt;=32,19,IF(L470&lt;=34,20,IF(L470&lt;=36,21,IF(L470&lt;=40,22,24)))))))))))))</f>
        <v>0</v>
      </c>
      <c r="O470" s="3" t="n">
        <v>45</v>
      </c>
      <c r="Q470" s="3" t="n">
        <f aca="false">_xlfn.IFS(O470="взв",11,O470="накл",24,O470="прокл",25,O470="пт",26,O470=90,10,O470=85,10,O470=80,9,O470=75,8,O470=70,8,O470=65,7,O470=60,7,O470=55,6,O470=50,6,O470=45,6,O470=40,5,O470=35,4,O470=30,4,O470=25,3,O470=20,2,O470=15,1,O470=10,1,O470=0,0)</f>
        <v>6</v>
      </c>
      <c r="R470" s="3" t="n">
        <f aca="false">IF(P470&lt;=1,0,IF(P470&lt;=10,11,IF(P470&lt;=14,12,IF(P470&lt;=17,13,IF(P470&lt;=20,14,IF(P470&lt;=22,15,IF(P470&lt;=25,16,IF(P470&lt;=27,17,IF(P470&lt;=29,18,IF(P470&lt;=32,19,IF(P470&lt;=34,20,IF(P470&lt;=36,21,IF(P470&lt;=40,22,24)))))))))))))</f>
        <v>0</v>
      </c>
      <c r="S470" s="14" t="n">
        <f aca="false">ROUND((Q470+R470+I470+J470+M470+N470)/3,0)</f>
        <v>6</v>
      </c>
      <c r="T470" s="15" t="n">
        <f aca="false">F470*LOG10(S470+2)</f>
        <v>6.3216299089436</v>
      </c>
    </row>
    <row r="471" customFormat="false" ht="14.65" hidden="false" customHeight="true" outlineLevel="0" collapsed="false">
      <c r="A471" s="12" t="s">
        <v>515</v>
      </c>
      <c r="B471" s="13" t="n">
        <v>38888</v>
      </c>
      <c r="C471" s="3" t="s">
        <v>24</v>
      </c>
      <c r="D471" s="4" t="s">
        <v>509</v>
      </c>
      <c r="E471" s="3" t="n">
        <v>4</v>
      </c>
      <c r="F471" s="3" t="n">
        <v>20</v>
      </c>
      <c r="G471" s="3" t="n">
        <v>30</v>
      </c>
      <c r="I471" s="3" t="n">
        <f aca="false">_xlfn.IFS(G471="взв",11,G471="накл",24,G471="прокл",25,G471="пт",26,G471=90,10,G471=85,10,G471=80,9,G471=75,8,G471=70,8,G471=65,7,G471=60,7,G471=55,6,G471=50,6,G471=45,6,G471=40,5,G471=35,4,G471=30,4,G471=25,3,G471=20,2,G471=15,1,G471=10,1,G471=0,0)</f>
        <v>4</v>
      </c>
      <c r="J471" s="3" t="n">
        <f aca="false">IF(H471&lt;=1,0,IF(H471&lt;=10,11,IF(H471&lt;=14,12,IF(H471&lt;=17,13,IF(H471&lt;=20,14,IF(H471&lt;=22,15,IF(H471&lt;=25,16,IF(H471&lt;=27,17,IF(H471&lt;=29,18,IF(H471&lt;=32,19,IF(H471&lt;=34,20,IF(H471&lt;=36,21,IF(H471&lt;=40,22,24)))))))))))))</f>
        <v>0</v>
      </c>
      <c r="K471" s="3" t="n">
        <v>30</v>
      </c>
      <c r="M471" s="3" t="n">
        <f aca="false">_xlfn.IFS(K471="взв",11,K471="накл",24,K471="прокл",25,K471="пт",26,K471=90,10,K471=85,10,K471=80,9,K471=75,8,K471=70,8,K471=65,7,K471=60,7,K471=55,6,K471=50,6,K471=45,6,K471=40,5,K471=35,4,K471=30,4,K471=25,3,K471=20,2,K471=15,1,K471=10,1,K471=0,0)</f>
        <v>4</v>
      </c>
      <c r="N471" s="3" t="n">
        <f aca="false">IF(L471&lt;=1,0,IF(L471&lt;=10,11,IF(L471&lt;=14,12,IF(L471&lt;=17,13,IF(L471&lt;=20,14,IF(L471&lt;=22,15,IF(L471&lt;=25,16,IF(L471&lt;=27,17,IF(L471&lt;=29,18,IF(L471&lt;=32,19,IF(L471&lt;=34,20,IF(L471&lt;=36,21,IF(L471&lt;=40,22,24)))))))))))))</f>
        <v>0</v>
      </c>
      <c r="O471" s="3" t="n">
        <v>45</v>
      </c>
      <c r="Q471" s="3" t="n">
        <f aca="false">_xlfn.IFS(O471="взв",11,O471="накл",24,O471="прокл",25,O471="пт",26,O471=90,10,O471=85,10,O471=80,9,O471=75,8,O471=70,8,O471=65,7,O471=60,7,O471=55,6,O471=50,6,O471=45,6,O471=40,5,O471=35,4,O471=30,4,O471=25,3,O471=20,2,O471=15,1,O471=10,1,O471=0,0)</f>
        <v>6</v>
      </c>
      <c r="R471" s="3" t="n">
        <f aca="false">IF(P471&lt;=1,0,IF(P471&lt;=10,11,IF(P471&lt;=14,12,IF(P471&lt;=17,13,IF(P471&lt;=20,14,IF(P471&lt;=22,15,IF(P471&lt;=25,16,IF(P471&lt;=27,17,IF(P471&lt;=29,18,IF(P471&lt;=32,19,IF(P471&lt;=34,20,IF(P471&lt;=36,21,IF(P471&lt;=40,22,24)))))))))))))</f>
        <v>0</v>
      </c>
      <c r="S471" s="14" t="n">
        <f aca="false">ROUND((Q471+R471+I471+J471+M471+N471)/3,0)</f>
        <v>5</v>
      </c>
      <c r="T471" s="15" t="n">
        <f aca="false">F471*LOG10(S471+2)</f>
        <v>16.9019608002851</v>
      </c>
    </row>
    <row r="472" customFormat="false" ht="14.65" hidden="false" customHeight="true" outlineLevel="0" collapsed="false">
      <c r="A472" s="12" t="s">
        <v>516</v>
      </c>
      <c r="B472" s="16" t="n">
        <v>38884</v>
      </c>
      <c r="C472" s="17" t="s">
        <v>228</v>
      </c>
      <c r="D472" s="18" t="s">
        <v>517</v>
      </c>
      <c r="E472" s="3" t="n">
        <v>4</v>
      </c>
      <c r="F472" s="3" t="n">
        <v>5</v>
      </c>
      <c r="G472" s="3" t="n">
        <v>75</v>
      </c>
      <c r="I472" s="3" t="n">
        <f aca="false">_xlfn.IFS(G472="взв",11,G472="накл",24,G472="прокл",25,G472="пт",26,G472=90,10,G472=85,10,G472=80,9,G472=75,8,G472=70,8,G472=65,7,G472=60,7,G472=55,6,G472=50,6,G472=45,6,G472=40,5,G472=35,4,G472=30,4,G472=25,3,G472=20,2,G472=15,1,G472=10,1,G472=0,0)</f>
        <v>8</v>
      </c>
      <c r="J472" s="3" t="n">
        <f aca="false">IF(H472&lt;=1,0,IF(H472&lt;=10,11,IF(H472&lt;=14,12,IF(H472&lt;=17,13,IF(H472&lt;=20,14,IF(H472&lt;=22,15,IF(H472&lt;=25,16,IF(H472&lt;=27,17,IF(H472&lt;=29,18,IF(H472&lt;=32,19,IF(H472&lt;=34,20,IF(H472&lt;=36,21,IF(H472&lt;=40,22,24)))))))))))))</f>
        <v>0</v>
      </c>
      <c r="K472" s="3" t="n">
        <v>60</v>
      </c>
      <c r="M472" s="3" t="n">
        <f aca="false">_xlfn.IFS(K472="взв",11,K472="накл",24,K472="прокл",25,K472="пт",26,K472=90,10,K472=85,10,K472=80,9,K472=75,8,K472=70,8,K472=65,7,K472=60,7,K472=55,6,K472=50,6,K472=45,6,K472=40,5,K472=35,4,K472=30,4,K472=25,3,K472=20,2,K472=15,1,K472=10,1,K472=0,0)</f>
        <v>7</v>
      </c>
      <c r="N472" s="3" t="n">
        <f aca="false">IF(L472&lt;=1,0,IF(L472&lt;=10,11,IF(L472&lt;=14,12,IF(L472&lt;=17,13,IF(L472&lt;=20,14,IF(L472&lt;=22,15,IF(L472&lt;=25,16,IF(L472&lt;=27,17,IF(L472&lt;=29,18,IF(L472&lt;=32,19,IF(L472&lt;=34,20,IF(L472&lt;=36,21,IF(L472&lt;=40,22,24)))))))))))))</f>
        <v>0</v>
      </c>
      <c r="O472" s="3" t="n">
        <v>60</v>
      </c>
      <c r="Q472" s="3" t="n">
        <f aca="false">_xlfn.IFS(O472="взв",11,O472="накл",24,O472="прокл",25,O472="пт",26,O472=90,10,O472=85,10,O472=80,9,O472=75,8,O472=70,8,O472=65,7,O472=60,7,O472=55,6,O472=50,6,O472=45,6,O472=40,5,O472=35,4,O472=30,4,O472=25,3,O472=20,2,O472=15,1,O472=10,1,O472=0,0)</f>
        <v>7</v>
      </c>
      <c r="R472" s="3" t="n">
        <f aca="false">IF(P472&lt;=1,0,IF(P472&lt;=10,11,IF(P472&lt;=14,12,IF(P472&lt;=17,13,IF(P472&lt;=20,14,IF(P472&lt;=22,15,IF(P472&lt;=25,16,IF(P472&lt;=27,17,IF(P472&lt;=29,18,IF(P472&lt;=32,19,IF(P472&lt;=34,20,IF(P472&lt;=36,21,IF(P472&lt;=40,22,24)))))))))))))</f>
        <v>0</v>
      </c>
      <c r="S472" s="14" t="n">
        <f aca="false">ROUND((Q472+R472+I472+J472+M472+N472)/3,0)</f>
        <v>7</v>
      </c>
      <c r="T472" s="15" t="n">
        <f aca="false">F472*LOG10(S472+2)</f>
        <v>4.77121254719662</v>
      </c>
    </row>
    <row r="473" customFormat="false" ht="14.65" hidden="false" customHeight="true" outlineLevel="0" collapsed="false">
      <c r="A473" s="12" t="s">
        <v>518</v>
      </c>
      <c r="B473" s="13" t="n">
        <v>38896</v>
      </c>
      <c r="C473" s="3" t="s">
        <v>21</v>
      </c>
      <c r="D473" s="4" t="s">
        <v>519</v>
      </c>
      <c r="E473" s="3" t="n">
        <v>6</v>
      </c>
      <c r="F473" s="3" t="n">
        <v>1</v>
      </c>
      <c r="H473" s="3" t="n">
        <v>36</v>
      </c>
      <c r="I473" s="3" t="n">
        <f aca="false">_xlfn.IFS(G473="взв",11,G473="накл",24,G473="прокл",25,G473="пт",26,G473=90,10,G473=85,10,G473=80,9,G473=75,8,G473=70,8,G473=65,7,G473=60,7,G473=55,6,G473=50,6,G473=45,6,G473=40,5,G473=35,4,G473=30,4,G473=25,3,G473=20,2,G473=15,1,G473=10,1,G473=0,0)</f>
        <v>0</v>
      </c>
      <c r="J473" s="3" t="n">
        <f aca="false">IF(H473&lt;=1,0,IF(H473&lt;=10,11,IF(H473&lt;=14,12,IF(H473&lt;=17,13,IF(H473&lt;=20,14,IF(H473&lt;=22,15,IF(H473&lt;=25,16,IF(H473&lt;=27,17,IF(H473&lt;=29,18,IF(H473&lt;=32,19,IF(H473&lt;=34,20,IF(H473&lt;=36,21,IF(H473&lt;=40,22,24)))))))))))))</f>
        <v>21</v>
      </c>
      <c r="L473" s="3" t="n">
        <v>41</v>
      </c>
      <c r="M473" s="3" t="n">
        <f aca="false">_xlfn.IFS(K473="взв",11,K473="накл",24,K473="прокл",25,K473="пт",26,K473=90,10,K473=85,10,K473=80,9,K473=75,8,K473=70,8,K473=65,7,K473=60,7,K473=55,6,K473=50,6,K473=45,6,K473=40,5,K473=35,4,K473=30,4,K473=25,3,K473=20,2,K473=15,1,K473=10,1,K473=0,0)</f>
        <v>0</v>
      </c>
      <c r="N473" s="3" t="n">
        <f aca="false">IF(L473&lt;=1,0,IF(L473&lt;=10,11,IF(L473&lt;=14,12,IF(L473&lt;=17,13,IF(L473&lt;=20,14,IF(L473&lt;=22,15,IF(L473&lt;=25,16,IF(L473&lt;=27,17,IF(L473&lt;=29,18,IF(L473&lt;=32,19,IF(L473&lt;=34,20,IF(L473&lt;=36,21,IF(L473&lt;=40,22,24)))))))))))))</f>
        <v>24</v>
      </c>
      <c r="P473" s="3" t="n">
        <v>35</v>
      </c>
      <c r="Q473" s="3" t="n">
        <f aca="false">_xlfn.IFS(O473="взв",11,O473="накл",24,O473="прокл",25,O473="пт",26,O473=90,10,O473=85,10,O473=80,9,O473=75,8,O473=70,8,O473=65,7,O473=60,7,O473=55,6,O473=50,6,O473=45,6,O473=40,5,O473=35,4,O473=30,4,O473=25,3,O473=20,2,O473=15,1,O473=10,1,O473=0,0)</f>
        <v>0</v>
      </c>
      <c r="R473" s="3" t="n">
        <f aca="false">IF(P473&lt;=1,0,IF(P473&lt;=10,11,IF(P473&lt;=14,12,IF(P473&lt;=17,13,IF(P473&lt;=20,14,IF(P473&lt;=22,15,IF(P473&lt;=25,16,IF(P473&lt;=27,17,IF(P473&lt;=29,18,IF(P473&lt;=32,19,IF(P473&lt;=34,20,IF(P473&lt;=36,21,IF(P473&lt;=40,22,24)))))))))))))</f>
        <v>21</v>
      </c>
      <c r="S473" s="14" t="n">
        <f aca="false">ROUND((Q473+R473+I473+J473+M473+N473)/3,0)</f>
        <v>22</v>
      </c>
      <c r="T473" s="15" t="n">
        <f aca="false">F473*LOG10(S473+2)</f>
        <v>1.38021124171161</v>
      </c>
    </row>
    <row r="474" customFormat="false" ht="14.65" hidden="false" customHeight="true" outlineLevel="0" collapsed="false">
      <c r="A474" s="12" t="s">
        <v>520</v>
      </c>
      <c r="B474" s="13" t="n">
        <v>38896</v>
      </c>
      <c r="C474" s="3" t="s">
        <v>21</v>
      </c>
      <c r="D474" s="4" t="s">
        <v>519</v>
      </c>
      <c r="E474" s="3" t="n">
        <v>5</v>
      </c>
      <c r="F474" s="3" t="n">
        <v>2</v>
      </c>
      <c r="G474" s="3" t="s">
        <v>38</v>
      </c>
      <c r="I474" s="3" t="n">
        <f aca="false">_xlfn.IFS(G474="взв",11,G474="накл",24,G474="прокл",25,G474="пт",26,G474=90,10,G474=85,10,G474=80,9,G474=75,8,G474=70,8,G474=65,7,G474=60,7,G474=55,6,G474=50,6,G474=45,6,G474=40,5,G474=35,4,G474=30,4,G474=25,3,G474=20,2,G474=15,1,G474=10,1,G474=0,0)</f>
        <v>26</v>
      </c>
      <c r="J474" s="3" t="n">
        <f aca="false">IF(H474&lt;=1,0,IF(H474&lt;=10,11,IF(H474&lt;=14,12,IF(H474&lt;=17,13,IF(H474&lt;=20,14,IF(H474&lt;=22,15,IF(H474&lt;=25,16,IF(H474&lt;=27,17,IF(H474&lt;=29,18,IF(H474&lt;=32,19,IF(H474&lt;=34,20,IF(H474&lt;=36,21,IF(H474&lt;=40,22,24)))))))))))))</f>
        <v>0</v>
      </c>
      <c r="M474" s="3" t="n">
        <f aca="false">_xlfn.IFS(K474="взв",11,K474="накл",24,K474="прокл",25,K474="пт",26,K474=90,10,K474=85,10,K474=80,9,K474=75,8,K474=70,8,K474=65,7,K474=60,7,K474=55,6,K474=50,6,K474=45,6,K474=40,5,K474=35,4,K474=30,4,K474=25,3,K474=20,2,K474=15,1,K474=10,1,K474=0,0)</f>
        <v>0</v>
      </c>
      <c r="N474" s="3" t="n">
        <f aca="false">IF(L474&lt;=1,0,IF(L474&lt;=10,11,IF(L474&lt;=14,12,IF(L474&lt;=17,13,IF(L474&lt;=20,14,IF(L474&lt;=22,15,IF(L474&lt;=25,16,IF(L474&lt;=27,17,IF(L474&lt;=29,18,IF(L474&lt;=32,19,IF(L474&lt;=34,20,IF(L474&lt;=36,21,IF(L474&lt;=40,22,24)))))))))))))</f>
        <v>0</v>
      </c>
      <c r="Q474" s="3" t="n">
        <f aca="false">_xlfn.IFS(O474="взв",11,O474="накл",24,O474="прокл",25,O474="пт",26,O474=90,10,O474=85,10,O474=80,9,O474=75,8,O474=70,8,O474=65,7,O474=60,7,O474=55,6,O474=50,6,O474=45,6,O474=40,5,O474=35,4,O474=30,4,O474=25,3,O474=20,2,O474=15,1,O474=10,1,O474=0,0)</f>
        <v>0</v>
      </c>
      <c r="R474" s="3" t="n">
        <f aca="false">IF(P474&lt;=1,0,IF(P474&lt;=10,11,IF(P474&lt;=14,12,IF(P474&lt;=17,13,IF(P474&lt;=20,14,IF(P474&lt;=22,15,IF(P474&lt;=25,16,IF(P474&lt;=27,17,IF(P474&lt;=29,18,IF(P474&lt;=32,19,IF(P474&lt;=34,20,IF(P474&lt;=36,21,IF(P474&lt;=40,22,24)))))))))))))</f>
        <v>0</v>
      </c>
      <c r="S474" s="14" t="n">
        <v>26</v>
      </c>
      <c r="T474" s="15" t="n">
        <f aca="false">F474*LOG10(S474+2)</f>
        <v>2.89431606268444</v>
      </c>
    </row>
    <row r="475" customFormat="false" ht="14.65" hidden="false" customHeight="true" outlineLevel="0" collapsed="false">
      <c r="A475" s="12" t="s">
        <v>521</v>
      </c>
      <c r="B475" s="13" t="n">
        <v>38896</v>
      </c>
      <c r="C475" s="3" t="s">
        <v>21</v>
      </c>
      <c r="D475" s="4" t="s">
        <v>519</v>
      </c>
      <c r="E475" s="3" t="n">
        <v>4</v>
      </c>
      <c r="F475" s="3" t="n">
        <v>2</v>
      </c>
      <c r="G475" s="3" t="n">
        <v>75</v>
      </c>
      <c r="I475" s="3" t="n">
        <f aca="false">_xlfn.IFS(G475="взв",11,G475="накл",24,G475="прокл",25,G475="пт",26,G475=90,10,G475=85,10,G475=80,9,G475=75,8,G475=70,8,G475=65,7,G475=60,7,G475=55,6,G475=50,6,G475=45,6,G475=40,5,G475=35,4,G475=30,4,G475=25,3,G475=20,2,G475=15,1,G475=10,1,G475=0,0)</f>
        <v>8</v>
      </c>
      <c r="J475" s="3" t="n">
        <f aca="false">IF(H475&lt;=1,0,IF(H475&lt;=10,11,IF(H475&lt;=14,12,IF(H475&lt;=17,13,IF(H475&lt;=20,14,IF(H475&lt;=22,15,IF(H475&lt;=25,16,IF(H475&lt;=27,17,IF(H475&lt;=29,18,IF(H475&lt;=32,19,IF(H475&lt;=34,20,IF(H475&lt;=36,21,IF(H475&lt;=40,22,24)))))))))))))</f>
        <v>0</v>
      </c>
      <c r="K475" s="3" t="n">
        <v>60</v>
      </c>
      <c r="M475" s="3" t="n">
        <f aca="false">_xlfn.IFS(K475="взв",11,K475="накл",24,K475="прокл",25,K475="пт",26,K475=90,10,K475=85,10,K475=80,9,K475=75,8,K475=70,8,K475=65,7,K475=60,7,K475=55,6,K475=50,6,K475=45,6,K475=40,5,K475=35,4,K475=30,4,K475=25,3,K475=20,2,K475=15,1,K475=10,1,K475=0,0)</f>
        <v>7</v>
      </c>
      <c r="N475" s="3" t="n">
        <f aca="false">IF(L475&lt;=1,0,IF(L475&lt;=10,11,IF(L475&lt;=14,12,IF(L475&lt;=17,13,IF(L475&lt;=20,14,IF(L475&lt;=22,15,IF(L475&lt;=25,16,IF(L475&lt;=27,17,IF(L475&lt;=29,18,IF(L475&lt;=32,19,IF(L475&lt;=34,20,IF(L475&lt;=36,21,IF(L475&lt;=40,22,24)))))))))))))</f>
        <v>0</v>
      </c>
      <c r="O475" s="3" t="n">
        <v>45</v>
      </c>
      <c r="Q475" s="3" t="n">
        <f aca="false">_xlfn.IFS(O475="взв",11,O475="накл",24,O475="прокл",25,O475="пт",26,O475=90,10,O475=85,10,O475=80,9,O475=75,8,O475=70,8,O475=65,7,O475=60,7,O475=55,6,O475=50,6,O475=45,6,O475=40,5,O475=35,4,O475=30,4,O475=25,3,O475=20,2,O475=15,1,O475=10,1,O475=0,0)</f>
        <v>6</v>
      </c>
      <c r="R475" s="3" t="n">
        <f aca="false">IF(P475&lt;=1,0,IF(P475&lt;=10,11,IF(P475&lt;=14,12,IF(P475&lt;=17,13,IF(P475&lt;=20,14,IF(P475&lt;=22,15,IF(P475&lt;=25,16,IF(P475&lt;=27,17,IF(P475&lt;=29,18,IF(P475&lt;=32,19,IF(P475&lt;=34,20,IF(P475&lt;=36,21,IF(P475&lt;=40,22,24)))))))))))))</f>
        <v>0</v>
      </c>
      <c r="S475" s="14" t="n">
        <f aca="false">ROUND((Q475+R475+I475+J475+M475+N475)/3,0)</f>
        <v>7</v>
      </c>
      <c r="T475" s="15" t="n">
        <f aca="false">F475*LOG10(S475+2)</f>
        <v>1.90848501887865</v>
      </c>
    </row>
    <row r="476" customFormat="false" ht="14.65" hidden="false" customHeight="true" outlineLevel="0" collapsed="false">
      <c r="A476" s="12" t="s">
        <v>522</v>
      </c>
      <c r="B476" s="13" t="n">
        <v>38896</v>
      </c>
      <c r="C476" s="3" t="s">
        <v>21</v>
      </c>
      <c r="D476" s="4" t="s">
        <v>519</v>
      </c>
      <c r="E476" s="3" t="n">
        <v>4</v>
      </c>
      <c r="F476" s="3" t="n">
        <v>3</v>
      </c>
      <c r="G476" s="3" t="n">
        <v>30</v>
      </c>
      <c r="I476" s="3" t="n">
        <f aca="false">_xlfn.IFS(G476="взв",11,G476="накл",24,G476="прокл",25,G476="пт",26,G476=90,10,G476=85,10,G476=80,9,G476=75,8,G476=70,8,G476=65,7,G476=60,7,G476=55,6,G476=50,6,G476=45,6,G476=40,5,G476=35,4,G476=30,4,G476=25,3,G476=20,2,G476=15,1,G476=10,1,G476=0,0)</f>
        <v>4</v>
      </c>
      <c r="J476" s="3" t="n">
        <f aca="false">IF(H476&lt;=1,0,IF(H476&lt;=10,11,IF(H476&lt;=14,12,IF(H476&lt;=17,13,IF(H476&lt;=20,14,IF(H476&lt;=22,15,IF(H476&lt;=25,16,IF(H476&lt;=27,17,IF(H476&lt;=29,18,IF(H476&lt;=32,19,IF(H476&lt;=34,20,IF(H476&lt;=36,21,IF(H476&lt;=40,22,24)))))))))))))</f>
        <v>0</v>
      </c>
      <c r="K476" s="3" t="n">
        <v>15</v>
      </c>
      <c r="M476" s="3" t="n">
        <f aca="false">_xlfn.IFS(K476="взв",11,K476="накл",24,K476="прокл",25,K476="пт",26,K476=90,10,K476=85,10,K476=80,9,K476=75,8,K476=70,8,K476=65,7,K476=60,7,K476=55,6,K476=50,6,K476=45,6,K476=40,5,K476=35,4,K476=30,4,K476=25,3,K476=20,2,K476=15,1,K476=10,1,K476=0,0)</f>
        <v>1</v>
      </c>
      <c r="N476" s="3" t="n">
        <f aca="false">IF(L476&lt;=1,0,IF(L476&lt;=10,11,IF(L476&lt;=14,12,IF(L476&lt;=17,13,IF(L476&lt;=20,14,IF(L476&lt;=22,15,IF(L476&lt;=25,16,IF(L476&lt;=27,17,IF(L476&lt;=29,18,IF(L476&lt;=32,19,IF(L476&lt;=34,20,IF(L476&lt;=36,21,IF(L476&lt;=40,22,24)))))))))))))</f>
        <v>0</v>
      </c>
      <c r="O476" s="3" t="n">
        <v>30</v>
      </c>
      <c r="Q476" s="3" t="n">
        <f aca="false">_xlfn.IFS(O476="взв",11,O476="накл",24,O476="прокл",25,O476="пт",26,O476=90,10,O476=85,10,O476=80,9,O476=75,8,O476=70,8,O476=65,7,O476=60,7,O476=55,6,O476=50,6,O476=45,6,O476=40,5,O476=35,4,O476=30,4,O476=25,3,O476=20,2,O476=15,1,O476=10,1,O476=0,0)</f>
        <v>4</v>
      </c>
      <c r="R476" s="3" t="n">
        <f aca="false">IF(P476&lt;=1,0,IF(P476&lt;=10,11,IF(P476&lt;=14,12,IF(P476&lt;=17,13,IF(P476&lt;=20,14,IF(P476&lt;=22,15,IF(P476&lt;=25,16,IF(P476&lt;=27,17,IF(P476&lt;=29,18,IF(P476&lt;=32,19,IF(P476&lt;=34,20,IF(P476&lt;=36,21,IF(P476&lt;=40,22,24)))))))))))))</f>
        <v>0</v>
      </c>
      <c r="S476" s="14" t="n">
        <f aca="false">ROUND((Q476+R476+I476+J476+M476+N476)/3,0)</f>
        <v>3</v>
      </c>
      <c r="T476" s="15" t="n">
        <f aca="false">F476*LOG10(S476+2)</f>
        <v>2.09691001300806</v>
      </c>
    </row>
    <row r="477" customFormat="false" ht="14.65" hidden="false" customHeight="true" outlineLevel="0" collapsed="false">
      <c r="A477" s="12" t="s">
        <v>523</v>
      </c>
      <c r="B477" s="13" t="n">
        <v>38879</v>
      </c>
      <c r="C477" s="3" t="s">
        <v>21</v>
      </c>
      <c r="D477" s="4" t="s">
        <v>524</v>
      </c>
      <c r="E477" s="3" t="n">
        <v>6</v>
      </c>
      <c r="F477" s="3" t="n">
        <v>1</v>
      </c>
      <c r="G477" s="3" t="n">
        <v>45</v>
      </c>
      <c r="I477" s="3" t="n">
        <f aca="false">_xlfn.IFS(G477="взв",11,G477="накл",24,G477="прокл",25,G477="пт",26,G477=90,10,G477=85,10,G477=80,9,G477=75,8,G477=70,8,G477=65,7,G477=60,7,G477=55,6,G477=50,6,G477=45,6,G477=40,5,G477=35,4,G477=30,4,G477=25,3,G477=20,2,G477=15,1,G477=10,1,G477=0,0)</f>
        <v>6</v>
      </c>
      <c r="J477" s="3" t="n">
        <f aca="false">IF(H477&lt;=1,0,IF(H477&lt;=10,11,IF(H477&lt;=14,12,IF(H477&lt;=17,13,IF(H477&lt;=20,14,IF(H477&lt;=22,15,IF(H477&lt;=25,16,IF(H477&lt;=27,17,IF(H477&lt;=29,18,IF(H477&lt;=32,19,IF(H477&lt;=34,20,IF(H477&lt;=36,21,IF(H477&lt;=40,22,24)))))))))))))</f>
        <v>0</v>
      </c>
      <c r="K477" s="3" t="n">
        <v>60</v>
      </c>
      <c r="M477" s="3" t="n">
        <f aca="false">_xlfn.IFS(K477="взв",11,K477="накл",24,K477="прокл",25,K477="пт",26,K477=90,10,K477=85,10,K477=80,9,K477=75,8,K477=70,8,K477=65,7,K477=60,7,K477=55,6,K477=50,6,K477=45,6,K477=40,5,K477=35,4,K477=30,4,K477=25,3,K477=20,2,K477=15,1,K477=10,1,K477=0,0)</f>
        <v>7</v>
      </c>
      <c r="N477" s="3" t="n">
        <f aca="false">IF(L477&lt;=1,0,IF(L477&lt;=10,11,IF(L477&lt;=14,12,IF(L477&lt;=17,13,IF(L477&lt;=20,14,IF(L477&lt;=22,15,IF(L477&lt;=25,16,IF(L477&lt;=27,17,IF(L477&lt;=29,18,IF(L477&lt;=32,19,IF(L477&lt;=34,20,IF(L477&lt;=36,21,IF(L477&lt;=40,22,24)))))))))))))</f>
        <v>0</v>
      </c>
      <c r="O477" s="3" t="n">
        <v>45</v>
      </c>
      <c r="Q477" s="3" t="n">
        <f aca="false">_xlfn.IFS(O477="взв",11,O477="накл",24,O477="прокл",25,O477="пт",26,O477=90,10,O477=85,10,O477=80,9,O477=75,8,O477=70,8,O477=65,7,O477=60,7,O477=55,6,O477=50,6,O477=45,6,O477=40,5,O477=35,4,O477=30,4,O477=25,3,O477=20,2,O477=15,1,O477=10,1,O477=0,0)</f>
        <v>6</v>
      </c>
      <c r="R477" s="3" t="n">
        <f aca="false">IF(P477&lt;=1,0,IF(P477&lt;=10,11,IF(P477&lt;=14,12,IF(P477&lt;=17,13,IF(P477&lt;=20,14,IF(P477&lt;=22,15,IF(P477&lt;=25,16,IF(P477&lt;=27,17,IF(P477&lt;=29,18,IF(P477&lt;=32,19,IF(P477&lt;=34,20,IF(P477&lt;=36,21,IF(P477&lt;=40,22,24)))))))))))))</f>
        <v>0</v>
      </c>
      <c r="S477" s="14" t="n">
        <f aca="false">ROUND((Q477+R477+I477+J477+M477+N477)/3,0)</f>
        <v>6</v>
      </c>
      <c r="T477" s="15" t="n">
        <f aca="false">F477*LOG10(S477+2)</f>
        <v>0.903089986991944</v>
      </c>
    </row>
    <row r="478" customFormat="false" ht="14.65" hidden="false" customHeight="true" outlineLevel="0" collapsed="false">
      <c r="A478" s="12" t="s">
        <v>525</v>
      </c>
      <c r="B478" s="13" t="n">
        <v>38879</v>
      </c>
      <c r="C478" s="3" t="s">
        <v>21</v>
      </c>
      <c r="D478" s="4" t="s">
        <v>524</v>
      </c>
      <c r="E478" s="3" t="n">
        <v>6</v>
      </c>
      <c r="F478" s="3" t="n">
        <v>2</v>
      </c>
      <c r="H478" s="3" t="n">
        <v>33</v>
      </c>
      <c r="I478" s="3" t="n">
        <f aca="false">_xlfn.IFS(G478="взв",11,G478="накл",24,G478="прокл",25,G478="пт",26,G478=90,10,G478=85,10,G478=80,9,G478=75,8,G478=70,8,G478=65,7,G478=60,7,G478=55,6,G478=50,6,G478=45,6,G478=40,5,G478=35,4,G478=30,4,G478=25,3,G478=20,2,G478=15,1,G478=10,1,G478=0,0)</f>
        <v>0</v>
      </c>
      <c r="J478" s="3" t="n">
        <f aca="false">IF(H478&lt;=1,0,IF(H478&lt;=10,11,IF(H478&lt;=14,12,IF(H478&lt;=17,13,IF(H478&lt;=20,14,IF(H478&lt;=22,15,IF(H478&lt;=25,16,IF(H478&lt;=27,17,IF(H478&lt;=29,18,IF(H478&lt;=32,19,IF(H478&lt;=34,20,IF(H478&lt;=36,21,IF(H478&lt;=40,22,24)))))))))))))</f>
        <v>20</v>
      </c>
      <c r="L478" s="3" t="n">
        <v>32</v>
      </c>
      <c r="M478" s="3" t="n">
        <f aca="false">_xlfn.IFS(K478="взв",11,K478="накл",24,K478="прокл",25,K478="пт",26,K478=90,10,K478=85,10,K478=80,9,K478=75,8,K478=70,8,K478=65,7,K478=60,7,K478=55,6,K478=50,6,K478=45,6,K478=40,5,K478=35,4,K478=30,4,K478=25,3,K478=20,2,K478=15,1,K478=10,1,K478=0,0)</f>
        <v>0</v>
      </c>
      <c r="N478" s="3" t="n">
        <f aca="false">IF(L478&lt;=1,0,IF(L478&lt;=10,11,IF(L478&lt;=14,12,IF(L478&lt;=17,13,IF(L478&lt;=20,14,IF(L478&lt;=22,15,IF(L478&lt;=25,16,IF(L478&lt;=27,17,IF(L478&lt;=29,18,IF(L478&lt;=32,19,IF(L478&lt;=34,20,IF(L478&lt;=36,21,IF(L478&lt;=40,22,24)))))))))))))</f>
        <v>19</v>
      </c>
      <c r="P478" s="3" t="n">
        <v>34</v>
      </c>
      <c r="Q478" s="3" t="n">
        <f aca="false">_xlfn.IFS(O478="взв",11,O478="накл",24,O478="прокл",25,O478="пт",26,O478=90,10,O478=85,10,O478=80,9,O478=75,8,O478=70,8,O478=65,7,O478=60,7,O478=55,6,O478=50,6,O478=45,6,O478=40,5,O478=35,4,O478=30,4,O478=25,3,O478=20,2,O478=15,1,O478=10,1,O478=0,0)</f>
        <v>0</v>
      </c>
      <c r="R478" s="3" t="n">
        <f aca="false">IF(P478&lt;=1,0,IF(P478&lt;=10,11,IF(P478&lt;=14,12,IF(P478&lt;=17,13,IF(P478&lt;=20,14,IF(P478&lt;=22,15,IF(P478&lt;=25,16,IF(P478&lt;=27,17,IF(P478&lt;=29,18,IF(P478&lt;=32,19,IF(P478&lt;=34,20,IF(P478&lt;=36,21,IF(P478&lt;=40,22,24)))))))))))))</f>
        <v>20</v>
      </c>
      <c r="S478" s="14" t="n">
        <f aca="false">ROUND((Q478+R478+I478+J478+M478+N478)/3,0)</f>
        <v>20</v>
      </c>
      <c r="T478" s="15" t="n">
        <f aca="false">F478*LOG10(S478+2)</f>
        <v>2.68484536164441</v>
      </c>
    </row>
    <row r="479" customFormat="false" ht="14.65" hidden="false" customHeight="true" outlineLevel="0" collapsed="false">
      <c r="A479" s="12" t="s">
        <v>526</v>
      </c>
      <c r="B479" s="13" t="n">
        <v>38879</v>
      </c>
      <c r="C479" s="3" t="s">
        <v>21</v>
      </c>
      <c r="D479" s="4" t="s">
        <v>524</v>
      </c>
      <c r="E479" s="3" t="n">
        <v>5</v>
      </c>
      <c r="F479" s="3" t="n">
        <v>2</v>
      </c>
      <c r="G479" s="3" t="n">
        <v>75</v>
      </c>
      <c r="I479" s="3" t="n">
        <f aca="false">_xlfn.IFS(G479="взв",11,G479="накл",24,G479="прокл",25,G479="пт",26,G479=90,10,G479=85,10,G479=80,9,G479=75,8,G479=70,8,G479=65,7,G479=60,7,G479=55,6,G479=50,6,G479=45,6,G479=40,5,G479=35,4,G479=30,4,G479=25,3,G479=20,2,G479=15,1,G479=10,1,G479=0,0)</f>
        <v>8</v>
      </c>
      <c r="J479" s="3" t="n">
        <f aca="false">IF(H479&lt;=1,0,IF(H479&lt;=10,11,IF(H479&lt;=14,12,IF(H479&lt;=17,13,IF(H479&lt;=20,14,IF(H479&lt;=22,15,IF(H479&lt;=25,16,IF(H479&lt;=27,17,IF(H479&lt;=29,18,IF(H479&lt;=32,19,IF(H479&lt;=34,20,IF(H479&lt;=36,21,IF(H479&lt;=40,22,24)))))))))))))</f>
        <v>0</v>
      </c>
      <c r="K479" s="3" t="n">
        <v>60</v>
      </c>
      <c r="M479" s="3" t="n">
        <f aca="false">_xlfn.IFS(K479="взв",11,K479="накл",24,K479="прокл",25,K479="пт",26,K479=90,10,K479=85,10,K479=80,9,K479=75,8,K479=70,8,K479=65,7,K479=60,7,K479=55,6,K479=50,6,K479=45,6,K479=40,5,K479=35,4,K479=30,4,K479=25,3,K479=20,2,K479=15,1,K479=10,1,K479=0,0)</f>
        <v>7</v>
      </c>
      <c r="N479" s="3" t="n">
        <f aca="false">IF(L479&lt;=1,0,IF(L479&lt;=10,11,IF(L479&lt;=14,12,IF(L479&lt;=17,13,IF(L479&lt;=20,14,IF(L479&lt;=22,15,IF(L479&lt;=25,16,IF(L479&lt;=27,17,IF(L479&lt;=29,18,IF(L479&lt;=32,19,IF(L479&lt;=34,20,IF(L479&lt;=36,21,IF(L479&lt;=40,22,24)))))))))))))</f>
        <v>0</v>
      </c>
      <c r="O479" s="3" t="n">
        <v>60</v>
      </c>
      <c r="Q479" s="3" t="n">
        <f aca="false">_xlfn.IFS(O479="взв",11,O479="накл",24,O479="прокл",25,O479="пт",26,O479=90,10,O479=85,10,O479=80,9,O479=75,8,O479=70,8,O479=65,7,O479=60,7,O479=55,6,O479=50,6,O479=45,6,O479=40,5,O479=35,4,O479=30,4,O479=25,3,O479=20,2,O479=15,1,O479=10,1,O479=0,0)</f>
        <v>7</v>
      </c>
      <c r="R479" s="3" t="n">
        <f aca="false">IF(P479&lt;=1,0,IF(P479&lt;=10,11,IF(P479&lt;=14,12,IF(P479&lt;=17,13,IF(P479&lt;=20,14,IF(P479&lt;=22,15,IF(P479&lt;=25,16,IF(P479&lt;=27,17,IF(P479&lt;=29,18,IF(P479&lt;=32,19,IF(P479&lt;=34,20,IF(P479&lt;=36,21,IF(P479&lt;=40,22,24)))))))))))))</f>
        <v>0</v>
      </c>
      <c r="S479" s="14" t="n">
        <f aca="false">ROUND((Q479+R479+I479+J479+M479+N479)/3,0)</f>
        <v>7</v>
      </c>
      <c r="T479" s="15" t="n">
        <f aca="false">F479*LOG10(S479+2)</f>
        <v>1.90848501887865</v>
      </c>
    </row>
    <row r="480" customFormat="false" ht="14.65" hidden="false" customHeight="true" outlineLevel="0" collapsed="false">
      <c r="A480" s="12" t="s">
        <v>527</v>
      </c>
      <c r="B480" s="13" t="n">
        <v>38879</v>
      </c>
      <c r="C480" s="3" t="s">
        <v>21</v>
      </c>
      <c r="D480" s="4" t="s">
        <v>524</v>
      </c>
      <c r="E480" s="3" t="n">
        <v>4</v>
      </c>
      <c r="F480" s="3" t="n">
        <v>2</v>
      </c>
      <c r="G480" s="3" t="n">
        <v>75</v>
      </c>
      <c r="I480" s="3" t="n">
        <f aca="false">_xlfn.IFS(G480="взв",11,G480="накл",24,G480="прокл",25,G480="пт",26,G480=90,10,G480=85,10,G480=80,9,G480=75,8,G480=70,8,G480=65,7,G480=60,7,G480=55,6,G480=50,6,G480=45,6,G480=40,5,G480=35,4,G480=30,4,G480=25,3,G480=20,2,G480=15,1,G480=10,1,G480=0,0)</f>
        <v>8</v>
      </c>
      <c r="J480" s="3" t="n">
        <f aca="false">IF(H480&lt;=1,0,IF(H480&lt;=10,11,IF(H480&lt;=14,12,IF(H480&lt;=17,13,IF(H480&lt;=20,14,IF(H480&lt;=22,15,IF(H480&lt;=25,16,IF(H480&lt;=27,17,IF(H480&lt;=29,18,IF(H480&lt;=32,19,IF(H480&lt;=34,20,IF(H480&lt;=36,21,IF(H480&lt;=40,22,24)))))))))))))</f>
        <v>0</v>
      </c>
      <c r="K480" s="3" t="n">
        <v>75</v>
      </c>
      <c r="M480" s="3" t="n">
        <f aca="false">_xlfn.IFS(K480="взв",11,K480="накл",24,K480="прокл",25,K480="пт",26,K480=90,10,K480=85,10,K480=80,9,K480=75,8,K480=70,8,K480=65,7,K480=60,7,K480=55,6,K480=50,6,K480=45,6,K480=40,5,K480=35,4,K480=30,4,K480=25,3,K480=20,2,K480=15,1,K480=10,1,K480=0,0)</f>
        <v>8</v>
      </c>
      <c r="N480" s="3" t="n">
        <f aca="false">IF(L480&lt;=1,0,IF(L480&lt;=10,11,IF(L480&lt;=14,12,IF(L480&lt;=17,13,IF(L480&lt;=20,14,IF(L480&lt;=22,15,IF(L480&lt;=25,16,IF(L480&lt;=27,17,IF(L480&lt;=29,18,IF(L480&lt;=32,19,IF(L480&lt;=34,20,IF(L480&lt;=36,21,IF(L480&lt;=40,22,24)))))))))))))</f>
        <v>0</v>
      </c>
      <c r="O480" s="3" t="n">
        <v>60</v>
      </c>
      <c r="Q480" s="3" t="n">
        <f aca="false">_xlfn.IFS(O480="взв",11,O480="накл",24,O480="прокл",25,O480="пт",26,O480=90,10,O480=85,10,O480=80,9,O480=75,8,O480=70,8,O480=65,7,O480=60,7,O480=55,6,O480=50,6,O480=45,6,O480=40,5,O480=35,4,O480=30,4,O480=25,3,O480=20,2,O480=15,1,O480=10,1,O480=0,0)</f>
        <v>7</v>
      </c>
      <c r="R480" s="3" t="n">
        <f aca="false">IF(P480&lt;=1,0,IF(P480&lt;=10,11,IF(P480&lt;=14,12,IF(P480&lt;=17,13,IF(P480&lt;=20,14,IF(P480&lt;=22,15,IF(P480&lt;=25,16,IF(P480&lt;=27,17,IF(P480&lt;=29,18,IF(P480&lt;=32,19,IF(P480&lt;=34,20,IF(P480&lt;=36,21,IF(P480&lt;=40,22,24)))))))))))))</f>
        <v>0</v>
      </c>
      <c r="S480" s="14" t="n">
        <f aca="false">ROUND((Q480+R480+I480+J480+M480+N480)/3,0)</f>
        <v>8</v>
      </c>
      <c r="T480" s="15" t="n">
        <f aca="false">F480*LOG10(S480+2)</f>
        <v>2</v>
      </c>
    </row>
    <row r="481" customFormat="false" ht="14.65" hidden="false" customHeight="true" outlineLevel="0" collapsed="false">
      <c r="A481" s="12" t="s">
        <v>528</v>
      </c>
      <c r="B481" s="13" t="n">
        <v>38879</v>
      </c>
      <c r="C481" s="3" t="s">
        <v>21</v>
      </c>
      <c r="D481" s="4" t="s">
        <v>524</v>
      </c>
      <c r="E481" s="3" t="n">
        <v>5</v>
      </c>
      <c r="F481" s="3" t="n">
        <v>2</v>
      </c>
      <c r="G481" s="3" t="n">
        <v>60</v>
      </c>
      <c r="I481" s="3" t="n">
        <f aca="false">_xlfn.IFS(G481="взв",11,G481="накл",24,G481="прокл",25,G481="пт",26,G481=90,10,G481=85,10,G481=80,9,G481=75,8,G481=70,8,G481=65,7,G481=60,7,G481=55,6,G481=50,6,G481=45,6,G481=40,5,G481=35,4,G481=30,4,G481=25,3,G481=20,2,G481=15,1,G481=10,1,G481=0,0)</f>
        <v>7</v>
      </c>
      <c r="J481" s="3" t="n">
        <f aca="false">IF(H481&lt;=1,0,IF(H481&lt;=10,11,IF(H481&lt;=14,12,IF(H481&lt;=17,13,IF(H481&lt;=20,14,IF(H481&lt;=22,15,IF(H481&lt;=25,16,IF(H481&lt;=27,17,IF(H481&lt;=29,18,IF(H481&lt;=32,19,IF(H481&lt;=34,20,IF(H481&lt;=36,21,IF(H481&lt;=40,22,24)))))))))))))</f>
        <v>0</v>
      </c>
      <c r="K481" s="3" t="n">
        <v>60</v>
      </c>
      <c r="M481" s="3" t="n">
        <f aca="false">_xlfn.IFS(K481="взв",11,K481="накл",24,K481="прокл",25,K481="пт",26,K481=90,10,K481=85,10,K481=80,9,K481=75,8,K481=70,8,K481=65,7,K481=60,7,K481=55,6,K481=50,6,K481=45,6,K481=40,5,K481=35,4,K481=30,4,K481=25,3,K481=20,2,K481=15,1,K481=10,1,K481=0,0)</f>
        <v>7</v>
      </c>
      <c r="N481" s="3" t="n">
        <f aca="false">IF(L481&lt;=1,0,IF(L481&lt;=10,11,IF(L481&lt;=14,12,IF(L481&lt;=17,13,IF(L481&lt;=20,14,IF(L481&lt;=22,15,IF(L481&lt;=25,16,IF(L481&lt;=27,17,IF(L481&lt;=29,18,IF(L481&lt;=32,19,IF(L481&lt;=34,20,IF(L481&lt;=36,21,IF(L481&lt;=40,22,24)))))))))))))</f>
        <v>0</v>
      </c>
      <c r="O481" s="3" t="n">
        <v>45</v>
      </c>
      <c r="Q481" s="3" t="n">
        <f aca="false">_xlfn.IFS(O481="взв",11,O481="накл",24,O481="прокл",25,O481="пт",26,O481=90,10,O481=85,10,O481=80,9,O481=75,8,O481=70,8,O481=65,7,O481=60,7,O481=55,6,O481=50,6,O481=45,6,O481=40,5,O481=35,4,O481=30,4,O481=25,3,O481=20,2,O481=15,1,O481=10,1,O481=0,0)</f>
        <v>6</v>
      </c>
      <c r="R481" s="3" t="n">
        <f aca="false">IF(P481&lt;=1,0,IF(P481&lt;=10,11,IF(P481&lt;=14,12,IF(P481&lt;=17,13,IF(P481&lt;=20,14,IF(P481&lt;=22,15,IF(P481&lt;=25,16,IF(P481&lt;=27,17,IF(P481&lt;=29,18,IF(P481&lt;=32,19,IF(P481&lt;=34,20,IF(P481&lt;=36,21,IF(P481&lt;=40,22,24)))))))))))))</f>
        <v>0</v>
      </c>
      <c r="S481" s="14" t="n">
        <f aca="false">ROUND((Q481+R481+I481+J481+M481+N481)/3,0)</f>
        <v>7</v>
      </c>
      <c r="T481" s="15" t="n">
        <f aca="false">F481*LOG10(S481+2)</f>
        <v>1.90848501887865</v>
      </c>
    </row>
    <row r="482" customFormat="false" ht="14.65" hidden="false" customHeight="true" outlineLevel="0" collapsed="false">
      <c r="A482" s="12" t="s">
        <v>529</v>
      </c>
      <c r="B482" s="13" t="n">
        <v>38879</v>
      </c>
      <c r="C482" s="3" t="s">
        <v>21</v>
      </c>
      <c r="D482" s="4" t="s">
        <v>524</v>
      </c>
      <c r="E482" s="3" t="n">
        <v>5</v>
      </c>
      <c r="F482" s="3" t="n">
        <v>2</v>
      </c>
      <c r="H482" s="3" t="n">
        <v>29</v>
      </c>
      <c r="I482" s="3" t="n">
        <f aca="false">_xlfn.IFS(G482="взв",11,G482="накл",24,G482="прокл",25,G482="пт",26,G482=90,10,G482=85,10,G482=80,9,G482=75,8,G482=70,8,G482=65,7,G482=60,7,G482=55,6,G482=50,6,G482=45,6,G482=40,5,G482=35,4,G482=30,4,G482=25,3,G482=20,2,G482=15,1,G482=10,1,G482=0,0)</f>
        <v>0</v>
      </c>
      <c r="J482" s="3" t="n">
        <f aca="false">IF(H482&lt;=1,0,IF(H482&lt;=10,11,IF(H482&lt;=14,12,IF(H482&lt;=17,13,IF(H482&lt;=20,14,IF(H482&lt;=22,15,IF(H482&lt;=25,16,IF(H482&lt;=27,17,IF(H482&lt;=29,18,IF(H482&lt;=32,19,IF(H482&lt;=34,20,IF(H482&lt;=36,21,IF(H482&lt;=40,22,24)))))))))))))</f>
        <v>18</v>
      </c>
      <c r="L482" s="3" t="n">
        <v>31</v>
      </c>
      <c r="M482" s="3" t="n">
        <f aca="false">_xlfn.IFS(K482="взв",11,K482="накл",24,K482="прокл",25,K482="пт",26,K482=90,10,K482=85,10,K482=80,9,K482=75,8,K482=70,8,K482=65,7,K482=60,7,K482=55,6,K482=50,6,K482=45,6,K482=40,5,K482=35,4,K482=30,4,K482=25,3,K482=20,2,K482=15,1,K482=10,1,K482=0,0)</f>
        <v>0</v>
      </c>
      <c r="N482" s="3" t="n">
        <f aca="false">IF(L482&lt;=1,0,IF(L482&lt;=10,11,IF(L482&lt;=14,12,IF(L482&lt;=17,13,IF(L482&lt;=20,14,IF(L482&lt;=22,15,IF(L482&lt;=25,16,IF(L482&lt;=27,17,IF(L482&lt;=29,18,IF(L482&lt;=32,19,IF(L482&lt;=34,20,IF(L482&lt;=36,21,IF(L482&lt;=40,22,24)))))))))))))</f>
        <v>19</v>
      </c>
      <c r="P482" s="3" t="n">
        <v>28</v>
      </c>
      <c r="Q482" s="3" t="n">
        <f aca="false">_xlfn.IFS(O482="взв",11,O482="накл",24,O482="прокл",25,O482="пт",26,O482=90,10,O482=85,10,O482=80,9,O482=75,8,O482=70,8,O482=65,7,O482=60,7,O482=55,6,O482=50,6,O482=45,6,O482=40,5,O482=35,4,O482=30,4,O482=25,3,O482=20,2,O482=15,1,O482=10,1,O482=0,0)</f>
        <v>0</v>
      </c>
      <c r="R482" s="3" t="n">
        <f aca="false">IF(P482&lt;=1,0,IF(P482&lt;=10,11,IF(P482&lt;=14,12,IF(P482&lt;=17,13,IF(P482&lt;=20,14,IF(P482&lt;=22,15,IF(P482&lt;=25,16,IF(P482&lt;=27,17,IF(P482&lt;=29,18,IF(P482&lt;=32,19,IF(P482&lt;=34,20,IF(P482&lt;=36,21,IF(P482&lt;=40,22,24)))))))))))))</f>
        <v>18</v>
      </c>
      <c r="S482" s="14" t="n">
        <f aca="false">ROUND((Q482+R482+I482+J482+M482+N482)/3,0)</f>
        <v>18</v>
      </c>
      <c r="T482" s="15" t="n">
        <f aca="false">F482*LOG10(S482+2)</f>
        <v>2.60205999132796</v>
      </c>
    </row>
    <row r="483" customFormat="false" ht="14.65" hidden="false" customHeight="true" outlineLevel="0" collapsed="false">
      <c r="A483" s="12" t="s">
        <v>530</v>
      </c>
      <c r="B483" s="13" t="n">
        <v>38879</v>
      </c>
      <c r="C483" s="3" t="s">
        <v>21</v>
      </c>
      <c r="D483" s="4" t="s">
        <v>524</v>
      </c>
      <c r="E483" s="3" t="n">
        <v>4</v>
      </c>
      <c r="F483" s="3" t="n">
        <v>2</v>
      </c>
      <c r="G483" s="3" t="n">
        <v>90</v>
      </c>
      <c r="I483" s="3" t="n">
        <f aca="false">_xlfn.IFS(G483="взв",11,G483="накл",24,G483="прокл",25,G483="пт",26,G483=90,10,G483=85,10,G483=80,9,G483=75,8,G483=70,8,G483=65,7,G483=60,7,G483=55,6,G483=50,6,G483=45,6,G483=40,5,G483=35,4,G483=30,4,G483=25,3,G483=20,2,G483=15,1,G483=10,1,G483=0,0)</f>
        <v>10</v>
      </c>
      <c r="J483" s="3" t="n">
        <f aca="false">IF(H483&lt;=1,0,IF(H483&lt;=10,11,IF(H483&lt;=14,12,IF(H483&lt;=17,13,IF(H483&lt;=20,14,IF(H483&lt;=22,15,IF(H483&lt;=25,16,IF(H483&lt;=27,17,IF(H483&lt;=29,18,IF(H483&lt;=32,19,IF(H483&lt;=34,20,IF(H483&lt;=36,21,IF(H483&lt;=40,22,24)))))))))))))</f>
        <v>0</v>
      </c>
      <c r="L483" s="3" t="n">
        <v>16</v>
      </c>
      <c r="M483" s="3" t="n">
        <f aca="false">_xlfn.IFS(K483="взв",11,K483="накл",24,K483="прокл",25,K483="пт",26,K483=90,10,K483=85,10,K483=80,9,K483=75,8,K483=70,8,K483=65,7,K483=60,7,K483=55,6,K483=50,6,K483=45,6,K483=40,5,K483=35,4,K483=30,4,K483=25,3,K483=20,2,K483=15,1,K483=10,1,K483=0,0)</f>
        <v>0</v>
      </c>
      <c r="N483" s="3" t="n">
        <f aca="false">IF(L483&lt;=1,0,IF(L483&lt;=10,11,IF(L483&lt;=14,12,IF(L483&lt;=17,13,IF(L483&lt;=20,14,IF(L483&lt;=22,15,IF(L483&lt;=25,16,IF(L483&lt;=27,17,IF(L483&lt;=29,18,IF(L483&lt;=32,19,IF(L483&lt;=34,20,IF(L483&lt;=36,21,IF(L483&lt;=40,22,24)))))))))))))</f>
        <v>13</v>
      </c>
      <c r="P483" s="3" t="n">
        <v>18</v>
      </c>
      <c r="Q483" s="3" t="n">
        <f aca="false">_xlfn.IFS(O483="взв",11,O483="накл",24,O483="прокл",25,O483="пт",26,O483=90,10,O483=85,10,O483=80,9,O483=75,8,O483=70,8,O483=65,7,O483=60,7,O483=55,6,O483=50,6,O483=45,6,O483=40,5,O483=35,4,O483=30,4,O483=25,3,O483=20,2,O483=15,1,O483=10,1,O483=0,0)</f>
        <v>0</v>
      </c>
      <c r="R483" s="3" t="n">
        <f aca="false">IF(P483&lt;=1,0,IF(P483&lt;=10,11,IF(P483&lt;=14,12,IF(P483&lt;=17,13,IF(P483&lt;=20,14,IF(P483&lt;=22,15,IF(P483&lt;=25,16,IF(P483&lt;=27,17,IF(P483&lt;=29,18,IF(P483&lt;=32,19,IF(P483&lt;=34,20,IF(P483&lt;=36,21,IF(P483&lt;=40,22,24)))))))))))))</f>
        <v>14</v>
      </c>
      <c r="S483" s="14" t="n">
        <f aca="false">ROUND((Q483+R483+I483+J483+M483+N483)/3,0)</f>
        <v>12</v>
      </c>
      <c r="T483" s="15" t="n">
        <f aca="false">F483*LOG10(S483+2)</f>
        <v>2.29225607135648</v>
      </c>
    </row>
    <row r="484" customFormat="false" ht="14.65" hidden="false" customHeight="true" outlineLevel="0" collapsed="false">
      <c r="A484" s="12" t="s">
        <v>531</v>
      </c>
      <c r="B484" s="13" t="n">
        <v>38879</v>
      </c>
      <c r="C484" s="3" t="s">
        <v>21</v>
      </c>
      <c r="D484" s="4" t="s">
        <v>524</v>
      </c>
      <c r="E484" s="3" t="n">
        <v>6</v>
      </c>
      <c r="F484" s="3" t="n">
        <v>2</v>
      </c>
      <c r="G484" s="3" t="n">
        <v>45</v>
      </c>
      <c r="I484" s="3" t="n">
        <f aca="false">_xlfn.IFS(G484="взв",11,G484="накл",24,G484="прокл",25,G484="пт",26,G484=90,10,G484=85,10,G484=80,9,G484=75,8,G484=70,8,G484=65,7,G484=60,7,G484=55,6,G484=50,6,G484=45,6,G484=40,5,G484=35,4,G484=30,4,G484=25,3,G484=20,2,G484=15,1,G484=10,1,G484=0,0)</f>
        <v>6</v>
      </c>
      <c r="J484" s="3" t="n">
        <f aca="false">IF(H484&lt;=1,0,IF(H484&lt;=10,11,IF(H484&lt;=14,12,IF(H484&lt;=17,13,IF(H484&lt;=20,14,IF(H484&lt;=22,15,IF(H484&lt;=25,16,IF(H484&lt;=27,17,IF(H484&lt;=29,18,IF(H484&lt;=32,19,IF(H484&lt;=34,20,IF(H484&lt;=36,21,IF(H484&lt;=40,22,24)))))))))))))</f>
        <v>0</v>
      </c>
      <c r="K484" s="3" t="n">
        <v>45</v>
      </c>
      <c r="M484" s="3" t="n">
        <f aca="false">_xlfn.IFS(K484="взв",11,K484="накл",24,K484="прокл",25,K484="пт",26,K484=90,10,K484=85,10,K484=80,9,K484=75,8,K484=70,8,K484=65,7,K484=60,7,K484=55,6,K484=50,6,K484=45,6,K484=40,5,K484=35,4,K484=30,4,K484=25,3,K484=20,2,K484=15,1,K484=10,1,K484=0,0)</f>
        <v>6</v>
      </c>
      <c r="N484" s="3" t="n">
        <f aca="false">IF(L484&lt;=1,0,IF(L484&lt;=10,11,IF(L484&lt;=14,12,IF(L484&lt;=17,13,IF(L484&lt;=20,14,IF(L484&lt;=22,15,IF(L484&lt;=25,16,IF(L484&lt;=27,17,IF(L484&lt;=29,18,IF(L484&lt;=32,19,IF(L484&lt;=34,20,IF(L484&lt;=36,21,IF(L484&lt;=40,22,24)))))))))))))</f>
        <v>0</v>
      </c>
      <c r="O484" s="3" t="n">
        <v>15</v>
      </c>
      <c r="Q484" s="3" t="n">
        <f aca="false">_xlfn.IFS(O484="взв",11,O484="накл",24,O484="прокл",25,O484="пт",26,O484=90,10,O484=85,10,O484=80,9,O484=75,8,O484=70,8,O484=65,7,O484=60,7,O484=55,6,O484=50,6,O484=45,6,O484=40,5,O484=35,4,O484=30,4,O484=25,3,O484=20,2,O484=15,1,O484=10,1,O484=0,0)</f>
        <v>1</v>
      </c>
      <c r="R484" s="3" t="n">
        <f aca="false">IF(P484&lt;=1,0,IF(P484&lt;=10,11,IF(P484&lt;=14,12,IF(P484&lt;=17,13,IF(P484&lt;=20,14,IF(P484&lt;=22,15,IF(P484&lt;=25,16,IF(P484&lt;=27,17,IF(P484&lt;=29,18,IF(P484&lt;=32,19,IF(P484&lt;=34,20,IF(P484&lt;=36,21,IF(P484&lt;=40,22,24)))))))))))))</f>
        <v>0</v>
      </c>
      <c r="S484" s="14" t="n">
        <f aca="false">ROUND((Q484+R484+I484+J484+M484+N484)/3,0)</f>
        <v>4</v>
      </c>
      <c r="T484" s="15" t="n">
        <f aca="false">F484*LOG10(S484+2)</f>
        <v>1.55630250076729</v>
      </c>
    </row>
    <row r="485" customFormat="false" ht="14.65" hidden="false" customHeight="true" outlineLevel="0" collapsed="false">
      <c r="A485" s="12" t="s">
        <v>532</v>
      </c>
      <c r="B485" s="13" t="n">
        <v>38879</v>
      </c>
      <c r="C485" s="3" t="s">
        <v>21</v>
      </c>
      <c r="D485" s="4" t="s">
        <v>524</v>
      </c>
      <c r="E485" s="3" t="n">
        <v>6</v>
      </c>
      <c r="F485" s="3" t="n">
        <v>2</v>
      </c>
      <c r="H485" s="3" t="n">
        <v>29</v>
      </c>
      <c r="I485" s="3" t="n">
        <f aca="false">_xlfn.IFS(G485="взв",11,G485="накл",24,G485="прокл",25,G485="пт",26,G485=90,10,G485=85,10,G485=80,9,G485=75,8,G485=70,8,G485=65,7,G485=60,7,G485=55,6,G485=50,6,G485=45,6,G485=40,5,G485=35,4,G485=30,4,G485=25,3,G485=20,2,G485=15,1,G485=10,1,G485=0,0)</f>
        <v>0</v>
      </c>
      <c r="J485" s="3" t="n">
        <f aca="false">IF(H485&lt;=1,0,IF(H485&lt;=10,11,IF(H485&lt;=14,12,IF(H485&lt;=17,13,IF(H485&lt;=20,14,IF(H485&lt;=22,15,IF(H485&lt;=25,16,IF(H485&lt;=27,17,IF(H485&lt;=29,18,IF(H485&lt;=32,19,IF(H485&lt;=34,20,IF(H485&lt;=36,21,IF(H485&lt;=40,22,24)))))))))))))</f>
        <v>18</v>
      </c>
      <c r="L485" s="3" t="n">
        <v>32</v>
      </c>
      <c r="M485" s="3" t="n">
        <f aca="false">_xlfn.IFS(K485="взв",11,K485="накл",24,K485="прокл",25,K485="пт",26,K485=90,10,K485=85,10,K485=80,9,K485=75,8,K485=70,8,K485=65,7,K485=60,7,K485=55,6,K485=50,6,K485=45,6,K485=40,5,K485=35,4,K485=30,4,K485=25,3,K485=20,2,K485=15,1,K485=10,1,K485=0,0)</f>
        <v>0</v>
      </c>
      <c r="N485" s="3" t="n">
        <f aca="false">IF(L485&lt;=1,0,IF(L485&lt;=10,11,IF(L485&lt;=14,12,IF(L485&lt;=17,13,IF(L485&lt;=20,14,IF(L485&lt;=22,15,IF(L485&lt;=25,16,IF(L485&lt;=27,17,IF(L485&lt;=29,18,IF(L485&lt;=32,19,IF(L485&lt;=34,20,IF(L485&lt;=36,21,IF(L485&lt;=40,22,24)))))))))))))</f>
        <v>19</v>
      </c>
      <c r="P485" s="3" t="n">
        <v>32</v>
      </c>
      <c r="Q485" s="3" t="n">
        <f aca="false">_xlfn.IFS(O485="взв",11,O485="накл",24,O485="прокл",25,O485="пт",26,O485=90,10,O485=85,10,O485=80,9,O485=75,8,O485=70,8,O485=65,7,O485=60,7,O485=55,6,O485=50,6,O485=45,6,O485=40,5,O485=35,4,O485=30,4,O485=25,3,O485=20,2,O485=15,1,O485=10,1,O485=0,0)</f>
        <v>0</v>
      </c>
      <c r="R485" s="3" t="n">
        <f aca="false">IF(P485&lt;=1,0,IF(P485&lt;=10,11,IF(P485&lt;=14,12,IF(P485&lt;=17,13,IF(P485&lt;=20,14,IF(P485&lt;=22,15,IF(P485&lt;=25,16,IF(P485&lt;=27,17,IF(P485&lt;=29,18,IF(P485&lt;=32,19,IF(P485&lt;=34,20,IF(P485&lt;=36,21,IF(P485&lt;=40,22,24)))))))))))))</f>
        <v>19</v>
      </c>
      <c r="S485" s="14" t="n">
        <f aca="false">ROUND((Q485+R485+I485+J485+M485+N485)/3,0)</f>
        <v>19</v>
      </c>
      <c r="T485" s="15" t="n">
        <f aca="false">F485*LOG10(S485+2)</f>
        <v>2.64443858946784</v>
      </c>
    </row>
    <row r="486" customFormat="false" ht="14.65" hidden="false" customHeight="true" outlineLevel="0" collapsed="false">
      <c r="A486" s="12" t="s">
        <v>533</v>
      </c>
      <c r="B486" s="13" t="n">
        <v>38879</v>
      </c>
      <c r="C486" s="3" t="s">
        <v>21</v>
      </c>
      <c r="D486" s="4" t="s">
        <v>524</v>
      </c>
      <c r="E486" s="3" t="n">
        <v>9</v>
      </c>
      <c r="F486" s="3" t="n">
        <v>3</v>
      </c>
      <c r="H486" s="3" t="n">
        <v>28</v>
      </c>
      <c r="I486" s="3" t="n">
        <f aca="false">_xlfn.IFS(G486="взв",11,G486="накл",24,G486="прокл",25,G486="пт",26,G486=90,10,G486=85,10,G486=80,9,G486=75,8,G486=70,8,G486=65,7,G486=60,7,G486=55,6,G486=50,6,G486=45,6,G486=40,5,G486=35,4,G486=30,4,G486=25,3,G486=20,2,G486=15,1,G486=10,1,G486=0,0)</f>
        <v>0</v>
      </c>
      <c r="J486" s="3" t="n">
        <f aca="false">IF(H486&lt;=1,0,IF(H486&lt;=10,11,IF(H486&lt;=14,12,IF(H486&lt;=17,13,IF(H486&lt;=20,14,IF(H486&lt;=22,15,IF(H486&lt;=25,16,IF(H486&lt;=27,17,IF(H486&lt;=29,18,IF(H486&lt;=32,19,IF(H486&lt;=34,20,IF(H486&lt;=36,21,IF(H486&lt;=40,22,24)))))))))))))</f>
        <v>18</v>
      </c>
      <c r="L486" s="3" t="n">
        <v>28</v>
      </c>
      <c r="M486" s="3" t="n">
        <f aca="false">_xlfn.IFS(K486="взв",11,K486="накл",24,K486="прокл",25,K486="пт",26,K486=90,10,K486=85,10,K486=80,9,K486=75,8,K486=70,8,K486=65,7,K486=60,7,K486=55,6,K486=50,6,K486=45,6,K486=40,5,K486=35,4,K486=30,4,K486=25,3,K486=20,2,K486=15,1,K486=10,1,K486=0,0)</f>
        <v>0</v>
      </c>
      <c r="N486" s="3" t="n">
        <f aca="false">IF(L486&lt;=1,0,IF(L486&lt;=10,11,IF(L486&lt;=14,12,IF(L486&lt;=17,13,IF(L486&lt;=20,14,IF(L486&lt;=22,15,IF(L486&lt;=25,16,IF(L486&lt;=27,17,IF(L486&lt;=29,18,IF(L486&lt;=32,19,IF(L486&lt;=34,20,IF(L486&lt;=36,21,IF(L486&lt;=40,22,24)))))))))))))</f>
        <v>18</v>
      </c>
      <c r="P486" s="3" t="n">
        <v>32</v>
      </c>
      <c r="Q486" s="3" t="n">
        <f aca="false">_xlfn.IFS(O486="взв",11,O486="накл",24,O486="прокл",25,O486="пт",26,O486=90,10,O486=85,10,O486=80,9,O486=75,8,O486=70,8,O486=65,7,O486=60,7,O486=55,6,O486=50,6,O486=45,6,O486=40,5,O486=35,4,O486=30,4,O486=25,3,O486=20,2,O486=15,1,O486=10,1,O486=0,0)</f>
        <v>0</v>
      </c>
      <c r="R486" s="3" t="n">
        <f aca="false">IF(P486&lt;=1,0,IF(P486&lt;=10,11,IF(P486&lt;=14,12,IF(P486&lt;=17,13,IF(P486&lt;=20,14,IF(P486&lt;=22,15,IF(P486&lt;=25,16,IF(P486&lt;=27,17,IF(P486&lt;=29,18,IF(P486&lt;=32,19,IF(P486&lt;=34,20,IF(P486&lt;=36,21,IF(P486&lt;=40,22,24)))))))))))))</f>
        <v>19</v>
      </c>
      <c r="S486" s="14" t="n">
        <f aca="false">ROUND((Q486+R486+I486+J486+M486+N486)/3,0)</f>
        <v>18</v>
      </c>
      <c r="T486" s="15" t="n">
        <f aca="false">F486*LOG10(S486+2)</f>
        <v>3.90308998699194</v>
      </c>
    </row>
    <row r="487" customFormat="false" ht="14.65" hidden="false" customHeight="true" outlineLevel="0" collapsed="false">
      <c r="A487" s="12" t="s">
        <v>534</v>
      </c>
      <c r="B487" s="13" t="n">
        <v>38879</v>
      </c>
      <c r="C487" s="3" t="s">
        <v>21</v>
      </c>
      <c r="D487" s="4" t="s">
        <v>524</v>
      </c>
      <c r="F487" s="3" t="n">
        <v>3</v>
      </c>
      <c r="H487" s="3" t="n">
        <v>35</v>
      </c>
      <c r="I487" s="3" t="n">
        <f aca="false">_xlfn.IFS(G487="взв",11,G487="накл",24,G487="прокл",25,G487="пт",26,G487=90,10,G487=85,10,G487=80,9,G487=75,8,G487=70,8,G487=65,7,G487=60,7,G487=55,6,G487=50,6,G487=45,6,G487=40,5,G487=35,4,G487=30,4,G487=25,3,G487=20,2,G487=15,1,G487=10,1,G487=0,0)</f>
        <v>0</v>
      </c>
      <c r="J487" s="3" t="n">
        <f aca="false">IF(H487&lt;=1,0,IF(H487&lt;=10,11,IF(H487&lt;=14,12,IF(H487&lt;=17,13,IF(H487&lt;=20,14,IF(H487&lt;=22,15,IF(H487&lt;=25,16,IF(H487&lt;=27,17,IF(H487&lt;=29,18,IF(H487&lt;=32,19,IF(H487&lt;=34,20,IF(H487&lt;=36,21,IF(H487&lt;=40,22,24)))))))))))))</f>
        <v>21</v>
      </c>
      <c r="L487" s="3" t="n">
        <v>34</v>
      </c>
      <c r="M487" s="3" t="n">
        <f aca="false">_xlfn.IFS(K487="взв",11,K487="накл",24,K487="прокл",25,K487="пт",26,K487=90,10,K487=85,10,K487=80,9,K487=75,8,K487=70,8,K487=65,7,K487=60,7,K487=55,6,K487=50,6,K487=45,6,K487=40,5,K487=35,4,K487=30,4,K487=25,3,K487=20,2,K487=15,1,K487=10,1,K487=0,0)</f>
        <v>0</v>
      </c>
      <c r="N487" s="3" t="n">
        <f aca="false">IF(L487&lt;=1,0,IF(L487&lt;=10,11,IF(L487&lt;=14,12,IF(L487&lt;=17,13,IF(L487&lt;=20,14,IF(L487&lt;=22,15,IF(L487&lt;=25,16,IF(L487&lt;=27,17,IF(L487&lt;=29,18,IF(L487&lt;=32,19,IF(L487&lt;=34,20,IF(L487&lt;=36,21,IF(L487&lt;=40,22,24)))))))))))))</f>
        <v>20</v>
      </c>
      <c r="P487" s="3" t="n">
        <v>31</v>
      </c>
      <c r="Q487" s="3" t="n">
        <f aca="false">_xlfn.IFS(O487="взв",11,O487="накл",24,O487="прокл",25,O487="пт",26,O487=90,10,O487=85,10,O487=80,9,O487=75,8,O487=70,8,O487=65,7,O487=60,7,O487=55,6,O487=50,6,O487=45,6,O487=40,5,O487=35,4,O487=30,4,O487=25,3,O487=20,2,O487=15,1,O487=10,1,O487=0,0)</f>
        <v>0</v>
      </c>
      <c r="R487" s="3" t="n">
        <f aca="false">IF(P487&lt;=1,0,IF(P487&lt;=10,11,IF(P487&lt;=14,12,IF(P487&lt;=17,13,IF(P487&lt;=20,14,IF(P487&lt;=22,15,IF(P487&lt;=25,16,IF(P487&lt;=27,17,IF(P487&lt;=29,18,IF(P487&lt;=32,19,IF(P487&lt;=34,20,IF(P487&lt;=36,21,IF(P487&lt;=40,22,24)))))))))))))</f>
        <v>19</v>
      </c>
      <c r="S487" s="14" t="n">
        <f aca="false">ROUND((Q487+R487+I487+J487+M487+N487)/3,0)</f>
        <v>20</v>
      </c>
      <c r="T487" s="15" t="n">
        <f aca="false">F487*LOG10(S487+2)</f>
        <v>4.02726804246662</v>
      </c>
    </row>
    <row r="488" customFormat="false" ht="14.65" hidden="false" customHeight="true" outlineLevel="0" collapsed="false">
      <c r="A488" s="12" t="s">
        <v>535</v>
      </c>
      <c r="B488" s="13" t="n">
        <v>38879</v>
      </c>
      <c r="C488" s="3" t="s">
        <v>21</v>
      </c>
      <c r="D488" s="4" t="s">
        <v>524</v>
      </c>
      <c r="E488" s="3" t="n">
        <v>6</v>
      </c>
      <c r="F488" s="3" t="n">
        <v>3</v>
      </c>
      <c r="H488" s="3" t="n">
        <v>30</v>
      </c>
      <c r="I488" s="3" t="n">
        <f aca="false">_xlfn.IFS(G488="взв",11,G488="накл",24,G488="прокл",25,G488="пт",26,G488=90,10,G488=85,10,G488=80,9,G488=75,8,G488=70,8,G488=65,7,G488=60,7,G488=55,6,G488=50,6,G488=45,6,G488=40,5,G488=35,4,G488=30,4,G488=25,3,G488=20,2,G488=15,1,G488=10,1,G488=0,0)</f>
        <v>0</v>
      </c>
      <c r="J488" s="3" t="n">
        <f aca="false">IF(H488&lt;=1,0,IF(H488&lt;=10,11,IF(H488&lt;=14,12,IF(H488&lt;=17,13,IF(H488&lt;=20,14,IF(H488&lt;=22,15,IF(H488&lt;=25,16,IF(H488&lt;=27,17,IF(H488&lt;=29,18,IF(H488&lt;=32,19,IF(H488&lt;=34,20,IF(H488&lt;=36,21,IF(H488&lt;=40,22,24)))))))))))))</f>
        <v>19</v>
      </c>
      <c r="L488" s="3" t="n">
        <v>26</v>
      </c>
      <c r="M488" s="3" t="n">
        <f aca="false">_xlfn.IFS(K488="взв",11,K488="накл",24,K488="прокл",25,K488="пт",26,K488=90,10,K488=85,10,K488=80,9,K488=75,8,K488=70,8,K488=65,7,K488=60,7,K488=55,6,K488=50,6,K488=45,6,K488=40,5,K488=35,4,K488=30,4,K488=25,3,K488=20,2,K488=15,1,K488=10,1,K488=0,0)</f>
        <v>0</v>
      </c>
      <c r="N488" s="3" t="n">
        <f aca="false">IF(L488&lt;=1,0,IF(L488&lt;=10,11,IF(L488&lt;=14,12,IF(L488&lt;=17,13,IF(L488&lt;=20,14,IF(L488&lt;=22,15,IF(L488&lt;=25,16,IF(L488&lt;=27,17,IF(L488&lt;=29,18,IF(L488&lt;=32,19,IF(L488&lt;=34,20,IF(L488&lt;=36,21,IF(L488&lt;=40,22,24)))))))))))))</f>
        <v>17</v>
      </c>
      <c r="P488" s="3" t="n">
        <v>24</v>
      </c>
      <c r="Q488" s="3" t="n">
        <f aca="false">_xlfn.IFS(O488="взв",11,O488="накл",24,O488="прокл",25,O488="пт",26,O488=90,10,O488=85,10,O488=80,9,O488=75,8,O488=70,8,O488=65,7,O488=60,7,O488=55,6,O488=50,6,O488=45,6,O488=40,5,O488=35,4,O488=30,4,O488=25,3,O488=20,2,O488=15,1,O488=10,1,O488=0,0)</f>
        <v>0</v>
      </c>
      <c r="R488" s="3" t="n">
        <f aca="false">IF(P488&lt;=1,0,IF(P488&lt;=10,11,IF(P488&lt;=14,12,IF(P488&lt;=17,13,IF(P488&lt;=20,14,IF(P488&lt;=22,15,IF(P488&lt;=25,16,IF(P488&lt;=27,17,IF(P488&lt;=29,18,IF(P488&lt;=32,19,IF(P488&lt;=34,20,IF(P488&lt;=36,21,IF(P488&lt;=40,22,24)))))))))))))</f>
        <v>16</v>
      </c>
      <c r="S488" s="14" t="n">
        <f aca="false">ROUND((Q488+R488+I488+J488+M488+N488)/3,0)</f>
        <v>17</v>
      </c>
      <c r="T488" s="15" t="n">
        <f aca="false">F488*LOG10(S488+2)</f>
        <v>3.83626080285849</v>
      </c>
    </row>
    <row r="489" customFormat="false" ht="14.65" hidden="false" customHeight="true" outlineLevel="0" collapsed="false">
      <c r="A489" s="12" t="s">
        <v>536</v>
      </c>
      <c r="B489" s="13" t="n">
        <v>38879</v>
      </c>
      <c r="C489" s="3" t="s">
        <v>21</v>
      </c>
      <c r="D489" s="4" t="s">
        <v>524</v>
      </c>
      <c r="E489" s="3" t="s">
        <v>97</v>
      </c>
      <c r="F489" s="3" t="n">
        <v>4</v>
      </c>
      <c r="H489" s="3" t="n">
        <v>33</v>
      </c>
      <c r="I489" s="3" t="n">
        <f aca="false">_xlfn.IFS(G489="взв",11,G489="накл",24,G489="прокл",25,G489="пт",26,G489=90,10,G489=85,10,G489=80,9,G489=75,8,G489=70,8,G489=65,7,G489=60,7,G489=55,6,G489=50,6,G489=45,6,G489=40,5,G489=35,4,G489=30,4,G489=25,3,G489=20,2,G489=15,1,G489=10,1,G489=0,0)</f>
        <v>0</v>
      </c>
      <c r="J489" s="3" t="n">
        <f aca="false">IF(H489&lt;=1,0,IF(H489&lt;=10,11,IF(H489&lt;=14,12,IF(H489&lt;=17,13,IF(H489&lt;=20,14,IF(H489&lt;=22,15,IF(H489&lt;=25,16,IF(H489&lt;=27,17,IF(H489&lt;=29,18,IF(H489&lt;=32,19,IF(H489&lt;=34,20,IF(H489&lt;=36,21,IF(H489&lt;=40,22,24)))))))))))))</f>
        <v>20</v>
      </c>
      <c r="L489" s="3" t="n">
        <v>38</v>
      </c>
      <c r="M489" s="3" t="n">
        <f aca="false">_xlfn.IFS(K489="взв",11,K489="накл",24,K489="прокл",25,K489="пт",26,K489=90,10,K489=85,10,K489=80,9,K489=75,8,K489=70,8,K489=65,7,K489=60,7,K489=55,6,K489=50,6,K489=45,6,K489=40,5,K489=35,4,K489=30,4,K489=25,3,K489=20,2,K489=15,1,K489=10,1,K489=0,0)</f>
        <v>0</v>
      </c>
      <c r="N489" s="3" t="n">
        <f aca="false">IF(L489&lt;=1,0,IF(L489&lt;=10,11,IF(L489&lt;=14,12,IF(L489&lt;=17,13,IF(L489&lt;=20,14,IF(L489&lt;=22,15,IF(L489&lt;=25,16,IF(L489&lt;=27,17,IF(L489&lt;=29,18,IF(L489&lt;=32,19,IF(L489&lt;=34,20,IF(L489&lt;=36,21,IF(L489&lt;=40,22,24)))))))))))))</f>
        <v>22</v>
      </c>
      <c r="P489" s="3" t="n">
        <v>39</v>
      </c>
      <c r="Q489" s="3" t="n">
        <f aca="false">_xlfn.IFS(O489="взв",11,O489="накл",24,O489="прокл",25,O489="пт",26,O489=90,10,O489=85,10,O489=80,9,O489=75,8,O489=70,8,O489=65,7,O489=60,7,O489=55,6,O489=50,6,O489=45,6,O489=40,5,O489=35,4,O489=30,4,O489=25,3,O489=20,2,O489=15,1,O489=10,1,O489=0,0)</f>
        <v>0</v>
      </c>
      <c r="R489" s="3" t="n">
        <f aca="false">IF(P489&lt;=1,0,IF(P489&lt;=10,11,IF(P489&lt;=14,12,IF(P489&lt;=17,13,IF(P489&lt;=20,14,IF(P489&lt;=22,15,IF(P489&lt;=25,16,IF(P489&lt;=27,17,IF(P489&lt;=29,18,IF(P489&lt;=32,19,IF(P489&lt;=34,20,IF(P489&lt;=36,21,IF(P489&lt;=40,22,24)))))))))))))</f>
        <v>22</v>
      </c>
      <c r="S489" s="14" t="n">
        <f aca="false">ROUND((Q489+R489+I489+J489+M489+N489)/3,0)</f>
        <v>21</v>
      </c>
      <c r="T489" s="15" t="n">
        <f aca="false">F489*LOG10(S489+2)</f>
        <v>5.44691134407037</v>
      </c>
    </row>
    <row r="490" customFormat="false" ht="14.65" hidden="false" customHeight="true" outlineLevel="0" collapsed="false">
      <c r="A490" s="12" t="s">
        <v>537</v>
      </c>
      <c r="B490" s="13" t="n">
        <v>38879</v>
      </c>
      <c r="C490" s="3" t="s">
        <v>21</v>
      </c>
      <c r="D490" s="4" t="s">
        <v>524</v>
      </c>
      <c r="E490" s="3" t="n">
        <v>6</v>
      </c>
      <c r="F490" s="3" t="n">
        <v>5</v>
      </c>
      <c r="H490" s="3" t="n">
        <v>25</v>
      </c>
      <c r="I490" s="3" t="n">
        <f aca="false">_xlfn.IFS(G490="взв",11,G490="накл",24,G490="прокл",25,G490="пт",26,G490=90,10,G490=85,10,G490=80,9,G490=75,8,G490=70,8,G490=65,7,G490=60,7,G490=55,6,G490=50,6,G490=45,6,G490=40,5,G490=35,4,G490=30,4,G490=25,3,G490=20,2,G490=15,1,G490=10,1,G490=0,0)</f>
        <v>0</v>
      </c>
      <c r="J490" s="3" t="n">
        <f aca="false">IF(H490&lt;=1,0,IF(H490&lt;=10,11,IF(H490&lt;=14,12,IF(H490&lt;=17,13,IF(H490&lt;=20,14,IF(H490&lt;=22,15,IF(H490&lt;=25,16,IF(H490&lt;=27,17,IF(H490&lt;=29,18,IF(H490&lt;=32,19,IF(H490&lt;=34,20,IF(H490&lt;=36,21,IF(H490&lt;=40,22,24)))))))))))))</f>
        <v>16</v>
      </c>
      <c r="K490" s="3" t="n">
        <v>90</v>
      </c>
      <c r="M490" s="3" t="n">
        <f aca="false">_xlfn.IFS(K490="взв",11,K490="накл",24,K490="прокл",25,K490="пт",26,K490=90,10,K490=85,10,K490=80,9,K490=75,8,K490=70,8,K490=65,7,K490=60,7,K490=55,6,K490=50,6,K490=45,6,K490=40,5,K490=35,4,K490=30,4,K490=25,3,K490=20,2,K490=15,1,K490=10,1,K490=0,0)</f>
        <v>10</v>
      </c>
      <c r="N490" s="3" t="n">
        <f aca="false">IF(L490&lt;=1,0,IF(L490&lt;=10,11,IF(L490&lt;=14,12,IF(L490&lt;=17,13,IF(L490&lt;=20,14,IF(L490&lt;=22,15,IF(L490&lt;=25,16,IF(L490&lt;=27,17,IF(L490&lt;=29,18,IF(L490&lt;=32,19,IF(L490&lt;=34,20,IF(L490&lt;=36,21,IF(L490&lt;=40,22,24)))))))))))))</f>
        <v>0</v>
      </c>
      <c r="P490" s="3" t="n">
        <v>16</v>
      </c>
      <c r="Q490" s="3" t="n">
        <f aca="false">_xlfn.IFS(O490="взв",11,O490="накл",24,O490="прокл",25,O490="пт",26,O490=90,10,O490=85,10,O490=80,9,O490=75,8,O490=70,8,O490=65,7,O490=60,7,O490=55,6,O490=50,6,O490=45,6,O490=40,5,O490=35,4,O490=30,4,O490=25,3,O490=20,2,O490=15,1,O490=10,1,O490=0,0)</f>
        <v>0</v>
      </c>
      <c r="R490" s="3" t="n">
        <f aca="false">IF(P490&lt;=1,0,IF(P490&lt;=10,11,IF(P490&lt;=14,12,IF(P490&lt;=17,13,IF(P490&lt;=20,14,IF(P490&lt;=22,15,IF(P490&lt;=25,16,IF(P490&lt;=27,17,IF(P490&lt;=29,18,IF(P490&lt;=32,19,IF(P490&lt;=34,20,IF(P490&lt;=36,21,IF(P490&lt;=40,22,24)))))))))))))</f>
        <v>13</v>
      </c>
      <c r="S490" s="14" t="n">
        <f aca="false">ROUND((Q490+R490+I490+J490+M490+N490)/3,0)</f>
        <v>13</v>
      </c>
      <c r="T490" s="15" t="n">
        <f aca="false">F490*LOG10(S490+2)</f>
        <v>5.88045629527841</v>
      </c>
    </row>
    <row r="491" customFormat="false" ht="14.65" hidden="false" customHeight="true" outlineLevel="0" collapsed="false">
      <c r="A491" s="12" t="s">
        <v>538</v>
      </c>
      <c r="B491" s="13" t="n">
        <v>38879</v>
      </c>
      <c r="C491" s="3" t="s">
        <v>21</v>
      </c>
      <c r="D491" s="4" t="s">
        <v>524</v>
      </c>
      <c r="E491" s="3" t="n">
        <v>6</v>
      </c>
      <c r="F491" s="3" t="n">
        <v>5</v>
      </c>
      <c r="G491" s="3" t="n">
        <v>90</v>
      </c>
      <c r="I491" s="3" t="n">
        <f aca="false">_xlfn.IFS(G491="взв",11,G491="накл",24,G491="прокл",25,G491="пт",26,G491=90,10,G491=85,10,G491=80,9,G491=75,8,G491=70,8,G491=65,7,G491=60,7,G491=55,6,G491=50,6,G491=45,6,G491=40,5,G491=35,4,G491=30,4,G491=25,3,G491=20,2,G491=15,1,G491=10,1,G491=0,0)</f>
        <v>10</v>
      </c>
      <c r="J491" s="3" t="n">
        <f aca="false">IF(H491&lt;=1,0,IF(H491&lt;=10,11,IF(H491&lt;=14,12,IF(H491&lt;=17,13,IF(H491&lt;=20,14,IF(H491&lt;=22,15,IF(H491&lt;=25,16,IF(H491&lt;=27,17,IF(H491&lt;=29,18,IF(H491&lt;=32,19,IF(H491&lt;=34,20,IF(H491&lt;=36,21,IF(H491&lt;=40,22,24)))))))))))))</f>
        <v>0</v>
      </c>
      <c r="K491" s="3" t="n">
        <v>90</v>
      </c>
      <c r="M491" s="3" t="n">
        <f aca="false">_xlfn.IFS(K491="взв",11,K491="накл",24,K491="прокл",25,K491="пт",26,K491=90,10,K491=85,10,K491=80,9,K491=75,8,K491=70,8,K491=65,7,K491=60,7,K491=55,6,K491=50,6,K491=45,6,K491=40,5,K491=35,4,K491=30,4,K491=25,3,K491=20,2,K491=15,1,K491=10,1,K491=0,0)</f>
        <v>10</v>
      </c>
      <c r="N491" s="3" t="n">
        <f aca="false">IF(L491&lt;=1,0,IF(L491&lt;=10,11,IF(L491&lt;=14,12,IF(L491&lt;=17,13,IF(L491&lt;=20,14,IF(L491&lt;=22,15,IF(L491&lt;=25,16,IF(L491&lt;=27,17,IF(L491&lt;=29,18,IF(L491&lt;=32,19,IF(L491&lt;=34,20,IF(L491&lt;=36,21,IF(L491&lt;=40,22,24)))))))))))))</f>
        <v>0</v>
      </c>
      <c r="O491" s="3" t="n">
        <v>90</v>
      </c>
      <c r="Q491" s="3" t="n">
        <f aca="false">_xlfn.IFS(O491="взв",11,O491="накл",24,O491="прокл",25,O491="пт",26,O491=90,10,O491=85,10,O491=80,9,O491=75,8,O491=70,8,O491=65,7,O491=60,7,O491=55,6,O491=50,6,O491=45,6,O491=40,5,O491=35,4,O491=30,4,O491=25,3,O491=20,2,O491=15,1,O491=10,1,O491=0,0)</f>
        <v>10</v>
      </c>
      <c r="R491" s="3" t="n">
        <f aca="false">IF(P491&lt;=1,0,IF(P491&lt;=10,11,IF(P491&lt;=14,12,IF(P491&lt;=17,13,IF(P491&lt;=20,14,IF(P491&lt;=22,15,IF(P491&lt;=25,16,IF(P491&lt;=27,17,IF(P491&lt;=29,18,IF(P491&lt;=32,19,IF(P491&lt;=34,20,IF(P491&lt;=36,21,IF(P491&lt;=40,22,24)))))))))))))</f>
        <v>0</v>
      </c>
      <c r="S491" s="14" t="n">
        <f aca="false">ROUND((Q491+R491+I491+J491+M491+N491)/3,0)</f>
        <v>10</v>
      </c>
      <c r="T491" s="15" t="n">
        <f aca="false">F491*LOG10(S491+2)</f>
        <v>5.39590623023813</v>
      </c>
    </row>
    <row r="492" customFormat="false" ht="14.65" hidden="false" customHeight="true" outlineLevel="0" collapsed="false">
      <c r="A492" s="12" t="s">
        <v>539</v>
      </c>
      <c r="B492" s="13" t="n">
        <v>38879</v>
      </c>
      <c r="C492" s="3" t="s">
        <v>21</v>
      </c>
      <c r="D492" s="4" t="s">
        <v>524</v>
      </c>
      <c r="E492" s="3" t="n">
        <v>6</v>
      </c>
      <c r="F492" s="3" t="n">
        <v>6</v>
      </c>
      <c r="H492" s="3" t="n">
        <v>31</v>
      </c>
      <c r="I492" s="3" t="n">
        <f aca="false">_xlfn.IFS(G492="взв",11,G492="накл",24,G492="прокл",25,G492="пт",26,G492=90,10,G492=85,10,G492=80,9,G492=75,8,G492=70,8,G492=65,7,G492=60,7,G492=55,6,G492=50,6,G492=45,6,G492=40,5,G492=35,4,G492=30,4,G492=25,3,G492=20,2,G492=15,1,G492=10,1,G492=0,0)</f>
        <v>0</v>
      </c>
      <c r="J492" s="3" t="n">
        <f aca="false">IF(H492&lt;=1,0,IF(H492&lt;=10,11,IF(H492&lt;=14,12,IF(H492&lt;=17,13,IF(H492&lt;=20,14,IF(H492&lt;=22,15,IF(H492&lt;=25,16,IF(H492&lt;=27,17,IF(H492&lt;=29,18,IF(H492&lt;=32,19,IF(H492&lt;=34,20,IF(H492&lt;=36,21,IF(H492&lt;=40,22,24)))))))))))))</f>
        <v>19</v>
      </c>
      <c r="L492" s="3" t="n">
        <v>33</v>
      </c>
      <c r="M492" s="3" t="n">
        <f aca="false">_xlfn.IFS(K492="взв",11,K492="накл",24,K492="прокл",25,K492="пт",26,K492=90,10,K492=85,10,K492=80,9,K492=75,8,K492=70,8,K492=65,7,K492=60,7,K492=55,6,K492=50,6,K492=45,6,K492=40,5,K492=35,4,K492=30,4,K492=25,3,K492=20,2,K492=15,1,K492=10,1,K492=0,0)</f>
        <v>0</v>
      </c>
      <c r="N492" s="3" t="n">
        <f aca="false">IF(L492&lt;=1,0,IF(L492&lt;=10,11,IF(L492&lt;=14,12,IF(L492&lt;=17,13,IF(L492&lt;=20,14,IF(L492&lt;=22,15,IF(L492&lt;=25,16,IF(L492&lt;=27,17,IF(L492&lt;=29,18,IF(L492&lt;=32,19,IF(L492&lt;=34,20,IF(L492&lt;=36,21,IF(L492&lt;=40,22,24)))))))))))))</f>
        <v>20</v>
      </c>
      <c r="P492" s="3" t="n">
        <v>34</v>
      </c>
      <c r="Q492" s="3" t="n">
        <f aca="false">_xlfn.IFS(O492="взв",11,O492="накл",24,O492="прокл",25,O492="пт",26,O492=90,10,O492=85,10,O492=80,9,O492=75,8,O492=70,8,O492=65,7,O492=60,7,O492=55,6,O492=50,6,O492=45,6,O492=40,5,O492=35,4,O492=30,4,O492=25,3,O492=20,2,O492=15,1,O492=10,1,O492=0,0)</f>
        <v>0</v>
      </c>
      <c r="R492" s="3" t="n">
        <f aca="false">IF(P492&lt;=1,0,IF(P492&lt;=10,11,IF(P492&lt;=14,12,IF(P492&lt;=17,13,IF(P492&lt;=20,14,IF(P492&lt;=22,15,IF(P492&lt;=25,16,IF(P492&lt;=27,17,IF(P492&lt;=29,18,IF(P492&lt;=32,19,IF(P492&lt;=34,20,IF(P492&lt;=36,21,IF(P492&lt;=40,22,24)))))))))))))</f>
        <v>20</v>
      </c>
      <c r="S492" s="14" t="n">
        <f aca="false">ROUND((Q492+R492+I492+J492+M492+N492)/3,0)</f>
        <v>20</v>
      </c>
      <c r="T492" s="15" t="n">
        <f aca="false">F492*LOG10(S492+2)</f>
        <v>8.05453608493324</v>
      </c>
    </row>
    <row r="493" customFormat="false" ht="14.65" hidden="false" customHeight="true" outlineLevel="0" collapsed="false">
      <c r="A493" s="12" t="s">
        <v>540</v>
      </c>
      <c r="B493" s="13" t="n">
        <v>38879</v>
      </c>
      <c r="C493" s="3" t="s">
        <v>21</v>
      </c>
      <c r="D493" s="4" t="s">
        <v>524</v>
      </c>
      <c r="E493" s="3" t="n">
        <v>2</v>
      </c>
      <c r="F493" s="3" t="n">
        <v>10</v>
      </c>
      <c r="G493" s="3" t="n">
        <v>60</v>
      </c>
      <c r="I493" s="3" t="n">
        <f aca="false">_xlfn.IFS(G493="взв",11,G493="накл",24,G493="прокл",25,G493="пт",26,G493=90,10,G493=85,10,G493=80,9,G493=75,8,G493=70,8,G493=65,7,G493=60,7,G493=55,6,G493=50,6,G493=45,6,G493=40,5,G493=35,4,G493=30,4,G493=25,3,G493=20,2,G493=15,1,G493=10,1,G493=0,0)</f>
        <v>7</v>
      </c>
      <c r="J493" s="3" t="n">
        <f aca="false">IF(H493&lt;=1,0,IF(H493&lt;=10,11,IF(H493&lt;=14,12,IF(H493&lt;=17,13,IF(H493&lt;=20,14,IF(H493&lt;=22,15,IF(H493&lt;=25,16,IF(H493&lt;=27,17,IF(H493&lt;=29,18,IF(H493&lt;=32,19,IF(H493&lt;=34,20,IF(H493&lt;=36,21,IF(H493&lt;=40,22,24)))))))))))))</f>
        <v>0</v>
      </c>
      <c r="K493" s="3" t="n">
        <v>75</v>
      </c>
      <c r="M493" s="3" t="n">
        <f aca="false">_xlfn.IFS(K493="взв",11,K493="накл",24,K493="прокл",25,K493="пт",26,K493=90,10,K493=85,10,K493=80,9,K493=75,8,K493=70,8,K493=65,7,K493=60,7,K493=55,6,K493=50,6,K493=45,6,K493=40,5,K493=35,4,K493=30,4,K493=25,3,K493=20,2,K493=15,1,K493=10,1,K493=0,0)</f>
        <v>8</v>
      </c>
      <c r="N493" s="3" t="n">
        <f aca="false">IF(L493&lt;=1,0,IF(L493&lt;=10,11,IF(L493&lt;=14,12,IF(L493&lt;=17,13,IF(L493&lt;=20,14,IF(L493&lt;=22,15,IF(L493&lt;=25,16,IF(L493&lt;=27,17,IF(L493&lt;=29,18,IF(L493&lt;=32,19,IF(L493&lt;=34,20,IF(L493&lt;=36,21,IF(L493&lt;=40,22,24)))))))))))))</f>
        <v>0</v>
      </c>
      <c r="Q493" s="3" t="n">
        <f aca="false">_xlfn.IFS(O493="взв",11,O493="накл",24,O493="прокл",25,O493="пт",26,O493=90,10,O493=85,10,O493=80,9,O493=75,8,O493=70,8,O493=65,7,O493=60,7,O493=55,6,O493=50,6,O493=45,6,O493=40,5,O493=35,4,O493=30,4,O493=25,3,O493=20,2,O493=15,1,O493=10,1,O493=0,0)</f>
        <v>0</v>
      </c>
      <c r="R493" s="3" t="n">
        <f aca="false">IF(P493&lt;=1,0,IF(P493&lt;=10,11,IF(P493&lt;=14,12,IF(P493&lt;=17,13,IF(P493&lt;=20,14,IF(P493&lt;=22,15,IF(P493&lt;=25,16,IF(P493&lt;=27,17,IF(P493&lt;=29,18,IF(P493&lt;=32,19,IF(P493&lt;=34,20,IF(P493&lt;=36,21,IF(P493&lt;=40,22,24)))))))))))))</f>
        <v>0</v>
      </c>
      <c r="S493" s="14" t="n">
        <f aca="false">ROUND((Q493+R493+I493+J493+M493+N493)/2,0)</f>
        <v>8</v>
      </c>
      <c r="T493" s="15" t="n">
        <f aca="false">F493*LOG10(S493+2)</f>
        <v>10</v>
      </c>
    </row>
    <row r="494" customFormat="false" ht="14.65" hidden="false" customHeight="true" outlineLevel="0" collapsed="false">
      <c r="A494" s="12" t="s">
        <v>541</v>
      </c>
      <c r="B494" s="13" t="n">
        <v>38879</v>
      </c>
      <c r="C494" s="3" t="s">
        <v>21</v>
      </c>
      <c r="D494" s="4" t="s">
        <v>524</v>
      </c>
      <c r="E494" s="3" t="n">
        <v>7</v>
      </c>
      <c r="F494" s="3" t="n">
        <v>10</v>
      </c>
      <c r="H494" s="3" t="n">
        <v>31</v>
      </c>
      <c r="I494" s="3" t="n">
        <f aca="false">_xlfn.IFS(G494="взв",11,G494="накл",24,G494="прокл",25,G494="пт",26,G494=90,10,G494=85,10,G494=80,9,G494=75,8,G494=70,8,G494=65,7,G494=60,7,G494=55,6,G494=50,6,G494=45,6,G494=40,5,G494=35,4,G494=30,4,G494=25,3,G494=20,2,G494=15,1,G494=10,1,G494=0,0)</f>
        <v>0</v>
      </c>
      <c r="J494" s="3" t="n">
        <f aca="false">IF(H494&lt;=1,0,IF(H494&lt;=10,11,IF(H494&lt;=14,12,IF(H494&lt;=17,13,IF(H494&lt;=20,14,IF(H494&lt;=22,15,IF(H494&lt;=25,16,IF(H494&lt;=27,17,IF(H494&lt;=29,18,IF(H494&lt;=32,19,IF(H494&lt;=34,20,IF(H494&lt;=36,21,IF(H494&lt;=40,22,24)))))))))))))</f>
        <v>19</v>
      </c>
      <c r="L494" s="3" t="n">
        <v>36</v>
      </c>
      <c r="M494" s="3" t="n">
        <f aca="false">_xlfn.IFS(K494="взв",11,K494="накл",24,K494="прокл",25,K494="пт",26,K494=90,10,K494=85,10,K494=80,9,K494=75,8,K494=70,8,K494=65,7,K494=60,7,K494=55,6,K494=50,6,K494=45,6,K494=40,5,K494=35,4,K494=30,4,K494=25,3,K494=20,2,K494=15,1,K494=10,1,K494=0,0)</f>
        <v>0</v>
      </c>
      <c r="N494" s="3" t="n">
        <f aca="false">IF(L494&lt;=1,0,IF(L494&lt;=10,11,IF(L494&lt;=14,12,IF(L494&lt;=17,13,IF(L494&lt;=20,14,IF(L494&lt;=22,15,IF(L494&lt;=25,16,IF(L494&lt;=27,17,IF(L494&lt;=29,18,IF(L494&lt;=32,19,IF(L494&lt;=34,20,IF(L494&lt;=36,21,IF(L494&lt;=40,22,24)))))))))))))</f>
        <v>21</v>
      </c>
      <c r="P494" s="3" t="n">
        <v>38</v>
      </c>
      <c r="Q494" s="3" t="n">
        <f aca="false">_xlfn.IFS(O494="взв",11,O494="накл",24,O494="прокл",25,O494="пт",26,O494=90,10,O494=85,10,O494=80,9,O494=75,8,O494=70,8,O494=65,7,O494=60,7,O494=55,6,O494=50,6,O494=45,6,O494=40,5,O494=35,4,O494=30,4,O494=25,3,O494=20,2,O494=15,1,O494=10,1,O494=0,0)</f>
        <v>0</v>
      </c>
      <c r="R494" s="3" t="n">
        <f aca="false">IF(P494&lt;=1,0,IF(P494&lt;=10,11,IF(P494&lt;=14,12,IF(P494&lt;=17,13,IF(P494&lt;=20,14,IF(P494&lt;=22,15,IF(P494&lt;=25,16,IF(P494&lt;=27,17,IF(P494&lt;=29,18,IF(P494&lt;=32,19,IF(P494&lt;=34,20,IF(P494&lt;=36,21,IF(P494&lt;=40,22,24)))))))))))))</f>
        <v>22</v>
      </c>
      <c r="S494" s="14" t="n">
        <f aca="false">ROUND((Q494+R494+I494+J494+M494+N494)/3,0)</f>
        <v>21</v>
      </c>
      <c r="T494" s="15" t="n">
        <f aca="false">F494*LOG10(S494+2)</f>
        <v>13.6172783601759</v>
      </c>
    </row>
    <row r="495" customFormat="false" ht="14.65" hidden="false" customHeight="true" outlineLevel="0" collapsed="false">
      <c r="A495" s="12" t="s">
        <v>542</v>
      </c>
      <c r="B495" s="13" t="n">
        <v>38879</v>
      </c>
      <c r="C495" s="3" t="s">
        <v>21</v>
      </c>
      <c r="D495" s="4" t="s">
        <v>524</v>
      </c>
      <c r="E495" s="3" t="n">
        <v>3</v>
      </c>
      <c r="F495" s="3" t="n">
        <v>10</v>
      </c>
      <c r="G495" s="3" t="n">
        <v>15</v>
      </c>
      <c r="I495" s="3" t="n">
        <f aca="false">_xlfn.IFS(G495="взв",11,G495="накл",24,G495="прокл",25,G495="пт",26,G495=90,10,G495=85,10,G495=80,9,G495=75,8,G495=70,8,G495=65,7,G495=60,7,G495=55,6,G495=50,6,G495=45,6,G495=40,5,G495=35,4,G495=30,4,G495=25,3,G495=20,2,G495=15,1,G495=10,1,G495=0,0)</f>
        <v>1</v>
      </c>
      <c r="J495" s="3" t="n">
        <f aca="false">IF(H495&lt;=1,0,IF(H495&lt;=10,11,IF(H495&lt;=14,12,IF(H495&lt;=17,13,IF(H495&lt;=20,14,IF(H495&lt;=22,15,IF(H495&lt;=25,16,IF(H495&lt;=27,17,IF(H495&lt;=29,18,IF(H495&lt;=32,19,IF(H495&lt;=34,20,IF(H495&lt;=36,21,IF(H495&lt;=40,22,24)))))))))))))</f>
        <v>0</v>
      </c>
      <c r="K495" s="3" t="n">
        <v>30</v>
      </c>
      <c r="M495" s="3" t="n">
        <f aca="false">_xlfn.IFS(K495="взв",11,K495="накл",24,K495="прокл",25,K495="пт",26,K495=90,10,K495=85,10,K495=80,9,K495=75,8,K495=70,8,K495=65,7,K495=60,7,K495=55,6,K495=50,6,K495=45,6,K495=40,5,K495=35,4,K495=30,4,K495=25,3,K495=20,2,K495=15,1,K495=10,1,K495=0,0)</f>
        <v>4</v>
      </c>
      <c r="N495" s="3" t="n">
        <f aca="false">IF(L495&lt;=1,0,IF(L495&lt;=10,11,IF(L495&lt;=14,12,IF(L495&lt;=17,13,IF(L495&lt;=20,14,IF(L495&lt;=22,15,IF(L495&lt;=25,16,IF(L495&lt;=27,17,IF(L495&lt;=29,18,IF(L495&lt;=32,19,IF(L495&lt;=34,20,IF(L495&lt;=36,21,IF(L495&lt;=40,22,24)))))))))))))</f>
        <v>0</v>
      </c>
      <c r="O495" s="3" t="n">
        <v>75</v>
      </c>
      <c r="Q495" s="3" t="n">
        <f aca="false">_xlfn.IFS(O495="взв",11,O495="накл",24,O495="прокл",25,O495="пт",26,O495=90,10,O495=85,10,O495=80,9,O495=75,8,O495=70,8,O495=65,7,O495=60,7,O495=55,6,O495=50,6,O495=45,6,O495=40,5,O495=35,4,O495=30,4,O495=25,3,O495=20,2,O495=15,1,O495=10,1,O495=0,0)</f>
        <v>8</v>
      </c>
      <c r="R495" s="3" t="n">
        <f aca="false">IF(P495&lt;=1,0,IF(P495&lt;=10,11,IF(P495&lt;=14,12,IF(P495&lt;=17,13,IF(P495&lt;=20,14,IF(P495&lt;=22,15,IF(P495&lt;=25,16,IF(P495&lt;=27,17,IF(P495&lt;=29,18,IF(P495&lt;=32,19,IF(P495&lt;=34,20,IF(P495&lt;=36,21,IF(P495&lt;=40,22,24)))))))))))))</f>
        <v>0</v>
      </c>
      <c r="S495" s="14" t="n">
        <f aca="false">ROUND((Q495+R495+I495+J495+M495+N495)/3,0)</f>
        <v>4</v>
      </c>
      <c r="T495" s="15" t="n">
        <f aca="false">F495*LOG10(S495+2)</f>
        <v>7.78151250383644</v>
      </c>
    </row>
    <row r="496" customFormat="false" ht="14.65" hidden="false" customHeight="true" outlineLevel="0" collapsed="false">
      <c r="A496" s="12" t="s">
        <v>543</v>
      </c>
      <c r="B496" s="13" t="n">
        <v>38879</v>
      </c>
      <c r="C496" s="3" t="s">
        <v>21</v>
      </c>
      <c r="D496" s="4" t="s">
        <v>524</v>
      </c>
      <c r="E496" s="3" t="n">
        <v>5</v>
      </c>
      <c r="F496" s="3" t="n">
        <v>0</v>
      </c>
      <c r="H496" s="3" t="n">
        <v>20</v>
      </c>
      <c r="I496" s="3" t="n">
        <f aca="false">_xlfn.IFS(G496="взв",11,G496="накл",24,G496="прокл",25,G496="пт",26,G496=90,10,G496=85,10,G496=80,9,G496=75,8,G496=70,8,G496=65,7,G496=60,7,G496=55,6,G496=50,6,G496=45,6,G496=40,5,G496=35,4,G496=30,4,G496=25,3,G496=20,2,G496=15,1,G496=10,1,G496=0,0)</f>
        <v>0</v>
      </c>
      <c r="J496" s="3" t="n">
        <f aca="false">IF(H496&lt;=1,0,IF(H496&lt;=10,11,IF(H496&lt;=14,12,IF(H496&lt;=17,13,IF(H496&lt;=20,14,IF(H496&lt;=22,15,IF(H496&lt;=25,16,IF(H496&lt;=27,17,IF(H496&lt;=29,18,IF(H496&lt;=32,19,IF(H496&lt;=34,20,IF(H496&lt;=36,21,IF(H496&lt;=40,22,24)))))))))))))</f>
        <v>14</v>
      </c>
      <c r="L496" s="3" t="n">
        <v>24</v>
      </c>
      <c r="M496" s="3" t="n">
        <f aca="false">_xlfn.IFS(K496="взв",11,K496="накл",24,K496="прокл",25,K496="пт",26,K496=90,10,K496=85,10,K496=80,9,K496=75,8,K496=70,8,K496=65,7,K496=60,7,K496=55,6,K496=50,6,K496=45,6,K496=40,5,K496=35,4,K496=30,4,K496=25,3,K496=20,2,K496=15,1,K496=10,1,K496=0,0)</f>
        <v>0</v>
      </c>
      <c r="N496" s="3" t="n">
        <f aca="false">IF(L496&lt;=1,0,IF(L496&lt;=10,11,IF(L496&lt;=14,12,IF(L496&lt;=17,13,IF(L496&lt;=20,14,IF(L496&lt;=22,15,IF(L496&lt;=25,16,IF(L496&lt;=27,17,IF(L496&lt;=29,18,IF(L496&lt;=32,19,IF(L496&lt;=34,20,IF(L496&lt;=36,21,IF(L496&lt;=40,22,24)))))))))))))</f>
        <v>16</v>
      </c>
      <c r="O496" s="3" t="n">
        <v>90</v>
      </c>
      <c r="Q496" s="3" t="n">
        <f aca="false">_xlfn.IFS(O496="взв",11,O496="накл",24,O496="прокл",25,O496="пт",26,O496=90,10,O496=85,10,O496=80,9,O496=75,8,O496=70,8,O496=65,7,O496=60,7,O496=55,6,O496=50,6,O496=45,6,O496=40,5,O496=35,4,O496=30,4,O496=25,3,O496=20,2,O496=15,1,O496=10,1,O496=0,0)</f>
        <v>10</v>
      </c>
      <c r="R496" s="3" t="n">
        <f aca="false">IF(P496&lt;=1,0,IF(P496&lt;=10,11,IF(P496&lt;=14,12,IF(P496&lt;=17,13,IF(P496&lt;=20,14,IF(P496&lt;=22,15,IF(P496&lt;=25,16,IF(P496&lt;=27,17,IF(P496&lt;=29,18,IF(P496&lt;=32,19,IF(P496&lt;=34,20,IF(P496&lt;=36,21,IF(P496&lt;=40,22,24)))))))))))))</f>
        <v>0</v>
      </c>
      <c r="S496" s="14" t="n">
        <f aca="false">ROUND((Q496+R496+I496+J496+M496+N496)/3,0)</f>
        <v>13</v>
      </c>
      <c r="T496" s="15" t="n">
        <f aca="false">F496*LOG10(S496+2)</f>
        <v>0</v>
      </c>
    </row>
    <row r="497" customFormat="false" ht="14.65" hidden="false" customHeight="true" outlineLevel="0" collapsed="false">
      <c r="A497" s="12" t="s">
        <v>544</v>
      </c>
      <c r="B497" s="13" t="n">
        <v>38879</v>
      </c>
      <c r="C497" s="3" t="s">
        <v>21</v>
      </c>
      <c r="D497" s="4" t="s">
        <v>524</v>
      </c>
      <c r="E497" s="3" t="n">
        <v>4</v>
      </c>
      <c r="F497" s="3" t="n">
        <v>0</v>
      </c>
      <c r="H497" s="3" t="n">
        <v>34</v>
      </c>
      <c r="I497" s="3" t="n">
        <f aca="false">_xlfn.IFS(G497="взв",11,G497="накл",24,G497="прокл",25,G497="пт",26,G497=90,10,G497=85,10,G497=80,9,G497=75,8,G497=70,8,G497=65,7,G497=60,7,G497=55,6,G497=50,6,G497=45,6,G497=40,5,G497=35,4,G497=30,4,G497=25,3,G497=20,2,G497=15,1,G497=10,1,G497=0,0)</f>
        <v>0</v>
      </c>
      <c r="J497" s="3" t="n">
        <f aca="false">IF(H497&lt;=1,0,IF(H497&lt;=10,11,IF(H497&lt;=14,12,IF(H497&lt;=17,13,IF(H497&lt;=20,14,IF(H497&lt;=22,15,IF(H497&lt;=25,16,IF(H497&lt;=27,17,IF(H497&lt;=29,18,IF(H497&lt;=32,19,IF(H497&lt;=34,20,IF(H497&lt;=36,21,IF(H497&lt;=40,22,24)))))))))))))</f>
        <v>20</v>
      </c>
      <c r="L497" s="3" t="n">
        <v>31</v>
      </c>
      <c r="M497" s="3" t="n">
        <f aca="false">_xlfn.IFS(K497="взв",11,K497="накл",24,K497="прокл",25,K497="пт",26,K497=90,10,K497=85,10,K497=80,9,K497=75,8,K497=70,8,K497=65,7,K497=60,7,K497=55,6,K497=50,6,K497=45,6,K497=40,5,K497=35,4,K497=30,4,K497=25,3,K497=20,2,K497=15,1,K497=10,1,K497=0,0)</f>
        <v>0</v>
      </c>
      <c r="N497" s="3" t="n">
        <f aca="false">IF(L497&lt;=1,0,IF(L497&lt;=10,11,IF(L497&lt;=14,12,IF(L497&lt;=17,13,IF(L497&lt;=20,14,IF(L497&lt;=22,15,IF(L497&lt;=25,16,IF(L497&lt;=27,17,IF(L497&lt;=29,18,IF(L497&lt;=32,19,IF(L497&lt;=34,20,IF(L497&lt;=36,21,IF(L497&lt;=40,22,24)))))))))))))</f>
        <v>19</v>
      </c>
      <c r="P497" s="3" t="n">
        <v>33</v>
      </c>
      <c r="Q497" s="3" t="n">
        <f aca="false">_xlfn.IFS(O497="взв",11,O497="накл",24,O497="прокл",25,O497="пт",26,O497=90,10,O497=85,10,O497=80,9,O497=75,8,O497=70,8,O497=65,7,O497=60,7,O497=55,6,O497=50,6,O497=45,6,O497=40,5,O497=35,4,O497=30,4,O497=25,3,O497=20,2,O497=15,1,O497=10,1,O497=0,0)</f>
        <v>0</v>
      </c>
      <c r="R497" s="3" t="n">
        <f aca="false">IF(P497&lt;=1,0,IF(P497&lt;=10,11,IF(P497&lt;=14,12,IF(P497&lt;=17,13,IF(P497&lt;=20,14,IF(P497&lt;=22,15,IF(P497&lt;=25,16,IF(P497&lt;=27,17,IF(P497&lt;=29,18,IF(P497&lt;=32,19,IF(P497&lt;=34,20,IF(P497&lt;=36,21,IF(P497&lt;=40,22,24)))))))))))))</f>
        <v>20</v>
      </c>
      <c r="S497" s="14" t="n">
        <f aca="false">ROUND((Q497+R497+I497+J497+M497+N497)/3,0)</f>
        <v>20</v>
      </c>
      <c r="T497" s="15" t="n">
        <f aca="false">F497*LOG10(S497+2)</f>
        <v>0</v>
      </c>
    </row>
    <row r="498" customFormat="false" ht="14.65" hidden="false" customHeight="true" outlineLevel="0" collapsed="false">
      <c r="A498" s="12" t="s">
        <v>545</v>
      </c>
      <c r="B498" s="13" t="n">
        <v>38879</v>
      </c>
      <c r="C498" s="3" t="s">
        <v>21</v>
      </c>
      <c r="D498" s="4" t="s">
        <v>524</v>
      </c>
      <c r="E498" s="3" t="n">
        <v>4</v>
      </c>
      <c r="F498" s="3" t="n">
        <v>0</v>
      </c>
      <c r="H498" s="3" t="n">
        <v>37</v>
      </c>
      <c r="I498" s="3" t="n">
        <f aca="false">_xlfn.IFS(G498="взв",11,G498="накл",24,G498="прокл",25,G498="пт",26,G498=90,10,G498=85,10,G498=80,9,G498=75,8,G498=70,8,G498=65,7,G498=60,7,G498=55,6,G498=50,6,G498=45,6,G498=40,5,G498=35,4,G498=30,4,G498=25,3,G498=20,2,G498=15,1,G498=10,1,G498=0,0)</f>
        <v>0</v>
      </c>
      <c r="J498" s="3" t="n">
        <f aca="false">IF(H498&lt;=1,0,IF(H498&lt;=10,11,IF(H498&lt;=14,12,IF(H498&lt;=17,13,IF(H498&lt;=20,14,IF(H498&lt;=22,15,IF(H498&lt;=25,16,IF(H498&lt;=27,17,IF(H498&lt;=29,18,IF(H498&lt;=32,19,IF(H498&lt;=34,20,IF(H498&lt;=36,21,IF(H498&lt;=40,22,24)))))))))))))</f>
        <v>22</v>
      </c>
      <c r="L498" s="3" t="n">
        <v>33</v>
      </c>
      <c r="M498" s="3" t="n">
        <f aca="false">_xlfn.IFS(K498="взв",11,K498="накл",24,K498="прокл",25,K498="пт",26,K498=90,10,K498=85,10,K498=80,9,K498=75,8,K498=70,8,K498=65,7,K498=60,7,K498=55,6,K498=50,6,K498=45,6,K498=40,5,K498=35,4,K498=30,4,K498=25,3,K498=20,2,K498=15,1,K498=10,1,K498=0,0)</f>
        <v>0</v>
      </c>
      <c r="N498" s="3" t="n">
        <f aca="false">IF(L498&lt;=1,0,IF(L498&lt;=10,11,IF(L498&lt;=14,12,IF(L498&lt;=17,13,IF(L498&lt;=20,14,IF(L498&lt;=22,15,IF(L498&lt;=25,16,IF(L498&lt;=27,17,IF(L498&lt;=29,18,IF(L498&lt;=32,19,IF(L498&lt;=34,20,IF(L498&lt;=36,21,IF(L498&lt;=40,22,24)))))))))))))</f>
        <v>20</v>
      </c>
      <c r="P498" s="3" t="n">
        <v>36</v>
      </c>
      <c r="Q498" s="3" t="n">
        <f aca="false">_xlfn.IFS(O498="взв",11,O498="накл",24,O498="прокл",25,O498="пт",26,O498=90,10,O498=85,10,O498=80,9,O498=75,8,O498=70,8,O498=65,7,O498=60,7,O498=55,6,O498=50,6,O498=45,6,O498=40,5,O498=35,4,O498=30,4,O498=25,3,O498=20,2,O498=15,1,O498=10,1,O498=0,0)</f>
        <v>0</v>
      </c>
      <c r="R498" s="3" t="n">
        <f aca="false">IF(P498&lt;=1,0,IF(P498&lt;=10,11,IF(P498&lt;=14,12,IF(P498&lt;=17,13,IF(P498&lt;=20,14,IF(P498&lt;=22,15,IF(P498&lt;=25,16,IF(P498&lt;=27,17,IF(P498&lt;=29,18,IF(P498&lt;=32,19,IF(P498&lt;=34,20,IF(P498&lt;=36,21,IF(P498&lt;=40,22,24)))))))))))))</f>
        <v>21</v>
      </c>
      <c r="S498" s="14" t="n">
        <f aca="false">ROUND((Q498+R498+I498+J498+M498+N498)/3,0)</f>
        <v>21</v>
      </c>
      <c r="T498" s="15" t="n">
        <f aca="false">F498*LOG10(S498+2)</f>
        <v>0</v>
      </c>
    </row>
    <row r="499" customFormat="false" ht="14.65" hidden="false" customHeight="true" outlineLevel="0" collapsed="false">
      <c r="A499" s="12" t="s">
        <v>546</v>
      </c>
      <c r="B499" s="13" t="n">
        <v>38879</v>
      </c>
      <c r="C499" s="3" t="s">
        <v>21</v>
      </c>
      <c r="D499" s="4" t="s">
        <v>524</v>
      </c>
      <c r="E499" s="3" t="n">
        <v>4</v>
      </c>
      <c r="F499" s="3" t="n">
        <v>0</v>
      </c>
      <c r="H499" s="3" t="n">
        <v>27</v>
      </c>
      <c r="I499" s="3" t="n">
        <f aca="false">_xlfn.IFS(G499="взв",11,G499="накл",24,G499="прокл",25,G499="пт",26,G499=90,10,G499=85,10,G499=80,9,G499=75,8,G499=70,8,G499=65,7,G499=60,7,G499=55,6,G499=50,6,G499=45,6,G499=40,5,G499=35,4,G499=30,4,G499=25,3,G499=20,2,G499=15,1,G499=10,1,G499=0,0)</f>
        <v>0</v>
      </c>
      <c r="J499" s="3" t="n">
        <f aca="false">IF(H499&lt;=1,0,IF(H499&lt;=10,11,IF(H499&lt;=14,12,IF(H499&lt;=17,13,IF(H499&lt;=20,14,IF(H499&lt;=22,15,IF(H499&lt;=25,16,IF(H499&lt;=27,17,IF(H499&lt;=29,18,IF(H499&lt;=32,19,IF(H499&lt;=34,20,IF(H499&lt;=36,21,IF(H499&lt;=40,22,24)))))))))))))</f>
        <v>17</v>
      </c>
      <c r="L499" s="3" t="n">
        <v>28</v>
      </c>
      <c r="M499" s="3" t="n">
        <f aca="false">_xlfn.IFS(K499="взв",11,K499="накл",24,K499="прокл",25,K499="пт",26,K499=90,10,K499=85,10,K499=80,9,K499=75,8,K499=70,8,K499=65,7,K499=60,7,K499=55,6,K499=50,6,K499=45,6,K499=40,5,K499=35,4,K499=30,4,K499=25,3,K499=20,2,K499=15,1,K499=10,1,K499=0,0)</f>
        <v>0</v>
      </c>
      <c r="N499" s="3" t="n">
        <f aca="false">IF(L499&lt;=1,0,IF(L499&lt;=10,11,IF(L499&lt;=14,12,IF(L499&lt;=17,13,IF(L499&lt;=20,14,IF(L499&lt;=22,15,IF(L499&lt;=25,16,IF(L499&lt;=27,17,IF(L499&lt;=29,18,IF(L499&lt;=32,19,IF(L499&lt;=34,20,IF(L499&lt;=36,21,IF(L499&lt;=40,22,24)))))))))))))</f>
        <v>18</v>
      </c>
      <c r="P499" s="3" t="n">
        <v>30</v>
      </c>
      <c r="Q499" s="3" t="n">
        <f aca="false">_xlfn.IFS(O499="взв",11,O499="накл",24,O499="прокл",25,O499="пт",26,O499=90,10,O499=85,10,O499=80,9,O499=75,8,O499=70,8,O499=65,7,O499=60,7,O499=55,6,O499=50,6,O499=45,6,O499=40,5,O499=35,4,O499=30,4,O499=25,3,O499=20,2,O499=15,1,O499=10,1,O499=0,0)</f>
        <v>0</v>
      </c>
      <c r="R499" s="3" t="n">
        <f aca="false">IF(P499&lt;=1,0,IF(P499&lt;=10,11,IF(P499&lt;=14,12,IF(P499&lt;=17,13,IF(P499&lt;=20,14,IF(P499&lt;=22,15,IF(P499&lt;=25,16,IF(P499&lt;=27,17,IF(P499&lt;=29,18,IF(P499&lt;=32,19,IF(P499&lt;=34,20,IF(P499&lt;=36,21,IF(P499&lt;=40,22,24)))))))))))))</f>
        <v>19</v>
      </c>
      <c r="S499" s="14" t="n">
        <f aca="false">ROUND((Q499+R499+I499+J499+M499+N499)/3,0)</f>
        <v>18</v>
      </c>
      <c r="T499" s="15" t="n">
        <f aca="false">F499*LOG10(S499+2)</f>
        <v>0</v>
      </c>
    </row>
    <row r="500" customFormat="false" ht="14.65" hidden="false" customHeight="true" outlineLevel="0" collapsed="false">
      <c r="A500" s="12" t="s">
        <v>547</v>
      </c>
      <c r="B500" s="13" t="n">
        <v>38878</v>
      </c>
      <c r="C500" s="3" t="s">
        <v>21</v>
      </c>
      <c r="D500" s="4" t="s">
        <v>548</v>
      </c>
      <c r="E500" s="3" t="n">
        <v>5</v>
      </c>
      <c r="F500" s="3" t="n">
        <v>1.5</v>
      </c>
      <c r="H500" s="3" t="n">
        <v>18</v>
      </c>
      <c r="I500" s="3" t="n">
        <f aca="false">_xlfn.IFS(G500="взв",11,G500="накл",24,G500="прокл",25,G500="пт",26,G500=90,10,G500=85,10,G500=80,9,G500=75,8,G500=70,8,G500=65,7,G500=60,7,G500=55,6,G500=50,6,G500=45,6,G500=40,5,G500=35,4,G500=30,4,G500=25,3,G500=20,2,G500=15,1,G500=10,1,G500=0,0)</f>
        <v>0</v>
      </c>
      <c r="J500" s="3" t="n">
        <f aca="false">IF(H500&lt;=1,0,IF(H500&lt;=10,11,IF(H500&lt;=14,12,IF(H500&lt;=17,13,IF(H500&lt;=20,14,IF(H500&lt;=22,15,IF(H500&lt;=25,16,IF(H500&lt;=27,17,IF(H500&lt;=29,18,IF(H500&lt;=32,19,IF(H500&lt;=34,20,IF(H500&lt;=36,21,IF(H500&lt;=40,22,24)))))))))))))</f>
        <v>14</v>
      </c>
      <c r="L500" s="3" t="n">
        <v>17</v>
      </c>
      <c r="M500" s="3" t="n">
        <f aca="false">_xlfn.IFS(K500="взв",11,K500="накл",24,K500="прокл",25,K500="пт",26,K500=90,10,K500=85,10,K500=80,9,K500=75,8,K500=70,8,K500=65,7,K500=60,7,K500=55,6,K500=50,6,K500=45,6,K500=40,5,K500=35,4,K500=30,4,K500=25,3,K500=20,2,K500=15,1,K500=10,1,K500=0,0)</f>
        <v>0</v>
      </c>
      <c r="N500" s="3" t="n">
        <f aca="false">IF(L500&lt;=1,0,IF(L500&lt;=10,11,IF(L500&lt;=14,12,IF(L500&lt;=17,13,IF(L500&lt;=20,14,IF(L500&lt;=22,15,IF(L500&lt;=25,16,IF(L500&lt;=27,17,IF(L500&lt;=29,18,IF(L500&lt;=32,19,IF(L500&lt;=34,20,IF(L500&lt;=36,21,IF(L500&lt;=40,22,24)))))))))))))</f>
        <v>13</v>
      </c>
      <c r="P500" s="3" t="n">
        <v>27</v>
      </c>
      <c r="Q500" s="3" t="n">
        <f aca="false">_xlfn.IFS(O500="взв",11,O500="накл",24,O500="прокл",25,O500="пт",26,O500=90,10,O500=85,10,O500=80,9,O500=75,8,O500=70,8,O500=65,7,O500=60,7,O500=55,6,O500=50,6,O500=45,6,O500=40,5,O500=35,4,O500=30,4,O500=25,3,O500=20,2,O500=15,1,O500=10,1,O500=0,0)</f>
        <v>0</v>
      </c>
      <c r="R500" s="3" t="n">
        <f aca="false">IF(P500&lt;=1,0,IF(P500&lt;=10,11,IF(P500&lt;=14,12,IF(P500&lt;=17,13,IF(P500&lt;=20,14,IF(P500&lt;=22,15,IF(P500&lt;=25,16,IF(P500&lt;=27,17,IF(P500&lt;=29,18,IF(P500&lt;=32,19,IF(P500&lt;=34,20,IF(P500&lt;=36,21,IF(P500&lt;=40,22,24)))))))))))))</f>
        <v>17</v>
      </c>
      <c r="S500" s="14" t="n">
        <f aca="false">ROUND((Q500+R500+I500+J500+M500+N500)/3,0)</f>
        <v>15</v>
      </c>
      <c r="T500" s="15" t="n">
        <f aca="false">F500*LOG10(S500+2)</f>
        <v>1.84567338206741</v>
      </c>
    </row>
    <row r="501" customFormat="false" ht="14.65" hidden="false" customHeight="true" outlineLevel="0" collapsed="false">
      <c r="A501" s="12" t="s">
        <v>549</v>
      </c>
      <c r="B501" s="13" t="n">
        <v>38878</v>
      </c>
      <c r="C501" s="3" t="s">
        <v>21</v>
      </c>
      <c r="D501" s="4" t="s">
        <v>548</v>
      </c>
      <c r="E501" s="3" t="n">
        <v>5</v>
      </c>
      <c r="F501" s="3" t="n">
        <v>4</v>
      </c>
      <c r="G501" s="3" t="n">
        <v>60</v>
      </c>
      <c r="I501" s="3" t="n">
        <f aca="false">_xlfn.IFS(G501="взв",11,G501="накл",24,G501="прокл",25,G501="пт",26,G501=90,10,G501=85,10,G501=80,9,G501=75,8,G501=70,8,G501=65,7,G501=60,7,G501=55,6,G501=50,6,G501=45,6,G501=40,5,G501=35,4,G501=30,4,G501=25,3,G501=20,2,G501=15,1,G501=10,1,G501=0,0)</f>
        <v>7</v>
      </c>
      <c r="J501" s="3" t="n">
        <f aca="false">IF(H501&lt;=1,0,IF(H501&lt;=10,11,IF(H501&lt;=14,12,IF(H501&lt;=17,13,IF(H501&lt;=20,14,IF(H501&lt;=22,15,IF(H501&lt;=25,16,IF(H501&lt;=27,17,IF(H501&lt;=29,18,IF(H501&lt;=32,19,IF(H501&lt;=34,20,IF(H501&lt;=36,21,IF(H501&lt;=40,22,24)))))))))))))</f>
        <v>0</v>
      </c>
      <c r="K501" s="3" t="n">
        <v>75</v>
      </c>
      <c r="M501" s="3" t="n">
        <f aca="false">_xlfn.IFS(K501="взв",11,K501="накл",24,K501="прокл",25,K501="пт",26,K501=90,10,K501=85,10,K501=80,9,K501=75,8,K501=70,8,K501=65,7,K501=60,7,K501=55,6,K501=50,6,K501=45,6,K501=40,5,K501=35,4,K501=30,4,K501=25,3,K501=20,2,K501=15,1,K501=10,1,K501=0,0)</f>
        <v>8</v>
      </c>
      <c r="N501" s="3" t="n">
        <f aca="false">IF(L501&lt;=1,0,IF(L501&lt;=10,11,IF(L501&lt;=14,12,IF(L501&lt;=17,13,IF(L501&lt;=20,14,IF(L501&lt;=22,15,IF(L501&lt;=25,16,IF(L501&lt;=27,17,IF(L501&lt;=29,18,IF(L501&lt;=32,19,IF(L501&lt;=34,20,IF(L501&lt;=36,21,IF(L501&lt;=40,22,24)))))))))))))</f>
        <v>0</v>
      </c>
      <c r="O501" s="3" t="n">
        <v>90</v>
      </c>
      <c r="Q501" s="3" t="n">
        <f aca="false">_xlfn.IFS(O501="взв",11,O501="накл",24,O501="прокл",25,O501="пт",26,O501=90,10,O501=85,10,O501=80,9,O501=75,8,O501=70,8,O501=65,7,O501=60,7,O501=55,6,O501=50,6,O501=45,6,O501=40,5,O501=35,4,O501=30,4,O501=25,3,O501=20,2,O501=15,1,O501=10,1,O501=0,0)</f>
        <v>10</v>
      </c>
      <c r="R501" s="3" t="n">
        <f aca="false">IF(P501&lt;=1,0,IF(P501&lt;=10,11,IF(P501&lt;=14,12,IF(P501&lt;=17,13,IF(P501&lt;=20,14,IF(P501&lt;=22,15,IF(P501&lt;=25,16,IF(P501&lt;=27,17,IF(P501&lt;=29,18,IF(P501&lt;=32,19,IF(P501&lt;=34,20,IF(P501&lt;=36,21,IF(P501&lt;=40,22,24)))))))))))))</f>
        <v>0</v>
      </c>
      <c r="S501" s="14" t="n">
        <f aca="false">ROUND((Q501+R501+I501+J501+M501+N501)/3,0)</f>
        <v>8</v>
      </c>
      <c r="T501" s="15" t="n">
        <f aca="false">F501*LOG10(S501+2)</f>
        <v>4</v>
      </c>
    </row>
    <row r="502" customFormat="false" ht="14.65" hidden="false" customHeight="true" outlineLevel="0" collapsed="false">
      <c r="A502" s="12" t="s">
        <v>550</v>
      </c>
      <c r="B502" s="13" t="n">
        <v>38878</v>
      </c>
      <c r="C502" s="3" t="s">
        <v>21</v>
      </c>
      <c r="D502" s="4" t="s">
        <v>548</v>
      </c>
      <c r="E502" s="3" t="n">
        <v>4</v>
      </c>
      <c r="F502" s="3" t="n">
        <v>6</v>
      </c>
      <c r="G502" s="3" t="n">
        <v>15</v>
      </c>
      <c r="I502" s="3" t="n">
        <f aca="false">_xlfn.IFS(G502="взв",11,G502="накл",24,G502="прокл",25,G502="пт",26,G502=90,10,G502=85,10,G502=80,9,G502=75,8,G502=70,8,G502=65,7,G502=60,7,G502=55,6,G502=50,6,G502=45,6,G502=40,5,G502=35,4,G502=30,4,G502=25,3,G502=20,2,G502=15,1,G502=10,1,G502=0,0)</f>
        <v>1</v>
      </c>
      <c r="J502" s="3" t="n">
        <f aca="false">IF(H502&lt;=1,0,IF(H502&lt;=10,11,IF(H502&lt;=14,12,IF(H502&lt;=17,13,IF(H502&lt;=20,14,IF(H502&lt;=22,15,IF(H502&lt;=25,16,IF(H502&lt;=27,17,IF(H502&lt;=29,18,IF(H502&lt;=32,19,IF(H502&lt;=34,20,IF(H502&lt;=36,21,IF(H502&lt;=40,22,24)))))))))))))</f>
        <v>0</v>
      </c>
      <c r="K502" s="3" t="n">
        <v>15</v>
      </c>
      <c r="M502" s="3" t="n">
        <f aca="false">_xlfn.IFS(K502="взв",11,K502="накл",24,K502="прокл",25,K502="пт",26,K502=90,10,K502=85,10,K502=80,9,K502=75,8,K502=70,8,K502=65,7,K502=60,7,K502=55,6,K502=50,6,K502=45,6,K502=40,5,K502=35,4,K502=30,4,K502=25,3,K502=20,2,K502=15,1,K502=10,1,K502=0,0)</f>
        <v>1</v>
      </c>
      <c r="N502" s="3" t="n">
        <f aca="false">IF(L502&lt;=1,0,IF(L502&lt;=10,11,IF(L502&lt;=14,12,IF(L502&lt;=17,13,IF(L502&lt;=20,14,IF(L502&lt;=22,15,IF(L502&lt;=25,16,IF(L502&lt;=27,17,IF(L502&lt;=29,18,IF(L502&lt;=32,19,IF(L502&lt;=34,20,IF(L502&lt;=36,21,IF(L502&lt;=40,22,24)))))))))))))</f>
        <v>0</v>
      </c>
      <c r="O502" s="3" t="n">
        <v>30</v>
      </c>
      <c r="Q502" s="3" t="n">
        <f aca="false">_xlfn.IFS(O502="взв",11,O502="накл",24,O502="прокл",25,O502="пт",26,O502=90,10,O502=85,10,O502=80,9,O502=75,8,O502=70,8,O502=65,7,O502=60,7,O502=55,6,O502=50,6,O502=45,6,O502=40,5,O502=35,4,O502=30,4,O502=25,3,O502=20,2,O502=15,1,O502=10,1,O502=0,0)</f>
        <v>4</v>
      </c>
      <c r="R502" s="3" t="n">
        <f aca="false">IF(P502&lt;=1,0,IF(P502&lt;=10,11,IF(P502&lt;=14,12,IF(P502&lt;=17,13,IF(P502&lt;=20,14,IF(P502&lt;=22,15,IF(P502&lt;=25,16,IF(P502&lt;=27,17,IF(P502&lt;=29,18,IF(P502&lt;=32,19,IF(P502&lt;=34,20,IF(P502&lt;=36,21,IF(P502&lt;=40,22,24)))))))))))))</f>
        <v>0</v>
      </c>
      <c r="S502" s="14" t="n">
        <f aca="false">ROUND((Q502+R502+I502+J502+M502+N502)/3,0)</f>
        <v>2</v>
      </c>
      <c r="T502" s="15" t="n">
        <f aca="false">F502*LOG10(S502+2)</f>
        <v>3.61235994796777</v>
      </c>
    </row>
    <row r="503" customFormat="false" ht="14.65" hidden="false" customHeight="true" outlineLevel="0" collapsed="false">
      <c r="A503" s="12" t="s">
        <v>551</v>
      </c>
      <c r="B503" s="13" t="n">
        <v>38878</v>
      </c>
      <c r="C503" s="3" t="s">
        <v>21</v>
      </c>
      <c r="D503" s="4" t="s">
        <v>548</v>
      </c>
      <c r="E503" s="3" t="n">
        <v>5</v>
      </c>
      <c r="F503" s="3" t="n">
        <v>8</v>
      </c>
      <c r="H503" s="3" t="n">
        <v>35</v>
      </c>
      <c r="I503" s="3" t="n">
        <f aca="false">_xlfn.IFS(G503="взв",11,G503="накл",24,G503="прокл",25,G503="пт",26,G503=90,10,G503=85,10,G503=80,9,G503=75,8,G503=70,8,G503=65,7,G503=60,7,G503=55,6,G503=50,6,G503=45,6,G503=40,5,G503=35,4,G503=30,4,G503=25,3,G503=20,2,G503=15,1,G503=10,1,G503=0,0)</f>
        <v>0</v>
      </c>
      <c r="J503" s="3" t="n">
        <f aca="false">IF(H503&lt;=1,0,IF(H503&lt;=10,11,IF(H503&lt;=14,12,IF(H503&lt;=17,13,IF(H503&lt;=20,14,IF(H503&lt;=22,15,IF(H503&lt;=25,16,IF(H503&lt;=27,17,IF(H503&lt;=29,18,IF(H503&lt;=32,19,IF(H503&lt;=34,20,IF(H503&lt;=36,21,IF(H503&lt;=40,22,24)))))))))))))</f>
        <v>21</v>
      </c>
      <c r="L503" s="3" t="n">
        <v>33</v>
      </c>
      <c r="M503" s="3" t="n">
        <f aca="false">_xlfn.IFS(K503="взв",11,K503="накл",24,K503="прокл",25,K503="пт",26,K503=90,10,K503=85,10,K503=80,9,K503=75,8,K503=70,8,K503=65,7,K503=60,7,K503=55,6,K503=50,6,K503=45,6,K503=40,5,K503=35,4,K503=30,4,K503=25,3,K503=20,2,K503=15,1,K503=10,1,K503=0,0)</f>
        <v>0</v>
      </c>
      <c r="N503" s="3" t="n">
        <f aca="false">IF(L503&lt;=1,0,IF(L503&lt;=10,11,IF(L503&lt;=14,12,IF(L503&lt;=17,13,IF(L503&lt;=20,14,IF(L503&lt;=22,15,IF(L503&lt;=25,16,IF(L503&lt;=27,17,IF(L503&lt;=29,18,IF(L503&lt;=32,19,IF(L503&lt;=34,20,IF(L503&lt;=36,21,IF(L503&lt;=40,22,24)))))))))))))</f>
        <v>20</v>
      </c>
      <c r="P503" s="3" t="n">
        <v>34</v>
      </c>
      <c r="Q503" s="3" t="n">
        <f aca="false">_xlfn.IFS(O503="взв",11,O503="накл",24,O503="прокл",25,O503="пт",26,O503=90,10,O503=85,10,O503=80,9,O503=75,8,O503=70,8,O503=65,7,O503=60,7,O503=55,6,O503=50,6,O503=45,6,O503=40,5,O503=35,4,O503=30,4,O503=25,3,O503=20,2,O503=15,1,O503=10,1,O503=0,0)</f>
        <v>0</v>
      </c>
      <c r="R503" s="3" t="n">
        <f aca="false">IF(P503&lt;=1,0,IF(P503&lt;=10,11,IF(P503&lt;=14,12,IF(P503&lt;=17,13,IF(P503&lt;=20,14,IF(P503&lt;=22,15,IF(P503&lt;=25,16,IF(P503&lt;=27,17,IF(P503&lt;=29,18,IF(P503&lt;=32,19,IF(P503&lt;=34,20,IF(P503&lt;=36,21,IF(P503&lt;=40,22,24)))))))))))))</f>
        <v>20</v>
      </c>
      <c r="S503" s="14" t="n">
        <f aca="false">ROUND((Q503+R503+I503+J503+M503+N503)/3,0)</f>
        <v>20</v>
      </c>
      <c r="T503" s="15" t="n">
        <f aca="false">F503*LOG10(S503+2)</f>
        <v>10.7393814465777</v>
      </c>
    </row>
    <row r="504" customFormat="false" ht="14.65" hidden="false" customHeight="true" outlineLevel="0" collapsed="false">
      <c r="A504" s="12" t="s">
        <v>552</v>
      </c>
      <c r="B504" s="13" t="n">
        <v>38878</v>
      </c>
      <c r="C504" s="3" t="s">
        <v>21</v>
      </c>
      <c r="D504" s="4" t="s">
        <v>548</v>
      </c>
      <c r="E504" s="3" t="n">
        <v>4</v>
      </c>
      <c r="F504" s="3" t="n">
        <v>10</v>
      </c>
      <c r="G504" s="3" t="n">
        <v>30</v>
      </c>
      <c r="I504" s="3" t="n">
        <f aca="false">_xlfn.IFS(G504="взв",11,G504="накл",24,G504="прокл",25,G504="пт",26,G504=90,10,G504=85,10,G504=80,9,G504=75,8,G504=70,8,G504=65,7,G504=60,7,G504=55,6,G504=50,6,G504=45,6,G504=40,5,G504=35,4,G504=30,4,G504=25,3,G504=20,2,G504=15,1,G504=10,1,G504=0,0)</f>
        <v>4</v>
      </c>
      <c r="J504" s="3" t="n">
        <f aca="false">IF(H504&lt;=1,0,IF(H504&lt;=10,11,IF(H504&lt;=14,12,IF(H504&lt;=17,13,IF(H504&lt;=20,14,IF(H504&lt;=22,15,IF(H504&lt;=25,16,IF(H504&lt;=27,17,IF(H504&lt;=29,18,IF(H504&lt;=32,19,IF(H504&lt;=34,20,IF(H504&lt;=36,21,IF(H504&lt;=40,22,24)))))))))))))</f>
        <v>0</v>
      </c>
      <c r="K504" s="3" t="n">
        <v>15</v>
      </c>
      <c r="M504" s="3" t="n">
        <f aca="false">_xlfn.IFS(K504="взв",11,K504="накл",24,K504="прокл",25,K504="пт",26,K504=90,10,K504=85,10,K504=80,9,K504=75,8,K504=70,8,K504=65,7,K504=60,7,K504=55,6,K504=50,6,K504=45,6,K504=40,5,K504=35,4,K504=30,4,K504=25,3,K504=20,2,K504=15,1,K504=10,1,K504=0,0)</f>
        <v>1</v>
      </c>
      <c r="N504" s="3" t="n">
        <f aca="false">IF(L504&lt;=1,0,IF(L504&lt;=10,11,IF(L504&lt;=14,12,IF(L504&lt;=17,13,IF(L504&lt;=20,14,IF(L504&lt;=22,15,IF(L504&lt;=25,16,IF(L504&lt;=27,17,IF(L504&lt;=29,18,IF(L504&lt;=32,19,IF(L504&lt;=34,20,IF(L504&lt;=36,21,IF(L504&lt;=40,22,24)))))))))))))</f>
        <v>0</v>
      </c>
      <c r="O504" s="3" t="n">
        <v>0</v>
      </c>
      <c r="Q504" s="3" t="n">
        <f aca="false">_xlfn.IFS(O504="взв",11,O504="накл",24,O504="прокл",25,O504="пт",26,O504=90,10,O504=85,10,O504=80,9,O504=75,8,O504=70,8,O504=65,7,O504=60,7,O504=55,6,O504=50,6,O504=45,6,O504=40,5,O504=35,4,O504=30,4,O504=25,3,O504=20,2,O504=15,1,O504=10,1,O504=0,0)</f>
        <v>0</v>
      </c>
      <c r="R504" s="3" t="n">
        <f aca="false">IF(P504&lt;=1,0,IF(P504&lt;=10,11,IF(P504&lt;=14,12,IF(P504&lt;=17,13,IF(P504&lt;=20,14,IF(P504&lt;=22,15,IF(P504&lt;=25,16,IF(P504&lt;=27,17,IF(P504&lt;=29,18,IF(P504&lt;=32,19,IF(P504&lt;=34,20,IF(P504&lt;=36,21,IF(P504&lt;=40,22,24)))))))))))))</f>
        <v>0</v>
      </c>
      <c r="S504" s="14" t="n">
        <f aca="false">ROUND((Q504+R504+I504+J504+M504+N504)/3,0)</f>
        <v>2</v>
      </c>
      <c r="T504" s="15" t="n">
        <f aca="false">F504*LOG10(S504+2)</f>
        <v>6.02059991327962</v>
      </c>
    </row>
    <row r="505" customFormat="false" ht="14.65" hidden="false" customHeight="true" outlineLevel="0" collapsed="false">
      <c r="A505" s="12" t="s">
        <v>553</v>
      </c>
      <c r="B505" s="13" t="n">
        <v>38878</v>
      </c>
      <c r="C505" s="3" t="s">
        <v>21</v>
      </c>
      <c r="D505" s="4" t="s">
        <v>548</v>
      </c>
      <c r="E505" s="3" t="n">
        <v>6</v>
      </c>
      <c r="F505" s="3" t="n">
        <v>0</v>
      </c>
      <c r="H505" s="3" t="n">
        <v>34</v>
      </c>
      <c r="I505" s="3" t="n">
        <f aca="false">_xlfn.IFS(G505="взв",11,G505="накл",24,G505="прокл",25,G505="пт",26,G505=90,10,G505=85,10,G505=80,9,G505=75,8,G505=70,8,G505=65,7,G505=60,7,G505=55,6,G505=50,6,G505=45,6,G505=40,5,G505=35,4,G505=30,4,G505=25,3,G505=20,2,G505=15,1,G505=10,1,G505=0,0)</f>
        <v>0</v>
      </c>
      <c r="J505" s="3" t="n">
        <f aca="false">IF(H505&lt;=1,0,IF(H505&lt;=10,11,IF(H505&lt;=14,12,IF(H505&lt;=17,13,IF(H505&lt;=20,14,IF(H505&lt;=22,15,IF(H505&lt;=25,16,IF(H505&lt;=27,17,IF(H505&lt;=29,18,IF(H505&lt;=32,19,IF(H505&lt;=34,20,IF(H505&lt;=36,21,IF(H505&lt;=40,22,24)))))))))))))</f>
        <v>20</v>
      </c>
      <c r="L505" s="3" t="n">
        <v>39</v>
      </c>
      <c r="M505" s="3" t="n">
        <f aca="false">_xlfn.IFS(K505="взв",11,K505="накл",24,K505="прокл",25,K505="пт",26,K505=90,10,K505=85,10,K505=80,9,K505=75,8,K505=70,8,K505=65,7,K505=60,7,K505=55,6,K505=50,6,K505=45,6,K505=40,5,K505=35,4,K505=30,4,K505=25,3,K505=20,2,K505=15,1,K505=10,1,K505=0,0)</f>
        <v>0</v>
      </c>
      <c r="N505" s="3" t="n">
        <f aca="false">IF(L505&lt;=1,0,IF(L505&lt;=10,11,IF(L505&lt;=14,12,IF(L505&lt;=17,13,IF(L505&lt;=20,14,IF(L505&lt;=22,15,IF(L505&lt;=25,16,IF(L505&lt;=27,17,IF(L505&lt;=29,18,IF(L505&lt;=32,19,IF(L505&lt;=34,20,IF(L505&lt;=36,21,IF(L505&lt;=40,22,24)))))))))))))</f>
        <v>22</v>
      </c>
      <c r="P505" s="3" t="n">
        <v>37</v>
      </c>
      <c r="Q505" s="3" t="n">
        <f aca="false">_xlfn.IFS(O505="взв",11,O505="накл",24,O505="прокл",25,O505="пт",26,O505=90,10,O505=85,10,O505=80,9,O505=75,8,O505=70,8,O505=65,7,O505=60,7,O505=55,6,O505=50,6,O505=45,6,O505=40,5,O505=35,4,O505=30,4,O505=25,3,O505=20,2,O505=15,1,O505=10,1,O505=0,0)</f>
        <v>0</v>
      </c>
      <c r="R505" s="3" t="n">
        <f aca="false">IF(P505&lt;=1,0,IF(P505&lt;=10,11,IF(P505&lt;=14,12,IF(P505&lt;=17,13,IF(P505&lt;=20,14,IF(P505&lt;=22,15,IF(P505&lt;=25,16,IF(P505&lt;=27,17,IF(P505&lt;=29,18,IF(P505&lt;=32,19,IF(P505&lt;=34,20,IF(P505&lt;=36,21,IF(P505&lt;=40,22,24)))))))))))))</f>
        <v>22</v>
      </c>
      <c r="S505" s="14" t="n">
        <f aca="false">ROUND((Q505+R505+I505+J505+M505+N505)/3,0)</f>
        <v>21</v>
      </c>
      <c r="T505" s="15" t="n">
        <f aca="false">F505*LOG10(S505+2)</f>
        <v>0</v>
      </c>
    </row>
    <row r="506" customFormat="false" ht="14.65" hidden="false" customHeight="true" outlineLevel="0" collapsed="false">
      <c r="A506" s="12" t="s">
        <v>554</v>
      </c>
      <c r="B506" s="13" t="n">
        <v>38878</v>
      </c>
      <c r="C506" s="3" t="s">
        <v>21</v>
      </c>
      <c r="D506" s="4" t="s">
        <v>548</v>
      </c>
      <c r="E506" s="3" t="n">
        <v>6</v>
      </c>
      <c r="F506" s="3" t="n">
        <v>0</v>
      </c>
      <c r="H506" s="3" t="n">
        <v>35</v>
      </c>
      <c r="I506" s="3" t="n">
        <f aca="false">_xlfn.IFS(G506="взв",11,G506="накл",24,G506="прокл",25,G506="пт",26,G506=90,10,G506=85,10,G506=80,9,G506=75,8,G506=70,8,G506=65,7,G506=60,7,G506=55,6,G506=50,6,G506=45,6,G506=40,5,G506=35,4,G506=30,4,G506=25,3,G506=20,2,G506=15,1,G506=10,1,G506=0,0)</f>
        <v>0</v>
      </c>
      <c r="J506" s="3" t="n">
        <f aca="false">IF(H506&lt;=1,0,IF(H506&lt;=10,11,IF(H506&lt;=14,12,IF(H506&lt;=17,13,IF(H506&lt;=20,14,IF(H506&lt;=22,15,IF(H506&lt;=25,16,IF(H506&lt;=27,17,IF(H506&lt;=29,18,IF(H506&lt;=32,19,IF(H506&lt;=34,20,IF(H506&lt;=36,21,IF(H506&lt;=40,22,24)))))))))))))</f>
        <v>21</v>
      </c>
      <c r="L506" s="3" t="n">
        <v>37</v>
      </c>
      <c r="M506" s="3" t="n">
        <f aca="false">_xlfn.IFS(K506="взв",11,K506="накл",24,K506="прокл",25,K506="пт",26,K506=90,10,K506=85,10,K506=80,9,K506=75,8,K506=70,8,K506=65,7,K506=60,7,K506=55,6,K506=50,6,K506=45,6,K506=40,5,K506=35,4,K506=30,4,K506=25,3,K506=20,2,K506=15,1,K506=10,1,K506=0,0)</f>
        <v>0</v>
      </c>
      <c r="N506" s="3" t="n">
        <f aca="false">IF(L506&lt;=1,0,IF(L506&lt;=10,11,IF(L506&lt;=14,12,IF(L506&lt;=17,13,IF(L506&lt;=20,14,IF(L506&lt;=22,15,IF(L506&lt;=25,16,IF(L506&lt;=27,17,IF(L506&lt;=29,18,IF(L506&lt;=32,19,IF(L506&lt;=34,20,IF(L506&lt;=36,21,IF(L506&lt;=40,22,24)))))))))))))</f>
        <v>22</v>
      </c>
      <c r="P506" s="3" t="n">
        <v>37</v>
      </c>
      <c r="Q506" s="3" t="n">
        <f aca="false">_xlfn.IFS(O506="взв",11,O506="накл",24,O506="прокл",25,O506="пт",26,O506=90,10,O506=85,10,O506=80,9,O506=75,8,O506=70,8,O506=65,7,O506=60,7,O506=55,6,O506=50,6,O506=45,6,O506=40,5,O506=35,4,O506=30,4,O506=25,3,O506=20,2,O506=15,1,O506=10,1,O506=0,0)</f>
        <v>0</v>
      </c>
      <c r="R506" s="3" t="n">
        <f aca="false">IF(P506&lt;=1,0,IF(P506&lt;=10,11,IF(P506&lt;=14,12,IF(P506&lt;=17,13,IF(P506&lt;=20,14,IF(P506&lt;=22,15,IF(P506&lt;=25,16,IF(P506&lt;=27,17,IF(P506&lt;=29,18,IF(P506&lt;=32,19,IF(P506&lt;=34,20,IF(P506&lt;=36,21,IF(P506&lt;=40,22,24)))))))))))))</f>
        <v>22</v>
      </c>
      <c r="S506" s="14" t="n">
        <f aca="false">ROUND((Q506+R506+I506+J506+M506+N506)/3,0)</f>
        <v>22</v>
      </c>
      <c r="T506" s="15" t="n">
        <f aca="false">F506*LOG10(S506+2)</f>
        <v>0</v>
      </c>
    </row>
    <row r="507" customFormat="false" ht="14.65" hidden="false" customHeight="true" outlineLevel="0" collapsed="false">
      <c r="A507" s="12" t="s">
        <v>555</v>
      </c>
      <c r="B507" s="16" t="n">
        <v>38883</v>
      </c>
      <c r="C507" s="17" t="s">
        <v>228</v>
      </c>
      <c r="D507" s="18" t="s">
        <v>556</v>
      </c>
      <c r="E507" s="3" t="n">
        <v>4</v>
      </c>
      <c r="F507" s="3" t="n">
        <v>15</v>
      </c>
      <c r="G507" s="3" t="n">
        <v>30</v>
      </c>
      <c r="I507" s="3" t="n">
        <f aca="false">_xlfn.IFS(G507="взв",11,G507="накл",24,G507="прокл",25,G507="пт",26,G507=90,10,G507=85,10,G507=80,9,G507=75,8,G507=70,8,G507=65,7,G507=60,7,G507=55,6,G507=50,6,G507=45,6,G507=40,5,G507=35,4,G507=30,4,G507=25,3,G507=20,2,G507=15,1,G507=10,1,G507=0,0)</f>
        <v>4</v>
      </c>
      <c r="J507" s="3" t="n">
        <f aca="false">IF(H507&lt;=1,0,IF(H507&lt;=10,11,IF(H507&lt;=14,12,IF(H507&lt;=17,13,IF(H507&lt;=20,14,IF(H507&lt;=22,15,IF(H507&lt;=25,16,IF(H507&lt;=27,17,IF(H507&lt;=29,18,IF(H507&lt;=32,19,IF(H507&lt;=34,20,IF(H507&lt;=36,21,IF(H507&lt;=40,22,24)))))))))))))</f>
        <v>0</v>
      </c>
      <c r="K507" s="3" t="n">
        <v>30</v>
      </c>
      <c r="M507" s="3" t="n">
        <f aca="false">_xlfn.IFS(K507="взв",11,K507="накл",24,K507="прокл",25,K507="пт",26,K507=90,10,K507=85,10,K507=80,9,K507=75,8,K507=70,8,K507=65,7,K507=60,7,K507=55,6,K507=50,6,K507=45,6,K507=40,5,K507=35,4,K507=30,4,K507=25,3,K507=20,2,K507=15,1,K507=10,1,K507=0,0)</f>
        <v>4</v>
      </c>
      <c r="N507" s="3" t="n">
        <f aca="false">IF(L507&lt;=1,0,IF(L507&lt;=10,11,IF(L507&lt;=14,12,IF(L507&lt;=17,13,IF(L507&lt;=20,14,IF(L507&lt;=22,15,IF(L507&lt;=25,16,IF(L507&lt;=27,17,IF(L507&lt;=29,18,IF(L507&lt;=32,19,IF(L507&lt;=34,20,IF(L507&lt;=36,21,IF(L507&lt;=40,22,24)))))))))))))</f>
        <v>0</v>
      </c>
      <c r="O507" s="3" t="n">
        <v>30</v>
      </c>
      <c r="Q507" s="3" t="n">
        <f aca="false">_xlfn.IFS(O507="взв",11,O507="накл",24,O507="прокл",25,O507="пт",26,O507=90,10,O507=85,10,O507=80,9,O507=75,8,O507=70,8,O507=65,7,O507=60,7,O507=55,6,O507=50,6,O507=45,6,O507=40,5,O507=35,4,O507=30,4,O507=25,3,O507=20,2,O507=15,1,O507=10,1,O507=0,0)</f>
        <v>4</v>
      </c>
      <c r="R507" s="3" t="n">
        <f aca="false">IF(P507&lt;=1,0,IF(P507&lt;=10,11,IF(P507&lt;=14,12,IF(P507&lt;=17,13,IF(P507&lt;=20,14,IF(P507&lt;=22,15,IF(P507&lt;=25,16,IF(P507&lt;=27,17,IF(P507&lt;=29,18,IF(P507&lt;=32,19,IF(P507&lt;=34,20,IF(P507&lt;=36,21,IF(P507&lt;=40,22,24)))))))))))))</f>
        <v>0</v>
      </c>
      <c r="S507" s="14" t="n">
        <f aca="false">ROUND((Q507+R507+I507+J507+M507+N507)/3,0)</f>
        <v>4</v>
      </c>
      <c r="T507" s="15" t="n">
        <f aca="false">F507*LOG10(S507+2)</f>
        <v>11.6722687557547</v>
      </c>
    </row>
    <row r="508" customFormat="false" ht="14.65" hidden="false" customHeight="true" outlineLevel="0" collapsed="false">
      <c r="A508" s="12" t="s">
        <v>557</v>
      </c>
      <c r="B508" s="16" t="n">
        <v>38888</v>
      </c>
      <c r="C508" s="17" t="s">
        <v>228</v>
      </c>
      <c r="D508" s="18" t="s">
        <v>558</v>
      </c>
      <c r="E508" s="3" t="n">
        <v>3</v>
      </c>
      <c r="F508" s="3" t="n">
        <v>3</v>
      </c>
      <c r="G508" s="3" t="n">
        <v>45</v>
      </c>
      <c r="I508" s="3" t="n">
        <f aca="false">_xlfn.IFS(G508="взв",11,G508="накл",24,G508="прокл",25,G508="пт",26,G508=90,10,G508=85,10,G508=80,9,G508=75,8,G508=70,8,G508=65,7,G508=60,7,G508=55,6,G508=50,6,G508=45,6,G508=40,5,G508=35,4,G508=30,4,G508=25,3,G508=20,2,G508=15,1,G508=10,1,G508=0,0)</f>
        <v>6</v>
      </c>
      <c r="J508" s="3" t="n">
        <f aca="false">IF(H508&lt;=1,0,IF(H508&lt;=10,11,IF(H508&lt;=14,12,IF(H508&lt;=17,13,IF(H508&lt;=20,14,IF(H508&lt;=22,15,IF(H508&lt;=25,16,IF(H508&lt;=27,17,IF(H508&lt;=29,18,IF(H508&lt;=32,19,IF(H508&lt;=34,20,IF(H508&lt;=36,21,IF(H508&lt;=40,22,24)))))))))))))</f>
        <v>0</v>
      </c>
      <c r="L508" s="3" t="n">
        <v>27</v>
      </c>
      <c r="M508" s="3" t="n">
        <f aca="false">_xlfn.IFS(K508="взв",11,K508="накл",24,K508="прокл",25,K508="пт",26,K508=90,10,K508=85,10,K508=80,9,K508=75,8,K508=70,8,K508=65,7,K508=60,7,K508=55,6,K508=50,6,K508=45,6,K508=40,5,K508=35,4,K508=30,4,K508=25,3,K508=20,2,K508=15,1,K508=10,1,K508=0,0)</f>
        <v>0</v>
      </c>
      <c r="N508" s="3" t="n">
        <f aca="false">IF(L508&lt;=1,0,IF(L508&lt;=10,11,IF(L508&lt;=14,12,IF(L508&lt;=17,13,IF(L508&lt;=20,14,IF(L508&lt;=22,15,IF(L508&lt;=25,16,IF(L508&lt;=27,17,IF(L508&lt;=29,18,IF(L508&lt;=32,19,IF(L508&lt;=34,20,IF(L508&lt;=36,21,IF(L508&lt;=40,22,24)))))))))))))</f>
        <v>17</v>
      </c>
      <c r="P508" s="3" t="n">
        <v>23</v>
      </c>
      <c r="Q508" s="3" t="n">
        <f aca="false">_xlfn.IFS(O508="взв",11,O508="накл",24,O508="прокл",25,O508="пт",26,O508=90,10,O508=85,10,O508=80,9,O508=75,8,O508=70,8,O508=65,7,O508=60,7,O508=55,6,O508=50,6,O508=45,6,O508=40,5,O508=35,4,O508=30,4,O508=25,3,O508=20,2,O508=15,1,O508=10,1,O508=0,0)</f>
        <v>0</v>
      </c>
      <c r="R508" s="3" t="n">
        <f aca="false">IF(P508&lt;=1,0,IF(P508&lt;=10,11,IF(P508&lt;=14,12,IF(P508&lt;=17,13,IF(P508&lt;=20,14,IF(P508&lt;=22,15,IF(P508&lt;=25,16,IF(P508&lt;=27,17,IF(P508&lt;=29,18,IF(P508&lt;=32,19,IF(P508&lt;=34,20,IF(P508&lt;=36,21,IF(P508&lt;=40,22,24)))))))))))))</f>
        <v>16</v>
      </c>
      <c r="S508" s="14" t="n">
        <f aca="false">ROUND((Q508+R508+I508+J508+M508+N508)/3,0)</f>
        <v>13</v>
      </c>
      <c r="T508" s="15" t="n">
        <f aca="false">F508*LOG10(S508+2)</f>
        <v>3.52827377716704</v>
      </c>
    </row>
    <row r="509" customFormat="false" ht="14.65" hidden="false" customHeight="true" outlineLevel="0" collapsed="false">
      <c r="A509" s="12" t="s">
        <v>559</v>
      </c>
      <c r="B509" s="16" t="n">
        <v>38888</v>
      </c>
      <c r="C509" s="17" t="s">
        <v>228</v>
      </c>
      <c r="D509" s="18" t="s">
        <v>558</v>
      </c>
      <c r="E509" s="3" t="n">
        <v>6</v>
      </c>
      <c r="F509" s="3" t="n">
        <v>5</v>
      </c>
      <c r="H509" s="3" t="n">
        <v>15</v>
      </c>
      <c r="I509" s="3" t="n">
        <f aca="false">_xlfn.IFS(G509="взв",11,G509="накл",24,G509="прокл",25,G509="пт",26,G509=90,10,G509=85,10,G509=80,9,G509=75,8,G509=70,8,G509=65,7,G509=60,7,G509=55,6,G509=50,6,G509=45,6,G509=40,5,G509=35,4,G509=30,4,G509=25,3,G509=20,2,G509=15,1,G509=10,1,G509=0,0)</f>
        <v>0</v>
      </c>
      <c r="J509" s="3" t="n">
        <f aca="false">IF(H509&lt;=1,0,IF(H509&lt;=10,11,IF(H509&lt;=14,12,IF(H509&lt;=17,13,IF(H509&lt;=20,14,IF(H509&lt;=22,15,IF(H509&lt;=25,16,IF(H509&lt;=27,17,IF(H509&lt;=29,18,IF(H509&lt;=32,19,IF(H509&lt;=34,20,IF(H509&lt;=36,21,IF(H509&lt;=40,22,24)))))))))))))</f>
        <v>13</v>
      </c>
      <c r="L509" s="3" t="n">
        <v>22</v>
      </c>
      <c r="M509" s="3" t="n">
        <f aca="false">_xlfn.IFS(K509="взв",11,K509="накл",24,K509="прокл",25,K509="пт",26,K509=90,10,K509=85,10,K509=80,9,K509=75,8,K509=70,8,K509=65,7,K509=60,7,K509=55,6,K509=50,6,K509=45,6,K509=40,5,K509=35,4,K509=30,4,K509=25,3,K509=20,2,K509=15,1,K509=10,1,K509=0,0)</f>
        <v>0</v>
      </c>
      <c r="N509" s="3" t="n">
        <f aca="false">IF(L509&lt;=1,0,IF(L509&lt;=10,11,IF(L509&lt;=14,12,IF(L509&lt;=17,13,IF(L509&lt;=20,14,IF(L509&lt;=22,15,IF(L509&lt;=25,16,IF(L509&lt;=27,17,IF(L509&lt;=29,18,IF(L509&lt;=32,19,IF(L509&lt;=34,20,IF(L509&lt;=36,21,IF(L509&lt;=40,22,24)))))))))))))</f>
        <v>15</v>
      </c>
      <c r="O509" s="3" t="n">
        <v>90</v>
      </c>
      <c r="Q509" s="3" t="n">
        <f aca="false">_xlfn.IFS(O509="взв",11,O509="накл",24,O509="прокл",25,O509="пт",26,O509=90,10,O509=85,10,O509=80,9,O509=75,8,O509=70,8,O509=65,7,O509=60,7,O509=55,6,O509=50,6,O509=45,6,O509=40,5,O509=35,4,O509=30,4,O509=25,3,O509=20,2,O509=15,1,O509=10,1,O509=0,0)</f>
        <v>10</v>
      </c>
      <c r="R509" s="3" t="n">
        <f aca="false">IF(P509&lt;=1,0,IF(P509&lt;=10,11,IF(P509&lt;=14,12,IF(P509&lt;=17,13,IF(P509&lt;=20,14,IF(P509&lt;=22,15,IF(P509&lt;=25,16,IF(P509&lt;=27,17,IF(P509&lt;=29,18,IF(P509&lt;=32,19,IF(P509&lt;=34,20,IF(P509&lt;=36,21,IF(P509&lt;=40,22,24)))))))))))))</f>
        <v>0</v>
      </c>
      <c r="S509" s="14" t="n">
        <f aca="false">ROUND((Q509+R509+I509+J509+M509+N509)/3,0)</f>
        <v>13</v>
      </c>
      <c r="T509" s="15" t="n">
        <f aca="false">F509*LOG10(S509+2)</f>
        <v>5.88045629527841</v>
      </c>
    </row>
    <row r="510" customFormat="false" ht="14.65" hidden="false" customHeight="true" outlineLevel="0" collapsed="false">
      <c r="A510" s="12" t="s">
        <v>560</v>
      </c>
      <c r="B510" s="16" t="n">
        <v>38883</v>
      </c>
      <c r="C510" s="17" t="s">
        <v>228</v>
      </c>
      <c r="D510" s="18" t="s">
        <v>561</v>
      </c>
      <c r="E510" s="17" t="n">
        <v>7</v>
      </c>
      <c r="F510" s="17" t="n">
        <v>4</v>
      </c>
      <c r="G510" s="17"/>
      <c r="H510" s="17" t="n">
        <v>37</v>
      </c>
      <c r="I510" s="3" t="n">
        <f aca="false">_xlfn.IFS(G510="взв",11,G510="накл",24,G510="прокл",25,G510="пт",26,G510=90,10,G510=85,10,G510=80,9,G510=75,8,G510=70,8,G510=65,7,G510=60,7,G510=55,6,G510=50,6,G510=45,6,G510=40,5,G510=35,4,G510=30,4,G510=25,3,G510=20,2,G510=15,1,G510=10,1,G510=0,0)</f>
        <v>0</v>
      </c>
      <c r="J510" s="3" t="n">
        <f aca="false">IF(H510&lt;=1,0,IF(H510&lt;=10,11,IF(H510&lt;=14,12,IF(H510&lt;=17,13,IF(H510&lt;=20,14,IF(H510&lt;=22,15,IF(H510&lt;=25,16,IF(H510&lt;=27,17,IF(H510&lt;=29,18,IF(H510&lt;=32,19,IF(H510&lt;=34,20,IF(H510&lt;=36,21,IF(H510&lt;=40,22,24)))))))))))))</f>
        <v>22</v>
      </c>
      <c r="K510" s="17"/>
      <c r="L510" s="17" t="n">
        <v>35</v>
      </c>
      <c r="M510" s="3" t="n">
        <f aca="false">_xlfn.IFS(K510="взв",11,K510="накл",24,K510="прокл",25,K510="пт",26,K510=90,10,K510=85,10,K510=80,9,K510=75,8,K510=70,8,K510=65,7,K510=60,7,K510=55,6,K510=50,6,K510=45,6,K510=40,5,K510=35,4,K510=30,4,K510=25,3,K510=20,2,K510=15,1,K510=10,1,K510=0,0)</f>
        <v>0</v>
      </c>
      <c r="N510" s="3" t="n">
        <f aca="false">IF(L510&lt;=1,0,IF(L510&lt;=10,11,IF(L510&lt;=14,12,IF(L510&lt;=17,13,IF(L510&lt;=20,14,IF(L510&lt;=22,15,IF(L510&lt;=25,16,IF(L510&lt;=27,17,IF(L510&lt;=29,18,IF(L510&lt;=32,19,IF(L510&lt;=34,20,IF(L510&lt;=36,21,IF(L510&lt;=40,22,24)))))))))))))</f>
        <v>21</v>
      </c>
      <c r="O510" s="17"/>
      <c r="P510" s="17" t="n">
        <v>33</v>
      </c>
      <c r="Q510" s="3" t="n">
        <f aca="false">_xlfn.IFS(O510="взв",11,O510="накл",24,O510="прокл",25,O510="пт",26,O510=90,10,O510=85,10,O510=80,9,O510=75,8,O510=70,8,O510=65,7,O510=60,7,O510=55,6,O510=50,6,O510=45,6,O510=40,5,O510=35,4,O510=30,4,O510=25,3,O510=20,2,O510=15,1,O510=10,1,O510=0,0)</f>
        <v>0</v>
      </c>
      <c r="R510" s="3" t="n">
        <f aca="false">IF(P510&lt;=1,0,IF(P510&lt;=10,11,IF(P510&lt;=14,12,IF(P510&lt;=17,13,IF(P510&lt;=20,14,IF(P510&lt;=22,15,IF(P510&lt;=25,16,IF(P510&lt;=27,17,IF(P510&lt;=29,18,IF(P510&lt;=32,19,IF(P510&lt;=34,20,IF(P510&lt;=36,21,IF(P510&lt;=40,22,24)))))))))))))</f>
        <v>20</v>
      </c>
      <c r="S510" s="14" t="n">
        <f aca="false">ROUND((Q510+R510+I510+J510+M510+N510)/3,0)</f>
        <v>21</v>
      </c>
      <c r="T510" s="15" t="n">
        <f aca="false">F510*LOG10(S510+2)</f>
        <v>5.44691134407037</v>
      </c>
    </row>
    <row r="511" customFormat="false" ht="14.65" hidden="false" customHeight="true" outlineLevel="0" collapsed="false">
      <c r="A511" s="12" t="s">
        <v>562</v>
      </c>
      <c r="B511" s="13" t="n">
        <v>38893</v>
      </c>
      <c r="C511" s="3" t="s">
        <v>21</v>
      </c>
      <c r="D511" s="4" t="s">
        <v>563</v>
      </c>
      <c r="E511" s="3" t="n">
        <v>5</v>
      </c>
      <c r="F511" s="3" t="n">
        <v>7</v>
      </c>
      <c r="G511" s="3" t="n">
        <v>15</v>
      </c>
      <c r="I511" s="3" t="n">
        <f aca="false">_xlfn.IFS(G511="взв",11,G511="накл",24,G511="прокл",25,G511="пт",26,G511=90,10,G511=85,10,G511=80,9,G511=75,8,G511=70,8,G511=65,7,G511=60,7,G511=55,6,G511=50,6,G511=45,6,G511=40,5,G511=35,4,G511=30,4,G511=25,3,G511=20,2,G511=15,1,G511=10,1,G511=0,0)</f>
        <v>1</v>
      </c>
      <c r="J511" s="3" t="n">
        <f aca="false">IF(H511&lt;=1,0,IF(H511&lt;=10,11,IF(H511&lt;=14,12,IF(H511&lt;=17,13,IF(H511&lt;=20,14,IF(H511&lt;=22,15,IF(H511&lt;=25,16,IF(H511&lt;=27,17,IF(H511&lt;=29,18,IF(H511&lt;=32,19,IF(H511&lt;=34,20,IF(H511&lt;=36,21,IF(H511&lt;=40,22,24)))))))))))))</f>
        <v>0</v>
      </c>
      <c r="K511" s="3" t="n">
        <v>0</v>
      </c>
      <c r="M511" s="3" t="n">
        <f aca="false">_xlfn.IFS(K511="взв",11,K511="накл",24,K511="прокл",25,K511="пт",26,K511=90,10,K511=85,10,K511=80,9,K511=75,8,K511=70,8,K511=65,7,K511=60,7,K511=55,6,K511=50,6,K511=45,6,K511=40,5,K511=35,4,K511=30,4,K511=25,3,K511=20,2,K511=15,1,K511=10,1,K511=0,0)</f>
        <v>0</v>
      </c>
      <c r="N511" s="3" t="n">
        <f aca="false">IF(L511&lt;=1,0,IF(L511&lt;=10,11,IF(L511&lt;=14,12,IF(L511&lt;=17,13,IF(L511&lt;=20,14,IF(L511&lt;=22,15,IF(L511&lt;=25,16,IF(L511&lt;=27,17,IF(L511&lt;=29,18,IF(L511&lt;=32,19,IF(L511&lt;=34,20,IF(L511&lt;=36,21,IF(L511&lt;=40,22,24)))))))))))))</f>
        <v>0</v>
      </c>
      <c r="O511" s="3" t="n">
        <v>0</v>
      </c>
      <c r="Q511" s="3" t="n">
        <f aca="false">_xlfn.IFS(O511="взв",11,O511="накл",24,O511="прокл",25,O511="пт",26,O511=90,10,O511=85,10,O511=80,9,O511=75,8,O511=70,8,O511=65,7,O511=60,7,O511=55,6,O511=50,6,O511=45,6,O511=40,5,O511=35,4,O511=30,4,O511=25,3,O511=20,2,O511=15,1,O511=10,1,O511=0,0)</f>
        <v>0</v>
      </c>
      <c r="R511" s="3" t="n">
        <f aca="false">IF(P511&lt;=1,0,IF(P511&lt;=10,11,IF(P511&lt;=14,12,IF(P511&lt;=17,13,IF(P511&lt;=20,14,IF(P511&lt;=22,15,IF(P511&lt;=25,16,IF(P511&lt;=27,17,IF(P511&lt;=29,18,IF(P511&lt;=32,19,IF(P511&lt;=34,20,IF(P511&lt;=36,21,IF(P511&lt;=40,22,24)))))))))))))</f>
        <v>0</v>
      </c>
      <c r="S511" s="14" t="n">
        <f aca="false">ROUND((Q511+R511+I511+J511+M511+N511)/3,0)</f>
        <v>0</v>
      </c>
      <c r="T511" s="15" t="n">
        <f aca="false">F511*LOG10(S511+2)</f>
        <v>2.10720996964787</v>
      </c>
    </row>
    <row r="512" customFormat="false" ht="14.65" hidden="false" customHeight="true" outlineLevel="0" collapsed="false">
      <c r="A512" s="12" t="s">
        <v>564</v>
      </c>
      <c r="B512" s="16" t="n">
        <v>38879</v>
      </c>
      <c r="C512" s="3" t="s">
        <v>24</v>
      </c>
      <c r="D512" s="4" t="s">
        <v>565</v>
      </c>
      <c r="E512" s="3" t="n">
        <v>5</v>
      </c>
      <c r="F512" s="3" t="n">
        <v>0</v>
      </c>
      <c r="G512" s="3" t="s">
        <v>47</v>
      </c>
      <c r="I512" s="3" t="n">
        <f aca="false">_xlfn.IFS(G512="взв",11,G512="накл",24,G512="прокл",25,G512="пт",26,G512=90,10,G512=85,10,G512=80,9,G512=75,8,G512=70,8,G512=65,7,G512=60,7,G512=55,6,G512=50,6,G512=45,6,G512=40,5,G512=35,4,G512=30,4,G512=25,3,G512=20,2,G512=15,1,G512=10,1,G512=0,0)</f>
        <v>25</v>
      </c>
      <c r="J512" s="3" t="n">
        <f aca="false">IF(H512&lt;=1,0,IF(H512&lt;=10,11,IF(H512&lt;=14,12,IF(H512&lt;=17,13,IF(H512&lt;=20,14,IF(H512&lt;=22,15,IF(H512&lt;=25,16,IF(H512&lt;=27,17,IF(H512&lt;=29,18,IF(H512&lt;=32,19,IF(H512&lt;=34,20,IF(H512&lt;=36,21,IF(H512&lt;=40,22,24)))))))))))))</f>
        <v>0</v>
      </c>
      <c r="K512" s="3" t="s">
        <v>47</v>
      </c>
      <c r="M512" s="3" t="n">
        <f aca="false">_xlfn.IFS(K512="взв",11,K512="накл",24,K512="прокл",25,K512="пт",26,K512=90,10,K512=85,10,K512=80,9,K512=75,8,K512=70,8,K512=65,7,K512=60,7,K512=55,6,K512=50,6,K512=45,6,K512=40,5,K512=35,4,K512=30,4,K512=25,3,K512=20,2,K512=15,1,K512=10,1,K512=0,0)</f>
        <v>25</v>
      </c>
      <c r="N512" s="3" t="n">
        <f aca="false">IF(L512&lt;=1,0,IF(L512&lt;=10,11,IF(L512&lt;=14,12,IF(L512&lt;=17,13,IF(L512&lt;=20,14,IF(L512&lt;=22,15,IF(L512&lt;=25,16,IF(L512&lt;=27,17,IF(L512&lt;=29,18,IF(L512&lt;=32,19,IF(L512&lt;=34,20,IF(L512&lt;=36,21,IF(L512&lt;=40,22,24)))))))))))))</f>
        <v>0</v>
      </c>
      <c r="O512" s="3" t="s">
        <v>27</v>
      </c>
      <c r="P512" s="0"/>
      <c r="Q512" s="3" t="n">
        <f aca="false">_xlfn.IFS(O512="взв",11,O512="накл",24,O512="прокл",25,O512="пт",26,O512=90,10,O512=85,10,O512=80,9,O512=75,8,O512=70,8,O512=65,7,O512=60,7,O512=55,6,O512=50,6,O512=45,6,O512=40,5,O512=35,4,O512=30,4,O512=25,3,O512=20,2,O512=15,1,O512=10,1,O512=0,0)</f>
        <v>24</v>
      </c>
      <c r="R512" s="3" t="n">
        <f aca="false">IF(P512&lt;=1,0,IF(P512&lt;=10,11,IF(P512&lt;=14,12,IF(P512&lt;=17,13,IF(P512&lt;=20,14,IF(P512&lt;=22,15,IF(P512&lt;=25,16,IF(P512&lt;=27,17,IF(P512&lt;=29,18,IF(P512&lt;=32,19,IF(P512&lt;=34,20,IF(P512&lt;=36,21,IF(P512&lt;=40,22,24)))))))))))))</f>
        <v>0</v>
      </c>
      <c r="S512" s="14" t="n">
        <f aca="false">ROUND((Q512+R512+I512+J512+M512+N512)/3,0)</f>
        <v>25</v>
      </c>
      <c r="T512" s="15" t="n">
        <f aca="false">F512*LOG10(S512+2)</f>
        <v>0</v>
      </c>
    </row>
    <row r="513" customFormat="false" ht="14.65" hidden="false" customHeight="true" outlineLevel="0" collapsed="false">
      <c r="A513" s="12" t="s">
        <v>566</v>
      </c>
      <c r="B513" s="13" t="n">
        <v>38879</v>
      </c>
      <c r="C513" s="3" t="s">
        <v>24</v>
      </c>
      <c r="D513" s="4" t="s">
        <v>565</v>
      </c>
      <c r="E513" s="3" t="n">
        <v>4</v>
      </c>
      <c r="F513" s="3" t="n">
        <v>2</v>
      </c>
      <c r="H513" s="3" t="n">
        <v>32</v>
      </c>
      <c r="I513" s="3" t="n">
        <f aca="false">_xlfn.IFS(G513="взв",11,G513="накл",24,G513="прокл",25,G513="пт",26,G513=90,10,G513=85,10,G513=80,9,G513=75,8,G513=70,8,G513=65,7,G513=60,7,G513=55,6,G513=50,6,G513=45,6,G513=40,5,G513=35,4,G513=30,4,G513=25,3,G513=20,2,G513=15,1,G513=10,1,G513=0,0)</f>
        <v>0</v>
      </c>
      <c r="J513" s="3" t="n">
        <f aca="false">IF(H513&lt;=1,0,IF(H513&lt;=10,11,IF(H513&lt;=14,12,IF(H513&lt;=17,13,IF(H513&lt;=20,14,IF(H513&lt;=22,15,IF(H513&lt;=25,16,IF(H513&lt;=27,17,IF(H513&lt;=29,18,IF(H513&lt;=32,19,IF(H513&lt;=34,20,IF(H513&lt;=36,21,IF(H513&lt;=40,22,24)))))))))))))</f>
        <v>19</v>
      </c>
      <c r="L513" s="3" t="n">
        <v>33</v>
      </c>
      <c r="M513" s="3" t="n">
        <f aca="false">_xlfn.IFS(K513="взв",11,K513="накл",24,K513="прокл",25,K513="пт",26,K513=90,10,K513=85,10,K513=80,9,K513=75,8,K513=70,8,K513=65,7,K513=60,7,K513=55,6,K513=50,6,K513=45,6,K513=40,5,K513=35,4,K513=30,4,K513=25,3,K513=20,2,K513=15,1,K513=10,1,K513=0,0)</f>
        <v>0</v>
      </c>
      <c r="N513" s="3" t="n">
        <f aca="false">IF(L513&lt;=1,0,IF(L513&lt;=10,11,IF(L513&lt;=14,12,IF(L513&lt;=17,13,IF(L513&lt;=20,14,IF(L513&lt;=22,15,IF(L513&lt;=25,16,IF(L513&lt;=27,17,IF(L513&lt;=29,18,IF(L513&lt;=32,19,IF(L513&lt;=34,20,IF(L513&lt;=36,21,IF(L513&lt;=40,22,24)))))))))))))</f>
        <v>20</v>
      </c>
      <c r="P513" s="3" t="n">
        <v>35</v>
      </c>
      <c r="Q513" s="3" t="n">
        <f aca="false">_xlfn.IFS(O513="взв",11,O513="накл",24,O513="прокл",25,O513="пт",26,O513=90,10,O513=85,10,O513=80,9,O513=75,8,O513=70,8,O513=65,7,O513=60,7,O513=55,6,O513=50,6,O513=45,6,O513=40,5,O513=35,4,O513=30,4,O513=25,3,O513=20,2,O513=15,1,O513=10,1,O513=0,0)</f>
        <v>0</v>
      </c>
      <c r="R513" s="3" t="n">
        <f aca="false">IF(P513&lt;=1,0,IF(P513&lt;=10,11,IF(P513&lt;=14,12,IF(P513&lt;=17,13,IF(P513&lt;=20,14,IF(P513&lt;=22,15,IF(P513&lt;=25,16,IF(P513&lt;=27,17,IF(P513&lt;=29,18,IF(P513&lt;=32,19,IF(P513&lt;=34,20,IF(P513&lt;=36,21,IF(P513&lt;=40,22,24)))))))))))))</f>
        <v>21</v>
      </c>
      <c r="S513" s="14" t="n">
        <f aca="false">ROUND((Q513+R513+I513+J513+M513+N513)/3,0)</f>
        <v>20</v>
      </c>
      <c r="T513" s="15" t="n">
        <f aca="false">F513*LOG10(S513+2)</f>
        <v>2.68484536164441</v>
      </c>
    </row>
    <row r="514" customFormat="false" ht="14.65" hidden="false" customHeight="true" outlineLevel="0" collapsed="false">
      <c r="A514" s="12" t="s">
        <v>567</v>
      </c>
      <c r="B514" s="13" t="n">
        <v>38879</v>
      </c>
      <c r="C514" s="3" t="s">
        <v>24</v>
      </c>
      <c r="D514" s="4" t="s">
        <v>565</v>
      </c>
      <c r="E514" s="3" t="n">
        <v>4</v>
      </c>
      <c r="F514" s="3" t="n">
        <v>3</v>
      </c>
      <c r="G514" s="3" t="n">
        <v>90</v>
      </c>
      <c r="I514" s="3" t="n">
        <f aca="false">_xlfn.IFS(G514="взв",11,G514="накл",24,G514="прокл",25,G514="пт",26,G514=90,10,G514=85,10,G514=80,9,G514=75,8,G514=70,8,G514=65,7,G514=60,7,G514=55,6,G514=50,6,G514=45,6,G514=40,5,G514=35,4,G514=30,4,G514=25,3,G514=20,2,G514=15,1,G514=10,1,G514=0,0)</f>
        <v>10</v>
      </c>
      <c r="J514" s="3" t="n">
        <f aca="false">IF(H514&lt;=1,0,IF(H514&lt;=10,11,IF(H514&lt;=14,12,IF(H514&lt;=17,13,IF(H514&lt;=20,14,IF(H514&lt;=22,15,IF(H514&lt;=25,16,IF(H514&lt;=27,17,IF(H514&lt;=29,18,IF(H514&lt;=32,19,IF(H514&lt;=34,20,IF(H514&lt;=36,21,IF(H514&lt;=40,22,24)))))))))))))</f>
        <v>0</v>
      </c>
      <c r="K514" s="3" t="n">
        <v>90</v>
      </c>
      <c r="M514" s="3" t="n">
        <f aca="false">_xlfn.IFS(K514="взв",11,K514="накл",24,K514="прокл",25,K514="пт",26,K514=90,10,K514=85,10,K514=80,9,K514=75,8,K514=70,8,K514=65,7,K514=60,7,K514=55,6,K514=50,6,K514=45,6,K514=40,5,K514=35,4,K514=30,4,K514=25,3,K514=20,2,K514=15,1,K514=10,1,K514=0,0)</f>
        <v>10</v>
      </c>
      <c r="N514" s="3" t="n">
        <f aca="false">IF(L514&lt;=1,0,IF(L514&lt;=10,11,IF(L514&lt;=14,12,IF(L514&lt;=17,13,IF(L514&lt;=20,14,IF(L514&lt;=22,15,IF(L514&lt;=25,16,IF(L514&lt;=27,17,IF(L514&lt;=29,18,IF(L514&lt;=32,19,IF(L514&lt;=34,20,IF(L514&lt;=36,21,IF(L514&lt;=40,22,24)))))))))))))</f>
        <v>0</v>
      </c>
      <c r="O514" s="3" t="n">
        <v>90</v>
      </c>
      <c r="Q514" s="3" t="n">
        <f aca="false">_xlfn.IFS(O514="взв",11,O514="накл",24,O514="прокл",25,O514="пт",26,O514=90,10,O514=85,10,O514=80,9,O514=75,8,O514=70,8,O514=65,7,O514=60,7,O514=55,6,O514=50,6,O514=45,6,O514=40,5,O514=35,4,O514=30,4,O514=25,3,O514=20,2,O514=15,1,O514=10,1,O514=0,0)</f>
        <v>10</v>
      </c>
      <c r="R514" s="3" t="n">
        <f aca="false">IF(P514&lt;=1,0,IF(P514&lt;=10,11,IF(P514&lt;=14,12,IF(P514&lt;=17,13,IF(P514&lt;=20,14,IF(P514&lt;=22,15,IF(P514&lt;=25,16,IF(P514&lt;=27,17,IF(P514&lt;=29,18,IF(P514&lt;=32,19,IF(P514&lt;=34,20,IF(P514&lt;=36,21,IF(P514&lt;=40,22,24)))))))))))))</f>
        <v>0</v>
      </c>
      <c r="S514" s="14" t="n">
        <f aca="false">ROUND((Q514+R514+I514+J514+M514+N514)/3,0)</f>
        <v>10</v>
      </c>
      <c r="T514" s="15" t="n">
        <f aca="false">F514*LOG10(S514+2)</f>
        <v>3.23754373814287</v>
      </c>
    </row>
    <row r="515" customFormat="false" ht="14.65" hidden="false" customHeight="true" outlineLevel="0" collapsed="false">
      <c r="A515" s="12" t="s">
        <v>568</v>
      </c>
      <c r="B515" s="13" t="n">
        <v>38879</v>
      </c>
      <c r="C515" s="3" t="s">
        <v>24</v>
      </c>
      <c r="D515" s="4" t="s">
        <v>565</v>
      </c>
      <c r="E515" s="3" t="n">
        <v>4</v>
      </c>
      <c r="F515" s="3" t="n">
        <v>5</v>
      </c>
      <c r="H515" s="3" t="n">
        <v>37</v>
      </c>
      <c r="I515" s="3" t="n">
        <f aca="false">_xlfn.IFS(G515="взв",11,G515="накл",24,G515="прокл",25,G515="пт",26,G515=90,10,G515=85,10,G515=80,9,G515=75,8,G515=70,8,G515=65,7,G515=60,7,G515=55,6,G515=50,6,G515=45,6,G515=40,5,G515=35,4,G515=30,4,G515=25,3,G515=20,2,G515=15,1,G515=10,1,G515=0,0)</f>
        <v>0</v>
      </c>
      <c r="J515" s="3" t="n">
        <f aca="false">IF(H515&lt;=1,0,IF(H515&lt;=10,11,IF(H515&lt;=14,12,IF(H515&lt;=17,13,IF(H515&lt;=20,14,IF(H515&lt;=22,15,IF(H515&lt;=25,16,IF(H515&lt;=27,17,IF(H515&lt;=29,18,IF(H515&lt;=32,19,IF(H515&lt;=34,20,IF(H515&lt;=36,21,IF(H515&lt;=40,22,24)))))))))))))</f>
        <v>22</v>
      </c>
      <c r="L515" s="3" t="n">
        <v>37</v>
      </c>
      <c r="M515" s="3" t="n">
        <f aca="false">_xlfn.IFS(K515="взв",11,K515="накл",24,K515="прокл",25,K515="пт",26,K515=90,10,K515=85,10,K515=80,9,K515=75,8,K515=70,8,K515=65,7,K515=60,7,K515=55,6,K515=50,6,K515=45,6,K515=40,5,K515=35,4,K515=30,4,K515=25,3,K515=20,2,K515=15,1,K515=10,1,K515=0,0)</f>
        <v>0</v>
      </c>
      <c r="N515" s="3" t="n">
        <f aca="false">IF(L515&lt;=1,0,IF(L515&lt;=10,11,IF(L515&lt;=14,12,IF(L515&lt;=17,13,IF(L515&lt;=20,14,IF(L515&lt;=22,15,IF(L515&lt;=25,16,IF(L515&lt;=27,17,IF(L515&lt;=29,18,IF(L515&lt;=32,19,IF(L515&lt;=34,20,IF(L515&lt;=36,21,IF(L515&lt;=40,22,24)))))))))))))</f>
        <v>22</v>
      </c>
      <c r="P515" s="3" t="n">
        <v>36</v>
      </c>
      <c r="Q515" s="3" t="n">
        <f aca="false">_xlfn.IFS(O515="взв",11,O515="накл",24,O515="прокл",25,O515="пт",26,O515=90,10,O515=85,10,O515=80,9,O515=75,8,O515=70,8,O515=65,7,O515=60,7,O515=55,6,O515=50,6,O515=45,6,O515=40,5,O515=35,4,O515=30,4,O515=25,3,O515=20,2,O515=15,1,O515=10,1,O515=0,0)</f>
        <v>0</v>
      </c>
      <c r="R515" s="3" t="n">
        <f aca="false">IF(P515&lt;=1,0,IF(P515&lt;=10,11,IF(P515&lt;=14,12,IF(P515&lt;=17,13,IF(P515&lt;=20,14,IF(P515&lt;=22,15,IF(P515&lt;=25,16,IF(P515&lt;=27,17,IF(P515&lt;=29,18,IF(P515&lt;=32,19,IF(P515&lt;=34,20,IF(P515&lt;=36,21,IF(P515&lt;=40,22,24)))))))))))))</f>
        <v>21</v>
      </c>
      <c r="S515" s="14" t="n">
        <f aca="false">ROUND((Q515+R515+I515+J515+M515+N515)/3,0)</f>
        <v>22</v>
      </c>
      <c r="T515" s="15" t="n">
        <f aca="false">F515*LOG10(S515+2)</f>
        <v>6.90105620855803</v>
      </c>
    </row>
    <row r="516" customFormat="false" ht="14.65" hidden="false" customHeight="true" outlineLevel="0" collapsed="false">
      <c r="A516" s="12" t="s">
        <v>569</v>
      </c>
      <c r="B516" s="13" t="n">
        <v>38879</v>
      </c>
      <c r="C516" s="3" t="s">
        <v>24</v>
      </c>
      <c r="D516" s="4" t="s">
        <v>565</v>
      </c>
      <c r="E516" s="3" t="n">
        <v>4</v>
      </c>
      <c r="F516" s="3" t="n">
        <v>5</v>
      </c>
      <c r="G516" s="3" t="s">
        <v>47</v>
      </c>
      <c r="I516" s="3" t="n">
        <f aca="false">_xlfn.IFS(G516="взв",11,G516="накл",24,G516="прокл",25,G516="пт",26,G516=90,10,G516=85,10,G516=80,9,G516=75,8,G516=70,8,G516=65,7,G516=60,7,G516=55,6,G516=50,6,G516=45,6,G516=40,5,G516=35,4,G516=30,4,G516=25,3,G516=20,2,G516=15,1,G516=10,1,G516=0,0)</f>
        <v>25</v>
      </c>
      <c r="J516" s="3" t="n">
        <f aca="false">IF(H516&lt;=1,0,IF(H516&lt;=10,11,IF(H516&lt;=14,12,IF(H516&lt;=17,13,IF(H516&lt;=20,14,IF(H516&lt;=22,15,IF(H516&lt;=25,16,IF(H516&lt;=27,17,IF(H516&lt;=29,18,IF(H516&lt;=32,19,IF(H516&lt;=34,20,IF(H516&lt;=36,21,IF(H516&lt;=40,22,24)))))))))))))</f>
        <v>0</v>
      </c>
      <c r="K516" s="3" t="s">
        <v>47</v>
      </c>
      <c r="M516" s="3" t="n">
        <f aca="false">_xlfn.IFS(K516="взв",11,K516="накл",24,K516="прокл",25,K516="пт",26,K516=90,10,K516=85,10,K516=80,9,K516=75,8,K516=70,8,K516=65,7,K516=60,7,K516=55,6,K516=50,6,K516=45,6,K516=40,5,K516=35,4,K516=30,4,K516=25,3,K516=20,2,K516=15,1,K516=10,1,K516=0,0)</f>
        <v>25</v>
      </c>
      <c r="N516" s="3" t="n">
        <f aca="false">IF(L516&lt;=1,0,IF(L516&lt;=10,11,IF(L516&lt;=14,12,IF(L516&lt;=17,13,IF(L516&lt;=20,14,IF(L516&lt;=22,15,IF(L516&lt;=25,16,IF(L516&lt;=27,17,IF(L516&lt;=29,18,IF(L516&lt;=32,19,IF(L516&lt;=34,20,IF(L516&lt;=36,21,IF(L516&lt;=40,22,24)))))))))))))</f>
        <v>0</v>
      </c>
      <c r="O516" s="3" t="s">
        <v>27</v>
      </c>
      <c r="P516" s="0"/>
      <c r="Q516" s="3" t="n">
        <f aca="false">_xlfn.IFS(O516="взв",11,O516="накл",24,O516="прокл",25,O516="пт",26,O516=90,10,O516=85,10,O516=80,9,O516=75,8,O516=70,8,O516=65,7,O516=60,7,O516=55,6,O516=50,6,O516=45,6,O516=40,5,O516=35,4,O516=30,4,O516=25,3,O516=20,2,O516=15,1,O516=10,1,O516=0,0)</f>
        <v>24</v>
      </c>
      <c r="R516" s="3" t="n">
        <f aca="false">IF(P516&lt;=1,0,IF(P516&lt;=10,11,IF(P516&lt;=14,12,IF(P516&lt;=17,13,IF(P516&lt;=20,14,IF(P516&lt;=22,15,IF(P516&lt;=25,16,IF(P516&lt;=27,17,IF(P516&lt;=29,18,IF(P516&lt;=32,19,IF(P516&lt;=34,20,IF(P516&lt;=36,21,IF(P516&lt;=40,22,24)))))))))))))</f>
        <v>0</v>
      </c>
      <c r="S516" s="14" t="n">
        <f aca="false">ROUND((Q516+R516+I516+J516+M516+N516)/3,0)</f>
        <v>25</v>
      </c>
      <c r="T516" s="15" t="n">
        <f aca="false">F516*LOG10(S516+2)</f>
        <v>7.15681882079494</v>
      </c>
    </row>
    <row r="517" customFormat="false" ht="14.65" hidden="false" customHeight="true" outlineLevel="0" collapsed="false">
      <c r="A517" s="12" t="s">
        <v>570</v>
      </c>
      <c r="B517" s="13" t="n">
        <v>38879</v>
      </c>
      <c r="C517" s="3" t="s">
        <v>24</v>
      </c>
      <c r="D517" s="4" t="s">
        <v>565</v>
      </c>
      <c r="E517" s="3" t="n">
        <v>5</v>
      </c>
      <c r="F517" s="3" t="n">
        <v>6</v>
      </c>
      <c r="H517" s="3" t="n">
        <v>38</v>
      </c>
      <c r="I517" s="3" t="n">
        <f aca="false">_xlfn.IFS(G517="взв",11,G517="накл",24,G517="прокл",25,G517="пт",26,G517=90,10,G517=85,10,G517=80,9,G517=75,8,G517=70,8,G517=65,7,G517=60,7,G517=55,6,G517=50,6,G517=45,6,G517=40,5,G517=35,4,G517=30,4,G517=25,3,G517=20,2,G517=15,1,G517=10,1,G517=0,0)</f>
        <v>0</v>
      </c>
      <c r="J517" s="3" t="n">
        <f aca="false">IF(H517&lt;=1,0,IF(H517&lt;=10,11,IF(H517&lt;=14,12,IF(H517&lt;=17,13,IF(H517&lt;=20,14,IF(H517&lt;=22,15,IF(H517&lt;=25,16,IF(H517&lt;=27,17,IF(H517&lt;=29,18,IF(H517&lt;=32,19,IF(H517&lt;=34,20,IF(H517&lt;=36,21,IF(H517&lt;=40,22,24)))))))))))))</f>
        <v>22</v>
      </c>
      <c r="L517" s="3" t="n">
        <v>36</v>
      </c>
      <c r="M517" s="3" t="n">
        <f aca="false">_xlfn.IFS(K517="взв",11,K517="накл",24,K517="прокл",25,K517="пт",26,K517=90,10,K517=85,10,K517=80,9,K517=75,8,K517=70,8,K517=65,7,K517=60,7,K517=55,6,K517=50,6,K517=45,6,K517=40,5,K517=35,4,K517=30,4,K517=25,3,K517=20,2,K517=15,1,K517=10,1,K517=0,0)</f>
        <v>0</v>
      </c>
      <c r="N517" s="3" t="n">
        <f aca="false">IF(L517&lt;=1,0,IF(L517&lt;=10,11,IF(L517&lt;=14,12,IF(L517&lt;=17,13,IF(L517&lt;=20,14,IF(L517&lt;=22,15,IF(L517&lt;=25,16,IF(L517&lt;=27,17,IF(L517&lt;=29,18,IF(L517&lt;=32,19,IF(L517&lt;=34,20,IF(L517&lt;=36,21,IF(L517&lt;=40,22,24)))))))))))))</f>
        <v>21</v>
      </c>
      <c r="P517" s="3" t="n">
        <v>40</v>
      </c>
      <c r="Q517" s="3" t="n">
        <f aca="false">_xlfn.IFS(O517="взв",11,O517="накл",24,O517="прокл",25,O517="пт",26,O517=90,10,O517=85,10,O517=80,9,O517=75,8,O517=70,8,O517=65,7,O517=60,7,O517=55,6,O517=50,6,O517=45,6,O517=40,5,O517=35,4,O517=30,4,O517=25,3,O517=20,2,O517=15,1,O517=10,1,O517=0,0)</f>
        <v>0</v>
      </c>
      <c r="R517" s="3" t="n">
        <f aca="false">IF(P517&lt;=1,0,IF(P517&lt;=10,11,IF(P517&lt;=14,12,IF(P517&lt;=17,13,IF(P517&lt;=20,14,IF(P517&lt;=22,15,IF(P517&lt;=25,16,IF(P517&lt;=27,17,IF(P517&lt;=29,18,IF(P517&lt;=32,19,IF(P517&lt;=34,20,IF(P517&lt;=36,21,IF(P517&lt;=40,22,24)))))))))))))</f>
        <v>22</v>
      </c>
      <c r="S517" s="14" t="n">
        <f aca="false">ROUND((Q517+R517+I517+J517+M517+N517)/3,0)</f>
        <v>22</v>
      </c>
      <c r="T517" s="15" t="n">
        <f aca="false">F517*LOG10(S517+2)</f>
        <v>8.28126745026964</v>
      </c>
    </row>
    <row r="518" customFormat="false" ht="14.65" hidden="false" customHeight="true" outlineLevel="0" collapsed="false">
      <c r="A518" s="12" t="s">
        <v>571</v>
      </c>
      <c r="B518" s="13" t="n">
        <v>38879</v>
      </c>
      <c r="C518" s="3" t="s">
        <v>24</v>
      </c>
      <c r="D518" s="4" t="s">
        <v>565</v>
      </c>
      <c r="E518" s="3" t="n">
        <v>8</v>
      </c>
      <c r="F518" s="3" t="n">
        <v>6</v>
      </c>
      <c r="H518" s="3" t="n">
        <v>31</v>
      </c>
      <c r="I518" s="3" t="n">
        <f aca="false">_xlfn.IFS(G518="взв",11,G518="накл",24,G518="прокл",25,G518="пт",26,G518=90,10,G518=85,10,G518=80,9,G518=75,8,G518=70,8,G518=65,7,G518=60,7,G518=55,6,G518=50,6,G518=45,6,G518=40,5,G518=35,4,G518=30,4,G518=25,3,G518=20,2,G518=15,1,G518=10,1,G518=0,0)</f>
        <v>0</v>
      </c>
      <c r="J518" s="3" t="n">
        <f aca="false">IF(H518&lt;=1,0,IF(H518&lt;=10,11,IF(H518&lt;=14,12,IF(H518&lt;=17,13,IF(H518&lt;=20,14,IF(H518&lt;=22,15,IF(H518&lt;=25,16,IF(H518&lt;=27,17,IF(H518&lt;=29,18,IF(H518&lt;=32,19,IF(H518&lt;=34,20,IF(H518&lt;=36,21,IF(H518&lt;=40,22,24)))))))))))))</f>
        <v>19</v>
      </c>
      <c r="L518" s="3" t="n">
        <v>28</v>
      </c>
      <c r="M518" s="3" t="n">
        <f aca="false">_xlfn.IFS(K518="взв",11,K518="накл",24,K518="прокл",25,K518="пт",26,K518=90,10,K518=85,10,K518=80,9,K518=75,8,K518=70,8,K518=65,7,K518=60,7,K518=55,6,K518=50,6,K518=45,6,K518=40,5,K518=35,4,K518=30,4,K518=25,3,K518=20,2,K518=15,1,K518=10,1,K518=0,0)</f>
        <v>0</v>
      </c>
      <c r="N518" s="3" t="n">
        <f aca="false">IF(L518&lt;=1,0,IF(L518&lt;=10,11,IF(L518&lt;=14,12,IF(L518&lt;=17,13,IF(L518&lt;=20,14,IF(L518&lt;=22,15,IF(L518&lt;=25,16,IF(L518&lt;=27,17,IF(L518&lt;=29,18,IF(L518&lt;=32,19,IF(L518&lt;=34,20,IF(L518&lt;=36,21,IF(L518&lt;=40,22,24)))))))))))))</f>
        <v>18</v>
      </c>
      <c r="P518" s="3" t="n">
        <v>32</v>
      </c>
      <c r="Q518" s="3" t="n">
        <f aca="false">_xlfn.IFS(O518="взв",11,O518="накл",24,O518="прокл",25,O518="пт",26,O518=90,10,O518=85,10,O518=80,9,O518=75,8,O518=70,8,O518=65,7,O518=60,7,O518=55,6,O518=50,6,O518=45,6,O518=40,5,O518=35,4,O518=30,4,O518=25,3,O518=20,2,O518=15,1,O518=10,1,O518=0,0)</f>
        <v>0</v>
      </c>
      <c r="R518" s="3" t="n">
        <f aca="false">IF(P518&lt;=1,0,IF(P518&lt;=10,11,IF(P518&lt;=14,12,IF(P518&lt;=17,13,IF(P518&lt;=20,14,IF(P518&lt;=22,15,IF(P518&lt;=25,16,IF(P518&lt;=27,17,IF(P518&lt;=29,18,IF(P518&lt;=32,19,IF(P518&lt;=34,20,IF(P518&lt;=36,21,IF(P518&lt;=40,22,24)))))))))))))</f>
        <v>19</v>
      </c>
      <c r="S518" s="14" t="n">
        <f aca="false">ROUND((Q518+R518+I518+J518+M518+N518)/3,0)</f>
        <v>19</v>
      </c>
      <c r="T518" s="15" t="n">
        <f aca="false">F518*LOG10(S518+2)</f>
        <v>7.93331576840352</v>
      </c>
    </row>
    <row r="519" customFormat="false" ht="14.65" hidden="false" customHeight="true" outlineLevel="0" collapsed="false">
      <c r="A519" s="12" t="s">
        <v>572</v>
      </c>
      <c r="B519" s="13" t="n">
        <v>38879</v>
      </c>
      <c r="C519" s="3" t="s">
        <v>24</v>
      </c>
      <c r="D519" s="4" t="s">
        <v>565</v>
      </c>
      <c r="E519" s="3" t="n">
        <v>7</v>
      </c>
      <c r="F519" s="3" t="n">
        <v>9</v>
      </c>
      <c r="G519" s="3" t="n">
        <v>90</v>
      </c>
      <c r="I519" s="3" t="n">
        <f aca="false">_xlfn.IFS(G519="взв",11,G519="накл",24,G519="прокл",25,G519="пт",26,G519=90,10,G519=85,10,G519=80,9,G519=75,8,G519=70,8,G519=65,7,G519=60,7,G519=55,6,G519=50,6,G519=45,6,G519=40,5,G519=35,4,G519=30,4,G519=25,3,G519=20,2,G519=15,1,G519=10,1,G519=0,0)</f>
        <v>10</v>
      </c>
      <c r="J519" s="3" t="n">
        <f aca="false">IF(H519&lt;=1,0,IF(H519&lt;=10,11,IF(H519&lt;=14,12,IF(H519&lt;=17,13,IF(H519&lt;=20,14,IF(H519&lt;=22,15,IF(H519&lt;=25,16,IF(H519&lt;=27,17,IF(H519&lt;=29,18,IF(H519&lt;=32,19,IF(H519&lt;=34,20,IF(H519&lt;=36,21,IF(H519&lt;=40,22,24)))))))))))))</f>
        <v>0</v>
      </c>
      <c r="L519" s="3" t="n">
        <v>18</v>
      </c>
      <c r="M519" s="3" t="n">
        <f aca="false">_xlfn.IFS(K519="взв",11,K519="накл",24,K519="прокл",25,K519="пт",26,K519=90,10,K519=85,10,K519=80,9,K519=75,8,K519=70,8,K519=65,7,K519=60,7,K519=55,6,K519=50,6,K519=45,6,K519=40,5,K519=35,4,K519=30,4,K519=25,3,K519=20,2,K519=15,1,K519=10,1,K519=0,0)</f>
        <v>0</v>
      </c>
      <c r="N519" s="3" t="n">
        <f aca="false">IF(L519&lt;=1,0,IF(L519&lt;=10,11,IF(L519&lt;=14,12,IF(L519&lt;=17,13,IF(L519&lt;=20,14,IF(L519&lt;=22,15,IF(L519&lt;=25,16,IF(L519&lt;=27,17,IF(L519&lt;=29,18,IF(L519&lt;=32,19,IF(L519&lt;=34,20,IF(L519&lt;=36,21,IF(L519&lt;=40,22,24)))))))))))))</f>
        <v>14</v>
      </c>
      <c r="O519" s="3" t="n">
        <v>90</v>
      </c>
      <c r="Q519" s="3" t="n">
        <f aca="false">_xlfn.IFS(O519="взв",11,O519="накл",24,O519="прокл",25,O519="пт",26,O519=90,10,O519=85,10,O519=80,9,O519=75,8,O519=70,8,O519=65,7,O519=60,7,O519=55,6,O519=50,6,O519=45,6,O519=40,5,O519=35,4,O519=30,4,O519=25,3,O519=20,2,O519=15,1,O519=10,1,O519=0,0)</f>
        <v>10</v>
      </c>
      <c r="R519" s="3" t="n">
        <f aca="false">IF(P519&lt;=1,0,IF(P519&lt;=10,11,IF(P519&lt;=14,12,IF(P519&lt;=17,13,IF(P519&lt;=20,14,IF(P519&lt;=22,15,IF(P519&lt;=25,16,IF(P519&lt;=27,17,IF(P519&lt;=29,18,IF(P519&lt;=32,19,IF(P519&lt;=34,20,IF(P519&lt;=36,21,IF(P519&lt;=40,22,24)))))))))))))</f>
        <v>0</v>
      </c>
      <c r="S519" s="14" t="n">
        <f aca="false">ROUND((Q519+R519+I519+J519+M519+N519)/3,0)</f>
        <v>11</v>
      </c>
      <c r="T519" s="15" t="n">
        <f aca="false">F519*LOG10(S519+2)</f>
        <v>10.0254901707615</v>
      </c>
    </row>
    <row r="520" customFormat="false" ht="14.65" hidden="false" customHeight="true" outlineLevel="0" collapsed="false">
      <c r="A520" s="12" t="s">
        <v>573</v>
      </c>
      <c r="B520" s="13" t="n">
        <v>38879</v>
      </c>
      <c r="C520" s="3" t="s">
        <v>24</v>
      </c>
      <c r="D520" s="4" t="s">
        <v>565</v>
      </c>
      <c r="E520" s="3" t="n">
        <v>5</v>
      </c>
      <c r="F520" s="3" t="n">
        <v>10</v>
      </c>
      <c r="H520" s="3" t="n">
        <v>38</v>
      </c>
      <c r="I520" s="3" t="n">
        <f aca="false">_xlfn.IFS(G520="взв",11,G520="накл",24,G520="прокл",25,G520="пт",26,G520=90,10,G520=85,10,G520=80,9,G520=75,8,G520=70,8,G520=65,7,G520=60,7,G520=55,6,G520=50,6,G520=45,6,G520=40,5,G520=35,4,G520=30,4,G520=25,3,G520=20,2,G520=15,1,G520=10,1,G520=0,0)</f>
        <v>0</v>
      </c>
      <c r="J520" s="3" t="n">
        <f aca="false">IF(H520&lt;=1,0,IF(H520&lt;=10,11,IF(H520&lt;=14,12,IF(H520&lt;=17,13,IF(H520&lt;=20,14,IF(H520&lt;=22,15,IF(H520&lt;=25,16,IF(H520&lt;=27,17,IF(H520&lt;=29,18,IF(H520&lt;=32,19,IF(H520&lt;=34,20,IF(H520&lt;=36,21,IF(H520&lt;=40,22,24)))))))))))))</f>
        <v>22</v>
      </c>
      <c r="L520" s="3" t="n">
        <v>35</v>
      </c>
      <c r="M520" s="3" t="n">
        <f aca="false">_xlfn.IFS(K520="взв",11,K520="накл",24,K520="прокл",25,K520="пт",26,K520=90,10,K520=85,10,K520=80,9,K520=75,8,K520=70,8,K520=65,7,K520=60,7,K520=55,6,K520=50,6,K520=45,6,K520=40,5,K520=35,4,K520=30,4,K520=25,3,K520=20,2,K520=15,1,K520=10,1,K520=0,0)</f>
        <v>0</v>
      </c>
      <c r="N520" s="3" t="n">
        <f aca="false">IF(L520&lt;=1,0,IF(L520&lt;=10,11,IF(L520&lt;=14,12,IF(L520&lt;=17,13,IF(L520&lt;=20,14,IF(L520&lt;=22,15,IF(L520&lt;=25,16,IF(L520&lt;=27,17,IF(L520&lt;=29,18,IF(L520&lt;=32,19,IF(L520&lt;=34,20,IF(L520&lt;=36,21,IF(L520&lt;=40,22,24)))))))))))))</f>
        <v>21</v>
      </c>
      <c r="P520" s="3" t="n">
        <v>36</v>
      </c>
      <c r="Q520" s="3" t="n">
        <f aca="false">_xlfn.IFS(O520="взв",11,O520="накл",24,O520="прокл",25,O520="пт",26,O520=90,10,O520=85,10,O520=80,9,O520=75,8,O520=70,8,O520=65,7,O520=60,7,O520=55,6,O520=50,6,O520=45,6,O520=40,5,O520=35,4,O520=30,4,O520=25,3,O520=20,2,O520=15,1,O520=10,1,O520=0,0)</f>
        <v>0</v>
      </c>
      <c r="R520" s="3" t="n">
        <f aca="false">IF(P520&lt;=1,0,IF(P520&lt;=10,11,IF(P520&lt;=14,12,IF(P520&lt;=17,13,IF(P520&lt;=20,14,IF(P520&lt;=22,15,IF(P520&lt;=25,16,IF(P520&lt;=27,17,IF(P520&lt;=29,18,IF(P520&lt;=32,19,IF(P520&lt;=34,20,IF(P520&lt;=36,21,IF(P520&lt;=40,22,24)))))))))))))</f>
        <v>21</v>
      </c>
      <c r="S520" s="14" t="n">
        <f aca="false">ROUND((Q520+R520+I520+J520+M520+N520)/3,0)</f>
        <v>21</v>
      </c>
      <c r="T520" s="15" t="n">
        <f aca="false">F520*LOG10(S520+2)</f>
        <v>13.6172783601759</v>
      </c>
    </row>
    <row r="521" customFormat="false" ht="14.65" hidden="false" customHeight="true" outlineLevel="0" collapsed="false">
      <c r="A521" s="12" t="s">
        <v>574</v>
      </c>
      <c r="B521" s="13" t="n">
        <v>38879</v>
      </c>
      <c r="C521" s="3" t="s">
        <v>24</v>
      </c>
      <c r="D521" s="4" t="s">
        <v>565</v>
      </c>
      <c r="E521" s="3" t="n">
        <v>7</v>
      </c>
      <c r="F521" s="3" t="n">
        <v>10</v>
      </c>
      <c r="G521" s="3" t="n">
        <v>15</v>
      </c>
      <c r="I521" s="3" t="n">
        <f aca="false">_xlfn.IFS(G521="взв",11,G521="накл",24,G521="прокл",25,G521="пт",26,G521=90,10,G521=85,10,G521=80,9,G521=75,8,G521=70,8,G521=65,7,G521=60,7,G521=55,6,G521=50,6,G521=45,6,G521=40,5,G521=35,4,G521=30,4,G521=25,3,G521=20,2,G521=15,1,G521=10,1,G521=0,0)</f>
        <v>1</v>
      </c>
      <c r="J521" s="3" t="n">
        <f aca="false">IF(H521&lt;=1,0,IF(H521&lt;=10,11,IF(H521&lt;=14,12,IF(H521&lt;=17,13,IF(H521&lt;=20,14,IF(H521&lt;=22,15,IF(H521&lt;=25,16,IF(H521&lt;=27,17,IF(H521&lt;=29,18,IF(H521&lt;=32,19,IF(H521&lt;=34,20,IF(H521&lt;=36,21,IF(H521&lt;=40,22,24)))))))))))))</f>
        <v>0</v>
      </c>
      <c r="K521" s="3" t="n">
        <v>15</v>
      </c>
      <c r="M521" s="3" t="n">
        <f aca="false">_xlfn.IFS(K521="взв",11,K521="накл",24,K521="прокл",25,K521="пт",26,K521=90,10,K521=85,10,K521=80,9,K521=75,8,K521=70,8,K521=65,7,K521=60,7,K521=55,6,K521=50,6,K521=45,6,K521=40,5,K521=35,4,K521=30,4,K521=25,3,K521=20,2,K521=15,1,K521=10,1,K521=0,0)</f>
        <v>1</v>
      </c>
      <c r="N521" s="3" t="n">
        <f aca="false">IF(L521&lt;=1,0,IF(L521&lt;=10,11,IF(L521&lt;=14,12,IF(L521&lt;=17,13,IF(L521&lt;=20,14,IF(L521&lt;=22,15,IF(L521&lt;=25,16,IF(L521&lt;=27,17,IF(L521&lt;=29,18,IF(L521&lt;=32,19,IF(L521&lt;=34,20,IF(L521&lt;=36,21,IF(L521&lt;=40,22,24)))))))))))))</f>
        <v>0</v>
      </c>
      <c r="O521" s="3" t="n">
        <v>15</v>
      </c>
      <c r="Q521" s="3" t="n">
        <f aca="false">_xlfn.IFS(O521="взв",11,O521="накл",24,O521="прокл",25,O521="пт",26,O521=90,10,O521=85,10,O521=80,9,O521=75,8,O521=70,8,O521=65,7,O521=60,7,O521=55,6,O521=50,6,O521=45,6,O521=40,5,O521=35,4,O521=30,4,O521=25,3,O521=20,2,O521=15,1,O521=10,1,O521=0,0)</f>
        <v>1</v>
      </c>
      <c r="R521" s="3" t="n">
        <f aca="false">IF(P521&lt;=1,0,IF(P521&lt;=10,11,IF(P521&lt;=14,12,IF(P521&lt;=17,13,IF(P521&lt;=20,14,IF(P521&lt;=22,15,IF(P521&lt;=25,16,IF(P521&lt;=27,17,IF(P521&lt;=29,18,IF(P521&lt;=32,19,IF(P521&lt;=34,20,IF(P521&lt;=36,21,IF(P521&lt;=40,22,24)))))))))))))</f>
        <v>0</v>
      </c>
      <c r="S521" s="14" t="n">
        <f aca="false">ROUND((Q521+R521+I521+J521+M521+N521)/3,0)</f>
        <v>1</v>
      </c>
      <c r="T521" s="15" t="n">
        <f aca="false">F521*LOG10(S521+2)</f>
        <v>4.77121254719662</v>
      </c>
    </row>
    <row r="522" customFormat="false" ht="14.65" hidden="false" customHeight="true" outlineLevel="0" collapsed="false">
      <c r="A522" s="12" t="s">
        <v>575</v>
      </c>
      <c r="B522" s="13" t="n">
        <v>38879</v>
      </c>
      <c r="C522" s="3" t="s">
        <v>24</v>
      </c>
      <c r="D522" s="4" t="s">
        <v>565</v>
      </c>
      <c r="E522" s="3" t="n">
        <v>6</v>
      </c>
      <c r="F522" s="3" t="n">
        <v>10</v>
      </c>
      <c r="H522" s="3" t="n">
        <v>25</v>
      </c>
      <c r="I522" s="3" t="n">
        <f aca="false">_xlfn.IFS(G522="взв",11,G522="накл",24,G522="прокл",25,G522="пт",26,G522=90,10,G522=85,10,G522=80,9,G522=75,8,G522=70,8,G522=65,7,G522=60,7,G522=55,6,G522=50,6,G522=45,6,G522=40,5,G522=35,4,G522=30,4,G522=25,3,G522=20,2,G522=15,1,G522=10,1,G522=0,0)</f>
        <v>0</v>
      </c>
      <c r="J522" s="3" t="n">
        <f aca="false">IF(H522&lt;=1,0,IF(H522&lt;=10,11,IF(H522&lt;=14,12,IF(H522&lt;=17,13,IF(H522&lt;=20,14,IF(H522&lt;=22,15,IF(H522&lt;=25,16,IF(H522&lt;=27,17,IF(H522&lt;=29,18,IF(H522&lt;=32,19,IF(H522&lt;=34,20,IF(H522&lt;=36,21,IF(H522&lt;=40,22,24)))))))))))))</f>
        <v>16</v>
      </c>
      <c r="L522" s="3" t="n">
        <v>30</v>
      </c>
      <c r="M522" s="3" t="n">
        <f aca="false">_xlfn.IFS(K522="взв",11,K522="накл",24,K522="прокл",25,K522="пт",26,K522=90,10,K522=85,10,K522=80,9,K522=75,8,K522=70,8,K522=65,7,K522=60,7,K522=55,6,K522=50,6,K522=45,6,K522=40,5,K522=35,4,K522=30,4,K522=25,3,K522=20,2,K522=15,1,K522=10,1,K522=0,0)</f>
        <v>0</v>
      </c>
      <c r="N522" s="3" t="n">
        <f aca="false">IF(L522&lt;=1,0,IF(L522&lt;=10,11,IF(L522&lt;=14,12,IF(L522&lt;=17,13,IF(L522&lt;=20,14,IF(L522&lt;=22,15,IF(L522&lt;=25,16,IF(L522&lt;=27,17,IF(L522&lt;=29,18,IF(L522&lt;=32,19,IF(L522&lt;=34,20,IF(L522&lt;=36,21,IF(L522&lt;=40,22,24)))))))))))))</f>
        <v>19</v>
      </c>
      <c r="P522" s="3" t="n">
        <v>40</v>
      </c>
      <c r="Q522" s="3" t="n">
        <f aca="false">_xlfn.IFS(O522="взв",11,O522="накл",24,O522="прокл",25,O522="пт",26,O522=90,10,O522=85,10,O522=80,9,O522=75,8,O522=70,8,O522=65,7,O522=60,7,O522=55,6,O522=50,6,O522=45,6,O522=40,5,O522=35,4,O522=30,4,O522=25,3,O522=20,2,O522=15,1,O522=10,1,O522=0,0)</f>
        <v>0</v>
      </c>
      <c r="R522" s="3" t="n">
        <f aca="false">IF(P522&lt;=1,0,IF(P522&lt;=10,11,IF(P522&lt;=14,12,IF(P522&lt;=17,13,IF(P522&lt;=20,14,IF(P522&lt;=22,15,IF(P522&lt;=25,16,IF(P522&lt;=27,17,IF(P522&lt;=29,18,IF(P522&lt;=32,19,IF(P522&lt;=34,20,IF(P522&lt;=36,21,IF(P522&lt;=40,22,24)))))))))))))</f>
        <v>22</v>
      </c>
      <c r="S522" s="14" t="n">
        <f aca="false">ROUND((Q522+R522+I522+J522+M522+N522)/3,0)</f>
        <v>19</v>
      </c>
      <c r="T522" s="15" t="n">
        <f aca="false">F522*LOG10(S522+2)</f>
        <v>13.2221929473392</v>
      </c>
    </row>
    <row r="523" customFormat="false" ht="14.65" hidden="false" customHeight="true" outlineLevel="0" collapsed="false">
      <c r="A523" s="12" t="s">
        <v>576</v>
      </c>
      <c r="B523" s="13" t="n">
        <v>38879</v>
      </c>
      <c r="C523" s="3" t="s">
        <v>24</v>
      </c>
      <c r="D523" s="4" t="s">
        <v>565</v>
      </c>
      <c r="E523" s="3" t="n">
        <v>5</v>
      </c>
      <c r="F523" s="3" t="n">
        <v>10</v>
      </c>
      <c r="G523" s="3" t="n">
        <v>15</v>
      </c>
      <c r="I523" s="3" t="n">
        <f aca="false">_xlfn.IFS(G523="взв",11,G523="накл",24,G523="прокл",25,G523="пт",26,G523=90,10,G523=85,10,G523=80,9,G523=75,8,G523=70,8,G523=65,7,G523=60,7,G523=55,6,G523=50,6,G523=45,6,G523=40,5,G523=35,4,G523=30,4,G523=25,3,G523=20,2,G523=15,1,G523=10,1,G523=0,0)</f>
        <v>1</v>
      </c>
      <c r="J523" s="3" t="n">
        <f aca="false">IF(H523&lt;=1,0,IF(H523&lt;=10,11,IF(H523&lt;=14,12,IF(H523&lt;=17,13,IF(H523&lt;=20,14,IF(H523&lt;=22,15,IF(H523&lt;=25,16,IF(H523&lt;=27,17,IF(H523&lt;=29,18,IF(H523&lt;=32,19,IF(H523&lt;=34,20,IF(H523&lt;=36,21,IF(H523&lt;=40,22,24)))))))))))))</f>
        <v>0</v>
      </c>
      <c r="K523" s="3" t="n">
        <v>15</v>
      </c>
      <c r="M523" s="3" t="n">
        <f aca="false">_xlfn.IFS(K523="взв",11,K523="накл",24,K523="прокл",25,K523="пт",26,K523=90,10,K523=85,10,K523=80,9,K523=75,8,K523=70,8,K523=65,7,K523=60,7,K523=55,6,K523=50,6,K523=45,6,K523=40,5,K523=35,4,K523=30,4,K523=25,3,K523=20,2,K523=15,1,K523=10,1,K523=0,0)</f>
        <v>1</v>
      </c>
      <c r="N523" s="3" t="n">
        <f aca="false">IF(L523&lt;=1,0,IF(L523&lt;=10,11,IF(L523&lt;=14,12,IF(L523&lt;=17,13,IF(L523&lt;=20,14,IF(L523&lt;=22,15,IF(L523&lt;=25,16,IF(L523&lt;=27,17,IF(L523&lt;=29,18,IF(L523&lt;=32,19,IF(L523&lt;=34,20,IF(L523&lt;=36,21,IF(L523&lt;=40,22,24)))))))))))))</f>
        <v>0</v>
      </c>
      <c r="O523" s="3" t="n">
        <v>15</v>
      </c>
      <c r="Q523" s="3" t="n">
        <f aca="false">_xlfn.IFS(O523="взв",11,O523="накл",24,O523="прокл",25,O523="пт",26,O523=90,10,O523=85,10,O523=80,9,O523=75,8,O523=70,8,O523=65,7,O523=60,7,O523=55,6,O523=50,6,O523=45,6,O523=40,5,O523=35,4,O523=30,4,O523=25,3,O523=20,2,O523=15,1,O523=10,1,O523=0,0)</f>
        <v>1</v>
      </c>
      <c r="R523" s="3" t="n">
        <f aca="false">IF(P523&lt;=1,0,IF(P523&lt;=10,11,IF(P523&lt;=14,12,IF(P523&lt;=17,13,IF(P523&lt;=20,14,IF(P523&lt;=22,15,IF(P523&lt;=25,16,IF(P523&lt;=27,17,IF(P523&lt;=29,18,IF(P523&lt;=32,19,IF(P523&lt;=34,20,IF(P523&lt;=36,21,IF(P523&lt;=40,22,24)))))))))))))</f>
        <v>0</v>
      </c>
      <c r="S523" s="14" t="n">
        <f aca="false">ROUND((Q523+R523+I523+J523+M523+N523)/3,0)</f>
        <v>1</v>
      </c>
      <c r="T523" s="15" t="n">
        <f aca="false">F523*LOG10(S523+2)</f>
        <v>4.77121254719662</v>
      </c>
    </row>
    <row r="524" customFormat="false" ht="14.65" hidden="false" customHeight="true" outlineLevel="0" collapsed="false">
      <c r="A524" s="12" t="s">
        <v>577</v>
      </c>
      <c r="B524" s="13" t="n">
        <v>38879</v>
      </c>
      <c r="C524" s="3" t="s">
        <v>24</v>
      </c>
      <c r="D524" s="4" t="s">
        <v>565</v>
      </c>
      <c r="E524" s="3" t="n">
        <v>6</v>
      </c>
      <c r="F524" s="3" t="n">
        <v>10</v>
      </c>
      <c r="H524" s="3" t="n">
        <v>24</v>
      </c>
      <c r="I524" s="3" t="n">
        <f aca="false">_xlfn.IFS(G524="взв",11,G524="накл",24,G524="прокл",25,G524="пт",26,G524=90,10,G524=85,10,G524=80,9,G524=75,8,G524=70,8,G524=65,7,G524=60,7,G524=55,6,G524=50,6,G524=45,6,G524=40,5,G524=35,4,G524=30,4,G524=25,3,G524=20,2,G524=15,1,G524=10,1,G524=0,0)</f>
        <v>0</v>
      </c>
      <c r="J524" s="3" t="n">
        <f aca="false">IF(H524&lt;=1,0,IF(H524&lt;=10,11,IF(H524&lt;=14,12,IF(H524&lt;=17,13,IF(H524&lt;=20,14,IF(H524&lt;=22,15,IF(H524&lt;=25,16,IF(H524&lt;=27,17,IF(H524&lt;=29,18,IF(H524&lt;=32,19,IF(H524&lt;=34,20,IF(H524&lt;=36,21,IF(H524&lt;=40,22,24)))))))))))))</f>
        <v>16</v>
      </c>
      <c r="L524" s="3" t="n">
        <v>25</v>
      </c>
      <c r="M524" s="3" t="n">
        <f aca="false">_xlfn.IFS(K524="взв",11,K524="накл",24,K524="прокл",25,K524="пт",26,K524=90,10,K524=85,10,K524=80,9,K524=75,8,K524=70,8,K524=65,7,K524=60,7,K524=55,6,K524=50,6,K524=45,6,K524=40,5,K524=35,4,K524=30,4,K524=25,3,K524=20,2,K524=15,1,K524=10,1,K524=0,0)</f>
        <v>0</v>
      </c>
      <c r="N524" s="3" t="n">
        <f aca="false">IF(L524&lt;=1,0,IF(L524&lt;=10,11,IF(L524&lt;=14,12,IF(L524&lt;=17,13,IF(L524&lt;=20,14,IF(L524&lt;=22,15,IF(L524&lt;=25,16,IF(L524&lt;=27,17,IF(L524&lt;=29,18,IF(L524&lt;=32,19,IF(L524&lt;=34,20,IF(L524&lt;=36,21,IF(L524&lt;=40,22,24)))))))))))))</f>
        <v>16</v>
      </c>
      <c r="P524" s="3" t="n">
        <v>24</v>
      </c>
      <c r="Q524" s="3" t="n">
        <f aca="false">_xlfn.IFS(O524="взв",11,O524="накл",24,O524="прокл",25,O524="пт",26,O524=90,10,O524=85,10,O524=80,9,O524=75,8,O524=70,8,O524=65,7,O524=60,7,O524=55,6,O524=50,6,O524=45,6,O524=40,5,O524=35,4,O524=30,4,O524=25,3,O524=20,2,O524=15,1,O524=10,1,O524=0,0)</f>
        <v>0</v>
      </c>
      <c r="R524" s="3" t="n">
        <f aca="false">IF(P524&lt;=1,0,IF(P524&lt;=10,11,IF(P524&lt;=14,12,IF(P524&lt;=17,13,IF(P524&lt;=20,14,IF(P524&lt;=22,15,IF(P524&lt;=25,16,IF(P524&lt;=27,17,IF(P524&lt;=29,18,IF(P524&lt;=32,19,IF(P524&lt;=34,20,IF(P524&lt;=36,21,IF(P524&lt;=40,22,24)))))))))))))</f>
        <v>16</v>
      </c>
      <c r="S524" s="14" t="n">
        <f aca="false">ROUND((Q524+R524+I524+J524+M524+N524)/3,0)</f>
        <v>16</v>
      </c>
      <c r="T524" s="15" t="n">
        <f aca="false">F524*LOG10(S524+2)</f>
        <v>12.5527250510331</v>
      </c>
    </row>
    <row r="525" customFormat="false" ht="14.65" hidden="false" customHeight="true" outlineLevel="0" collapsed="false">
      <c r="A525" s="12" t="s">
        <v>578</v>
      </c>
      <c r="B525" s="13" t="n">
        <v>38879</v>
      </c>
      <c r="C525" s="3" t="s">
        <v>24</v>
      </c>
      <c r="D525" s="4" t="s">
        <v>565</v>
      </c>
      <c r="E525" s="3" t="n">
        <v>7</v>
      </c>
      <c r="F525" s="3" t="n">
        <v>10</v>
      </c>
      <c r="H525" s="3" t="n">
        <v>26</v>
      </c>
      <c r="I525" s="3" t="n">
        <f aca="false">_xlfn.IFS(G525="взв",11,G525="накл",24,G525="прокл",25,G525="пт",26,G525=90,10,G525=85,10,G525=80,9,G525=75,8,G525=70,8,G525=65,7,G525=60,7,G525=55,6,G525=50,6,G525=45,6,G525=40,5,G525=35,4,G525=30,4,G525=25,3,G525=20,2,G525=15,1,G525=10,1,G525=0,0)</f>
        <v>0</v>
      </c>
      <c r="J525" s="3" t="n">
        <f aca="false">IF(H525&lt;=1,0,IF(H525&lt;=10,11,IF(H525&lt;=14,12,IF(H525&lt;=17,13,IF(H525&lt;=20,14,IF(H525&lt;=22,15,IF(H525&lt;=25,16,IF(H525&lt;=27,17,IF(H525&lt;=29,18,IF(H525&lt;=32,19,IF(H525&lt;=34,20,IF(H525&lt;=36,21,IF(H525&lt;=40,22,24)))))))))))))</f>
        <v>17</v>
      </c>
      <c r="L525" s="3" t="n">
        <v>31</v>
      </c>
      <c r="M525" s="3" t="n">
        <f aca="false">_xlfn.IFS(K525="взв",11,K525="накл",24,K525="прокл",25,K525="пт",26,K525=90,10,K525=85,10,K525=80,9,K525=75,8,K525=70,8,K525=65,7,K525=60,7,K525=55,6,K525=50,6,K525=45,6,K525=40,5,K525=35,4,K525=30,4,K525=25,3,K525=20,2,K525=15,1,K525=10,1,K525=0,0)</f>
        <v>0</v>
      </c>
      <c r="N525" s="3" t="n">
        <f aca="false">IF(L525&lt;=1,0,IF(L525&lt;=10,11,IF(L525&lt;=14,12,IF(L525&lt;=17,13,IF(L525&lt;=20,14,IF(L525&lt;=22,15,IF(L525&lt;=25,16,IF(L525&lt;=27,17,IF(L525&lt;=29,18,IF(L525&lt;=32,19,IF(L525&lt;=34,20,IF(L525&lt;=36,21,IF(L525&lt;=40,22,24)))))))))))))</f>
        <v>19</v>
      </c>
      <c r="P525" s="3" t="n">
        <v>39</v>
      </c>
      <c r="Q525" s="3" t="n">
        <f aca="false">_xlfn.IFS(O525="взв",11,O525="накл",24,O525="прокл",25,O525="пт",26,O525=90,10,O525=85,10,O525=80,9,O525=75,8,O525=70,8,O525=65,7,O525=60,7,O525=55,6,O525=50,6,O525=45,6,O525=40,5,O525=35,4,O525=30,4,O525=25,3,O525=20,2,O525=15,1,O525=10,1,O525=0,0)</f>
        <v>0</v>
      </c>
      <c r="R525" s="3" t="n">
        <f aca="false">IF(P525&lt;=1,0,IF(P525&lt;=10,11,IF(P525&lt;=14,12,IF(P525&lt;=17,13,IF(P525&lt;=20,14,IF(P525&lt;=22,15,IF(P525&lt;=25,16,IF(P525&lt;=27,17,IF(P525&lt;=29,18,IF(P525&lt;=32,19,IF(P525&lt;=34,20,IF(P525&lt;=36,21,IF(P525&lt;=40,22,24)))))))))))))</f>
        <v>22</v>
      </c>
      <c r="S525" s="14" t="n">
        <f aca="false">ROUND((Q525+R525+I525+J525+M525+N525)/3,0)</f>
        <v>19</v>
      </c>
      <c r="T525" s="15" t="n">
        <f aca="false">F525*LOG10(S525+2)</f>
        <v>13.2221929473392</v>
      </c>
    </row>
    <row r="526" customFormat="false" ht="14.65" hidden="false" customHeight="true" outlineLevel="0" collapsed="false">
      <c r="A526" s="12" t="s">
        <v>579</v>
      </c>
      <c r="B526" s="13" t="n">
        <v>38879</v>
      </c>
      <c r="C526" s="3" t="s">
        <v>24</v>
      </c>
      <c r="D526" s="4" t="s">
        <v>565</v>
      </c>
      <c r="E526" s="3" t="n">
        <v>2</v>
      </c>
      <c r="F526" s="3" t="n">
        <v>10</v>
      </c>
      <c r="H526" s="3" t="n">
        <v>34</v>
      </c>
      <c r="I526" s="3" t="n">
        <f aca="false">_xlfn.IFS(G526="взв",11,G526="накл",24,G526="прокл",25,G526="пт",26,G526=90,10,G526=85,10,G526=80,9,G526=75,8,G526=70,8,G526=65,7,G526=60,7,G526=55,6,G526=50,6,G526=45,6,G526=40,5,G526=35,4,G526=30,4,G526=25,3,G526=20,2,G526=15,1,G526=10,1,G526=0,0)</f>
        <v>0</v>
      </c>
      <c r="J526" s="3" t="n">
        <f aca="false">IF(H526&lt;=1,0,IF(H526&lt;=10,11,IF(H526&lt;=14,12,IF(H526&lt;=17,13,IF(H526&lt;=20,14,IF(H526&lt;=22,15,IF(H526&lt;=25,16,IF(H526&lt;=27,17,IF(H526&lt;=29,18,IF(H526&lt;=32,19,IF(H526&lt;=34,20,IF(H526&lt;=36,21,IF(H526&lt;=40,22,24)))))))))))))</f>
        <v>20</v>
      </c>
      <c r="L526" s="3" t="n">
        <v>35</v>
      </c>
      <c r="M526" s="3" t="n">
        <f aca="false">_xlfn.IFS(K526="взв",11,K526="накл",24,K526="прокл",25,K526="пт",26,K526=90,10,K526=85,10,K526=80,9,K526=75,8,K526=70,8,K526=65,7,K526=60,7,K526=55,6,K526=50,6,K526=45,6,K526=40,5,K526=35,4,K526=30,4,K526=25,3,K526=20,2,K526=15,1,K526=10,1,K526=0,0)</f>
        <v>0</v>
      </c>
      <c r="N526" s="3" t="n">
        <f aca="false">IF(L526&lt;=1,0,IF(L526&lt;=10,11,IF(L526&lt;=14,12,IF(L526&lt;=17,13,IF(L526&lt;=20,14,IF(L526&lt;=22,15,IF(L526&lt;=25,16,IF(L526&lt;=27,17,IF(L526&lt;=29,18,IF(L526&lt;=32,19,IF(L526&lt;=34,20,IF(L526&lt;=36,21,IF(L526&lt;=40,22,24)))))))))))))</f>
        <v>21</v>
      </c>
      <c r="Q526" s="3" t="n">
        <f aca="false">_xlfn.IFS(O526="взв",11,O526="накл",24,O526="прокл",25,O526="пт",26,O526=90,10,O526=85,10,O526=80,9,O526=75,8,O526=70,8,O526=65,7,O526=60,7,O526=55,6,O526=50,6,O526=45,6,O526=40,5,O526=35,4,O526=30,4,O526=25,3,O526=20,2,O526=15,1,O526=10,1,O526=0,0)</f>
        <v>0</v>
      </c>
      <c r="R526" s="3" t="n">
        <f aca="false">IF(P526&lt;=1,0,IF(P526&lt;=10,11,IF(P526&lt;=14,12,IF(P526&lt;=17,13,IF(P526&lt;=20,14,IF(P526&lt;=22,15,IF(P526&lt;=25,16,IF(P526&lt;=27,17,IF(P526&lt;=29,18,IF(P526&lt;=32,19,IF(P526&lt;=34,20,IF(P526&lt;=36,21,IF(P526&lt;=40,22,24)))))))))))))</f>
        <v>0</v>
      </c>
      <c r="S526" s="14" t="n">
        <f aca="false">ROUND((Q526+R526+I526+J526+M526+N526)/2,0)</f>
        <v>21</v>
      </c>
      <c r="T526" s="15" t="n">
        <f aca="false">F526*LOG10(S526+2)</f>
        <v>13.6172783601759</v>
      </c>
    </row>
    <row r="527" customFormat="false" ht="14.65" hidden="false" customHeight="true" outlineLevel="0" collapsed="false">
      <c r="A527" s="12" t="s">
        <v>580</v>
      </c>
      <c r="B527" s="13" t="n">
        <v>38879</v>
      </c>
      <c r="C527" s="3" t="s">
        <v>24</v>
      </c>
      <c r="D527" s="4" t="s">
        <v>565</v>
      </c>
      <c r="E527" s="3" t="n">
        <v>8</v>
      </c>
      <c r="F527" s="3" t="n">
        <v>10</v>
      </c>
      <c r="G527" s="3" t="n">
        <v>90</v>
      </c>
      <c r="I527" s="3" t="n">
        <f aca="false">_xlfn.IFS(G527="взв",11,G527="накл",24,G527="прокл",25,G527="пт",26,G527=90,10,G527=85,10,G527=80,9,G527=75,8,G527=70,8,G527=65,7,G527=60,7,G527=55,6,G527=50,6,G527=45,6,G527=40,5,G527=35,4,G527=30,4,G527=25,3,G527=20,2,G527=15,1,G527=10,1,G527=0,0)</f>
        <v>10</v>
      </c>
      <c r="J527" s="3" t="n">
        <f aca="false">IF(H527&lt;=1,0,IF(H527&lt;=10,11,IF(H527&lt;=14,12,IF(H527&lt;=17,13,IF(H527&lt;=20,14,IF(H527&lt;=22,15,IF(H527&lt;=25,16,IF(H527&lt;=27,17,IF(H527&lt;=29,18,IF(H527&lt;=32,19,IF(H527&lt;=34,20,IF(H527&lt;=36,21,IF(H527&lt;=40,22,24)))))))))))))</f>
        <v>0</v>
      </c>
      <c r="K527" s="3" t="n">
        <v>90</v>
      </c>
      <c r="M527" s="3" t="n">
        <f aca="false">_xlfn.IFS(K527="взв",11,K527="накл",24,K527="прокл",25,K527="пт",26,K527=90,10,K527=85,10,K527=80,9,K527=75,8,K527=70,8,K527=65,7,K527=60,7,K527=55,6,K527=50,6,K527=45,6,K527=40,5,K527=35,4,K527=30,4,K527=25,3,K527=20,2,K527=15,1,K527=10,1,K527=0,0)</f>
        <v>10</v>
      </c>
      <c r="N527" s="3" t="n">
        <f aca="false">IF(L527&lt;=1,0,IF(L527&lt;=10,11,IF(L527&lt;=14,12,IF(L527&lt;=17,13,IF(L527&lt;=20,14,IF(L527&lt;=22,15,IF(L527&lt;=25,16,IF(L527&lt;=27,17,IF(L527&lt;=29,18,IF(L527&lt;=32,19,IF(L527&lt;=34,20,IF(L527&lt;=36,21,IF(L527&lt;=40,22,24)))))))))))))</f>
        <v>0</v>
      </c>
      <c r="O527" s="3" t="s">
        <v>50</v>
      </c>
      <c r="P527" s="0"/>
      <c r="Q527" s="3" t="n">
        <f aca="false">_xlfn.IFS(O527="взв",11,O527="накл",24,O527="прокл",25,O527="пт",26,O527=90,10,O527=85,10,O527=80,9,O527=75,8,O527=70,8,O527=65,7,O527=60,7,O527=55,6,O527=50,6,O527=45,6,O527=40,5,O527=35,4,O527=30,4,O527=25,3,O527=20,2,O527=15,1,O527=10,1,O527=0,0)</f>
        <v>11</v>
      </c>
      <c r="R527" s="3" t="n">
        <f aca="false">IF(P527&lt;=1,0,IF(P527&lt;=10,11,IF(P527&lt;=14,12,IF(P527&lt;=17,13,IF(P527&lt;=20,14,IF(P527&lt;=22,15,IF(P527&lt;=25,16,IF(P527&lt;=27,17,IF(P527&lt;=29,18,IF(P527&lt;=32,19,IF(P527&lt;=34,20,IF(P527&lt;=36,21,IF(P527&lt;=40,22,24)))))))))))))</f>
        <v>0</v>
      </c>
      <c r="S527" s="14" t="n">
        <f aca="false">ROUND((Q527+R527+I527+J527+M527+N527)/3,0)</f>
        <v>10</v>
      </c>
      <c r="T527" s="15" t="n">
        <f aca="false">F527*LOG10(S527+2)</f>
        <v>10.7918124604763</v>
      </c>
    </row>
    <row r="528" customFormat="false" ht="14.65" hidden="false" customHeight="true" outlineLevel="0" collapsed="false">
      <c r="A528" s="12" t="s">
        <v>581</v>
      </c>
      <c r="B528" s="13" t="n">
        <v>38879</v>
      </c>
      <c r="C528" s="3" t="s">
        <v>24</v>
      </c>
      <c r="D528" s="4" t="s">
        <v>565</v>
      </c>
      <c r="E528" s="3" t="n">
        <v>5</v>
      </c>
      <c r="F528" s="3" t="n">
        <v>10</v>
      </c>
      <c r="H528" s="3" t="n">
        <v>41</v>
      </c>
      <c r="I528" s="3" t="n">
        <f aca="false">_xlfn.IFS(G528="взв",11,G528="накл",24,G528="прокл",25,G528="пт",26,G528=90,10,G528=85,10,G528=80,9,G528=75,8,G528=70,8,G528=65,7,G528=60,7,G528=55,6,G528=50,6,G528=45,6,G528=40,5,G528=35,4,G528=30,4,G528=25,3,G528=20,2,G528=15,1,G528=10,1,G528=0,0)</f>
        <v>0</v>
      </c>
      <c r="J528" s="3" t="n">
        <f aca="false">IF(H528&lt;=1,0,IF(H528&lt;=10,11,IF(H528&lt;=14,12,IF(H528&lt;=17,13,IF(H528&lt;=20,14,IF(H528&lt;=22,15,IF(H528&lt;=25,16,IF(H528&lt;=27,17,IF(H528&lt;=29,18,IF(H528&lt;=32,19,IF(H528&lt;=34,20,IF(H528&lt;=36,21,IF(H528&lt;=40,22,24)))))))))))))</f>
        <v>24</v>
      </c>
      <c r="L528" s="3" t="n">
        <v>39</v>
      </c>
      <c r="M528" s="3" t="n">
        <f aca="false">_xlfn.IFS(K528="взв",11,K528="накл",24,K528="прокл",25,K528="пт",26,K528=90,10,K528=85,10,K528=80,9,K528=75,8,K528=70,8,K528=65,7,K528=60,7,K528=55,6,K528=50,6,K528=45,6,K528=40,5,K528=35,4,K528=30,4,K528=25,3,K528=20,2,K528=15,1,K528=10,1,K528=0,0)</f>
        <v>0</v>
      </c>
      <c r="N528" s="3" t="n">
        <f aca="false">IF(L528&lt;=1,0,IF(L528&lt;=10,11,IF(L528&lt;=14,12,IF(L528&lt;=17,13,IF(L528&lt;=20,14,IF(L528&lt;=22,15,IF(L528&lt;=25,16,IF(L528&lt;=27,17,IF(L528&lt;=29,18,IF(L528&lt;=32,19,IF(L528&lt;=34,20,IF(L528&lt;=36,21,IF(L528&lt;=40,22,24)))))))))))))</f>
        <v>22</v>
      </c>
      <c r="P528" s="3" t="n">
        <v>40</v>
      </c>
      <c r="Q528" s="3" t="n">
        <f aca="false">_xlfn.IFS(O528="взв",11,O528="накл",24,O528="прокл",25,O528="пт",26,O528=90,10,O528=85,10,O528=80,9,O528=75,8,O528=70,8,O528=65,7,O528=60,7,O528=55,6,O528=50,6,O528=45,6,O528=40,5,O528=35,4,O528=30,4,O528=25,3,O528=20,2,O528=15,1,O528=10,1,O528=0,0)</f>
        <v>0</v>
      </c>
      <c r="R528" s="3" t="n">
        <f aca="false">IF(P528&lt;=1,0,IF(P528&lt;=10,11,IF(P528&lt;=14,12,IF(P528&lt;=17,13,IF(P528&lt;=20,14,IF(P528&lt;=22,15,IF(P528&lt;=25,16,IF(P528&lt;=27,17,IF(P528&lt;=29,18,IF(P528&lt;=32,19,IF(P528&lt;=34,20,IF(P528&lt;=36,21,IF(P528&lt;=40,22,24)))))))))))))</f>
        <v>22</v>
      </c>
      <c r="S528" s="14" t="n">
        <f aca="false">ROUND((Q528+R528+I528+J528+M528+N528)/3,0)</f>
        <v>23</v>
      </c>
      <c r="T528" s="15" t="n">
        <f aca="false">F528*LOG10(S528+2)</f>
        <v>13.9794000867204</v>
      </c>
    </row>
    <row r="529" customFormat="false" ht="14.65" hidden="false" customHeight="true" outlineLevel="0" collapsed="false">
      <c r="A529" s="12" t="s">
        <v>582</v>
      </c>
      <c r="B529" s="13" t="n">
        <v>38879</v>
      </c>
      <c r="C529" s="3" t="s">
        <v>24</v>
      </c>
      <c r="D529" s="4" t="s">
        <v>565</v>
      </c>
      <c r="E529" s="3" t="n">
        <v>4</v>
      </c>
      <c r="F529" s="3" t="n">
        <v>10</v>
      </c>
      <c r="G529" s="3" t="n">
        <v>60</v>
      </c>
      <c r="I529" s="3" t="n">
        <f aca="false">_xlfn.IFS(G529="взв",11,G529="накл",24,G529="прокл",25,G529="пт",26,G529=90,10,G529=85,10,G529=80,9,G529=75,8,G529=70,8,G529=65,7,G529=60,7,G529=55,6,G529=50,6,G529=45,6,G529=40,5,G529=35,4,G529=30,4,G529=25,3,G529=20,2,G529=15,1,G529=10,1,G529=0,0)</f>
        <v>7</v>
      </c>
      <c r="J529" s="3" t="n">
        <f aca="false">IF(H529&lt;=1,0,IF(H529&lt;=10,11,IF(H529&lt;=14,12,IF(H529&lt;=17,13,IF(H529&lt;=20,14,IF(H529&lt;=22,15,IF(H529&lt;=25,16,IF(H529&lt;=27,17,IF(H529&lt;=29,18,IF(H529&lt;=32,19,IF(H529&lt;=34,20,IF(H529&lt;=36,21,IF(H529&lt;=40,22,24)))))))))))))</f>
        <v>0</v>
      </c>
      <c r="K529" s="3" t="n">
        <v>60</v>
      </c>
      <c r="M529" s="3" t="n">
        <f aca="false">_xlfn.IFS(K529="взв",11,K529="накл",24,K529="прокл",25,K529="пт",26,K529=90,10,K529=85,10,K529=80,9,K529=75,8,K529=70,8,K529=65,7,K529=60,7,K529=55,6,K529=50,6,K529=45,6,K529=40,5,K529=35,4,K529=30,4,K529=25,3,K529=20,2,K529=15,1,K529=10,1,K529=0,0)</f>
        <v>7</v>
      </c>
      <c r="N529" s="3" t="n">
        <f aca="false">IF(L529&lt;=1,0,IF(L529&lt;=10,11,IF(L529&lt;=14,12,IF(L529&lt;=17,13,IF(L529&lt;=20,14,IF(L529&lt;=22,15,IF(L529&lt;=25,16,IF(L529&lt;=27,17,IF(L529&lt;=29,18,IF(L529&lt;=32,19,IF(L529&lt;=34,20,IF(L529&lt;=36,21,IF(L529&lt;=40,22,24)))))))))))))</f>
        <v>0</v>
      </c>
      <c r="O529" s="3" t="n">
        <v>75</v>
      </c>
      <c r="Q529" s="3" t="n">
        <f aca="false">_xlfn.IFS(O529="взв",11,O529="накл",24,O529="прокл",25,O529="пт",26,O529=90,10,O529=85,10,O529=80,9,O529=75,8,O529=70,8,O529=65,7,O529=60,7,O529=55,6,O529=50,6,O529=45,6,O529=40,5,O529=35,4,O529=30,4,O529=25,3,O529=20,2,O529=15,1,O529=10,1,O529=0,0)</f>
        <v>8</v>
      </c>
      <c r="R529" s="3" t="n">
        <f aca="false">IF(P529&lt;=1,0,IF(P529&lt;=10,11,IF(P529&lt;=14,12,IF(P529&lt;=17,13,IF(P529&lt;=20,14,IF(P529&lt;=22,15,IF(P529&lt;=25,16,IF(P529&lt;=27,17,IF(P529&lt;=29,18,IF(P529&lt;=32,19,IF(P529&lt;=34,20,IF(P529&lt;=36,21,IF(P529&lt;=40,22,24)))))))))))))</f>
        <v>0</v>
      </c>
      <c r="S529" s="14" t="n">
        <f aca="false">ROUND((Q529+R529+I529+J529+M529+N529)/3,0)</f>
        <v>7</v>
      </c>
      <c r="T529" s="15" t="n">
        <f aca="false">F529*LOG10(S529+2)</f>
        <v>9.54242509439325</v>
      </c>
    </row>
    <row r="530" customFormat="false" ht="14.65" hidden="false" customHeight="true" outlineLevel="0" collapsed="false">
      <c r="A530" s="12" t="s">
        <v>583</v>
      </c>
      <c r="B530" s="13" t="n">
        <v>38879</v>
      </c>
      <c r="C530" s="3" t="s">
        <v>24</v>
      </c>
      <c r="D530" s="4" t="s">
        <v>565</v>
      </c>
      <c r="E530" s="3" t="n">
        <v>6</v>
      </c>
      <c r="F530" s="3" t="n">
        <v>10</v>
      </c>
      <c r="G530" s="3" t="n">
        <v>0</v>
      </c>
      <c r="I530" s="3" t="n">
        <f aca="false">_xlfn.IFS(G530="взв",11,G530="накл",24,G530="прокл",25,G530="пт",26,G530=90,10,G530=85,10,G530=80,9,G530=75,8,G530=70,8,G530=65,7,G530=60,7,G530=55,6,G530=50,6,G530=45,6,G530=40,5,G530=35,4,G530=30,4,G530=25,3,G530=20,2,G530=15,1,G530=10,1,G530=0,0)</f>
        <v>0</v>
      </c>
      <c r="J530" s="3" t="n">
        <f aca="false">IF(H530&lt;=1,0,IF(H530&lt;=10,11,IF(H530&lt;=14,12,IF(H530&lt;=17,13,IF(H530&lt;=20,14,IF(H530&lt;=22,15,IF(H530&lt;=25,16,IF(H530&lt;=27,17,IF(H530&lt;=29,18,IF(H530&lt;=32,19,IF(H530&lt;=34,20,IF(H530&lt;=36,21,IF(H530&lt;=40,22,24)))))))))))))</f>
        <v>0</v>
      </c>
      <c r="K530" s="3" t="n">
        <v>0</v>
      </c>
      <c r="M530" s="3" t="n">
        <f aca="false">_xlfn.IFS(K530="взв",11,K530="накл",24,K530="прокл",25,K530="пт",26,K530=90,10,K530=85,10,K530=80,9,K530=75,8,K530=70,8,K530=65,7,K530=60,7,K530=55,6,K530=50,6,K530=45,6,K530=40,5,K530=35,4,K530=30,4,K530=25,3,K530=20,2,K530=15,1,K530=10,1,K530=0,0)</f>
        <v>0</v>
      </c>
      <c r="N530" s="3" t="n">
        <f aca="false">IF(L530&lt;=1,0,IF(L530&lt;=10,11,IF(L530&lt;=14,12,IF(L530&lt;=17,13,IF(L530&lt;=20,14,IF(L530&lt;=22,15,IF(L530&lt;=25,16,IF(L530&lt;=27,17,IF(L530&lt;=29,18,IF(L530&lt;=32,19,IF(L530&lt;=34,20,IF(L530&lt;=36,21,IF(L530&lt;=40,22,24)))))))))))))</f>
        <v>0</v>
      </c>
      <c r="O530" s="3" t="n">
        <v>0</v>
      </c>
      <c r="Q530" s="3" t="n">
        <f aca="false">_xlfn.IFS(O530="взв",11,O530="накл",24,O530="прокл",25,O530="пт",26,O530=90,10,O530=85,10,O530=80,9,O530=75,8,O530=70,8,O530=65,7,O530=60,7,O530=55,6,O530=50,6,O530=45,6,O530=40,5,O530=35,4,O530=30,4,O530=25,3,O530=20,2,O530=15,1,O530=10,1,O530=0,0)</f>
        <v>0</v>
      </c>
      <c r="R530" s="3" t="n">
        <f aca="false">IF(P530&lt;=1,0,IF(P530&lt;=10,11,IF(P530&lt;=14,12,IF(P530&lt;=17,13,IF(P530&lt;=20,14,IF(P530&lt;=22,15,IF(P530&lt;=25,16,IF(P530&lt;=27,17,IF(P530&lt;=29,18,IF(P530&lt;=32,19,IF(P530&lt;=34,20,IF(P530&lt;=36,21,IF(P530&lt;=40,22,24)))))))))))))</f>
        <v>0</v>
      </c>
      <c r="S530" s="14" t="n">
        <f aca="false">ROUND((Q530+R530+I530+J530+M530+N530)/3,0)</f>
        <v>0</v>
      </c>
      <c r="T530" s="15" t="n">
        <f aca="false">F530*LOG10(S530+2)</f>
        <v>3.01029995663981</v>
      </c>
    </row>
    <row r="531" customFormat="false" ht="14.65" hidden="false" customHeight="true" outlineLevel="0" collapsed="false">
      <c r="A531" s="12" t="s">
        <v>584</v>
      </c>
      <c r="B531" s="13" t="n">
        <v>38886</v>
      </c>
      <c r="C531" s="3" t="s">
        <v>24</v>
      </c>
      <c r="D531" s="4" t="s">
        <v>585</v>
      </c>
      <c r="E531" s="3" t="n">
        <v>4</v>
      </c>
      <c r="F531" s="3" t="n">
        <v>1</v>
      </c>
      <c r="H531" s="3" t="n">
        <v>24</v>
      </c>
      <c r="I531" s="3" t="n">
        <f aca="false">_xlfn.IFS(G531="взв",11,G531="накл",24,G531="прокл",25,G531="пт",26,G531=90,10,G531=85,10,G531=80,9,G531=75,8,G531=70,8,G531=65,7,G531=60,7,G531=55,6,G531=50,6,G531=45,6,G531=40,5,G531=35,4,G531=30,4,G531=25,3,G531=20,2,G531=15,1,G531=10,1,G531=0,0)</f>
        <v>0</v>
      </c>
      <c r="J531" s="3" t="n">
        <f aca="false">IF(H531&lt;=1,0,IF(H531&lt;=10,11,IF(H531&lt;=14,12,IF(H531&lt;=17,13,IF(H531&lt;=20,14,IF(H531&lt;=22,15,IF(H531&lt;=25,16,IF(H531&lt;=27,17,IF(H531&lt;=29,18,IF(H531&lt;=32,19,IF(H531&lt;=34,20,IF(H531&lt;=36,21,IF(H531&lt;=40,22,24)))))))))))))</f>
        <v>16</v>
      </c>
      <c r="K531" s="3" t="s">
        <v>50</v>
      </c>
      <c r="M531" s="3" t="n">
        <f aca="false">_xlfn.IFS(K531="взв",11,K531="накл",24,K531="прокл",25,K531="пт",26,K531=90,10,K531=85,10,K531=80,9,K531=75,8,K531=70,8,K531=65,7,K531=60,7,K531=55,6,K531=50,6,K531=45,6,K531=40,5,K531=35,4,K531=30,4,K531=25,3,K531=20,2,K531=15,1,K531=10,1,K531=0,0)</f>
        <v>11</v>
      </c>
      <c r="N531" s="3" t="n">
        <f aca="false">IF(L531&lt;=1,0,IF(L531&lt;=10,11,IF(L531&lt;=14,12,IF(L531&lt;=17,13,IF(L531&lt;=20,14,IF(L531&lt;=22,15,IF(L531&lt;=25,16,IF(L531&lt;=27,17,IF(L531&lt;=29,18,IF(L531&lt;=32,19,IF(L531&lt;=34,20,IF(L531&lt;=36,21,IF(L531&lt;=40,22,24)))))))))))))</f>
        <v>0</v>
      </c>
      <c r="O531" s="3" t="s">
        <v>50</v>
      </c>
      <c r="P531" s="0"/>
      <c r="Q531" s="3" t="n">
        <f aca="false">_xlfn.IFS(O531="взв",11,O531="накл",24,O531="прокл",25,O531="пт",26,O531=90,10,O531=85,10,O531=80,9,O531=75,8,O531=70,8,O531=65,7,O531=60,7,O531=55,6,O531=50,6,O531=45,6,O531=40,5,O531=35,4,O531=30,4,O531=25,3,O531=20,2,O531=15,1,O531=10,1,O531=0,0)</f>
        <v>11</v>
      </c>
      <c r="R531" s="3" t="n">
        <f aca="false">IF(P531&lt;=1,0,IF(P531&lt;=10,11,IF(P531&lt;=14,12,IF(P531&lt;=17,13,IF(P531&lt;=20,14,IF(P531&lt;=22,15,IF(P531&lt;=25,16,IF(P531&lt;=27,17,IF(P531&lt;=29,18,IF(P531&lt;=32,19,IF(P531&lt;=34,20,IF(P531&lt;=36,21,IF(P531&lt;=40,22,24)))))))))))))</f>
        <v>0</v>
      </c>
      <c r="S531" s="14" t="n">
        <f aca="false">ROUND((Q531+R531+I531+J531+M531+N531)/3,0)</f>
        <v>13</v>
      </c>
      <c r="T531" s="15" t="n">
        <f aca="false">F531*LOG10(S531+2)</f>
        <v>1.17609125905568</v>
      </c>
    </row>
    <row r="532" customFormat="false" ht="14.65" hidden="false" customHeight="true" outlineLevel="0" collapsed="false">
      <c r="A532" s="12" t="s">
        <v>586</v>
      </c>
      <c r="B532" s="13" t="n">
        <v>38886</v>
      </c>
      <c r="C532" s="3" t="s">
        <v>24</v>
      </c>
      <c r="D532" s="4" t="s">
        <v>585</v>
      </c>
      <c r="E532" s="3" t="n">
        <v>2</v>
      </c>
      <c r="F532" s="3" t="n">
        <v>2</v>
      </c>
      <c r="H532" s="3" t="n">
        <v>36</v>
      </c>
      <c r="I532" s="3" t="n">
        <f aca="false">_xlfn.IFS(G532="взв",11,G532="накл",24,G532="прокл",25,G532="пт",26,G532=90,10,G532=85,10,G532=80,9,G532=75,8,G532=70,8,G532=65,7,G532=60,7,G532=55,6,G532=50,6,G532=45,6,G532=40,5,G532=35,4,G532=30,4,G532=25,3,G532=20,2,G532=15,1,G532=10,1,G532=0,0)</f>
        <v>0</v>
      </c>
      <c r="J532" s="3" t="n">
        <f aca="false">IF(H532&lt;=1,0,IF(H532&lt;=10,11,IF(H532&lt;=14,12,IF(H532&lt;=17,13,IF(H532&lt;=20,14,IF(H532&lt;=22,15,IF(H532&lt;=25,16,IF(H532&lt;=27,17,IF(H532&lt;=29,18,IF(H532&lt;=32,19,IF(H532&lt;=34,20,IF(H532&lt;=36,21,IF(H532&lt;=40,22,24)))))))))))))</f>
        <v>21</v>
      </c>
      <c r="M532" s="3" t="n">
        <f aca="false">_xlfn.IFS(K532="взв",11,K532="накл",24,K532="прокл",25,K532="пт",26,K532=90,10,K532=85,10,K532=80,9,K532=75,8,K532=70,8,K532=65,7,K532=60,7,K532=55,6,K532=50,6,K532=45,6,K532=40,5,K532=35,4,K532=30,4,K532=25,3,K532=20,2,K532=15,1,K532=10,1,K532=0,0)</f>
        <v>0</v>
      </c>
      <c r="N532" s="3" t="n">
        <f aca="false">IF(L532&lt;=1,0,IF(L532&lt;=10,11,IF(L532&lt;=14,12,IF(L532&lt;=17,13,IF(L532&lt;=20,14,IF(L532&lt;=22,15,IF(L532&lt;=25,16,IF(L532&lt;=27,17,IF(L532&lt;=29,18,IF(L532&lt;=32,19,IF(L532&lt;=34,20,IF(L532&lt;=36,21,IF(L532&lt;=40,22,24)))))))))))))</f>
        <v>0</v>
      </c>
      <c r="Q532" s="3" t="n">
        <f aca="false">_xlfn.IFS(O532="взв",11,O532="накл",24,O532="прокл",25,O532="пт",26,O532=90,10,O532=85,10,O532=80,9,O532=75,8,O532=70,8,O532=65,7,O532=60,7,O532=55,6,O532=50,6,O532=45,6,O532=40,5,O532=35,4,O532=30,4,O532=25,3,O532=20,2,O532=15,1,O532=10,1,O532=0,0)</f>
        <v>0</v>
      </c>
      <c r="R532" s="3" t="n">
        <f aca="false">IF(P532&lt;=1,0,IF(P532&lt;=10,11,IF(P532&lt;=14,12,IF(P532&lt;=17,13,IF(P532&lt;=20,14,IF(P532&lt;=22,15,IF(P532&lt;=25,16,IF(P532&lt;=27,17,IF(P532&lt;=29,18,IF(P532&lt;=32,19,IF(P532&lt;=34,20,IF(P532&lt;=36,21,IF(P532&lt;=40,22,24)))))))))))))</f>
        <v>0</v>
      </c>
      <c r="S532" s="14" t="n">
        <v>21</v>
      </c>
      <c r="T532" s="15" t="n">
        <f aca="false">F532*LOG10(S532+2)</f>
        <v>2.72345567203519</v>
      </c>
    </row>
    <row r="533" customFormat="false" ht="14.65" hidden="false" customHeight="true" outlineLevel="0" collapsed="false">
      <c r="A533" s="12" t="s">
        <v>587</v>
      </c>
      <c r="B533" s="13" t="n">
        <v>38886</v>
      </c>
      <c r="C533" s="3" t="s">
        <v>24</v>
      </c>
      <c r="D533" s="4" t="s">
        <v>585</v>
      </c>
      <c r="E533" s="3" t="n">
        <v>4</v>
      </c>
      <c r="F533" s="3" t="n">
        <v>2</v>
      </c>
      <c r="H533" s="3" t="n">
        <v>35</v>
      </c>
      <c r="I533" s="3" t="n">
        <f aca="false">_xlfn.IFS(G533="взв",11,G533="накл",24,G533="прокл",25,G533="пт",26,G533=90,10,G533=85,10,G533=80,9,G533=75,8,G533=70,8,G533=65,7,G533=60,7,G533=55,6,G533=50,6,G533=45,6,G533=40,5,G533=35,4,G533=30,4,G533=25,3,G533=20,2,G533=15,1,G533=10,1,G533=0,0)</f>
        <v>0</v>
      </c>
      <c r="J533" s="3" t="n">
        <f aca="false">IF(H533&lt;=1,0,IF(H533&lt;=10,11,IF(H533&lt;=14,12,IF(H533&lt;=17,13,IF(H533&lt;=20,14,IF(H533&lt;=22,15,IF(H533&lt;=25,16,IF(H533&lt;=27,17,IF(H533&lt;=29,18,IF(H533&lt;=32,19,IF(H533&lt;=34,20,IF(H533&lt;=36,21,IF(H533&lt;=40,22,24)))))))))))))</f>
        <v>21</v>
      </c>
      <c r="L533" s="3" t="n">
        <v>29</v>
      </c>
      <c r="M533" s="3" t="n">
        <f aca="false">_xlfn.IFS(K533="взв",11,K533="накл",24,K533="прокл",25,K533="пт",26,K533=90,10,K533=85,10,K533=80,9,K533=75,8,K533=70,8,K533=65,7,K533=60,7,K533=55,6,K533=50,6,K533=45,6,K533=40,5,K533=35,4,K533=30,4,K533=25,3,K533=20,2,K533=15,1,K533=10,1,K533=0,0)</f>
        <v>0</v>
      </c>
      <c r="N533" s="3" t="n">
        <f aca="false">IF(L533&lt;=1,0,IF(L533&lt;=10,11,IF(L533&lt;=14,12,IF(L533&lt;=17,13,IF(L533&lt;=20,14,IF(L533&lt;=22,15,IF(L533&lt;=25,16,IF(L533&lt;=27,17,IF(L533&lt;=29,18,IF(L533&lt;=32,19,IF(L533&lt;=34,20,IF(L533&lt;=36,21,IF(L533&lt;=40,22,24)))))))))))))</f>
        <v>18</v>
      </c>
      <c r="P533" s="3" t="n">
        <v>31</v>
      </c>
      <c r="Q533" s="3" t="n">
        <f aca="false">_xlfn.IFS(O533="взв",11,O533="накл",24,O533="прокл",25,O533="пт",26,O533=90,10,O533=85,10,O533=80,9,O533=75,8,O533=70,8,O533=65,7,O533=60,7,O533=55,6,O533=50,6,O533=45,6,O533=40,5,O533=35,4,O533=30,4,O533=25,3,O533=20,2,O533=15,1,O533=10,1,O533=0,0)</f>
        <v>0</v>
      </c>
      <c r="R533" s="3" t="n">
        <f aca="false">IF(P533&lt;=1,0,IF(P533&lt;=10,11,IF(P533&lt;=14,12,IF(P533&lt;=17,13,IF(P533&lt;=20,14,IF(P533&lt;=22,15,IF(P533&lt;=25,16,IF(P533&lt;=27,17,IF(P533&lt;=29,18,IF(P533&lt;=32,19,IF(P533&lt;=34,20,IF(P533&lt;=36,21,IF(P533&lt;=40,22,24)))))))))))))</f>
        <v>19</v>
      </c>
      <c r="S533" s="14" t="n">
        <f aca="false">ROUND((Q533+R533+I533+J533+M533+N533)/3,0)</f>
        <v>19</v>
      </c>
      <c r="T533" s="15" t="n">
        <f aca="false">F533*LOG10(S533+2)</f>
        <v>2.64443858946784</v>
      </c>
    </row>
    <row r="534" customFormat="false" ht="14.65" hidden="false" customHeight="true" outlineLevel="0" collapsed="false">
      <c r="A534" s="12" t="s">
        <v>588</v>
      </c>
      <c r="B534" s="13" t="n">
        <v>38886</v>
      </c>
      <c r="C534" s="3" t="s">
        <v>24</v>
      </c>
      <c r="D534" s="4" t="s">
        <v>585</v>
      </c>
      <c r="E534" s="3" t="n">
        <v>4</v>
      </c>
      <c r="F534" s="3" t="n">
        <v>3</v>
      </c>
      <c r="H534" s="3" t="n">
        <v>31</v>
      </c>
      <c r="I534" s="3" t="n">
        <f aca="false">_xlfn.IFS(G534="взв",11,G534="накл",24,G534="прокл",25,G534="пт",26,G534=90,10,G534=85,10,G534=80,9,G534=75,8,G534=70,8,G534=65,7,G534=60,7,G534=55,6,G534=50,6,G534=45,6,G534=40,5,G534=35,4,G534=30,4,G534=25,3,G534=20,2,G534=15,1,G534=10,1,G534=0,0)</f>
        <v>0</v>
      </c>
      <c r="J534" s="3" t="n">
        <f aca="false">IF(H534&lt;=1,0,IF(H534&lt;=10,11,IF(H534&lt;=14,12,IF(H534&lt;=17,13,IF(H534&lt;=20,14,IF(H534&lt;=22,15,IF(H534&lt;=25,16,IF(H534&lt;=27,17,IF(H534&lt;=29,18,IF(H534&lt;=32,19,IF(H534&lt;=34,20,IF(H534&lt;=36,21,IF(H534&lt;=40,22,24)))))))))))))</f>
        <v>19</v>
      </c>
      <c r="L534" s="3" t="n">
        <v>29</v>
      </c>
      <c r="M534" s="3" t="n">
        <f aca="false">_xlfn.IFS(K534="взв",11,K534="накл",24,K534="прокл",25,K534="пт",26,K534=90,10,K534=85,10,K534=80,9,K534=75,8,K534=70,8,K534=65,7,K534=60,7,K534=55,6,K534=50,6,K534=45,6,K534=40,5,K534=35,4,K534=30,4,K534=25,3,K534=20,2,K534=15,1,K534=10,1,K534=0,0)</f>
        <v>0</v>
      </c>
      <c r="N534" s="3" t="n">
        <f aca="false">IF(L534&lt;=1,0,IF(L534&lt;=10,11,IF(L534&lt;=14,12,IF(L534&lt;=17,13,IF(L534&lt;=20,14,IF(L534&lt;=22,15,IF(L534&lt;=25,16,IF(L534&lt;=27,17,IF(L534&lt;=29,18,IF(L534&lt;=32,19,IF(L534&lt;=34,20,IF(L534&lt;=36,21,IF(L534&lt;=40,22,24)))))))))))))</f>
        <v>18</v>
      </c>
      <c r="P534" s="3" t="n">
        <v>29</v>
      </c>
      <c r="Q534" s="3" t="n">
        <f aca="false">_xlfn.IFS(O534="взв",11,O534="накл",24,O534="прокл",25,O534="пт",26,O534=90,10,O534=85,10,O534=80,9,O534=75,8,O534=70,8,O534=65,7,O534=60,7,O534=55,6,O534=50,6,O534=45,6,O534=40,5,O534=35,4,O534=30,4,O534=25,3,O534=20,2,O534=15,1,O534=10,1,O534=0,0)</f>
        <v>0</v>
      </c>
      <c r="R534" s="3" t="n">
        <f aca="false">IF(P534&lt;=1,0,IF(P534&lt;=10,11,IF(P534&lt;=14,12,IF(P534&lt;=17,13,IF(P534&lt;=20,14,IF(P534&lt;=22,15,IF(P534&lt;=25,16,IF(P534&lt;=27,17,IF(P534&lt;=29,18,IF(P534&lt;=32,19,IF(P534&lt;=34,20,IF(P534&lt;=36,21,IF(P534&lt;=40,22,24)))))))))))))</f>
        <v>18</v>
      </c>
      <c r="S534" s="14" t="n">
        <f aca="false">ROUND((Q534+R534+I534+J534+M534+N534)/3,0)</f>
        <v>18</v>
      </c>
      <c r="T534" s="15" t="n">
        <f aca="false">F534*LOG10(S534+2)</f>
        <v>3.90308998699194</v>
      </c>
    </row>
    <row r="535" customFormat="false" ht="14.65" hidden="false" customHeight="true" outlineLevel="0" collapsed="false">
      <c r="A535" s="12" t="s">
        <v>589</v>
      </c>
      <c r="B535" s="13" t="n">
        <v>38886</v>
      </c>
      <c r="C535" s="3" t="s">
        <v>24</v>
      </c>
      <c r="D535" s="4" t="s">
        <v>585</v>
      </c>
      <c r="E535" s="3" t="n">
        <v>4</v>
      </c>
      <c r="F535" s="3" t="n">
        <v>3</v>
      </c>
      <c r="H535" s="3" t="n">
        <v>25</v>
      </c>
      <c r="I535" s="3" t="n">
        <f aca="false">_xlfn.IFS(G535="взв",11,G535="накл",24,G535="прокл",25,G535="пт",26,G535=90,10,G535=85,10,G535=80,9,G535=75,8,G535=70,8,G535=65,7,G535=60,7,G535=55,6,G535=50,6,G535=45,6,G535=40,5,G535=35,4,G535=30,4,G535=25,3,G535=20,2,G535=15,1,G535=10,1,G535=0,0)</f>
        <v>0</v>
      </c>
      <c r="J535" s="3" t="n">
        <f aca="false">IF(H535&lt;=1,0,IF(H535&lt;=10,11,IF(H535&lt;=14,12,IF(H535&lt;=17,13,IF(H535&lt;=20,14,IF(H535&lt;=22,15,IF(H535&lt;=25,16,IF(H535&lt;=27,17,IF(H535&lt;=29,18,IF(H535&lt;=32,19,IF(H535&lt;=34,20,IF(H535&lt;=36,21,IF(H535&lt;=40,22,24)))))))))))))</f>
        <v>16</v>
      </c>
      <c r="L535" s="3" t="n">
        <v>28</v>
      </c>
      <c r="M535" s="3" t="n">
        <f aca="false">_xlfn.IFS(K535="взв",11,K535="накл",24,K535="прокл",25,K535="пт",26,K535=90,10,K535=85,10,K535=80,9,K535=75,8,K535=70,8,K535=65,7,K535=60,7,K535=55,6,K535=50,6,K535=45,6,K535=40,5,K535=35,4,K535=30,4,K535=25,3,K535=20,2,K535=15,1,K535=10,1,K535=0,0)</f>
        <v>0</v>
      </c>
      <c r="N535" s="3" t="n">
        <f aca="false">IF(L535&lt;=1,0,IF(L535&lt;=10,11,IF(L535&lt;=14,12,IF(L535&lt;=17,13,IF(L535&lt;=20,14,IF(L535&lt;=22,15,IF(L535&lt;=25,16,IF(L535&lt;=27,17,IF(L535&lt;=29,18,IF(L535&lt;=32,19,IF(L535&lt;=34,20,IF(L535&lt;=36,21,IF(L535&lt;=40,22,24)))))))))))))</f>
        <v>18</v>
      </c>
      <c r="P535" s="3" t="n">
        <v>30</v>
      </c>
      <c r="Q535" s="3" t="n">
        <f aca="false">_xlfn.IFS(O535="взв",11,O535="накл",24,O535="прокл",25,O535="пт",26,O535=90,10,O535=85,10,O535=80,9,O535=75,8,O535=70,8,O535=65,7,O535=60,7,O535=55,6,O535=50,6,O535=45,6,O535=40,5,O535=35,4,O535=30,4,O535=25,3,O535=20,2,O535=15,1,O535=10,1,O535=0,0)</f>
        <v>0</v>
      </c>
      <c r="R535" s="3" t="n">
        <f aca="false">IF(P535&lt;=1,0,IF(P535&lt;=10,11,IF(P535&lt;=14,12,IF(P535&lt;=17,13,IF(P535&lt;=20,14,IF(P535&lt;=22,15,IF(P535&lt;=25,16,IF(P535&lt;=27,17,IF(P535&lt;=29,18,IF(P535&lt;=32,19,IF(P535&lt;=34,20,IF(P535&lt;=36,21,IF(P535&lt;=40,22,24)))))))))))))</f>
        <v>19</v>
      </c>
      <c r="S535" s="14" t="n">
        <f aca="false">ROUND((Q535+R535+I535+J535+M535+N535)/3,0)</f>
        <v>18</v>
      </c>
      <c r="T535" s="15" t="n">
        <f aca="false">F535*LOG10(S535+2)</f>
        <v>3.90308998699194</v>
      </c>
    </row>
    <row r="536" customFormat="false" ht="14.65" hidden="false" customHeight="true" outlineLevel="0" collapsed="false">
      <c r="A536" s="12" t="s">
        <v>590</v>
      </c>
      <c r="B536" s="13" t="n">
        <v>38886</v>
      </c>
      <c r="C536" s="3" t="s">
        <v>24</v>
      </c>
      <c r="D536" s="4" t="s">
        <v>585</v>
      </c>
      <c r="E536" s="3" t="n">
        <v>3</v>
      </c>
      <c r="F536" s="3" t="n">
        <v>4</v>
      </c>
      <c r="G536" s="3" t="s">
        <v>47</v>
      </c>
      <c r="I536" s="3" t="n">
        <f aca="false">_xlfn.IFS(G536="взв",11,G536="накл",24,G536="прокл",25,G536="пт",26,G536=90,10,G536=85,10,G536=80,9,G536=75,8,G536=70,8,G536=65,7,G536=60,7,G536=55,6,G536=50,6,G536=45,6,G536=40,5,G536=35,4,G536=30,4,G536=25,3,G536=20,2,G536=15,1,G536=10,1,G536=0,0)</f>
        <v>25</v>
      </c>
      <c r="J536" s="3" t="n">
        <f aca="false">IF(H536&lt;=1,0,IF(H536&lt;=10,11,IF(H536&lt;=14,12,IF(H536&lt;=17,13,IF(H536&lt;=20,14,IF(H536&lt;=22,15,IF(H536&lt;=25,16,IF(H536&lt;=27,17,IF(H536&lt;=29,18,IF(H536&lt;=32,19,IF(H536&lt;=34,20,IF(H536&lt;=36,21,IF(H536&lt;=40,22,24)))))))))))))</f>
        <v>0</v>
      </c>
      <c r="K536" s="3" t="s">
        <v>27</v>
      </c>
      <c r="M536" s="3" t="n">
        <f aca="false">_xlfn.IFS(K536="взв",11,K536="накл",24,K536="прокл",25,K536="пт",26,K536=90,10,K536=85,10,K536=80,9,K536=75,8,K536=70,8,K536=65,7,K536=60,7,K536=55,6,K536=50,6,K536=45,6,K536=40,5,K536=35,4,K536=30,4,K536=25,3,K536=20,2,K536=15,1,K536=10,1,K536=0,0)</f>
        <v>24</v>
      </c>
      <c r="N536" s="3" t="n">
        <f aca="false">IF(L536&lt;=1,0,IF(L536&lt;=10,11,IF(L536&lt;=14,12,IF(L536&lt;=17,13,IF(L536&lt;=20,14,IF(L536&lt;=22,15,IF(L536&lt;=25,16,IF(L536&lt;=27,17,IF(L536&lt;=29,18,IF(L536&lt;=32,19,IF(L536&lt;=34,20,IF(L536&lt;=36,21,IF(L536&lt;=40,22,24)))))))))))))</f>
        <v>0</v>
      </c>
      <c r="O536" s="3" t="s">
        <v>47</v>
      </c>
      <c r="P536" s="0"/>
      <c r="Q536" s="3" t="n">
        <f aca="false">_xlfn.IFS(O536="взв",11,O536="накл",24,O536="прокл",25,O536="пт",26,O536=90,10,O536=85,10,O536=80,9,O536=75,8,O536=70,8,O536=65,7,O536=60,7,O536=55,6,O536=50,6,O536=45,6,O536=40,5,O536=35,4,O536=30,4,O536=25,3,O536=20,2,O536=15,1,O536=10,1,O536=0,0)</f>
        <v>25</v>
      </c>
      <c r="R536" s="3" t="n">
        <f aca="false">IF(P536&lt;=1,0,IF(P536&lt;=10,11,IF(P536&lt;=14,12,IF(P536&lt;=17,13,IF(P536&lt;=20,14,IF(P536&lt;=22,15,IF(P536&lt;=25,16,IF(P536&lt;=27,17,IF(P536&lt;=29,18,IF(P536&lt;=32,19,IF(P536&lt;=34,20,IF(P536&lt;=36,21,IF(P536&lt;=40,22,24)))))))))))))</f>
        <v>0</v>
      </c>
      <c r="S536" s="14" t="n">
        <f aca="false">ROUND((Q536+R536+I536+J536+M536+N536)/3,0)</f>
        <v>25</v>
      </c>
      <c r="T536" s="15" t="n">
        <f aca="false">F536*LOG10(S536+2)</f>
        <v>5.72545505663595</v>
      </c>
    </row>
    <row r="537" customFormat="false" ht="14.65" hidden="false" customHeight="true" outlineLevel="0" collapsed="false">
      <c r="A537" s="12" t="s">
        <v>591</v>
      </c>
      <c r="B537" s="13" t="n">
        <v>38886</v>
      </c>
      <c r="C537" s="3" t="s">
        <v>24</v>
      </c>
      <c r="D537" s="4" t="s">
        <v>585</v>
      </c>
      <c r="E537" s="3" t="n">
        <v>4</v>
      </c>
      <c r="F537" s="3" t="n">
        <v>6</v>
      </c>
      <c r="H537" s="3" t="n">
        <v>37</v>
      </c>
      <c r="I537" s="3" t="n">
        <f aca="false">_xlfn.IFS(G537="взв",11,G537="накл",24,G537="прокл",25,G537="пт",26,G537=90,10,G537=85,10,G537=80,9,G537=75,8,G537=70,8,G537=65,7,G537=60,7,G537=55,6,G537=50,6,G537=45,6,G537=40,5,G537=35,4,G537=30,4,G537=25,3,G537=20,2,G537=15,1,G537=10,1,G537=0,0)</f>
        <v>0</v>
      </c>
      <c r="J537" s="3" t="n">
        <f aca="false">IF(H537&lt;=1,0,IF(H537&lt;=10,11,IF(H537&lt;=14,12,IF(H537&lt;=17,13,IF(H537&lt;=20,14,IF(H537&lt;=22,15,IF(H537&lt;=25,16,IF(H537&lt;=27,17,IF(H537&lt;=29,18,IF(H537&lt;=32,19,IF(H537&lt;=34,20,IF(H537&lt;=36,21,IF(H537&lt;=40,22,24)))))))))))))</f>
        <v>22</v>
      </c>
      <c r="L537" s="3" t="n">
        <v>37</v>
      </c>
      <c r="M537" s="3" t="n">
        <f aca="false">_xlfn.IFS(K537="взв",11,K537="накл",24,K537="прокл",25,K537="пт",26,K537=90,10,K537=85,10,K537=80,9,K537=75,8,K537=70,8,K537=65,7,K537=60,7,K537=55,6,K537=50,6,K537=45,6,K537=40,5,K537=35,4,K537=30,4,K537=25,3,K537=20,2,K537=15,1,K537=10,1,K537=0,0)</f>
        <v>0</v>
      </c>
      <c r="N537" s="3" t="n">
        <f aca="false">IF(L537&lt;=1,0,IF(L537&lt;=10,11,IF(L537&lt;=14,12,IF(L537&lt;=17,13,IF(L537&lt;=20,14,IF(L537&lt;=22,15,IF(L537&lt;=25,16,IF(L537&lt;=27,17,IF(L537&lt;=29,18,IF(L537&lt;=32,19,IF(L537&lt;=34,20,IF(L537&lt;=36,21,IF(L537&lt;=40,22,24)))))))))))))</f>
        <v>22</v>
      </c>
      <c r="P537" s="3" t="n">
        <v>41</v>
      </c>
      <c r="Q537" s="3" t="n">
        <f aca="false">_xlfn.IFS(O537="взв",11,O537="накл",24,O537="прокл",25,O537="пт",26,O537=90,10,O537=85,10,O537=80,9,O537=75,8,O537=70,8,O537=65,7,O537=60,7,O537=55,6,O537=50,6,O537=45,6,O537=40,5,O537=35,4,O537=30,4,O537=25,3,O537=20,2,O537=15,1,O537=10,1,O537=0,0)</f>
        <v>0</v>
      </c>
      <c r="R537" s="3" t="n">
        <f aca="false">IF(P537&lt;=1,0,IF(P537&lt;=10,11,IF(P537&lt;=14,12,IF(P537&lt;=17,13,IF(P537&lt;=20,14,IF(P537&lt;=22,15,IF(P537&lt;=25,16,IF(P537&lt;=27,17,IF(P537&lt;=29,18,IF(P537&lt;=32,19,IF(P537&lt;=34,20,IF(P537&lt;=36,21,IF(P537&lt;=40,22,24)))))))))))))</f>
        <v>24</v>
      </c>
      <c r="S537" s="14" t="n">
        <f aca="false">ROUND((Q537+R537+I537+J537+M537+N537)/3,0)</f>
        <v>23</v>
      </c>
      <c r="T537" s="15" t="n">
        <f aca="false">F537*LOG10(S537+2)</f>
        <v>8.38764005203223</v>
      </c>
    </row>
    <row r="538" customFormat="false" ht="14.65" hidden="false" customHeight="true" outlineLevel="0" collapsed="false">
      <c r="A538" s="12" t="s">
        <v>592</v>
      </c>
      <c r="B538" s="13" t="n">
        <v>38886</v>
      </c>
      <c r="C538" s="3" t="s">
        <v>24</v>
      </c>
      <c r="D538" s="4" t="s">
        <v>585</v>
      </c>
      <c r="E538" s="3" t="n">
        <v>5</v>
      </c>
      <c r="F538" s="3" t="n">
        <v>7</v>
      </c>
      <c r="G538" s="3" t="s">
        <v>50</v>
      </c>
      <c r="H538" s="0"/>
      <c r="I538" s="3" t="n">
        <f aca="false">_xlfn.IFS(G538="взв",11,G538="накл",24,G538="прокл",25,G538="пт",26,G538=90,10,G538=85,10,G538=80,9,G538=75,8,G538=70,8,G538=65,7,G538=60,7,G538=55,6,G538=50,6,G538=45,6,G538=40,5,G538=35,4,G538=30,4,G538=25,3,G538=20,2,G538=15,1,G538=10,1,G538=0,0)</f>
        <v>11</v>
      </c>
      <c r="J538" s="3" t="n">
        <f aca="false">IF(H538&lt;=1,0,IF(H538&lt;=10,11,IF(H538&lt;=14,12,IF(H538&lt;=17,13,IF(H538&lt;=20,14,IF(H538&lt;=22,15,IF(H538&lt;=25,16,IF(H538&lt;=27,17,IF(H538&lt;=29,18,IF(H538&lt;=32,19,IF(H538&lt;=34,20,IF(H538&lt;=36,21,IF(H538&lt;=40,22,24)))))))))))))</f>
        <v>0</v>
      </c>
      <c r="K538" s="3" t="n">
        <v>90</v>
      </c>
      <c r="M538" s="3" t="n">
        <f aca="false">_xlfn.IFS(K538="взв",11,K538="накл",24,K538="прокл",25,K538="пт",26,K538=90,10,K538=85,10,K538=80,9,K538=75,8,K538=70,8,K538=65,7,K538=60,7,K538=55,6,K538=50,6,K538=45,6,K538=40,5,K538=35,4,K538=30,4,K538=25,3,K538=20,2,K538=15,1,K538=10,1,K538=0,0)</f>
        <v>10</v>
      </c>
      <c r="N538" s="3" t="n">
        <f aca="false">IF(L538&lt;=1,0,IF(L538&lt;=10,11,IF(L538&lt;=14,12,IF(L538&lt;=17,13,IF(L538&lt;=20,14,IF(L538&lt;=22,15,IF(L538&lt;=25,16,IF(L538&lt;=27,17,IF(L538&lt;=29,18,IF(L538&lt;=32,19,IF(L538&lt;=34,20,IF(L538&lt;=36,21,IF(L538&lt;=40,22,24)))))))))))))</f>
        <v>0</v>
      </c>
      <c r="O538" s="3" t="n">
        <v>75</v>
      </c>
      <c r="Q538" s="3" t="n">
        <f aca="false">_xlfn.IFS(O538="взв",11,O538="накл",24,O538="прокл",25,O538="пт",26,O538=90,10,O538=85,10,O538=80,9,O538=75,8,O538=70,8,O538=65,7,O538=60,7,O538=55,6,O538=50,6,O538=45,6,O538=40,5,O538=35,4,O538=30,4,O538=25,3,O538=20,2,O538=15,1,O538=10,1,O538=0,0)</f>
        <v>8</v>
      </c>
      <c r="R538" s="3" t="n">
        <f aca="false">IF(P538&lt;=1,0,IF(P538&lt;=10,11,IF(P538&lt;=14,12,IF(P538&lt;=17,13,IF(P538&lt;=20,14,IF(P538&lt;=22,15,IF(P538&lt;=25,16,IF(P538&lt;=27,17,IF(P538&lt;=29,18,IF(P538&lt;=32,19,IF(P538&lt;=34,20,IF(P538&lt;=36,21,IF(P538&lt;=40,22,24)))))))))))))</f>
        <v>0</v>
      </c>
      <c r="S538" s="14" t="n">
        <f aca="false">ROUND((Q538+R538+I538+J538+M538+N538)/3,0)</f>
        <v>10</v>
      </c>
      <c r="T538" s="15" t="n">
        <f aca="false">F538*LOG10(S538+2)</f>
        <v>7.55426872233337</v>
      </c>
    </row>
    <row r="539" customFormat="false" ht="14.65" hidden="false" customHeight="true" outlineLevel="0" collapsed="false">
      <c r="A539" s="12" t="s">
        <v>593</v>
      </c>
      <c r="B539" s="13" t="n">
        <v>38886</v>
      </c>
      <c r="C539" s="3" t="s">
        <v>24</v>
      </c>
      <c r="D539" s="4" t="s">
        <v>585</v>
      </c>
      <c r="E539" s="3" t="n">
        <v>4</v>
      </c>
      <c r="F539" s="3" t="n">
        <v>0</v>
      </c>
      <c r="H539" s="3" t="n">
        <v>34</v>
      </c>
      <c r="I539" s="3" t="n">
        <f aca="false">_xlfn.IFS(G539="взв",11,G539="накл",24,G539="прокл",25,G539="пт",26,G539=90,10,G539=85,10,G539=80,9,G539=75,8,G539=70,8,G539=65,7,G539=60,7,G539=55,6,G539=50,6,G539=45,6,G539=40,5,G539=35,4,G539=30,4,G539=25,3,G539=20,2,G539=15,1,G539=10,1,G539=0,0)</f>
        <v>0</v>
      </c>
      <c r="J539" s="3" t="n">
        <f aca="false">IF(H539&lt;=1,0,IF(H539&lt;=10,11,IF(H539&lt;=14,12,IF(H539&lt;=17,13,IF(H539&lt;=20,14,IF(H539&lt;=22,15,IF(H539&lt;=25,16,IF(H539&lt;=27,17,IF(H539&lt;=29,18,IF(H539&lt;=32,19,IF(H539&lt;=34,20,IF(H539&lt;=36,21,IF(H539&lt;=40,22,24)))))))))))))</f>
        <v>20</v>
      </c>
      <c r="L539" s="3" t="n">
        <v>29</v>
      </c>
      <c r="M539" s="3" t="n">
        <f aca="false">_xlfn.IFS(K539="взв",11,K539="накл",24,K539="прокл",25,K539="пт",26,K539=90,10,K539=85,10,K539=80,9,K539=75,8,K539=70,8,K539=65,7,K539=60,7,K539=55,6,K539=50,6,K539=45,6,K539=40,5,K539=35,4,K539=30,4,K539=25,3,K539=20,2,K539=15,1,K539=10,1,K539=0,0)</f>
        <v>0</v>
      </c>
      <c r="N539" s="3" t="n">
        <f aca="false">IF(L539&lt;=1,0,IF(L539&lt;=10,11,IF(L539&lt;=14,12,IF(L539&lt;=17,13,IF(L539&lt;=20,14,IF(L539&lt;=22,15,IF(L539&lt;=25,16,IF(L539&lt;=27,17,IF(L539&lt;=29,18,IF(L539&lt;=32,19,IF(L539&lt;=34,20,IF(L539&lt;=36,21,IF(L539&lt;=40,22,24)))))))))))))</f>
        <v>18</v>
      </c>
      <c r="P539" s="3" t="n">
        <v>36</v>
      </c>
      <c r="Q539" s="3" t="n">
        <f aca="false">_xlfn.IFS(O539="взв",11,O539="накл",24,O539="прокл",25,O539="пт",26,O539=90,10,O539=85,10,O539=80,9,O539=75,8,O539=70,8,O539=65,7,O539=60,7,O539=55,6,O539=50,6,O539=45,6,O539=40,5,O539=35,4,O539=30,4,O539=25,3,O539=20,2,O539=15,1,O539=10,1,O539=0,0)</f>
        <v>0</v>
      </c>
      <c r="R539" s="3" t="n">
        <f aca="false">IF(P539&lt;=1,0,IF(P539&lt;=10,11,IF(P539&lt;=14,12,IF(P539&lt;=17,13,IF(P539&lt;=20,14,IF(P539&lt;=22,15,IF(P539&lt;=25,16,IF(P539&lt;=27,17,IF(P539&lt;=29,18,IF(P539&lt;=32,19,IF(P539&lt;=34,20,IF(P539&lt;=36,21,IF(P539&lt;=40,22,24)))))))))))))</f>
        <v>21</v>
      </c>
      <c r="S539" s="14" t="n">
        <f aca="false">ROUND((Q539+R539+I539+J539+M539+N539)/3,0)</f>
        <v>20</v>
      </c>
      <c r="T539" s="15" t="n">
        <f aca="false">F539*LOG10(S539+2)</f>
        <v>0</v>
      </c>
    </row>
    <row r="540" customFormat="false" ht="14.65" hidden="false" customHeight="true" outlineLevel="0" collapsed="false">
      <c r="A540" s="12" t="s">
        <v>594</v>
      </c>
      <c r="B540" s="16" t="n">
        <v>38897</v>
      </c>
      <c r="C540" s="17" t="s">
        <v>595</v>
      </c>
      <c r="D540" s="4" t="s">
        <v>595</v>
      </c>
      <c r="E540" s="3" t="n">
        <v>4</v>
      </c>
      <c r="F540" s="3" t="n">
        <v>1</v>
      </c>
      <c r="H540" s="3" t="n">
        <v>40</v>
      </c>
      <c r="I540" s="3" t="n">
        <f aca="false">_xlfn.IFS(G540="взв",11,G540="накл",24,G540="прокл",25,G540="пт",26,G540=90,10,G540=85,10,G540=80,9,G540=75,8,G540=70,8,G540=65,7,G540=60,7,G540=55,6,G540=50,6,G540=45,6,G540=40,5,G540=35,4,G540=30,4,G540=25,3,G540=20,2,G540=15,1,G540=10,1,G540=0,0)</f>
        <v>0</v>
      </c>
      <c r="J540" s="3" t="n">
        <f aca="false">IF(H540&lt;=1,0,IF(H540&lt;=10,11,IF(H540&lt;=14,12,IF(H540&lt;=17,13,IF(H540&lt;=20,14,IF(H540&lt;=22,15,IF(H540&lt;=25,16,IF(H540&lt;=27,17,IF(H540&lt;=29,18,IF(H540&lt;=32,19,IF(H540&lt;=34,20,IF(H540&lt;=36,21,IF(H540&lt;=40,22,24)))))))))))))</f>
        <v>22</v>
      </c>
      <c r="K540" s="3" t="s">
        <v>27</v>
      </c>
      <c r="M540" s="3" t="n">
        <f aca="false">_xlfn.IFS(K540="взв",11,K540="накл",24,K540="прокл",25,K540="пт",26,K540=90,10,K540=85,10,K540=80,9,K540=75,8,K540=70,8,K540=65,7,K540=60,7,K540=55,6,K540=50,6,K540=45,6,K540=40,5,K540=35,4,K540=30,4,K540=25,3,K540=20,2,K540=15,1,K540=10,1,K540=0,0)</f>
        <v>24</v>
      </c>
      <c r="N540" s="3" t="n">
        <f aca="false">IF(L540&lt;=1,0,IF(L540&lt;=10,11,IF(L540&lt;=14,12,IF(L540&lt;=17,13,IF(L540&lt;=20,14,IF(L540&lt;=22,15,IF(L540&lt;=25,16,IF(L540&lt;=27,17,IF(L540&lt;=29,18,IF(L540&lt;=32,19,IF(L540&lt;=34,20,IF(L540&lt;=36,21,IF(L540&lt;=40,22,24)))))))))))))</f>
        <v>0</v>
      </c>
      <c r="O540" s="3" t="s">
        <v>27</v>
      </c>
      <c r="P540" s="0"/>
      <c r="Q540" s="3" t="n">
        <f aca="false">_xlfn.IFS(O540="взв",11,O540="накл",24,O540="прокл",25,O540="пт",26,O540=90,10,O540=85,10,O540=80,9,O540=75,8,O540=70,8,O540=65,7,O540=60,7,O540=55,6,O540=50,6,O540=45,6,O540=40,5,O540=35,4,O540=30,4,O540=25,3,O540=20,2,O540=15,1,O540=10,1,O540=0,0)</f>
        <v>24</v>
      </c>
      <c r="R540" s="3" t="n">
        <f aca="false">IF(P540&lt;=1,0,IF(P540&lt;=10,11,IF(P540&lt;=14,12,IF(P540&lt;=17,13,IF(P540&lt;=20,14,IF(P540&lt;=22,15,IF(P540&lt;=25,16,IF(P540&lt;=27,17,IF(P540&lt;=29,18,IF(P540&lt;=32,19,IF(P540&lt;=34,20,IF(P540&lt;=36,21,IF(P540&lt;=40,22,24)))))))))))))</f>
        <v>0</v>
      </c>
      <c r="S540" s="14" t="n">
        <f aca="false">ROUND((Q540+R540+I540+J540+M540+N540)/3,0)</f>
        <v>23</v>
      </c>
      <c r="T540" s="15" t="n">
        <f aca="false">F540*LOG10(S540+2)</f>
        <v>1.39794000867204</v>
      </c>
    </row>
    <row r="541" customFormat="false" ht="14.65" hidden="false" customHeight="true" outlineLevel="0" collapsed="false">
      <c r="A541" s="12" t="s">
        <v>596</v>
      </c>
      <c r="B541" s="16" t="n">
        <v>38897</v>
      </c>
      <c r="C541" s="17" t="s">
        <v>595</v>
      </c>
      <c r="D541" s="4" t="s">
        <v>595</v>
      </c>
      <c r="E541" s="3" t="n">
        <v>5</v>
      </c>
      <c r="F541" s="3" t="n">
        <v>2</v>
      </c>
      <c r="G541" s="3" t="s">
        <v>38</v>
      </c>
      <c r="I541" s="3" t="n">
        <f aca="false">_xlfn.IFS(G541="взв",11,G541="накл",24,G541="прокл",25,G541="пт",26,G541=90,10,G541=85,10,G541=80,9,G541=75,8,G541=70,8,G541=65,7,G541=60,7,G541=55,6,G541=50,6,G541=45,6,G541=40,5,G541=35,4,G541=30,4,G541=25,3,G541=20,2,G541=15,1,G541=10,1,G541=0,0)</f>
        <v>26</v>
      </c>
      <c r="J541" s="3" t="n">
        <f aca="false">IF(H541&lt;=1,0,IF(H541&lt;=10,11,IF(H541&lt;=14,12,IF(H541&lt;=17,13,IF(H541&lt;=20,14,IF(H541&lt;=22,15,IF(H541&lt;=25,16,IF(H541&lt;=27,17,IF(H541&lt;=29,18,IF(H541&lt;=32,19,IF(H541&lt;=34,20,IF(H541&lt;=36,21,IF(H541&lt;=40,22,24)))))))))))))</f>
        <v>0</v>
      </c>
      <c r="K541" s="3" t="s">
        <v>38</v>
      </c>
      <c r="M541" s="3" t="n">
        <f aca="false">_xlfn.IFS(K541="взв",11,K541="накл",24,K541="прокл",25,K541="пт",26,K541=90,10,K541=85,10,K541=80,9,K541=75,8,K541=70,8,K541=65,7,K541=60,7,K541=55,6,K541=50,6,K541=45,6,K541=40,5,K541=35,4,K541=30,4,K541=25,3,K541=20,2,K541=15,1,K541=10,1,K541=0,0)</f>
        <v>26</v>
      </c>
      <c r="N541" s="3" t="n">
        <f aca="false">IF(L541&lt;=1,0,IF(L541&lt;=10,11,IF(L541&lt;=14,12,IF(L541&lt;=17,13,IF(L541&lt;=20,14,IF(L541&lt;=22,15,IF(L541&lt;=25,16,IF(L541&lt;=27,17,IF(L541&lt;=29,18,IF(L541&lt;=32,19,IF(L541&lt;=34,20,IF(L541&lt;=36,21,IF(L541&lt;=40,22,24)))))))))))))</f>
        <v>0</v>
      </c>
      <c r="O541" s="3" t="s">
        <v>38</v>
      </c>
      <c r="Q541" s="3" t="n">
        <f aca="false">_xlfn.IFS(O541="взв",11,O541="накл",24,O541="прокл",25,O541="пт",26,O541=90,10,O541=85,10,O541=80,9,O541=75,8,O541=70,8,O541=65,7,O541=60,7,O541=55,6,O541=50,6,O541=45,6,O541=40,5,O541=35,4,O541=30,4,O541=25,3,O541=20,2,O541=15,1,O541=10,1,O541=0,0)</f>
        <v>26</v>
      </c>
      <c r="R541" s="3" t="n">
        <f aca="false">IF(P541&lt;=1,0,IF(P541&lt;=10,11,IF(P541&lt;=14,12,IF(P541&lt;=17,13,IF(P541&lt;=20,14,IF(P541&lt;=22,15,IF(P541&lt;=25,16,IF(P541&lt;=27,17,IF(P541&lt;=29,18,IF(P541&lt;=32,19,IF(P541&lt;=34,20,IF(P541&lt;=36,21,IF(P541&lt;=40,22,24)))))))))))))</f>
        <v>0</v>
      </c>
      <c r="S541" s="14" t="n">
        <f aca="false">ROUND((Q541+R541+I541+J541+M541+N541)/3,0)</f>
        <v>26</v>
      </c>
      <c r="T541" s="15" t="n">
        <f aca="false">F541*LOG10(S541+2)</f>
        <v>2.89431606268444</v>
      </c>
    </row>
    <row r="542" customFormat="false" ht="14.65" hidden="false" customHeight="true" outlineLevel="0" collapsed="false">
      <c r="A542" s="12" t="s">
        <v>597</v>
      </c>
      <c r="B542" s="16" t="n">
        <v>38897</v>
      </c>
      <c r="C542" s="17" t="s">
        <v>595</v>
      </c>
      <c r="D542" s="4" t="s">
        <v>595</v>
      </c>
      <c r="E542" s="3" t="n">
        <v>5</v>
      </c>
      <c r="F542" s="3" t="n">
        <v>2</v>
      </c>
      <c r="H542" s="3" t="s">
        <v>47</v>
      </c>
      <c r="I542" s="3" t="n">
        <f aca="false">_xlfn.IFS(G542="взв",11,G542="накл",24,G542="прокл",25,G542="пт",26,G542=90,10,G542=85,10,G542=80,9,G542=75,8,G542=70,8,G542=65,7,G542=60,7,G542=55,6,G542=50,6,G542=45,6,G542=40,5,G542=35,4,G542=30,4,G542=25,3,G542=20,2,G542=15,1,G542=10,1,G542=0,0)</f>
        <v>0</v>
      </c>
      <c r="J542" s="3" t="n">
        <f aca="false">IF(H542&lt;=1,0,IF(H542&lt;=10,11,IF(H542&lt;=14,12,IF(H542&lt;=17,13,IF(H542&lt;=20,14,IF(H542&lt;=22,15,IF(H542&lt;=25,16,IF(H542&lt;=27,17,IF(H542&lt;=29,18,IF(H542&lt;=32,19,IF(H542&lt;=34,20,IF(H542&lt;=36,21,IF(H542&lt;=40,22,24)))))))))))))</f>
        <v>24</v>
      </c>
      <c r="L542" s="3" t="s">
        <v>47</v>
      </c>
      <c r="M542" s="3" t="n">
        <f aca="false">_xlfn.IFS(K542="взв",11,K542="накл",24,K542="прокл",25,K542="пт",26,K542=90,10,K542=85,10,K542=80,9,K542=75,8,K542=70,8,K542=65,7,K542=60,7,K542=55,6,K542=50,6,K542=45,6,K542=40,5,K542=35,4,K542=30,4,K542=25,3,K542=20,2,K542=15,1,K542=10,1,K542=0,0)</f>
        <v>0</v>
      </c>
      <c r="N542" s="3" t="n">
        <f aca="false">IF(L542&lt;=1,0,IF(L542&lt;=10,11,IF(L542&lt;=14,12,IF(L542&lt;=17,13,IF(L542&lt;=20,14,IF(L542&lt;=22,15,IF(L542&lt;=25,16,IF(L542&lt;=27,17,IF(L542&lt;=29,18,IF(L542&lt;=32,19,IF(L542&lt;=34,20,IF(L542&lt;=36,21,IF(L542&lt;=40,22,24)))))))))))))</f>
        <v>24</v>
      </c>
      <c r="O542" s="3" t="s">
        <v>38</v>
      </c>
      <c r="Q542" s="3" t="n">
        <f aca="false">_xlfn.IFS(O542="взв",11,O542="накл",24,O542="прокл",25,O542="пт",26,O542=90,10,O542=85,10,O542=80,9,O542=75,8,O542=70,8,O542=65,7,O542=60,7,O542=55,6,O542=50,6,O542=45,6,O542=40,5,O542=35,4,O542=30,4,O542=25,3,O542=20,2,O542=15,1,O542=10,1,O542=0,0)</f>
        <v>26</v>
      </c>
      <c r="R542" s="3" t="n">
        <f aca="false">IF(P542&lt;=1,0,IF(P542&lt;=10,11,IF(P542&lt;=14,12,IF(P542&lt;=17,13,IF(P542&lt;=20,14,IF(P542&lt;=22,15,IF(P542&lt;=25,16,IF(P542&lt;=27,17,IF(P542&lt;=29,18,IF(P542&lt;=32,19,IF(P542&lt;=34,20,IF(P542&lt;=36,21,IF(P542&lt;=40,22,24)))))))))))))</f>
        <v>0</v>
      </c>
      <c r="S542" s="14" t="n">
        <f aca="false">ROUND((Q542+R542+I542+J542+M542+N542)/3,0)</f>
        <v>25</v>
      </c>
      <c r="T542" s="15" t="n">
        <f aca="false">F542*LOG10(S542+2)</f>
        <v>2.86272752831797</v>
      </c>
    </row>
    <row r="543" customFormat="false" ht="14.65" hidden="false" customHeight="true" outlineLevel="0" collapsed="false">
      <c r="A543" s="12" t="s">
        <v>598</v>
      </c>
      <c r="B543" s="16" t="n">
        <v>38897</v>
      </c>
      <c r="C543" s="17" t="s">
        <v>595</v>
      </c>
      <c r="D543" s="4" t="s">
        <v>595</v>
      </c>
      <c r="E543" s="3" t="n">
        <v>4</v>
      </c>
      <c r="F543" s="3" t="n">
        <v>2</v>
      </c>
      <c r="H543" s="3" t="n">
        <v>37</v>
      </c>
      <c r="I543" s="3" t="n">
        <f aca="false">_xlfn.IFS(G543="взв",11,G543="накл",24,G543="прокл",25,G543="пт",26,G543=90,10,G543=85,10,G543=80,9,G543=75,8,G543=70,8,G543=65,7,G543=60,7,G543=55,6,G543=50,6,G543=45,6,G543=40,5,G543=35,4,G543=30,4,G543=25,3,G543=20,2,G543=15,1,G543=10,1,G543=0,0)</f>
        <v>0</v>
      </c>
      <c r="J543" s="3" t="n">
        <f aca="false">IF(H543&lt;=1,0,IF(H543&lt;=10,11,IF(H543&lt;=14,12,IF(H543&lt;=17,13,IF(H543&lt;=20,14,IF(H543&lt;=22,15,IF(H543&lt;=25,16,IF(H543&lt;=27,17,IF(H543&lt;=29,18,IF(H543&lt;=32,19,IF(H543&lt;=34,20,IF(H543&lt;=36,21,IF(H543&lt;=40,22,24)))))))))))))</f>
        <v>22</v>
      </c>
      <c r="L543" s="3" t="n">
        <v>35</v>
      </c>
      <c r="M543" s="3" t="n">
        <f aca="false">_xlfn.IFS(K543="взв",11,K543="накл",24,K543="прокл",25,K543="пт",26,K543=90,10,K543=85,10,K543=80,9,K543=75,8,K543=70,8,K543=65,7,K543=60,7,K543=55,6,K543=50,6,K543=45,6,K543=40,5,K543=35,4,K543=30,4,K543=25,3,K543=20,2,K543=15,1,K543=10,1,K543=0,0)</f>
        <v>0</v>
      </c>
      <c r="N543" s="3" t="n">
        <f aca="false">IF(L543&lt;=1,0,IF(L543&lt;=10,11,IF(L543&lt;=14,12,IF(L543&lt;=17,13,IF(L543&lt;=20,14,IF(L543&lt;=22,15,IF(L543&lt;=25,16,IF(L543&lt;=27,17,IF(L543&lt;=29,18,IF(L543&lt;=32,19,IF(L543&lt;=34,20,IF(L543&lt;=36,21,IF(L543&lt;=40,22,24)))))))))))))</f>
        <v>21</v>
      </c>
      <c r="P543" s="3" t="n">
        <v>36</v>
      </c>
      <c r="Q543" s="3" t="n">
        <f aca="false">_xlfn.IFS(O543="взв",11,O543="накл",24,O543="прокл",25,O543="пт",26,O543=90,10,O543=85,10,O543=80,9,O543=75,8,O543=70,8,O543=65,7,O543=60,7,O543=55,6,O543=50,6,O543=45,6,O543=40,5,O543=35,4,O543=30,4,O543=25,3,O543=20,2,O543=15,1,O543=10,1,O543=0,0)</f>
        <v>0</v>
      </c>
      <c r="R543" s="3" t="n">
        <f aca="false">IF(P543&lt;=1,0,IF(P543&lt;=10,11,IF(P543&lt;=14,12,IF(P543&lt;=17,13,IF(P543&lt;=20,14,IF(P543&lt;=22,15,IF(P543&lt;=25,16,IF(P543&lt;=27,17,IF(P543&lt;=29,18,IF(P543&lt;=32,19,IF(P543&lt;=34,20,IF(P543&lt;=36,21,IF(P543&lt;=40,22,24)))))))))))))</f>
        <v>21</v>
      </c>
      <c r="S543" s="14" t="n">
        <f aca="false">ROUND((Q543+R543+I543+J543+M543+N543)/3,0)</f>
        <v>21</v>
      </c>
      <c r="T543" s="15" t="n">
        <f aca="false">F543*LOG10(S543+2)</f>
        <v>2.72345567203519</v>
      </c>
    </row>
    <row r="544" customFormat="false" ht="14.65" hidden="false" customHeight="true" outlineLevel="0" collapsed="false">
      <c r="A544" s="12" t="s">
        <v>599</v>
      </c>
      <c r="B544" s="16" t="n">
        <v>38897</v>
      </c>
      <c r="C544" s="17" t="s">
        <v>595</v>
      </c>
      <c r="D544" s="4" t="s">
        <v>595</v>
      </c>
      <c r="E544" s="3" t="n">
        <v>3</v>
      </c>
      <c r="F544" s="3" t="n">
        <v>2</v>
      </c>
      <c r="G544" s="3" t="s">
        <v>38</v>
      </c>
      <c r="I544" s="3" t="n">
        <f aca="false">_xlfn.IFS(G544="взв",11,G544="накл",24,G544="прокл",25,G544="пт",26,G544=90,10,G544=85,10,G544=80,9,G544=75,8,G544=70,8,G544=65,7,G544=60,7,G544=55,6,G544=50,6,G544=45,6,G544=40,5,G544=35,4,G544=30,4,G544=25,3,G544=20,2,G544=15,1,G544=10,1,G544=0,0)</f>
        <v>26</v>
      </c>
      <c r="J544" s="3" t="n">
        <f aca="false">IF(H544&lt;=1,0,IF(H544&lt;=10,11,IF(H544&lt;=14,12,IF(H544&lt;=17,13,IF(H544&lt;=20,14,IF(H544&lt;=22,15,IF(H544&lt;=25,16,IF(H544&lt;=27,17,IF(H544&lt;=29,18,IF(H544&lt;=32,19,IF(H544&lt;=34,20,IF(H544&lt;=36,21,IF(H544&lt;=40,22,24)))))))))))))</f>
        <v>0</v>
      </c>
      <c r="M544" s="3" t="n">
        <f aca="false">_xlfn.IFS(K544="взв",11,K544="накл",24,K544="прокл",25,K544="пт",26,K544=90,10,K544=85,10,K544=80,9,K544=75,8,K544=70,8,K544=65,7,K544=60,7,K544=55,6,K544=50,6,K544=45,6,K544=40,5,K544=35,4,K544=30,4,K544=25,3,K544=20,2,K544=15,1,K544=10,1,K544=0,0)</f>
        <v>0</v>
      </c>
      <c r="N544" s="3" t="n">
        <f aca="false">IF(L544&lt;=1,0,IF(L544&lt;=10,11,IF(L544&lt;=14,12,IF(L544&lt;=17,13,IF(L544&lt;=20,14,IF(L544&lt;=22,15,IF(L544&lt;=25,16,IF(L544&lt;=27,17,IF(L544&lt;=29,18,IF(L544&lt;=32,19,IF(L544&lt;=34,20,IF(L544&lt;=36,21,IF(L544&lt;=40,22,24)))))))))))))</f>
        <v>0</v>
      </c>
      <c r="Q544" s="3" t="n">
        <f aca="false">_xlfn.IFS(O544="взв",11,O544="накл",24,O544="прокл",25,O544="пт",26,O544=90,10,O544=85,10,O544=80,9,O544=75,8,O544=70,8,O544=65,7,O544=60,7,O544=55,6,O544=50,6,O544=45,6,O544=40,5,O544=35,4,O544=30,4,O544=25,3,O544=20,2,O544=15,1,O544=10,1,O544=0,0)</f>
        <v>0</v>
      </c>
      <c r="R544" s="3" t="n">
        <f aca="false">IF(P544&lt;=1,0,IF(P544&lt;=10,11,IF(P544&lt;=14,12,IF(P544&lt;=17,13,IF(P544&lt;=20,14,IF(P544&lt;=22,15,IF(P544&lt;=25,16,IF(P544&lt;=27,17,IF(P544&lt;=29,18,IF(P544&lt;=32,19,IF(P544&lt;=34,20,IF(P544&lt;=36,21,IF(P544&lt;=40,22,24)))))))))))))</f>
        <v>0</v>
      </c>
      <c r="S544" s="14" t="n">
        <v>26</v>
      </c>
      <c r="T544" s="15" t="n">
        <f aca="false">F544*LOG10(S544+2)</f>
        <v>2.89431606268444</v>
      </c>
    </row>
    <row r="545" customFormat="false" ht="14.65" hidden="false" customHeight="true" outlineLevel="0" collapsed="false">
      <c r="A545" s="12" t="s">
        <v>600</v>
      </c>
      <c r="B545" s="16" t="n">
        <v>38897</v>
      </c>
      <c r="C545" s="17" t="s">
        <v>595</v>
      </c>
      <c r="D545" s="4" t="s">
        <v>595</v>
      </c>
      <c r="E545" s="3" t="n">
        <v>5</v>
      </c>
      <c r="F545" s="3" t="n">
        <v>2</v>
      </c>
      <c r="H545" s="3" t="n">
        <v>36</v>
      </c>
      <c r="I545" s="3" t="n">
        <f aca="false">_xlfn.IFS(G545="взв",11,G545="накл",24,G545="прокл",25,G545="пт",26,G545=90,10,G545=85,10,G545=80,9,G545=75,8,G545=70,8,G545=65,7,G545=60,7,G545=55,6,G545=50,6,G545=45,6,G545=40,5,G545=35,4,G545=30,4,G545=25,3,G545=20,2,G545=15,1,G545=10,1,G545=0,0)</f>
        <v>0</v>
      </c>
      <c r="J545" s="3" t="n">
        <f aca="false">IF(H545&lt;=1,0,IF(H545&lt;=10,11,IF(H545&lt;=14,12,IF(H545&lt;=17,13,IF(H545&lt;=20,14,IF(H545&lt;=22,15,IF(H545&lt;=25,16,IF(H545&lt;=27,17,IF(H545&lt;=29,18,IF(H545&lt;=32,19,IF(H545&lt;=34,20,IF(H545&lt;=36,21,IF(H545&lt;=40,22,24)))))))))))))</f>
        <v>21</v>
      </c>
      <c r="L545" s="3" t="n">
        <v>32</v>
      </c>
      <c r="M545" s="3" t="n">
        <f aca="false">_xlfn.IFS(K545="взв",11,K545="накл",24,K545="прокл",25,K545="пт",26,K545=90,10,K545=85,10,K545=80,9,K545=75,8,K545=70,8,K545=65,7,K545=60,7,K545=55,6,K545=50,6,K545=45,6,K545=40,5,K545=35,4,K545=30,4,K545=25,3,K545=20,2,K545=15,1,K545=10,1,K545=0,0)</f>
        <v>0</v>
      </c>
      <c r="N545" s="3" t="n">
        <f aca="false">IF(L545&lt;=1,0,IF(L545&lt;=10,11,IF(L545&lt;=14,12,IF(L545&lt;=17,13,IF(L545&lt;=20,14,IF(L545&lt;=22,15,IF(L545&lt;=25,16,IF(L545&lt;=27,17,IF(L545&lt;=29,18,IF(L545&lt;=32,19,IF(L545&lt;=34,20,IF(L545&lt;=36,21,IF(L545&lt;=40,22,24)))))))))))))</f>
        <v>19</v>
      </c>
      <c r="P545" s="3" t="n">
        <v>32</v>
      </c>
      <c r="Q545" s="3" t="n">
        <f aca="false">_xlfn.IFS(O545="взв",11,O545="накл",24,O545="прокл",25,O545="пт",26,O545=90,10,O545=85,10,O545=80,9,O545=75,8,O545=70,8,O545=65,7,O545=60,7,O545=55,6,O545=50,6,O545=45,6,O545=40,5,O545=35,4,O545=30,4,O545=25,3,O545=20,2,O545=15,1,O545=10,1,O545=0,0)</f>
        <v>0</v>
      </c>
      <c r="R545" s="3" t="n">
        <f aca="false">IF(P545&lt;=1,0,IF(P545&lt;=10,11,IF(P545&lt;=14,12,IF(P545&lt;=17,13,IF(P545&lt;=20,14,IF(P545&lt;=22,15,IF(P545&lt;=25,16,IF(P545&lt;=27,17,IF(P545&lt;=29,18,IF(P545&lt;=32,19,IF(P545&lt;=34,20,IF(P545&lt;=36,21,IF(P545&lt;=40,22,24)))))))))))))</f>
        <v>19</v>
      </c>
      <c r="S545" s="14" t="n">
        <f aca="false">ROUND((Q545+R545+I545+J545+M545+N545)/3,0)</f>
        <v>20</v>
      </c>
      <c r="T545" s="15" t="n">
        <f aca="false">F545*LOG10(S545+2)</f>
        <v>2.68484536164441</v>
      </c>
    </row>
    <row r="546" customFormat="false" ht="14.65" hidden="false" customHeight="true" outlineLevel="0" collapsed="false">
      <c r="A546" s="12" t="s">
        <v>601</v>
      </c>
      <c r="B546" s="16" t="n">
        <v>38897</v>
      </c>
      <c r="C546" s="17" t="s">
        <v>595</v>
      </c>
      <c r="D546" s="4" t="s">
        <v>595</v>
      </c>
      <c r="E546" s="3" t="n">
        <v>5</v>
      </c>
      <c r="F546" s="3" t="n">
        <v>2</v>
      </c>
      <c r="H546" s="3" t="n">
        <v>38</v>
      </c>
      <c r="I546" s="3" t="n">
        <f aca="false">_xlfn.IFS(G546="взв",11,G546="накл",24,G546="прокл",25,G546="пт",26,G546=90,10,G546=85,10,G546=80,9,G546=75,8,G546=70,8,G546=65,7,G546=60,7,G546=55,6,G546=50,6,G546=45,6,G546=40,5,G546=35,4,G546=30,4,G546=25,3,G546=20,2,G546=15,1,G546=10,1,G546=0,0)</f>
        <v>0</v>
      </c>
      <c r="J546" s="3" t="n">
        <f aca="false">IF(H546&lt;=1,0,IF(H546&lt;=10,11,IF(H546&lt;=14,12,IF(H546&lt;=17,13,IF(H546&lt;=20,14,IF(H546&lt;=22,15,IF(H546&lt;=25,16,IF(H546&lt;=27,17,IF(H546&lt;=29,18,IF(H546&lt;=32,19,IF(H546&lt;=34,20,IF(H546&lt;=36,21,IF(H546&lt;=40,22,24)))))))))))))</f>
        <v>22</v>
      </c>
      <c r="L546" s="3" t="n">
        <v>38</v>
      </c>
      <c r="M546" s="3" t="n">
        <f aca="false">_xlfn.IFS(K546="взв",11,K546="накл",24,K546="прокл",25,K546="пт",26,K546=90,10,K546=85,10,K546=80,9,K546=75,8,K546=70,8,K546=65,7,K546=60,7,K546=55,6,K546=50,6,K546=45,6,K546=40,5,K546=35,4,K546=30,4,K546=25,3,K546=20,2,K546=15,1,K546=10,1,K546=0,0)</f>
        <v>0</v>
      </c>
      <c r="N546" s="3" t="n">
        <f aca="false">IF(L546&lt;=1,0,IF(L546&lt;=10,11,IF(L546&lt;=14,12,IF(L546&lt;=17,13,IF(L546&lt;=20,14,IF(L546&lt;=22,15,IF(L546&lt;=25,16,IF(L546&lt;=27,17,IF(L546&lt;=29,18,IF(L546&lt;=32,19,IF(L546&lt;=34,20,IF(L546&lt;=36,21,IF(L546&lt;=40,22,24)))))))))))))</f>
        <v>22</v>
      </c>
      <c r="O546" s="0"/>
      <c r="P546" s="3" t="n">
        <v>38</v>
      </c>
      <c r="Q546" s="3" t="n">
        <f aca="false">_xlfn.IFS(O546="взв",11,O546="накл",24,O546="прокл",25,O546="пт",26,O546=90,10,O546=85,10,O546=80,9,O546=75,8,O546=70,8,O546=65,7,O546=60,7,O546=55,6,O546=50,6,O546=45,6,O546=40,5,O546=35,4,O546=30,4,O546=25,3,O546=20,2,O546=15,1,O546=10,1,O546=0,0)</f>
        <v>0</v>
      </c>
      <c r="R546" s="3" t="n">
        <f aca="false">IF(P546&lt;=1,0,IF(P546&lt;=10,11,IF(P546&lt;=14,12,IF(P546&lt;=17,13,IF(P546&lt;=20,14,IF(P546&lt;=22,15,IF(P546&lt;=25,16,IF(P546&lt;=27,17,IF(P546&lt;=29,18,IF(P546&lt;=32,19,IF(P546&lt;=34,20,IF(P546&lt;=36,21,IF(P546&lt;=40,22,24)))))))))))))</f>
        <v>22</v>
      </c>
      <c r="S546" s="14" t="n">
        <f aca="false">ROUND((Q546+R546+I546+J546+M546+N546)/3,0)</f>
        <v>22</v>
      </c>
      <c r="T546" s="15" t="n">
        <f aca="false">F546*LOG10(S546+2)</f>
        <v>2.76042248342321</v>
      </c>
    </row>
    <row r="547" customFormat="false" ht="14.65" hidden="false" customHeight="true" outlineLevel="0" collapsed="false">
      <c r="A547" s="12" t="s">
        <v>602</v>
      </c>
      <c r="B547" s="16" t="n">
        <v>38897</v>
      </c>
      <c r="C547" s="17" t="s">
        <v>595</v>
      </c>
      <c r="D547" s="4" t="s">
        <v>595</v>
      </c>
      <c r="E547" s="3" t="n">
        <v>4</v>
      </c>
      <c r="F547" s="3" t="n">
        <v>2</v>
      </c>
      <c r="H547" s="3" t="n">
        <v>28</v>
      </c>
      <c r="I547" s="3" t="n">
        <f aca="false">_xlfn.IFS(G547="взв",11,G547="накл",24,G547="прокл",25,G547="пт",26,G547=90,10,G547=85,10,G547=80,9,G547=75,8,G547=70,8,G547=65,7,G547=60,7,G547=55,6,G547=50,6,G547=45,6,G547=40,5,G547=35,4,G547=30,4,G547=25,3,G547=20,2,G547=15,1,G547=10,1,G547=0,0)</f>
        <v>0</v>
      </c>
      <c r="J547" s="3" t="n">
        <f aca="false">IF(H547&lt;=1,0,IF(H547&lt;=10,11,IF(H547&lt;=14,12,IF(H547&lt;=17,13,IF(H547&lt;=20,14,IF(H547&lt;=22,15,IF(H547&lt;=25,16,IF(H547&lt;=27,17,IF(H547&lt;=29,18,IF(H547&lt;=32,19,IF(H547&lt;=34,20,IF(H547&lt;=36,21,IF(H547&lt;=40,22,24)))))))))))))</f>
        <v>18</v>
      </c>
      <c r="L547" s="3" t="n">
        <v>33</v>
      </c>
      <c r="M547" s="3" t="n">
        <f aca="false">_xlfn.IFS(K547="взв",11,K547="накл",24,K547="прокл",25,K547="пт",26,K547=90,10,K547=85,10,K547=80,9,K547=75,8,K547=70,8,K547=65,7,K547=60,7,K547=55,6,K547=50,6,K547=45,6,K547=40,5,K547=35,4,K547=30,4,K547=25,3,K547=20,2,K547=15,1,K547=10,1,K547=0,0)</f>
        <v>0</v>
      </c>
      <c r="N547" s="3" t="n">
        <f aca="false">IF(L547&lt;=1,0,IF(L547&lt;=10,11,IF(L547&lt;=14,12,IF(L547&lt;=17,13,IF(L547&lt;=20,14,IF(L547&lt;=22,15,IF(L547&lt;=25,16,IF(L547&lt;=27,17,IF(L547&lt;=29,18,IF(L547&lt;=32,19,IF(L547&lt;=34,20,IF(L547&lt;=36,21,IF(L547&lt;=40,22,24)))))))))))))</f>
        <v>20</v>
      </c>
      <c r="P547" s="3" t="n">
        <v>34</v>
      </c>
      <c r="Q547" s="3" t="n">
        <f aca="false">_xlfn.IFS(O547="взв",11,O547="накл",24,O547="прокл",25,O547="пт",26,O547=90,10,O547=85,10,O547=80,9,O547=75,8,O547=70,8,O547=65,7,O547=60,7,O547=55,6,O547=50,6,O547=45,6,O547=40,5,O547=35,4,O547=30,4,O547=25,3,O547=20,2,O547=15,1,O547=10,1,O547=0,0)</f>
        <v>0</v>
      </c>
      <c r="R547" s="3" t="n">
        <f aca="false">IF(P547&lt;=1,0,IF(P547&lt;=10,11,IF(P547&lt;=14,12,IF(P547&lt;=17,13,IF(P547&lt;=20,14,IF(P547&lt;=22,15,IF(P547&lt;=25,16,IF(P547&lt;=27,17,IF(P547&lt;=29,18,IF(P547&lt;=32,19,IF(P547&lt;=34,20,IF(P547&lt;=36,21,IF(P547&lt;=40,22,24)))))))))))))</f>
        <v>20</v>
      </c>
      <c r="S547" s="14" t="n">
        <f aca="false">ROUND((Q547+R547+I547+J547+M547+N547)/3,0)</f>
        <v>19</v>
      </c>
      <c r="T547" s="15" t="n">
        <f aca="false">F547*LOG10(S547+2)</f>
        <v>2.64443858946784</v>
      </c>
    </row>
    <row r="548" customFormat="false" ht="14.65" hidden="false" customHeight="true" outlineLevel="0" collapsed="false">
      <c r="A548" s="12" t="s">
        <v>603</v>
      </c>
      <c r="B548" s="16" t="n">
        <v>38897</v>
      </c>
      <c r="C548" s="17" t="s">
        <v>595</v>
      </c>
      <c r="D548" s="4" t="s">
        <v>595</v>
      </c>
      <c r="E548" s="3" t="n">
        <v>2</v>
      </c>
      <c r="F548" s="3" t="n">
        <v>2</v>
      </c>
      <c r="G548" s="3" t="s">
        <v>38</v>
      </c>
      <c r="I548" s="3" t="n">
        <f aca="false">_xlfn.IFS(G548="взв",11,G548="накл",24,G548="прокл",25,G548="пт",26,G548=90,10,G548=85,10,G548=80,9,G548=75,8,G548=70,8,G548=65,7,G548=60,7,G548=55,6,G548=50,6,G548=45,6,G548=40,5,G548=35,4,G548=30,4,G548=25,3,G548=20,2,G548=15,1,G548=10,1,G548=0,0)</f>
        <v>26</v>
      </c>
      <c r="J548" s="3" t="n">
        <f aca="false">IF(H548&lt;=1,0,IF(H548&lt;=10,11,IF(H548&lt;=14,12,IF(H548&lt;=17,13,IF(H548&lt;=20,14,IF(H548&lt;=22,15,IF(H548&lt;=25,16,IF(H548&lt;=27,17,IF(H548&lt;=29,18,IF(H548&lt;=32,19,IF(H548&lt;=34,20,IF(H548&lt;=36,21,IF(H548&lt;=40,22,24)))))))))))))</f>
        <v>0</v>
      </c>
      <c r="M548" s="3" t="n">
        <f aca="false">_xlfn.IFS(K548="взв",11,K548="накл",24,K548="прокл",25,K548="пт",26,K548=90,10,K548=85,10,K548=80,9,K548=75,8,K548=70,8,K548=65,7,K548=60,7,K548=55,6,K548=50,6,K548=45,6,K548=40,5,K548=35,4,K548=30,4,K548=25,3,K548=20,2,K548=15,1,K548=10,1,K548=0,0)</f>
        <v>0</v>
      </c>
      <c r="N548" s="3" t="n">
        <f aca="false">IF(L548&lt;=1,0,IF(L548&lt;=10,11,IF(L548&lt;=14,12,IF(L548&lt;=17,13,IF(L548&lt;=20,14,IF(L548&lt;=22,15,IF(L548&lt;=25,16,IF(L548&lt;=27,17,IF(L548&lt;=29,18,IF(L548&lt;=32,19,IF(L548&lt;=34,20,IF(L548&lt;=36,21,IF(L548&lt;=40,22,24)))))))))))))</f>
        <v>0</v>
      </c>
      <c r="Q548" s="3" t="n">
        <f aca="false">_xlfn.IFS(O548="взв",11,O548="накл",24,O548="прокл",25,O548="пт",26,O548=90,10,O548=85,10,O548=80,9,O548=75,8,O548=70,8,O548=65,7,O548=60,7,O548=55,6,O548=50,6,O548=45,6,O548=40,5,O548=35,4,O548=30,4,O548=25,3,O548=20,2,O548=15,1,O548=10,1,O548=0,0)</f>
        <v>0</v>
      </c>
      <c r="R548" s="3" t="n">
        <f aca="false">IF(P548&lt;=1,0,IF(P548&lt;=10,11,IF(P548&lt;=14,12,IF(P548&lt;=17,13,IF(P548&lt;=20,14,IF(P548&lt;=22,15,IF(P548&lt;=25,16,IF(P548&lt;=27,17,IF(P548&lt;=29,18,IF(P548&lt;=32,19,IF(P548&lt;=34,20,IF(P548&lt;=36,21,IF(P548&lt;=40,22,24)))))))))))))</f>
        <v>0</v>
      </c>
      <c r="S548" s="14" t="n">
        <v>26</v>
      </c>
      <c r="T548" s="15" t="n">
        <f aca="false">F548*LOG10(S548+2)</f>
        <v>2.89431606268444</v>
      </c>
    </row>
    <row r="549" customFormat="false" ht="14.65" hidden="false" customHeight="true" outlineLevel="0" collapsed="false">
      <c r="A549" s="12" t="s">
        <v>604</v>
      </c>
      <c r="B549" s="16" t="n">
        <v>38897</v>
      </c>
      <c r="C549" s="17" t="s">
        <v>595</v>
      </c>
      <c r="D549" s="4" t="s">
        <v>595</v>
      </c>
      <c r="E549" s="3" t="n">
        <v>3</v>
      </c>
      <c r="F549" s="3" t="n">
        <v>2</v>
      </c>
      <c r="G549" s="3" t="s">
        <v>47</v>
      </c>
      <c r="I549" s="3" t="n">
        <f aca="false">_xlfn.IFS(G549="взв",11,G549="накл",24,G549="прокл",25,G549="пт",26,G549=90,10,G549=85,10,G549=80,9,G549=75,8,G549=70,8,G549=65,7,G549=60,7,G549=55,6,G549=50,6,G549=45,6,G549=40,5,G549=35,4,G549=30,4,G549=25,3,G549=20,2,G549=15,1,G549=10,1,G549=0,0)</f>
        <v>25</v>
      </c>
      <c r="J549" s="3" t="n">
        <f aca="false">IF(H549&lt;=1,0,IF(H549&lt;=10,11,IF(H549&lt;=14,12,IF(H549&lt;=17,13,IF(H549&lt;=20,14,IF(H549&lt;=22,15,IF(H549&lt;=25,16,IF(H549&lt;=27,17,IF(H549&lt;=29,18,IF(H549&lt;=32,19,IF(H549&lt;=34,20,IF(H549&lt;=36,21,IF(H549&lt;=40,22,24)))))))))))))</f>
        <v>0</v>
      </c>
      <c r="K549" s="3" t="s">
        <v>47</v>
      </c>
      <c r="M549" s="3" t="n">
        <f aca="false">_xlfn.IFS(K549="взв",11,K549="накл",24,K549="прокл",25,K549="пт",26,K549=90,10,K549=85,10,K549=80,9,K549=75,8,K549=70,8,K549=65,7,K549=60,7,K549=55,6,K549=50,6,K549=45,6,K549=40,5,K549=35,4,K549=30,4,K549=25,3,K549=20,2,K549=15,1,K549=10,1,K549=0,0)</f>
        <v>25</v>
      </c>
      <c r="N549" s="3" t="n">
        <f aca="false">IF(L549&lt;=1,0,IF(L549&lt;=10,11,IF(L549&lt;=14,12,IF(L549&lt;=17,13,IF(L549&lt;=20,14,IF(L549&lt;=22,15,IF(L549&lt;=25,16,IF(L549&lt;=27,17,IF(L549&lt;=29,18,IF(L549&lt;=32,19,IF(L549&lt;=34,20,IF(L549&lt;=36,21,IF(L549&lt;=40,22,24)))))))))))))</f>
        <v>0</v>
      </c>
      <c r="O549" s="3" t="s">
        <v>38</v>
      </c>
      <c r="P549" s="0"/>
      <c r="Q549" s="3" t="n">
        <f aca="false">_xlfn.IFS(O549="взв",11,O549="накл",24,O549="прокл",25,O549="пт",26,O549=90,10,O549=85,10,O549=80,9,O549=75,8,O549=70,8,O549=65,7,O549=60,7,O549=55,6,O549=50,6,O549=45,6,O549=40,5,O549=35,4,O549=30,4,O549=25,3,O549=20,2,O549=15,1,O549=10,1,O549=0,0)</f>
        <v>26</v>
      </c>
      <c r="R549" s="3" t="n">
        <f aca="false">IF(P549&lt;=1,0,IF(P549&lt;=10,11,IF(P549&lt;=14,12,IF(P549&lt;=17,13,IF(P549&lt;=20,14,IF(P549&lt;=22,15,IF(P549&lt;=25,16,IF(P549&lt;=27,17,IF(P549&lt;=29,18,IF(P549&lt;=32,19,IF(P549&lt;=34,20,IF(P549&lt;=36,21,IF(P549&lt;=40,22,24)))))))))))))</f>
        <v>0</v>
      </c>
      <c r="S549" s="14" t="n">
        <f aca="false">ROUND((Q549+R549+I549+J549+M549+N549)/3,0)</f>
        <v>25</v>
      </c>
      <c r="T549" s="15" t="n">
        <f aca="false">F549*LOG10(S549+2)</f>
        <v>2.86272752831797</v>
      </c>
    </row>
    <row r="550" customFormat="false" ht="14.65" hidden="false" customHeight="true" outlineLevel="0" collapsed="false">
      <c r="A550" s="12" t="s">
        <v>605</v>
      </c>
      <c r="B550" s="16" t="n">
        <v>38897</v>
      </c>
      <c r="C550" s="17" t="s">
        <v>595</v>
      </c>
      <c r="D550" s="4" t="s">
        <v>595</v>
      </c>
      <c r="E550" s="3" t="n">
        <v>7</v>
      </c>
      <c r="F550" s="3" t="n">
        <v>2</v>
      </c>
      <c r="G550" s="3" t="s">
        <v>38</v>
      </c>
      <c r="I550" s="3" t="n">
        <f aca="false">_xlfn.IFS(G550="взв",11,G550="накл",24,G550="прокл",25,G550="пт",26,G550=90,10,G550=85,10,G550=80,9,G550=75,8,G550=70,8,G550=65,7,G550=60,7,G550=55,6,G550=50,6,G550=45,6,G550=40,5,G550=35,4,G550=30,4,G550=25,3,G550=20,2,G550=15,1,G550=10,1,G550=0,0)</f>
        <v>26</v>
      </c>
      <c r="J550" s="3" t="n">
        <f aca="false">IF(H550&lt;=1,0,IF(H550&lt;=10,11,IF(H550&lt;=14,12,IF(H550&lt;=17,13,IF(H550&lt;=20,14,IF(H550&lt;=22,15,IF(H550&lt;=25,16,IF(H550&lt;=27,17,IF(H550&lt;=29,18,IF(H550&lt;=32,19,IF(H550&lt;=34,20,IF(H550&lt;=36,21,IF(H550&lt;=40,22,24)))))))))))))</f>
        <v>0</v>
      </c>
      <c r="K550" s="3" t="s">
        <v>38</v>
      </c>
      <c r="M550" s="3" t="n">
        <f aca="false">_xlfn.IFS(K550="взв",11,K550="накл",24,K550="прокл",25,K550="пт",26,K550=90,10,K550=85,10,K550=80,9,K550=75,8,K550=70,8,K550=65,7,K550=60,7,K550=55,6,K550=50,6,K550=45,6,K550=40,5,K550=35,4,K550=30,4,K550=25,3,K550=20,2,K550=15,1,K550=10,1,K550=0,0)</f>
        <v>26</v>
      </c>
      <c r="N550" s="3" t="n">
        <f aca="false">IF(L550&lt;=1,0,IF(L550&lt;=10,11,IF(L550&lt;=14,12,IF(L550&lt;=17,13,IF(L550&lt;=20,14,IF(L550&lt;=22,15,IF(L550&lt;=25,16,IF(L550&lt;=27,17,IF(L550&lt;=29,18,IF(L550&lt;=32,19,IF(L550&lt;=34,20,IF(L550&lt;=36,21,IF(L550&lt;=40,22,24)))))))))))))</f>
        <v>0</v>
      </c>
      <c r="O550" s="3" t="s">
        <v>38</v>
      </c>
      <c r="P550" s="0"/>
      <c r="Q550" s="3" t="n">
        <f aca="false">_xlfn.IFS(O550="взв",11,O550="накл",24,O550="прокл",25,O550="пт",26,O550=90,10,O550=85,10,O550=80,9,O550=75,8,O550=70,8,O550=65,7,O550=60,7,O550=55,6,O550=50,6,O550=45,6,O550=40,5,O550=35,4,O550=30,4,O550=25,3,O550=20,2,O550=15,1,O550=10,1,O550=0,0)</f>
        <v>26</v>
      </c>
      <c r="R550" s="3" t="n">
        <f aca="false">IF(P550&lt;=1,0,IF(P550&lt;=10,11,IF(P550&lt;=14,12,IF(P550&lt;=17,13,IF(P550&lt;=20,14,IF(P550&lt;=22,15,IF(P550&lt;=25,16,IF(P550&lt;=27,17,IF(P550&lt;=29,18,IF(P550&lt;=32,19,IF(P550&lt;=34,20,IF(P550&lt;=36,21,IF(P550&lt;=40,22,24)))))))))))))</f>
        <v>0</v>
      </c>
      <c r="S550" s="14" t="n">
        <f aca="false">ROUND((Q550+R550+I550+J550+M550+N550)/3,0)</f>
        <v>26</v>
      </c>
      <c r="T550" s="15" t="n">
        <f aca="false">F550*LOG10(S550+2)</f>
        <v>2.89431606268444</v>
      </c>
    </row>
    <row r="551" customFormat="false" ht="14.65" hidden="false" customHeight="true" outlineLevel="0" collapsed="false">
      <c r="A551" s="12" t="s">
        <v>606</v>
      </c>
      <c r="B551" s="16" t="n">
        <v>38897</v>
      </c>
      <c r="C551" s="17" t="s">
        <v>595</v>
      </c>
      <c r="D551" s="4" t="s">
        <v>595</v>
      </c>
      <c r="E551" s="3" t="n">
        <v>5</v>
      </c>
      <c r="F551" s="3" t="n">
        <v>2</v>
      </c>
      <c r="G551" s="3" t="s">
        <v>38</v>
      </c>
      <c r="I551" s="3" t="n">
        <f aca="false">_xlfn.IFS(G551="взв",11,G551="накл",24,G551="прокл",25,G551="пт",26,G551=90,10,G551=85,10,G551=80,9,G551=75,8,G551=70,8,G551=65,7,G551=60,7,G551=55,6,G551=50,6,G551=45,6,G551=40,5,G551=35,4,G551=30,4,G551=25,3,G551=20,2,G551=15,1,G551=10,1,G551=0,0)</f>
        <v>26</v>
      </c>
      <c r="J551" s="3" t="n">
        <f aca="false">IF(H551&lt;=1,0,IF(H551&lt;=10,11,IF(H551&lt;=14,12,IF(H551&lt;=17,13,IF(H551&lt;=20,14,IF(H551&lt;=22,15,IF(H551&lt;=25,16,IF(H551&lt;=27,17,IF(H551&lt;=29,18,IF(H551&lt;=32,19,IF(H551&lt;=34,20,IF(H551&lt;=36,21,IF(H551&lt;=40,22,24)))))))))))))</f>
        <v>0</v>
      </c>
      <c r="M551" s="3" t="n">
        <f aca="false">_xlfn.IFS(K551="взв",11,K551="накл",24,K551="прокл",25,K551="пт",26,K551=90,10,K551=85,10,K551=80,9,K551=75,8,K551=70,8,K551=65,7,K551=60,7,K551=55,6,K551=50,6,K551=45,6,K551=40,5,K551=35,4,K551=30,4,K551=25,3,K551=20,2,K551=15,1,K551=10,1,K551=0,0)</f>
        <v>0</v>
      </c>
      <c r="N551" s="3" t="n">
        <f aca="false">IF(L551&lt;=1,0,IF(L551&lt;=10,11,IF(L551&lt;=14,12,IF(L551&lt;=17,13,IF(L551&lt;=20,14,IF(L551&lt;=22,15,IF(L551&lt;=25,16,IF(L551&lt;=27,17,IF(L551&lt;=29,18,IF(L551&lt;=32,19,IF(L551&lt;=34,20,IF(L551&lt;=36,21,IF(L551&lt;=40,22,24)))))))))))))</f>
        <v>0</v>
      </c>
      <c r="Q551" s="3" t="n">
        <f aca="false">_xlfn.IFS(O551="взв",11,O551="накл",24,O551="прокл",25,O551="пт",26,O551=90,10,O551=85,10,O551=80,9,O551=75,8,O551=70,8,O551=65,7,O551=60,7,O551=55,6,O551=50,6,O551=45,6,O551=40,5,O551=35,4,O551=30,4,O551=25,3,O551=20,2,O551=15,1,O551=10,1,O551=0,0)</f>
        <v>0</v>
      </c>
      <c r="R551" s="3" t="n">
        <f aca="false">IF(P551&lt;=1,0,IF(P551&lt;=10,11,IF(P551&lt;=14,12,IF(P551&lt;=17,13,IF(P551&lt;=20,14,IF(P551&lt;=22,15,IF(P551&lt;=25,16,IF(P551&lt;=27,17,IF(P551&lt;=29,18,IF(P551&lt;=32,19,IF(P551&lt;=34,20,IF(P551&lt;=36,21,IF(P551&lt;=40,22,24)))))))))))))</f>
        <v>0</v>
      </c>
      <c r="S551" s="14" t="n">
        <v>26</v>
      </c>
      <c r="T551" s="15" t="n">
        <f aca="false">F551*LOG10(S551+2)</f>
        <v>2.89431606268444</v>
      </c>
    </row>
    <row r="552" customFormat="false" ht="14.65" hidden="false" customHeight="true" outlineLevel="0" collapsed="false">
      <c r="A552" s="12" t="s">
        <v>607</v>
      </c>
      <c r="B552" s="16" t="n">
        <v>38897</v>
      </c>
      <c r="C552" s="4" t="s">
        <v>595</v>
      </c>
      <c r="D552" s="4" t="s">
        <v>595</v>
      </c>
      <c r="E552" s="3" t="n">
        <v>6</v>
      </c>
      <c r="F552" s="3" t="n">
        <v>3</v>
      </c>
      <c r="H552" s="3" t="n">
        <v>37</v>
      </c>
      <c r="I552" s="3" t="n">
        <f aca="false">_xlfn.IFS(G552="взв",11,G552="накл",24,G552="прокл",25,G552="пт",26,G552=90,10,G552=85,10,G552=80,9,G552=75,8,G552=70,8,G552=65,7,G552=60,7,G552=55,6,G552=50,6,G552=45,6,G552=40,5,G552=35,4,G552=30,4,G552=25,3,G552=20,2,G552=15,1,G552=10,1,G552=0,0)</f>
        <v>0</v>
      </c>
      <c r="J552" s="3" t="n">
        <f aca="false">IF(H552&lt;=1,0,IF(H552&lt;=10,11,IF(H552&lt;=14,12,IF(H552&lt;=17,13,IF(H552&lt;=20,14,IF(H552&lt;=22,15,IF(H552&lt;=25,16,IF(H552&lt;=27,17,IF(H552&lt;=29,18,IF(H552&lt;=32,19,IF(H552&lt;=34,20,IF(H552&lt;=36,21,IF(H552&lt;=40,22,24)))))))))))))</f>
        <v>22</v>
      </c>
      <c r="L552" s="3" t="n">
        <v>35</v>
      </c>
      <c r="M552" s="3" t="n">
        <f aca="false">_xlfn.IFS(K552="взв",11,K552="накл",24,K552="прокл",25,K552="пт",26,K552=90,10,K552=85,10,K552=80,9,K552=75,8,K552=70,8,K552=65,7,K552=60,7,K552=55,6,K552=50,6,K552=45,6,K552=40,5,K552=35,4,K552=30,4,K552=25,3,K552=20,2,K552=15,1,K552=10,1,K552=0,0)</f>
        <v>0</v>
      </c>
      <c r="N552" s="3" t="n">
        <f aca="false">IF(L552&lt;=1,0,IF(L552&lt;=10,11,IF(L552&lt;=14,12,IF(L552&lt;=17,13,IF(L552&lt;=20,14,IF(L552&lt;=22,15,IF(L552&lt;=25,16,IF(L552&lt;=27,17,IF(L552&lt;=29,18,IF(L552&lt;=32,19,IF(L552&lt;=34,20,IF(L552&lt;=36,21,IF(L552&lt;=40,22,24)))))))))))))</f>
        <v>21</v>
      </c>
      <c r="P552" s="3" t="n">
        <v>42</v>
      </c>
      <c r="Q552" s="3" t="n">
        <f aca="false">_xlfn.IFS(O552="взв",11,O552="накл",24,O552="прокл",25,O552="пт",26,O552=90,10,O552=85,10,O552=80,9,O552=75,8,O552=70,8,O552=65,7,O552=60,7,O552=55,6,O552=50,6,O552=45,6,O552=40,5,O552=35,4,O552=30,4,O552=25,3,O552=20,2,O552=15,1,O552=10,1,O552=0,0)</f>
        <v>0</v>
      </c>
      <c r="R552" s="3" t="n">
        <f aca="false">IF(P552&lt;=1,0,IF(P552&lt;=10,11,IF(P552&lt;=14,12,IF(P552&lt;=17,13,IF(P552&lt;=20,14,IF(P552&lt;=22,15,IF(P552&lt;=25,16,IF(P552&lt;=27,17,IF(P552&lt;=29,18,IF(P552&lt;=32,19,IF(P552&lt;=34,20,IF(P552&lt;=36,21,IF(P552&lt;=40,22,24)))))))))))))</f>
        <v>24</v>
      </c>
      <c r="S552" s="14" t="n">
        <f aca="false">ROUND((Q552+R552+I552+J552+M552+N552)/3,0)</f>
        <v>22</v>
      </c>
      <c r="T552" s="15" t="n">
        <f aca="false">F552*LOG10(S552+2)</f>
        <v>4.14063372513482</v>
      </c>
    </row>
    <row r="553" customFormat="false" ht="14.65" hidden="false" customHeight="true" outlineLevel="0" collapsed="false">
      <c r="A553" s="12" t="s">
        <v>608</v>
      </c>
      <c r="B553" s="16" t="n">
        <v>38897</v>
      </c>
      <c r="C553" s="4" t="s">
        <v>595</v>
      </c>
      <c r="D553" s="4" t="s">
        <v>595</v>
      </c>
      <c r="E553" s="3" t="n">
        <v>3</v>
      </c>
      <c r="F553" s="3" t="n">
        <v>3</v>
      </c>
      <c r="H553" s="3" t="n">
        <v>38</v>
      </c>
      <c r="I553" s="3" t="n">
        <f aca="false">_xlfn.IFS(G553="взв",11,G553="накл",24,G553="прокл",25,G553="пт",26,G553=90,10,G553=85,10,G553=80,9,G553=75,8,G553=70,8,G553=65,7,G553=60,7,G553=55,6,G553=50,6,G553=45,6,G553=40,5,G553=35,4,G553=30,4,G553=25,3,G553=20,2,G553=15,1,G553=10,1,G553=0,0)</f>
        <v>0</v>
      </c>
      <c r="J553" s="3" t="n">
        <f aca="false">IF(H553&lt;=1,0,IF(H553&lt;=10,11,IF(H553&lt;=14,12,IF(H553&lt;=17,13,IF(H553&lt;=20,14,IF(H553&lt;=22,15,IF(H553&lt;=25,16,IF(H553&lt;=27,17,IF(H553&lt;=29,18,IF(H553&lt;=32,19,IF(H553&lt;=34,20,IF(H553&lt;=36,21,IF(H553&lt;=40,22,24)))))))))))))</f>
        <v>22</v>
      </c>
      <c r="L553" s="3" t="s">
        <v>27</v>
      </c>
      <c r="M553" s="3" t="n">
        <f aca="false">_xlfn.IFS(K553="взв",11,K553="накл",24,K553="прокл",25,K553="пт",26,K553=90,10,K553=85,10,K553=80,9,K553=75,8,K553=70,8,K553=65,7,K553=60,7,K553=55,6,K553=50,6,K553=45,6,K553=40,5,K553=35,4,K553=30,4,K553=25,3,K553=20,2,K553=15,1,K553=10,1,K553=0,0)</f>
        <v>0</v>
      </c>
      <c r="N553" s="3" t="n">
        <f aca="false">IF(L553&lt;=1,0,IF(L553&lt;=10,11,IF(L553&lt;=14,12,IF(L553&lt;=17,13,IF(L553&lt;=20,14,IF(L553&lt;=22,15,IF(L553&lt;=25,16,IF(L553&lt;=27,17,IF(L553&lt;=29,18,IF(L553&lt;=32,19,IF(L553&lt;=34,20,IF(L553&lt;=36,21,IF(L553&lt;=40,22,24)))))))))))))</f>
        <v>24</v>
      </c>
      <c r="P553" s="3" t="s">
        <v>27</v>
      </c>
      <c r="Q553" s="3" t="n">
        <f aca="false">_xlfn.IFS(O553="взв",11,O553="накл",24,O553="прокл",25,O553="пт",26,O553=90,10,O553=85,10,O553=80,9,O553=75,8,O553=70,8,O553=65,7,O553=60,7,O553=55,6,O553=50,6,O553=45,6,O553=40,5,O553=35,4,O553=30,4,O553=25,3,O553=20,2,O553=15,1,O553=10,1,O553=0,0)</f>
        <v>0</v>
      </c>
      <c r="R553" s="3" t="n">
        <f aca="false">IF(P553&lt;=1,0,IF(P553&lt;=10,11,IF(P553&lt;=14,12,IF(P553&lt;=17,13,IF(P553&lt;=20,14,IF(P553&lt;=22,15,IF(P553&lt;=25,16,IF(P553&lt;=27,17,IF(P553&lt;=29,18,IF(P553&lt;=32,19,IF(P553&lt;=34,20,IF(P553&lt;=36,21,IF(P553&lt;=40,22,24)))))))))))))</f>
        <v>24</v>
      </c>
      <c r="S553" s="14" t="n">
        <f aca="false">ROUND((Q553+R553+I553+J553+M553+N553)/3,0)</f>
        <v>23</v>
      </c>
      <c r="T553" s="15" t="n">
        <f aca="false">F553*LOG10(S553+2)</f>
        <v>4.19382002601611</v>
      </c>
    </row>
    <row r="554" customFormat="false" ht="14.65" hidden="false" customHeight="true" outlineLevel="0" collapsed="false">
      <c r="A554" s="12" t="s">
        <v>609</v>
      </c>
      <c r="B554" s="16" t="n">
        <v>38897</v>
      </c>
      <c r="C554" s="17" t="s">
        <v>595</v>
      </c>
      <c r="D554" s="4" t="s">
        <v>595</v>
      </c>
      <c r="E554" s="3" t="n">
        <v>2</v>
      </c>
      <c r="F554" s="3" t="n">
        <v>4</v>
      </c>
      <c r="H554" s="3" t="n">
        <v>23</v>
      </c>
      <c r="I554" s="3" t="n">
        <f aca="false">_xlfn.IFS(G554="взв",11,G554="накл",24,G554="прокл",25,G554="пт",26,G554=90,10,G554=85,10,G554=80,9,G554=75,8,G554=70,8,G554=65,7,G554=60,7,G554=55,6,G554=50,6,G554=45,6,G554=40,5,G554=35,4,G554=30,4,G554=25,3,G554=20,2,G554=15,1,G554=10,1,G554=0,0)</f>
        <v>0</v>
      </c>
      <c r="J554" s="3" t="n">
        <f aca="false">IF(H554&lt;=1,0,IF(H554&lt;=10,11,IF(H554&lt;=14,12,IF(H554&lt;=17,13,IF(H554&lt;=20,14,IF(H554&lt;=22,15,IF(H554&lt;=25,16,IF(H554&lt;=27,17,IF(H554&lt;=29,18,IF(H554&lt;=32,19,IF(H554&lt;=34,20,IF(H554&lt;=36,21,IF(H554&lt;=40,22,24)))))))))))))</f>
        <v>16</v>
      </c>
      <c r="L554" s="3" t="n">
        <v>30</v>
      </c>
      <c r="M554" s="3" t="n">
        <f aca="false">_xlfn.IFS(K554="взв",11,K554="накл",24,K554="прокл",25,K554="пт",26,K554=90,10,K554=85,10,K554=80,9,K554=75,8,K554=70,8,K554=65,7,K554=60,7,K554=55,6,K554=50,6,K554=45,6,K554=40,5,K554=35,4,K554=30,4,K554=25,3,K554=20,2,K554=15,1,K554=10,1,K554=0,0)</f>
        <v>0</v>
      </c>
      <c r="N554" s="3" t="n">
        <f aca="false">IF(L554&lt;=1,0,IF(L554&lt;=10,11,IF(L554&lt;=14,12,IF(L554&lt;=17,13,IF(L554&lt;=20,14,IF(L554&lt;=22,15,IF(L554&lt;=25,16,IF(L554&lt;=27,17,IF(L554&lt;=29,18,IF(L554&lt;=32,19,IF(L554&lt;=34,20,IF(L554&lt;=36,21,IF(L554&lt;=40,22,24)))))))))))))</f>
        <v>19</v>
      </c>
      <c r="P554" s="3" t="n">
        <v>31</v>
      </c>
      <c r="Q554" s="3" t="n">
        <f aca="false">_xlfn.IFS(O554="взв",11,O554="накл",24,O554="прокл",25,O554="пт",26,O554=90,10,O554=85,10,O554=80,9,O554=75,8,O554=70,8,O554=65,7,O554=60,7,O554=55,6,O554=50,6,O554=45,6,O554=40,5,O554=35,4,O554=30,4,O554=25,3,O554=20,2,O554=15,1,O554=10,1,O554=0,0)</f>
        <v>0</v>
      </c>
      <c r="R554" s="3" t="n">
        <f aca="false">IF(P554&lt;=1,0,IF(P554&lt;=10,11,IF(P554&lt;=14,12,IF(P554&lt;=17,13,IF(P554&lt;=20,14,IF(P554&lt;=22,15,IF(P554&lt;=25,16,IF(P554&lt;=27,17,IF(P554&lt;=29,18,IF(P554&lt;=32,19,IF(P554&lt;=34,20,IF(P554&lt;=36,21,IF(P554&lt;=40,22,24)))))))))))))</f>
        <v>19</v>
      </c>
      <c r="S554" s="14" t="n">
        <f aca="false">ROUND((Q554+R554+I554+J554+M554+N554)/3,0)</f>
        <v>18</v>
      </c>
      <c r="T554" s="15" t="n">
        <f aca="false">F554*LOG10(S554+2)</f>
        <v>5.20411998265593</v>
      </c>
    </row>
    <row r="555" customFormat="false" ht="14.65" hidden="false" customHeight="true" outlineLevel="0" collapsed="false">
      <c r="A555" s="12" t="s">
        <v>610</v>
      </c>
      <c r="B555" s="16" t="n">
        <v>38897</v>
      </c>
      <c r="C555" s="17" t="s">
        <v>595</v>
      </c>
      <c r="D555" s="4" t="s">
        <v>595</v>
      </c>
      <c r="E555" s="3" t="n">
        <v>4</v>
      </c>
      <c r="F555" s="3" t="n">
        <v>4</v>
      </c>
      <c r="G555" s="3" t="s">
        <v>38</v>
      </c>
      <c r="I555" s="3" t="n">
        <f aca="false">_xlfn.IFS(G555="взв",11,G555="накл",24,G555="прокл",25,G555="пт",26,G555=90,10,G555=85,10,G555=80,9,G555=75,8,G555=70,8,G555=65,7,G555=60,7,G555=55,6,G555=50,6,G555=45,6,G555=40,5,G555=35,4,G555=30,4,G555=25,3,G555=20,2,G555=15,1,G555=10,1,G555=0,0)</f>
        <v>26</v>
      </c>
      <c r="J555" s="3" t="n">
        <f aca="false">IF(H555&lt;=1,0,IF(H555&lt;=10,11,IF(H555&lt;=14,12,IF(H555&lt;=17,13,IF(H555&lt;=20,14,IF(H555&lt;=22,15,IF(H555&lt;=25,16,IF(H555&lt;=27,17,IF(H555&lt;=29,18,IF(H555&lt;=32,19,IF(H555&lt;=34,20,IF(H555&lt;=36,21,IF(H555&lt;=40,22,24)))))))))))))</f>
        <v>0</v>
      </c>
      <c r="K555" s="3" t="s">
        <v>38</v>
      </c>
      <c r="M555" s="3" t="n">
        <f aca="false">_xlfn.IFS(K555="взв",11,K555="накл",24,K555="прокл",25,K555="пт",26,K555=90,10,K555=85,10,K555=80,9,K555=75,8,K555=70,8,K555=65,7,K555=60,7,K555=55,6,K555=50,6,K555=45,6,K555=40,5,K555=35,4,K555=30,4,K555=25,3,K555=20,2,K555=15,1,K555=10,1,K555=0,0)</f>
        <v>26</v>
      </c>
      <c r="N555" s="3" t="n">
        <f aca="false">IF(L555&lt;=1,0,IF(L555&lt;=10,11,IF(L555&lt;=14,12,IF(L555&lt;=17,13,IF(L555&lt;=20,14,IF(L555&lt;=22,15,IF(L555&lt;=25,16,IF(L555&lt;=27,17,IF(L555&lt;=29,18,IF(L555&lt;=32,19,IF(L555&lt;=34,20,IF(L555&lt;=36,21,IF(L555&lt;=40,22,24)))))))))))))</f>
        <v>0</v>
      </c>
      <c r="O555" s="3" t="s">
        <v>38</v>
      </c>
      <c r="Q555" s="3" t="n">
        <f aca="false">_xlfn.IFS(O555="взв",11,O555="накл",24,O555="прокл",25,O555="пт",26,O555=90,10,O555=85,10,O555=80,9,O555=75,8,O555=70,8,O555=65,7,O555=60,7,O555=55,6,O555=50,6,O555=45,6,O555=40,5,O555=35,4,O555=30,4,O555=25,3,O555=20,2,O555=15,1,O555=10,1,O555=0,0)</f>
        <v>26</v>
      </c>
      <c r="R555" s="3" t="n">
        <f aca="false">IF(P555&lt;=1,0,IF(P555&lt;=10,11,IF(P555&lt;=14,12,IF(P555&lt;=17,13,IF(P555&lt;=20,14,IF(P555&lt;=22,15,IF(P555&lt;=25,16,IF(P555&lt;=27,17,IF(P555&lt;=29,18,IF(P555&lt;=32,19,IF(P555&lt;=34,20,IF(P555&lt;=36,21,IF(P555&lt;=40,22,24)))))))))))))</f>
        <v>0</v>
      </c>
      <c r="S555" s="14" t="n">
        <f aca="false">ROUND((Q555+R555+I555+J555+M555+N555)/3,0)</f>
        <v>26</v>
      </c>
      <c r="T555" s="15" t="n">
        <f aca="false">F555*LOG10(S555+2)</f>
        <v>5.78863212536888</v>
      </c>
    </row>
    <row r="556" customFormat="false" ht="14.65" hidden="false" customHeight="true" outlineLevel="0" collapsed="false">
      <c r="A556" s="12" t="s">
        <v>611</v>
      </c>
      <c r="B556" s="16" t="n">
        <v>38897</v>
      </c>
      <c r="C556" s="17" t="s">
        <v>595</v>
      </c>
      <c r="D556" s="4" t="s">
        <v>595</v>
      </c>
      <c r="E556" s="3" t="n">
        <v>6</v>
      </c>
      <c r="F556" s="3" t="n">
        <v>5</v>
      </c>
      <c r="H556" s="3" t="n">
        <v>36</v>
      </c>
      <c r="I556" s="3" t="n">
        <f aca="false">_xlfn.IFS(G556="взв",11,G556="накл",24,G556="прокл",25,G556="пт",26,G556=90,10,G556=85,10,G556=80,9,G556=75,8,G556=70,8,G556=65,7,G556=60,7,G556=55,6,G556=50,6,G556=45,6,G556=40,5,G556=35,4,G556=30,4,G556=25,3,G556=20,2,G556=15,1,G556=10,1,G556=0,0)</f>
        <v>0</v>
      </c>
      <c r="J556" s="3" t="n">
        <f aca="false">IF(H556&lt;=1,0,IF(H556&lt;=10,11,IF(H556&lt;=14,12,IF(H556&lt;=17,13,IF(H556&lt;=20,14,IF(H556&lt;=22,15,IF(H556&lt;=25,16,IF(H556&lt;=27,17,IF(H556&lt;=29,18,IF(H556&lt;=32,19,IF(H556&lt;=34,20,IF(H556&lt;=36,21,IF(H556&lt;=40,22,24)))))))))))))</f>
        <v>21</v>
      </c>
      <c r="L556" s="3" t="n">
        <v>33</v>
      </c>
      <c r="M556" s="3" t="n">
        <f aca="false">_xlfn.IFS(K556="взв",11,K556="накл",24,K556="прокл",25,K556="пт",26,K556=90,10,K556=85,10,K556=80,9,K556=75,8,K556=70,8,K556=65,7,K556=60,7,K556=55,6,K556=50,6,K556=45,6,K556=40,5,K556=35,4,K556=30,4,K556=25,3,K556=20,2,K556=15,1,K556=10,1,K556=0,0)</f>
        <v>0</v>
      </c>
      <c r="N556" s="3" t="n">
        <f aca="false">IF(L556&lt;=1,0,IF(L556&lt;=10,11,IF(L556&lt;=14,12,IF(L556&lt;=17,13,IF(L556&lt;=20,14,IF(L556&lt;=22,15,IF(L556&lt;=25,16,IF(L556&lt;=27,17,IF(L556&lt;=29,18,IF(L556&lt;=32,19,IF(L556&lt;=34,20,IF(L556&lt;=36,21,IF(L556&lt;=40,22,24)))))))))))))</f>
        <v>20</v>
      </c>
      <c r="P556" s="3" t="n">
        <v>35</v>
      </c>
      <c r="Q556" s="3" t="n">
        <f aca="false">_xlfn.IFS(O556="взв",11,O556="накл",24,O556="прокл",25,O556="пт",26,O556=90,10,O556=85,10,O556=80,9,O556=75,8,O556=70,8,O556=65,7,O556=60,7,O556=55,6,O556=50,6,O556=45,6,O556=40,5,O556=35,4,O556=30,4,O556=25,3,O556=20,2,O556=15,1,O556=10,1,O556=0,0)</f>
        <v>0</v>
      </c>
      <c r="R556" s="3" t="n">
        <f aca="false">IF(P556&lt;=1,0,IF(P556&lt;=10,11,IF(P556&lt;=14,12,IF(P556&lt;=17,13,IF(P556&lt;=20,14,IF(P556&lt;=22,15,IF(P556&lt;=25,16,IF(P556&lt;=27,17,IF(P556&lt;=29,18,IF(P556&lt;=32,19,IF(P556&lt;=34,20,IF(P556&lt;=36,21,IF(P556&lt;=40,22,24)))))))))))))</f>
        <v>21</v>
      </c>
      <c r="S556" s="14" t="n">
        <f aca="false">ROUND((Q556+R556+I556+J556+M556+N556)/3,0)</f>
        <v>21</v>
      </c>
      <c r="T556" s="15" t="n">
        <f aca="false">F556*LOG10(S556+2)</f>
        <v>6.80863918008796</v>
      </c>
    </row>
    <row r="557" customFormat="false" ht="14.65" hidden="false" customHeight="true" outlineLevel="0" collapsed="false">
      <c r="A557" s="12" t="s">
        <v>612</v>
      </c>
      <c r="B557" s="16" t="n">
        <v>38897</v>
      </c>
      <c r="C557" s="17" t="s">
        <v>595</v>
      </c>
      <c r="D557" s="4" t="s">
        <v>595</v>
      </c>
      <c r="E557" s="3" t="n">
        <v>4</v>
      </c>
      <c r="F557" s="3" t="n">
        <v>5</v>
      </c>
      <c r="G557" s="3" t="s">
        <v>38</v>
      </c>
      <c r="I557" s="3" t="n">
        <f aca="false">_xlfn.IFS(G557="взв",11,G557="накл",24,G557="прокл",25,G557="пт",26,G557=90,10,G557=85,10,G557=80,9,G557=75,8,G557=70,8,G557=65,7,G557=60,7,G557=55,6,G557=50,6,G557=45,6,G557=40,5,G557=35,4,G557=30,4,G557=25,3,G557=20,2,G557=15,1,G557=10,1,G557=0,0)</f>
        <v>26</v>
      </c>
      <c r="J557" s="3" t="n">
        <f aca="false">IF(H557&lt;=1,0,IF(H557&lt;=10,11,IF(H557&lt;=14,12,IF(H557&lt;=17,13,IF(H557&lt;=20,14,IF(H557&lt;=22,15,IF(H557&lt;=25,16,IF(H557&lt;=27,17,IF(H557&lt;=29,18,IF(H557&lt;=32,19,IF(H557&lt;=34,20,IF(H557&lt;=36,21,IF(H557&lt;=40,22,24)))))))))))))</f>
        <v>0</v>
      </c>
      <c r="M557" s="3" t="n">
        <f aca="false">_xlfn.IFS(K557="взв",11,K557="накл",24,K557="прокл",25,K557="пт",26,K557=90,10,K557=85,10,K557=80,9,K557=75,8,K557=70,8,K557=65,7,K557=60,7,K557=55,6,K557=50,6,K557=45,6,K557=40,5,K557=35,4,K557=30,4,K557=25,3,K557=20,2,K557=15,1,K557=10,1,K557=0,0)</f>
        <v>0</v>
      </c>
      <c r="N557" s="3" t="n">
        <f aca="false">IF(L557&lt;=1,0,IF(L557&lt;=10,11,IF(L557&lt;=14,12,IF(L557&lt;=17,13,IF(L557&lt;=20,14,IF(L557&lt;=22,15,IF(L557&lt;=25,16,IF(L557&lt;=27,17,IF(L557&lt;=29,18,IF(L557&lt;=32,19,IF(L557&lt;=34,20,IF(L557&lt;=36,21,IF(L557&lt;=40,22,24)))))))))))))</f>
        <v>0</v>
      </c>
      <c r="Q557" s="3" t="n">
        <f aca="false">_xlfn.IFS(O557="взв",11,O557="накл",24,O557="прокл",25,O557="пт",26,O557=90,10,O557=85,10,O557=80,9,O557=75,8,O557=70,8,O557=65,7,O557=60,7,O557=55,6,O557=50,6,O557=45,6,O557=40,5,O557=35,4,O557=30,4,O557=25,3,O557=20,2,O557=15,1,O557=10,1,O557=0,0)</f>
        <v>0</v>
      </c>
      <c r="R557" s="3" t="n">
        <f aca="false">IF(P557&lt;=1,0,IF(P557&lt;=10,11,IF(P557&lt;=14,12,IF(P557&lt;=17,13,IF(P557&lt;=20,14,IF(P557&lt;=22,15,IF(P557&lt;=25,16,IF(P557&lt;=27,17,IF(P557&lt;=29,18,IF(P557&lt;=32,19,IF(P557&lt;=34,20,IF(P557&lt;=36,21,IF(P557&lt;=40,22,24)))))))))))))</f>
        <v>0</v>
      </c>
      <c r="S557" s="14" t="n">
        <v>26</v>
      </c>
      <c r="T557" s="15" t="n">
        <f aca="false">F557*LOG10(S557+2)</f>
        <v>7.2357901567111</v>
      </c>
    </row>
    <row r="558" customFormat="false" ht="14.65" hidden="false" customHeight="true" outlineLevel="0" collapsed="false">
      <c r="A558" s="12" t="s">
        <v>613</v>
      </c>
      <c r="B558" s="16" t="n">
        <v>38897</v>
      </c>
      <c r="C558" s="17" t="s">
        <v>595</v>
      </c>
      <c r="D558" s="4" t="s">
        <v>595</v>
      </c>
      <c r="E558" s="3" t="n">
        <v>5</v>
      </c>
      <c r="F558" s="3" t="n">
        <v>6</v>
      </c>
      <c r="H558" s="3" t="n">
        <v>19</v>
      </c>
      <c r="I558" s="3" t="n">
        <f aca="false">_xlfn.IFS(G558="взв",11,G558="накл",24,G558="прокл",25,G558="пт",26,G558=90,10,G558=85,10,G558=80,9,G558=75,8,G558=70,8,G558=65,7,G558=60,7,G558=55,6,G558=50,6,G558=45,6,G558=40,5,G558=35,4,G558=30,4,G558=25,3,G558=20,2,G558=15,1,G558=10,1,G558=0,0)</f>
        <v>0</v>
      </c>
      <c r="J558" s="3" t="n">
        <f aca="false">IF(H558&lt;=1,0,IF(H558&lt;=10,11,IF(H558&lt;=14,12,IF(H558&lt;=17,13,IF(H558&lt;=20,14,IF(H558&lt;=22,15,IF(H558&lt;=25,16,IF(H558&lt;=27,17,IF(H558&lt;=29,18,IF(H558&lt;=32,19,IF(H558&lt;=34,20,IF(H558&lt;=36,21,IF(H558&lt;=40,22,24)))))))))))))</f>
        <v>14</v>
      </c>
      <c r="L558" s="3" t="n">
        <v>27</v>
      </c>
      <c r="M558" s="3" t="n">
        <f aca="false">_xlfn.IFS(K558="взв",11,K558="накл",24,K558="прокл",25,K558="пт",26,K558=90,10,K558=85,10,K558=80,9,K558=75,8,K558=70,8,K558=65,7,K558=60,7,K558=55,6,K558=50,6,K558=45,6,K558=40,5,K558=35,4,K558=30,4,K558=25,3,K558=20,2,K558=15,1,K558=10,1,K558=0,0)</f>
        <v>0</v>
      </c>
      <c r="N558" s="3" t="n">
        <f aca="false">IF(L558&lt;=1,0,IF(L558&lt;=10,11,IF(L558&lt;=14,12,IF(L558&lt;=17,13,IF(L558&lt;=20,14,IF(L558&lt;=22,15,IF(L558&lt;=25,16,IF(L558&lt;=27,17,IF(L558&lt;=29,18,IF(L558&lt;=32,19,IF(L558&lt;=34,20,IF(L558&lt;=36,21,IF(L558&lt;=40,22,24)))))))))))))</f>
        <v>17</v>
      </c>
      <c r="P558" s="3" t="n">
        <v>28</v>
      </c>
      <c r="Q558" s="3" t="n">
        <f aca="false">_xlfn.IFS(O558="взв",11,O558="накл",24,O558="прокл",25,O558="пт",26,O558=90,10,O558=85,10,O558=80,9,O558=75,8,O558=70,8,O558=65,7,O558=60,7,O558=55,6,O558=50,6,O558=45,6,O558=40,5,O558=35,4,O558=30,4,O558=25,3,O558=20,2,O558=15,1,O558=10,1,O558=0,0)</f>
        <v>0</v>
      </c>
      <c r="R558" s="3" t="n">
        <f aca="false">IF(P558&lt;=1,0,IF(P558&lt;=10,11,IF(P558&lt;=14,12,IF(P558&lt;=17,13,IF(P558&lt;=20,14,IF(P558&lt;=22,15,IF(P558&lt;=25,16,IF(P558&lt;=27,17,IF(P558&lt;=29,18,IF(P558&lt;=32,19,IF(P558&lt;=34,20,IF(P558&lt;=36,21,IF(P558&lt;=40,22,24)))))))))))))</f>
        <v>18</v>
      </c>
      <c r="S558" s="14" t="n">
        <f aca="false">ROUND((Q558+R558+I558+J558+M558+N558)/3,0)</f>
        <v>16</v>
      </c>
      <c r="T558" s="15" t="n">
        <f aca="false">F558*LOG10(S558+2)</f>
        <v>7.53163503061984</v>
      </c>
    </row>
    <row r="559" customFormat="false" ht="14.65" hidden="false" customHeight="true" outlineLevel="0" collapsed="false">
      <c r="A559" s="12" t="s">
        <v>614</v>
      </c>
      <c r="B559" s="16" t="n">
        <v>38897</v>
      </c>
      <c r="C559" s="17" t="s">
        <v>595</v>
      </c>
      <c r="D559" s="4" t="s">
        <v>595</v>
      </c>
      <c r="E559" s="3" t="n">
        <v>4</v>
      </c>
      <c r="F559" s="3" t="n">
        <v>7</v>
      </c>
      <c r="H559" s="3" t="n">
        <v>31</v>
      </c>
      <c r="I559" s="3" t="n">
        <f aca="false">_xlfn.IFS(G559="взв",11,G559="накл",24,G559="прокл",25,G559="пт",26,G559=90,10,G559=85,10,G559=80,9,G559=75,8,G559=70,8,G559=65,7,G559=60,7,G559=55,6,G559=50,6,G559=45,6,G559=40,5,G559=35,4,G559=30,4,G559=25,3,G559=20,2,G559=15,1,G559=10,1,G559=0,0)</f>
        <v>0</v>
      </c>
      <c r="J559" s="3" t="n">
        <f aca="false">IF(H559&lt;=1,0,IF(H559&lt;=10,11,IF(H559&lt;=14,12,IF(H559&lt;=17,13,IF(H559&lt;=20,14,IF(H559&lt;=22,15,IF(H559&lt;=25,16,IF(H559&lt;=27,17,IF(H559&lt;=29,18,IF(H559&lt;=32,19,IF(H559&lt;=34,20,IF(H559&lt;=36,21,IF(H559&lt;=40,22,24)))))))))))))</f>
        <v>19</v>
      </c>
      <c r="L559" s="3" t="n">
        <v>31</v>
      </c>
      <c r="M559" s="3" t="n">
        <f aca="false">_xlfn.IFS(K559="взв",11,K559="накл",24,K559="прокл",25,K559="пт",26,K559=90,10,K559=85,10,K559=80,9,K559=75,8,K559=70,8,K559=65,7,K559=60,7,K559=55,6,K559=50,6,K559=45,6,K559=40,5,K559=35,4,K559=30,4,K559=25,3,K559=20,2,K559=15,1,K559=10,1,K559=0,0)</f>
        <v>0</v>
      </c>
      <c r="N559" s="3" t="n">
        <f aca="false">IF(L559&lt;=1,0,IF(L559&lt;=10,11,IF(L559&lt;=14,12,IF(L559&lt;=17,13,IF(L559&lt;=20,14,IF(L559&lt;=22,15,IF(L559&lt;=25,16,IF(L559&lt;=27,17,IF(L559&lt;=29,18,IF(L559&lt;=32,19,IF(L559&lt;=34,20,IF(L559&lt;=36,21,IF(L559&lt;=40,22,24)))))))))))))</f>
        <v>19</v>
      </c>
      <c r="P559" s="3" t="n">
        <v>31</v>
      </c>
      <c r="Q559" s="3" t="n">
        <f aca="false">_xlfn.IFS(O559="взв",11,O559="накл",24,O559="прокл",25,O559="пт",26,O559=90,10,O559=85,10,O559=80,9,O559=75,8,O559=70,8,O559=65,7,O559=60,7,O559=55,6,O559=50,6,O559=45,6,O559=40,5,O559=35,4,O559=30,4,O559=25,3,O559=20,2,O559=15,1,O559=10,1,O559=0,0)</f>
        <v>0</v>
      </c>
      <c r="R559" s="3" t="n">
        <f aca="false">IF(P559&lt;=1,0,IF(P559&lt;=10,11,IF(P559&lt;=14,12,IF(P559&lt;=17,13,IF(P559&lt;=20,14,IF(P559&lt;=22,15,IF(P559&lt;=25,16,IF(P559&lt;=27,17,IF(P559&lt;=29,18,IF(P559&lt;=32,19,IF(P559&lt;=34,20,IF(P559&lt;=36,21,IF(P559&lt;=40,22,24)))))))))))))</f>
        <v>19</v>
      </c>
      <c r="S559" s="14" t="n">
        <f aca="false">ROUND((Q559+R559+I559+J559+M559+N559)/3,0)</f>
        <v>19</v>
      </c>
      <c r="T559" s="15" t="n">
        <f aca="false">F559*LOG10(S559+2)</f>
        <v>9.25553506313744</v>
      </c>
    </row>
    <row r="560" customFormat="false" ht="14.65" hidden="false" customHeight="true" outlineLevel="0" collapsed="false">
      <c r="A560" s="12" t="s">
        <v>615</v>
      </c>
      <c r="B560" s="16" t="n">
        <v>38897</v>
      </c>
      <c r="C560" s="17" t="s">
        <v>595</v>
      </c>
      <c r="D560" s="4" t="s">
        <v>595</v>
      </c>
      <c r="E560" s="3" t="n">
        <v>4</v>
      </c>
      <c r="F560" s="3" t="n">
        <v>7</v>
      </c>
      <c r="H560" s="3" t="n">
        <v>39</v>
      </c>
      <c r="I560" s="3" t="n">
        <f aca="false">_xlfn.IFS(G560="взв",11,G560="накл",24,G560="прокл",25,G560="пт",26,G560=90,10,G560=85,10,G560=80,9,G560=75,8,G560=70,8,G560=65,7,G560=60,7,G560=55,6,G560=50,6,G560=45,6,G560=40,5,G560=35,4,G560=30,4,G560=25,3,G560=20,2,G560=15,1,G560=10,1,G560=0,0)</f>
        <v>0</v>
      </c>
      <c r="J560" s="3" t="n">
        <f aca="false">IF(H560&lt;=1,0,IF(H560&lt;=10,11,IF(H560&lt;=14,12,IF(H560&lt;=17,13,IF(H560&lt;=20,14,IF(H560&lt;=22,15,IF(H560&lt;=25,16,IF(H560&lt;=27,17,IF(H560&lt;=29,18,IF(H560&lt;=32,19,IF(H560&lt;=34,20,IF(H560&lt;=36,21,IF(H560&lt;=40,22,24)))))))))))))</f>
        <v>22</v>
      </c>
      <c r="L560" s="3" t="n">
        <v>41</v>
      </c>
      <c r="M560" s="3" t="n">
        <f aca="false">_xlfn.IFS(K560="взв",11,K560="накл",24,K560="прокл",25,K560="пт",26,K560=90,10,K560=85,10,K560=80,9,K560=75,8,K560=70,8,K560=65,7,K560=60,7,K560=55,6,K560=50,6,K560=45,6,K560=40,5,K560=35,4,K560=30,4,K560=25,3,K560=20,2,K560=15,1,K560=10,1,K560=0,0)</f>
        <v>0</v>
      </c>
      <c r="N560" s="3" t="n">
        <f aca="false">IF(L560&lt;=1,0,IF(L560&lt;=10,11,IF(L560&lt;=14,12,IF(L560&lt;=17,13,IF(L560&lt;=20,14,IF(L560&lt;=22,15,IF(L560&lt;=25,16,IF(L560&lt;=27,17,IF(L560&lt;=29,18,IF(L560&lt;=32,19,IF(L560&lt;=34,20,IF(L560&lt;=36,21,IF(L560&lt;=40,22,24)))))))))))))</f>
        <v>24</v>
      </c>
      <c r="P560" s="3" t="n">
        <v>42</v>
      </c>
      <c r="Q560" s="3" t="n">
        <f aca="false">_xlfn.IFS(O560="взв",11,O560="накл",24,O560="прокл",25,O560="пт",26,O560=90,10,O560=85,10,O560=80,9,O560=75,8,O560=70,8,O560=65,7,O560=60,7,O560=55,6,O560=50,6,O560=45,6,O560=40,5,O560=35,4,O560=30,4,O560=25,3,O560=20,2,O560=15,1,O560=10,1,O560=0,0)</f>
        <v>0</v>
      </c>
      <c r="R560" s="3" t="n">
        <f aca="false">IF(P560&lt;=1,0,IF(P560&lt;=10,11,IF(P560&lt;=14,12,IF(P560&lt;=17,13,IF(P560&lt;=20,14,IF(P560&lt;=22,15,IF(P560&lt;=25,16,IF(P560&lt;=27,17,IF(P560&lt;=29,18,IF(P560&lt;=32,19,IF(P560&lt;=34,20,IF(P560&lt;=36,21,IF(P560&lt;=40,22,24)))))))))))))</f>
        <v>24</v>
      </c>
      <c r="S560" s="14" t="n">
        <f aca="false">ROUND((Q560+R560+I560+J560+M560+N560)/3,0)</f>
        <v>23</v>
      </c>
      <c r="T560" s="15" t="n">
        <f aca="false">F560*LOG10(S560+2)</f>
        <v>9.78558006070426</v>
      </c>
    </row>
    <row r="561" customFormat="false" ht="14.65" hidden="false" customHeight="true" outlineLevel="0" collapsed="false">
      <c r="A561" s="12" t="s">
        <v>616</v>
      </c>
      <c r="B561" s="16" t="n">
        <v>38897</v>
      </c>
      <c r="C561" s="17" t="s">
        <v>595</v>
      </c>
      <c r="D561" s="4" t="s">
        <v>595</v>
      </c>
      <c r="E561" s="3" t="n">
        <v>3</v>
      </c>
      <c r="F561" s="3" t="n">
        <v>7</v>
      </c>
      <c r="G561" s="3" t="n">
        <v>45</v>
      </c>
      <c r="I561" s="3" t="n">
        <f aca="false">_xlfn.IFS(G561="взв",11,G561="накл",24,G561="прокл",25,G561="пт",26,G561=90,10,G561=85,10,G561=80,9,G561=75,8,G561=70,8,G561=65,7,G561=60,7,G561=55,6,G561=50,6,G561=45,6,G561=40,5,G561=35,4,G561=30,4,G561=25,3,G561=20,2,G561=15,1,G561=10,1,G561=0,0)</f>
        <v>6</v>
      </c>
      <c r="J561" s="3" t="n">
        <f aca="false">IF(H561&lt;=1,0,IF(H561&lt;=10,11,IF(H561&lt;=14,12,IF(H561&lt;=17,13,IF(H561&lt;=20,14,IF(H561&lt;=22,15,IF(H561&lt;=25,16,IF(H561&lt;=27,17,IF(H561&lt;=29,18,IF(H561&lt;=32,19,IF(H561&lt;=34,20,IF(H561&lt;=36,21,IF(H561&lt;=40,22,24)))))))))))))</f>
        <v>0</v>
      </c>
      <c r="K561" s="3" t="n">
        <v>30</v>
      </c>
      <c r="M561" s="3" t="n">
        <f aca="false">_xlfn.IFS(K561="взв",11,K561="накл",24,K561="прокл",25,K561="пт",26,K561=90,10,K561=85,10,K561=80,9,K561=75,8,K561=70,8,K561=65,7,K561=60,7,K561=55,6,K561=50,6,K561=45,6,K561=40,5,K561=35,4,K561=30,4,K561=25,3,K561=20,2,K561=15,1,K561=10,1,K561=0,0)</f>
        <v>4</v>
      </c>
      <c r="N561" s="3" t="n">
        <f aca="false">IF(L561&lt;=1,0,IF(L561&lt;=10,11,IF(L561&lt;=14,12,IF(L561&lt;=17,13,IF(L561&lt;=20,14,IF(L561&lt;=22,15,IF(L561&lt;=25,16,IF(L561&lt;=27,17,IF(L561&lt;=29,18,IF(L561&lt;=32,19,IF(L561&lt;=34,20,IF(L561&lt;=36,21,IF(L561&lt;=40,22,24)))))))))))))</f>
        <v>0</v>
      </c>
      <c r="O561" s="3" t="n">
        <v>30</v>
      </c>
      <c r="Q561" s="3" t="n">
        <f aca="false">_xlfn.IFS(O561="взв",11,O561="накл",24,O561="прокл",25,O561="пт",26,O561=90,10,O561=85,10,O561=80,9,O561=75,8,O561=70,8,O561=65,7,O561=60,7,O561=55,6,O561=50,6,O561=45,6,O561=40,5,O561=35,4,O561=30,4,O561=25,3,O561=20,2,O561=15,1,O561=10,1,O561=0,0)</f>
        <v>4</v>
      </c>
      <c r="R561" s="3" t="n">
        <f aca="false">IF(P561&lt;=1,0,IF(P561&lt;=10,11,IF(P561&lt;=14,12,IF(P561&lt;=17,13,IF(P561&lt;=20,14,IF(P561&lt;=22,15,IF(P561&lt;=25,16,IF(P561&lt;=27,17,IF(P561&lt;=29,18,IF(P561&lt;=32,19,IF(P561&lt;=34,20,IF(P561&lt;=36,21,IF(P561&lt;=40,22,24)))))))))))))</f>
        <v>0</v>
      </c>
      <c r="S561" s="14" t="n">
        <f aca="false">ROUND((Q561+R561+I561+J561+M561+N561)/3,0)</f>
        <v>5</v>
      </c>
      <c r="T561" s="15" t="n">
        <f aca="false">F561*LOG10(S561+2)</f>
        <v>5.9156862800998</v>
      </c>
    </row>
    <row r="562" customFormat="false" ht="14.65" hidden="false" customHeight="true" outlineLevel="0" collapsed="false">
      <c r="A562" s="12" t="s">
        <v>617</v>
      </c>
      <c r="B562" s="16" t="n">
        <v>38897</v>
      </c>
      <c r="C562" s="17" t="s">
        <v>595</v>
      </c>
      <c r="D562" s="4" t="s">
        <v>595</v>
      </c>
      <c r="E562" s="3" t="n">
        <v>1</v>
      </c>
      <c r="F562" s="3" t="n">
        <v>7</v>
      </c>
      <c r="H562" s="3" t="n">
        <v>33</v>
      </c>
      <c r="I562" s="3" t="n">
        <f aca="false">_xlfn.IFS(G562="взв",11,G562="накл",24,G562="прокл",25,G562="пт",26,G562=90,10,G562=85,10,G562=80,9,G562=75,8,G562=70,8,G562=65,7,G562=60,7,G562=55,6,G562=50,6,G562=45,6,G562=40,5,G562=35,4,G562=30,4,G562=25,3,G562=20,2,G562=15,1,G562=10,1,G562=0,0)</f>
        <v>0</v>
      </c>
      <c r="J562" s="3" t="n">
        <f aca="false">IF(H562&lt;=1,0,IF(H562&lt;=10,11,IF(H562&lt;=14,12,IF(H562&lt;=17,13,IF(H562&lt;=20,14,IF(H562&lt;=22,15,IF(H562&lt;=25,16,IF(H562&lt;=27,17,IF(H562&lt;=29,18,IF(H562&lt;=32,19,IF(H562&lt;=34,20,IF(H562&lt;=36,21,IF(H562&lt;=40,22,24)))))))))))))</f>
        <v>20</v>
      </c>
      <c r="M562" s="3" t="n">
        <f aca="false">_xlfn.IFS(K562="взв",11,K562="накл",24,K562="прокл",25,K562="пт",26,K562=90,10,K562=85,10,K562=80,9,K562=75,8,K562=70,8,K562=65,7,K562=60,7,K562=55,6,K562=50,6,K562=45,6,K562=40,5,K562=35,4,K562=30,4,K562=25,3,K562=20,2,K562=15,1,K562=10,1,K562=0,0)</f>
        <v>0</v>
      </c>
      <c r="N562" s="3" t="n">
        <f aca="false">IF(L562&lt;=1,0,IF(L562&lt;=10,11,IF(L562&lt;=14,12,IF(L562&lt;=17,13,IF(L562&lt;=20,14,IF(L562&lt;=22,15,IF(L562&lt;=25,16,IF(L562&lt;=27,17,IF(L562&lt;=29,18,IF(L562&lt;=32,19,IF(L562&lt;=34,20,IF(L562&lt;=36,21,IF(L562&lt;=40,22,24)))))))))))))</f>
        <v>0</v>
      </c>
      <c r="Q562" s="3" t="n">
        <f aca="false">_xlfn.IFS(O562="взв",11,O562="накл",24,O562="прокл",25,O562="пт",26,O562=90,10,O562=85,10,O562=80,9,O562=75,8,O562=70,8,O562=65,7,O562=60,7,O562=55,6,O562=50,6,O562=45,6,O562=40,5,O562=35,4,O562=30,4,O562=25,3,O562=20,2,O562=15,1,O562=10,1,O562=0,0)</f>
        <v>0</v>
      </c>
      <c r="R562" s="3" t="n">
        <f aca="false">IF(P562&lt;=1,0,IF(P562&lt;=10,11,IF(P562&lt;=14,12,IF(P562&lt;=17,13,IF(P562&lt;=20,14,IF(P562&lt;=22,15,IF(P562&lt;=25,16,IF(P562&lt;=27,17,IF(P562&lt;=29,18,IF(P562&lt;=32,19,IF(P562&lt;=34,20,IF(P562&lt;=36,21,IF(P562&lt;=40,22,24)))))))))))))</f>
        <v>0</v>
      </c>
      <c r="S562" s="14" t="n">
        <v>20</v>
      </c>
      <c r="T562" s="15" t="n">
        <f aca="false">F562*LOG10(S562+2)</f>
        <v>9.39695876575544</v>
      </c>
    </row>
    <row r="563" customFormat="false" ht="14.65" hidden="false" customHeight="true" outlineLevel="0" collapsed="false">
      <c r="A563" s="12" t="s">
        <v>618</v>
      </c>
      <c r="B563" s="16" t="n">
        <v>38897</v>
      </c>
      <c r="C563" s="17" t="s">
        <v>595</v>
      </c>
      <c r="D563" s="4" t="s">
        <v>595</v>
      </c>
      <c r="E563" s="3" t="n">
        <v>4</v>
      </c>
      <c r="F563" s="3" t="n">
        <v>30</v>
      </c>
      <c r="G563" s="3" t="s">
        <v>38</v>
      </c>
      <c r="I563" s="3" t="n">
        <f aca="false">_xlfn.IFS(G563="взв",11,G563="накл",24,G563="прокл",25,G563="пт",26,G563=90,10,G563=85,10,G563=80,9,G563=75,8,G563=70,8,G563=65,7,G563=60,7,G563=55,6,G563=50,6,G563=45,6,G563=40,5,G563=35,4,G563=30,4,G563=25,3,G563=20,2,G563=15,1,G563=10,1,G563=0,0)</f>
        <v>26</v>
      </c>
      <c r="J563" s="3" t="n">
        <f aca="false">IF(H563&lt;=1,0,IF(H563&lt;=10,11,IF(H563&lt;=14,12,IF(H563&lt;=17,13,IF(H563&lt;=20,14,IF(H563&lt;=22,15,IF(H563&lt;=25,16,IF(H563&lt;=27,17,IF(H563&lt;=29,18,IF(H563&lt;=32,19,IF(H563&lt;=34,20,IF(H563&lt;=36,21,IF(H563&lt;=40,22,24)))))))))))))</f>
        <v>0</v>
      </c>
      <c r="K563" s="3" t="s">
        <v>38</v>
      </c>
      <c r="M563" s="3" t="n">
        <f aca="false">_xlfn.IFS(K563="взв",11,K563="накл",24,K563="прокл",25,K563="пт",26,K563=90,10,K563=85,10,K563=80,9,K563=75,8,K563=70,8,K563=65,7,K563=60,7,K563=55,6,K563=50,6,K563=45,6,K563=40,5,K563=35,4,K563=30,4,K563=25,3,K563=20,2,K563=15,1,K563=10,1,K563=0,0)</f>
        <v>26</v>
      </c>
      <c r="N563" s="3" t="n">
        <f aca="false">IF(L563&lt;=1,0,IF(L563&lt;=10,11,IF(L563&lt;=14,12,IF(L563&lt;=17,13,IF(L563&lt;=20,14,IF(L563&lt;=22,15,IF(L563&lt;=25,16,IF(L563&lt;=27,17,IF(L563&lt;=29,18,IF(L563&lt;=32,19,IF(L563&lt;=34,20,IF(L563&lt;=36,21,IF(L563&lt;=40,22,24)))))))))))))</f>
        <v>0</v>
      </c>
      <c r="O563" s="3" t="s">
        <v>38</v>
      </c>
      <c r="Q563" s="3" t="n">
        <f aca="false">_xlfn.IFS(O563="взв",11,O563="накл",24,O563="прокл",25,O563="пт",26,O563=90,10,O563=85,10,O563=80,9,O563=75,8,O563=70,8,O563=65,7,O563=60,7,O563=55,6,O563=50,6,O563=45,6,O563=40,5,O563=35,4,O563=30,4,O563=25,3,O563=20,2,O563=15,1,O563=10,1,O563=0,0)</f>
        <v>26</v>
      </c>
      <c r="R563" s="3" t="n">
        <f aca="false">IF(P563&lt;=1,0,IF(P563&lt;=10,11,IF(P563&lt;=14,12,IF(P563&lt;=17,13,IF(P563&lt;=20,14,IF(P563&lt;=22,15,IF(P563&lt;=25,16,IF(P563&lt;=27,17,IF(P563&lt;=29,18,IF(P563&lt;=32,19,IF(P563&lt;=34,20,IF(P563&lt;=36,21,IF(P563&lt;=40,22,24)))))))))))))</f>
        <v>0</v>
      </c>
      <c r="S563" s="14" t="n">
        <f aca="false">ROUND((Q563+R563+I563+J563+M563+N563)/3,0)</f>
        <v>26</v>
      </c>
      <c r="T563" s="15" t="n">
        <f aca="false">F563*LOG10(S563+2)</f>
        <v>43.4147409402666</v>
      </c>
    </row>
    <row r="564" customFormat="false" ht="14.65" hidden="false" customHeight="true" outlineLevel="0" collapsed="false">
      <c r="A564" s="12" t="s">
        <v>619</v>
      </c>
      <c r="B564" s="13" t="n">
        <v>38879</v>
      </c>
      <c r="C564" s="3" t="s">
        <v>21</v>
      </c>
      <c r="D564" s="4" t="s">
        <v>620</v>
      </c>
      <c r="E564" s="3" t="n">
        <v>2</v>
      </c>
      <c r="F564" s="3" t="n">
        <v>1</v>
      </c>
      <c r="H564" s="3" t="n">
        <v>40</v>
      </c>
      <c r="I564" s="3" t="n">
        <f aca="false">_xlfn.IFS(G564="взв",11,G564="накл",24,G564="прокл",25,G564="пт",26,G564=90,10,G564=85,10,G564=80,9,G564=75,8,G564=70,8,G564=65,7,G564=60,7,G564=55,6,G564=50,6,G564=45,6,G564=40,5,G564=35,4,G564=30,4,G564=25,3,G564=20,2,G564=15,1,G564=10,1,G564=0,0)</f>
        <v>0</v>
      </c>
      <c r="J564" s="3" t="n">
        <f aca="false">IF(H564&lt;=1,0,IF(H564&lt;=10,11,IF(H564&lt;=14,12,IF(H564&lt;=17,13,IF(H564&lt;=20,14,IF(H564&lt;=22,15,IF(H564&lt;=25,16,IF(H564&lt;=27,17,IF(H564&lt;=29,18,IF(H564&lt;=32,19,IF(H564&lt;=34,20,IF(H564&lt;=36,21,IF(H564&lt;=40,22,24)))))))))))))</f>
        <v>22</v>
      </c>
      <c r="L564" s="3" t="n">
        <v>43</v>
      </c>
      <c r="M564" s="3" t="n">
        <f aca="false">_xlfn.IFS(K564="взв",11,K564="накл",24,K564="прокл",25,K564="пт",26,K564=90,10,K564=85,10,K564=80,9,K564=75,8,K564=70,8,K564=65,7,K564=60,7,K564=55,6,K564=50,6,K564=45,6,K564=40,5,K564=35,4,K564=30,4,K564=25,3,K564=20,2,K564=15,1,K564=10,1,K564=0,0)</f>
        <v>0</v>
      </c>
      <c r="N564" s="3" t="n">
        <f aca="false">IF(L564&lt;=1,0,IF(L564&lt;=10,11,IF(L564&lt;=14,12,IF(L564&lt;=17,13,IF(L564&lt;=20,14,IF(L564&lt;=22,15,IF(L564&lt;=25,16,IF(L564&lt;=27,17,IF(L564&lt;=29,18,IF(L564&lt;=32,19,IF(L564&lt;=34,20,IF(L564&lt;=36,21,IF(L564&lt;=40,22,24)))))))))))))</f>
        <v>24</v>
      </c>
      <c r="Q564" s="3" t="n">
        <f aca="false">_xlfn.IFS(O564="взв",11,O564="накл",24,O564="прокл",25,O564="пт",26,O564=90,10,O564=85,10,O564=80,9,O564=75,8,O564=70,8,O564=65,7,O564=60,7,O564=55,6,O564=50,6,O564=45,6,O564=40,5,O564=35,4,O564=30,4,O564=25,3,O564=20,2,O564=15,1,O564=10,1,O564=0,0)</f>
        <v>0</v>
      </c>
      <c r="R564" s="3" t="n">
        <f aca="false">IF(P564&lt;=1,0,IF(P564&lt;=10,11,IF(P564&lt;=14,12,IF(P564&lt;=17,13,IF(P564&lt;=20,14,IF(P564&lt;=22,15,IF(P564&lt;=25,16,IF(P564&lt;=27,17,IF(P564&lt;=29,18,IF(P564&lt;=32,19,IF(P564&lt;=34,20,IF(P564&lt;=36,21,IF(P564&lt;=40,22,24)))))))))))))</f>
        <v>0</v>
      </c>
      <c r="S564" s="14" t="n">
        <f aca="false">ROUND((Q564+R564+I564+J564+M564+N564)/2,0)</f>
        <v>23</v>
      </c>
      <c r="T564" s="15" t="n">
        <f aca="false">F564*LOG10(S564+2)</f>
        <v>1.39794000867204</v>
      </c>
    </row>
    <row r="565" customFormat="false" ht="14.65" hidden="false" customHeight="true" outlineLevel="0" collapsed="false">
      <c r="A565" s="12" t="s">
        <v>621</v>
      </c>
      <c r="B565" s="13" t="n">
        <v>38879</v>
      </c>
      <c r="C565" s="3" t="s">
        <v>21</v>
      </c>
      <c r="D565" s="4" t="s">
        <v>620</v>
      </c>
      <c r="E565" s="3" t="n">
        <v>6</v>
      </c>
      <c r="F565" s="3" t="n">
        <v>1</v>
      </c>
      <c r="G565" s="3" t="s">
        <v>27</v>
      </c>
      <c r="I565" s="3" t="n">
        <f aca="false">_xlfn.IFS(G565="взв",11,G565="накл",24,G565="прокл",25,G565="пт",26,G565=90,10,G565=85,10,G565=80,9,G565=75,8,G565=70,8,G565=65,7,G565=60,7,G565=55,6,G565=50,6,G565=45,6,G565=40,5,G565=35,4,G565=30,4,G565=25,3,G565=20,2,G565=15,1,G565=10,1,G565=0,0)</f>
        <v>24</v>
      </c>
      <c r="J565" s="3" t="n">
        <f aca="false">IF(H565&lt;=1,0,IF(H565&lt;=10,11,IF(H565&lt;=14,12,IF(H565&lt;=17,13,IF(H565&lt;=20,14,IF(H565&lt;=22,15,IF(H565&lt;=25,16,IF(H565&lt;=27,17,IF(H565&lt;=29,18,IF(H565&lt;=32,19,IF(H565&lt;=34,20,IF(H565&lt;=36,21,IF(H565&lt;=40,22,24)))))))))))))</f>
        <v>0</v>
      </c>
      <c r="K565" s="3" t="s">
        <v>27</v>
      </c>
      <c r="M565" s="3" t="n">
        <f aca="false">_xlfn.IFS(K565="взв",11,K565="накл",24,K565="прокл",25,K565="пт",26,K565=90,10,K565=85,10,K565=80,9,K565=75,8,K565=70,8,K565=65,7,K565=60,7,K565=55,6,K565=50,6,K565=45,6,K565=40,5,K565=35,4,K565=30,4,K565=25,3,K565=20,2,K565=15,1,K565=10,1,K565=0,0)</f>
        <v>24</v>
      </c>
      <c r="N565" s="3" t="n">
        <f aca="false">IF(L565&lt;=1,0,IF(L565&lt;=10,11,IF(L565&lt;=14,12,IF(L565&lt;=17,13,IF(L565&lt;=20,14,IF(L565&lt;=22,15,IF(L565&lt;=25,16,IF(L565&lt;=27,17,IF(L565&lt;=29,18,IF(L565&lt;=32,19,IF(L565&lt;=34,20,IF(L565&lt;=36,21,IF(L565&lt;=40,22,24)))))))))))))</f>
        <v>0</v>
      </c>
      <c r="O565" s="3" t="s">
        <v>27</v>
      </c>
      <c r="P565" s="0"/>
      <c r="Q565" s="3" t="n">
        <f aca="false">_xlfn.IFS(O565="взв",11,O565="накл",24,O565="прокл",25,O565="пт",26,O565=90,10,O565=85,10,O565=80,9,O565=75,8,O565=70,8,O565=65,7,O565=60,7,O565=55,6,O565=50,6,O565=45,6,O565=40,5,O565=35,4,O565=30,4,O565=25,3,O565=20,2,O565=15,1,O565=10,1,O565=0,0)</f>
        <v>24</v>
      </c>
      <c r="R565" s="3" t="n">
        <f aca="false">IF(P565&lt;=1,0,IF(P565&lt;=10,11,IF(P565&lt;=14,12,IF(P565&lt;=17,13,IF(P565&lt;=20,14,IF(P565&lt;=22,15,IF(P565&lt;=25,16,IF(P565&lt;=27,17,IF(P565&lt;=29,18,IF(P565&lt;=32,19,IF(P565&lt;=34,20,IF(P565&lt;=36,21,IF(P565&lt;=40,22,24)))))))))))))</f>
        <v>0</v>
      </c>
      <c r="S565" s="14" t="n">
        <f aca="false">ROUND((Q565+R565+I565+J565+M565+N565)/3,0)</f>
        <v>24</v>
      </c>
      <c r="T565" s="15" t="n">
        <f aca="false">F565*LOG10(S565+2)</f>
        <v>1.41497334797082</v>
      </c>
    </row>
    <row r="566" customFormat="false" ht="14.65" hidden="false" customHeight="true" outlineLevel="0" collapsed="false">
      <c r="A566" s="12" t="s">
        <v>622</v>
      </c>
      <c r="B566" s="13" t="n">
        <v>38879</v>
      </c>
      <c r="C566" s="3" t="s">
        <v>21</v>
      </c>
      <c r="D566" s="4" t="s">
        <v>620</v>
      </c>
      <c r="E566" s="3" t="n">
        <v>4</v>
      </c>
      <c r="F566" s="3" t="n">
        <v>1</v>
      </c>
      <c r="H566" s="3" t="n">
        <v>38</v>
      </c>
      <c r="I566" s="3" t="n">
        <f aca="false">_xlfn.IFS(G566="взв",11,G566="накл",24,G566="прокл",25,G566="пт",26,G566=90,10,G566=85,10,G566=80,9,G566=75,8,G566=70,8,G566=65,7,G566=60,7,G566=55,6,G566=50,6,G566=45,6,G566=40,5,G566=35,4,G566=30,4,G566=25,3,G566=20,2,G566=15,1,G566=10,1,G566=0,0)</f>
        <v>0</v>
      </c>
      <c r="J566" s="3" t="n">
        <f aca="false">IF(H566&lt;=1,0,IF(H566&lt;=10,11,IF(H566&lt;=14,12,IF(H566&lt;=17,13,IF(H566&lt;=20,14,IF(H566&lt;=22,15,IF(H566&lt;=25,16,IF(H566&lt;=27,17,IF(H566&lt;=29,18,IF(H566&lt;=32,19,IF(H566&lt;=34,20,IF(H566&lt;=36,21,IF(H566&lt;=40,22,24)))))))))))))</f>
        <v>22</v>
      </c>
      <c r="L566" s="3" t="n">
        <v>39</v>
      </c>
      <c r="M566" s="3" t="n">
        <f aca="false">_xlfn.IFS(K566="взв",11,K566="накл",24,K566="прокл",25,K566="пт",26,K566=90,10,K566=85,10,K566=80,9,K566=75,8,K566=70,8,K566=65,7,K566=60,7,K566=55,6,K566=50,6,K566=45,6,K566=40,5,K566=35,4,K566=30,4,K566=25,3,K566=20,2,K566=15,1,K566=10,1,K566=0,0)</f>
        <v>0</v>
      </c>
      <c r="N566" s="3" t="n">
        <f aca="false">IF(L566&lt;=1,0,IF(L566&lt;=10,11,IF(L566&lt;=14,12,IF(L566&lt;=17,13,IF(L566&lt;=20,14,IF(L566&lt;=22,15,IF(L566&lt;=25,16,IF(L566&lt;=27,17,IF(L566&lt;=29,18,IF(L566&lt;=32,19,IF(L566&lt;=34,20,IF(L566&lt;=36,21,IF(L566&lt;=40,22,24)))))))))))))</f>
        <v>22</v>
      </c>
      <c r="P566" s="3" t="n">
        <v>32</v>
      </c>
      <c r="Q566" s="3" t="n">
        <f aca="false">_xlfn.IFS(O566="взв",11,O566="накл",24,O566="прокл",25,O566="пт",26,O566=90,10,O566=85,10,O566=80,9,O566=75,8,O566=70,8,O566=65,7,O566=60,7,O566=55,6,O566=50,6,O566=45,6,O566=40,5,O566=35,4,O566=30,4,O566=25,3,O566=20,2,O566=15,1,O566=10,1,O566=0,0)</f>
        <v>0</v>
      </c>
      <c r="R566" s="3" t="n">
        <f aca="false">IF(P566&lt;=1,0,IF(P566&lt;=10,11,IF(P566&lt;=14,12,IF(P566&lt;=17,13,IF(P566&lt;=20,14,IF(P566&lt;=22,15,IF(P566&lt;=25,16,IF(P566&lt;=27,17,IF(P566&lt;=29,18,IF(P566&lt;=32,19,IF(P566&lt;=34,20,IF(P566&lt;=36,21,IF(P566&lt;=40,22,24)))))))))))))</f>
        <v>19</v>
      </c>
      <c r="S566" s="14" t="n">
        <f aca="false">ROUND((Q566+R566+I566+J566+M566+N566)/3,0)</f>
        <v>21</v>
      </c>
      <c r="T566" s="15" t="n">
        <f aca="false">F566*LOG10(S566+2)</f>
        <v>1.36172783601759</v>
      </c>
    </row>
    <row r="567" customFormat="false" ht="14.65" hidden="false" customHeight="true" outlineLevel="0" collapsed="false">
      <c r="A567" s="12" t="s">
        <v>623</v>
      </c>
      <c r="B567" s="13" t="n">
        <v>38879</v>
      </c>
      <c r="C567" s="3" t="s">
        <v>21</v>
      </c>
      <c r="D567" s="4" t="s">
        <v>620</v>
      </c>
      <c r="E567" s="3" t="n">
        <v>8</v>
      </c>
      <c r="F567" s="3" t="n">
        <v>2</v>
      </c>
      <c r="H567" s="3" t="n">
        <v>37</v>
      </c>
      <c r="I567" s="3" t="n">
        <f aca="false">_xlfn.IFS(G567="взв",11,G567="накл",24,G567="прокл",25,G567="пт",26,G567=90,10,G567=85,10,G567=80,9,G567=75,8,G567=70,8,G567=65,7,G567=60,7,G567=55,6,G567=50,6,G567=45,6,G567=40,5,G567=35,4,G567=30,4,G567=25,3,G567=20,2,G567=15,1,G567=10,1,G567=0,0)</f>
        <v>0</v>
      </c>
      <c r="J567" s="3" t="n">
        <f aca="false">IF(H567&lt;=1,0,IF(H567&lt;=10,11,IF(H567&lt;=14,12,IF(H567&lt;=17,13,IF(H567&lt;=20,14,IF(H567&lt;=22,15,IF(H567&lt;=25,16,IF(H567&lt;=27,17,IF(H567&lt;=29,18,IF(H567&lt;=32,19,IF(H567&lt;=34,20,IF(H567&lt;=36,21,IF(H567&lt;=40,22,24)))))))))))))</f>
        <v>22</v>
      </c>
      <c r="L567" s="3" t="n">
        <v>36</v>
      </c>
      <c r="M567" s="3" t="n">
        <f aca="false">_xlfn.IFS(K567="взв",11,K567="накл",24,K567="прокл",25,K567="пт",26,K567=90,10,K567=85,10,K567=80,9,K567=75,8,K567=70,8,K567=65,7,K567=60,7,K567=55,6,K567=50,6,K567=45,6,K567=40,5,K567=35,4,K567=30,4,K567=25,3,K567=20,2,K567=15,1,K567=10,1,K567=0,0)</f>
        <v>0</v>
      </c>
      <c r="N567" s="3" t="n">
        <f aca="false">IF(L567&lt;=1,0,IF(L567&lt;=10,11,IF(L567&lt;=14,12,IF(L567&lt;=17,13,IF(L567&lt;=20,14,IF(L567&lt;=22,15,IF(L567&lt;=25,16,IF(L567&lt;=27,17,IF(L567&lt;=29,18,IF(L567&lt;=32,19,IF(L567&lt;=34,20,IF(L567&lt;=36,21,IF(L567&lt;=40,22,24)))))))))))))</f>
        <v>21</v>
      </c>
      <c r="P567" s="3" t="n">
        <v>36</v>
      </c>
      <c r="Q567" s="3" t="n">
        <f aca="false">_xlfn.IFS(O567="взв",11,O567="накл",24,O567="прокл",25,O567="пт",26,O567=90,10,O567=85,10,O567=80,9,O567=75,8,O567=70,8,O567=65,7,O567=60,7,O567=55,6,O567=50,6,O567=45,6,O567=40,5,O567=35,4,O567=30,4,O567=25,3,O567=20,2,O567=15,1,O567=10,1,O567=0,0)</f>
        <v>0</v>
      </c>
      <c r="R567" s="3" t="n">
        <f aca="false">IF(P567&lt;=1,0,IF(P567&lt;=10,11,IF(P567&lt;=14,12,IF(P567&lt;=17,13,IF(P567&lt;=20,14,IF(P567&lt;=22,15,IF(P567&lt;=25,16,IF(P567&lt;=27,17,IF(P567&lt;=29,18,IF(P567&lt;=32,19,IF(P567&lt;=34,20,IF(P567&lt;=36,21,IF(P567&lt;=40,22,24)))))))))))))</f>
        <v>21</v>
      </c>
      <c r="S567" s="14" t="n">
        <f aca="false">ROUND((Q567+R567+I567+J567+M567+N567)/3,0)</f>
        <v>21</v>
      </c>
      <c r="T567" s="15" t="n">
        <f aca="false">F567*LOG10(S567+2)</f>
        <v>2.72345567203519</v>
      </c>
    </row>
    <row r="568" customFormat="false" ht="14.65" hidden="false" customHeight="true" outlineLevel="0" collapsed="false">
      <c r="A568" s="12" t="s">
        <v>624</v>
      </c>
      <c r="B568" s="13" t="n">
        <v>38879</v>
      </c>
      <c r="C568" s="3" t="s">
        <v>21</v>
      </c>
      <c r="D568" s="4" t="s">
        <v>620</v>
      </c>
      <c r="E568" s="3" t="n">
        <v>5</v>
      </c>
      <c r="F568" s="3" t="n">
        <v>2</v>
      </c>
      <c r="H568" s="3" t="n">
        <v>37</v>
      </c>
      <c r="I568" s="3" t="n">
        <f aca="false">_xlfn.IFS(G568="взв",11,G568="накл",24,G568="прокл",25,G568="пт",26,G568=90,10,G568=85,10,G568=80,9,G568=75,8,G568=70,8,G568=65,7,G568=60,7,G568=55,6,G568=50,6,G568=45,6,G568=40,5,G568=35,4,G568=30,4,G568=25,3,G568=20,2,G568=15,1,G568=10,1,G568=0,0)</f>
        <v>0</v>
      </c>
      <c r="J568" s="3" t="n">
        <f aca="false">IF(H568&lt;=1,0,IF(H568&lt;=10,11,IF(H568&lt;=14,12,IF(H568&lt;=17,13,IF(H568&lt;=20,14,IF(H568&lt;=22,15,IF(H568&lt;=25,16,IF(H568&lt;=27,17,IF(H568&lt;=29,18,IF(H568&lt;=32,19,IF(H568&lt;=34,20,IF(H568&lt;=36,21,IF(H568&lt;=40,22,24)))))))))))))</f>
        <v>22</v>
      </c>
      <c r="L568" s="3" t="n">
        <v>39</v>
      </c>
      <c r="M568" s="3" t="n">
        <f aca="false">_xlfn.IFS(K568="взв",11,K568="накл",24,K568="прокл",25,K568="пт",26,K568=90,10,K568=85,10,K568=80,9,K568=75,8,K568=70,8,K568=65,7,K568=60,7,K568=55,6,K568=50,6,K568=45,6,K568=40,5,K568=35,4,K568=30,4,K568=25,3,K568=20,2,K568=15,1,K568=10,1,K568=0,0)</f>
        <v>0</v>
      </c>
      <c r="N568" s="3" t="n">
        <f aca="false">IF(L568&lt;=1,0,IF(L568&lt;=10,11,IF(L568&lt;=14,12,IF(L568&lt;=17,13,IF(L568&lt;=20,14,IF(L568&lt;=22,15,IF(L568&lt;=25,16,IF(L568&lt;=27,17,IF(L568&lt;=29,18,IF(L568&lt;=32,19,IF(L568&lt;=34,20,IF(L568&lt;=36,21,IF(L568&lt;=40,22,24)))))))))))))</f>
        <v>22</v>
      </c>
      <c r="P568" s="3" t="n">
        <v>39</v>
      </c>
      <c r="Q568" s="3" t="n">
        <f aca="false">_xlfn.IFS(O568="взв",11,O568="накл",24,O568="прокл",25,O568="пт",26,O568=90,10,O568=85,10,O568=80,9,O568=75,8,O568=70,8,O568=65,7,O568=60,7,O568=55,6,O568=50,6,O568=45,6,O568=40,5,O568=35,4,O568=30,4,O568=25,3,O568=20,2,O568=15,1,O568=10,1,O568=0,0)</f>
        <v>0</v>
      </c>
      <c r="R568" s="3" t="n">
        <f aca="false">IF(P568&lt;=1,0,IF(P568&lt;=10,11,IF(P568&lt;=14,12,IF(P568&lt;=17,13,IF(P568&lt;=20,14,IF(P568&lt;=22,15,IF(P568&lt;=25,16,IF(P568&lt;=27,17,IF(P568&lt;=29,18,IF(P568&lt;=32,19,IF(P568&lt;=34,20,IF(P568&lt;=36,21,IF(P568&lt;=40,22,24)))))))))))))</f>
        <v>22</v>
      </c>
      <c r="S568" s="14" t="n">
        <f aca="false">ROUND((Q568+R568+I568+J568+M568+N568)/3,0)</f>
        <v>22</v>
      </c>
      <c r="T568" s="15" t="n">
        <f aca="false">F568*LOG10(S568+2)</f>
        <v>2.76042248342321</v>
      </c>
    </row>
    <row r="569" customFormat="false" ht="14.65" hidden="false" customHeight="true" outlineLevel="0" collapsed="false">
      <c r="A569" s="12" t="s">
        <v>625</v>
      </c>
      <c r="B569" s="13" t="n">
        <v>38879</v>
      </c>
      <c r="C569" s="3" t="s">
        <v>21</v>
      </c>
      <c r="D569" s="4" t="s">
        <v>620</v>
      </c>
      <c r="E569" s="3" t="n">
        <v>5</v>
      </c>
      <c r="F569" s="3" t="n">
        <v>2</v>
      </c>
      <c r="G569" s="3" t="n">
        <v>90</v>
      </c>
      <c r="I569" s="3" t="n">
        <f aca="false">_xlfn.IFS(G569="взв",11,G569="накл",24,G569="прокл",25,G569="пт",26,G569=90,10,G569=85,10,G569=80,9,G569=75,8,G569=70,8,G569=65,7,G569=60,7,G569=55,6,G569=50,6,G569=45,6,G569=40,5,G569=35,4,G569=30,4,G569=25,3,G569=20,2,G569=15,1,G569=10,1,G569=0,0)</f>
        <v>10</v>
      </c>
      <c r="J569" s="3" t="n">
        <f aca="false">IF(H569&lt;=1,0,IF(H569&lt;=10,11,IF(H569&lt;=14,12,IF(H569&lt;=17,13,IF(H569&lt;=20,14,IF(H569&lt;=22,15,IF(H569&lt;=25,16,IF(H569&lt;=27,17,IF(H569&lt;=29,18,IF(H569&lt;=32,19,IF(H569&lt;=34,20,IF(H569&lt;=36,21,IF(H569&lt;=40,22,24)))))))))))))</f>
        <v>0</v>
      </c>
      <c r="K569" s="3" t="n">
        <v>90</v>
      </c>
      <c r="M569" s="3" t="n">
        <f aca="false">_xlfn.IFS(K569="взв",11,K569="накл",24,K569="прокл",25,K569="пт",26,K569=90,10,K569=85,10,K569=80,9,K569=75,8,K569=70,8,K569=65,7,K569=60,7,K569=55,6,K569=50,6,K569=45,6,K569=40,5,K569=35,4,K569=30,4,K569=25,3,K569=20,2,K569=15,1,K569=10,1,K569=0,0)</f>
        <v>10</v>
      </c>
      <c r="N569" s="3" t="n">
        <f aca="false">IF(L569&lt;=1,0,IF(L569&lt;=10,11,IF(L569&lt;=14,12,IF(L569&lt;=17,13,IF(L569&lt;=20,14,IF(L569&lt;=22,15,IF(L569&lt;=25,16,IF(L569&lt;=27,17,IF(L569&lt;=29,18,IF(L569&lt;=32,19,IF(L569&lt;=34,20,IF(L569&lt;=36,21,IF(L569&lt;=40,22,24)))))))))))))</f>
        <v>0</v>
      </c>
      <c r="P569" s="3" t="n">
        <v>22</v>
      </c>
      <c r="Q569" s="3" t="n">
        <f aca="false">_xlfn.IFS(O569="взв",11,O569="накл",24,O569="прокл",25,O569="пт",26,O569=90,10,O569=85,10,O569=80,9,O569=75,8,O569=70,8,O569=65,7,O569=60,7,O569=55,6,O569=50,6,O569=45,6,O569=40,5,O569=35,4,O569=30,4,O569=25,3,O569=20,2,O569=15,1,O569=10,1,O569=0,0)</f>
        <v>0</v>
      </c>
      <c r="R569" s="3" t="n">
        <f aca="false">IF(P569&lt;=1,0,IF(P569&lt;=10,11,IF(P569&lt;=14,12,IF(P569&lt;=17,13,IF(P569&lt;=20,14,IF(P569&lt;=22,15,IF(P569&lt;=25,16,IF(P569&lt;=27,17,IF(P569&lt;=29,18,IF(P569&lt;=32,19,IF(P569&lt;=34,20,IF(P569&lt;=36,21,IF(P569&lt;=40,22,24)))))))))))))</f>
        <v>15</v>
      </c>
      <c r="S569" s="14" t="n">
        <f aca="false">ROUND((Q569+R569+I569+J569+M569+N569)/3,0)</f>
        <v>12</v>
      </c>
      <c r="T569" s="15" t="n">
        <f aca="false">F569*LOG10(S569+2)</f>
        <v>2.29225607135648</v>
      </c>
    </row>
    <row r="570" customFormat="false" ht="14.65" hidden="false" customHeight="true" outlineLevel="0" collapsed="false">
      <c r="A570" s="12" t="s">
        <v>626</v>
      </c>
      <c r="B570" s="13" t="n">
        <v>38879</v>
      </c>
      <c r="C570" s="3" t="s">
        <v>21</v>
      </c>
      <c r="D570" s="4" t="s">
        <v>620</v>
      </c>
      <c r="E570" s="3" t="n">
        <v>6</v>
      </c>
      <c r="F570" s="3" t="n">
        <v>6</v>
      </c>
      <c r="H570" s="3" t="n">
        <v>32</v>
      </c>
      <c r="I570" s="3" t="n">
        <f aca="false">_xlfn.IFS(G570="взв",11,G570="накл",24,G570="прокл",25,G570="пт",26,G570=90,10,G570=85,10,G570=80,9,G570=75,8,G570=70,8,G570=65,7,G570=60,7,G570=55,6,G570=50,6,G570=45,6,G570=40,5,G570=35,4,G570=30,4,G570=25,3,G570=20,2,G570=15,1,G570=10,1,G570=0,0)</f>
        <v>0</v>
      </c>
      <c r="J570" s="3" t="n">
        <f aca="false">IF(H570&lt;=1,0,IF(H570&lt;=10,11,IF(H570&lt;=14,12,IF(H570&lt;=17,13,IF(H570&lt;=20,14,IF(H570&lt;=22,15,IF(H570&lt;=25,16,IF(H570&lt;=27,17,IF(H570&lt;=29,18,IF(H570&lt;=32,19,IF(H570&lt;=34,20,IF(H570&lt;=36,21,IF(H570&lt;=40,22,24)))))))))))))</f>
        <v>19</v>
      </c>
      <c r="L570" s="3" t="n">
        <v>31</v>
      </c>
      <c r="M570" s="3" t="n">
        <f aca="false">_xlfn.IFS(K570="взв",11,K570="накл",24,K570="прокл",25,K570="пт",26,K570=90,10,K570=85,10,K570=80,9,K570=75,8,K570=70,8,K570=65,7,K570=60,7,K570=55,6,K570=50,6,K570=45,6,K570=40,5,K570=35,4,K570=30,4,K570=25,3,K570=20,2,K570=15,1,K570=10,1,K570=0,0)</f>
        <v>0</v>
      </c>
      <c r="N570" s="3" t="n">
        <f aca="false">IF(L570&lt;=1,0,IF(L570&lt;=10,11,IF(L570&lt;=14,12,IF(L570&lt;=17,13,IF(L570&lt;=20,14,IF(L570&lt;=22,15,IF(L570&lt;=25,16,IF(L570&lt;=27,17,IF(L570&lt;=29,18,IF(L570&lt;=32,19,IF(L570&lt;=34,20,IF(L570&lt;=36,21,IF(L570&lt;=40,22,24)))))))))))))</f>
        <v>19</v>
      </c>
      <c r="P570" s="3" t="n">
        <v>35</v>
      </c>
      <c r="Q570" s="3" t="n">
        <f aca="false">_xlfn.IFS(O570="взв",11,O570="накл",24,O570="прокл",25,O570="пт",26,O570=90,10,O570=85,10,O570=80,9,O570=75,8,O570=70,8,O570=65,7,O570=60,7,O570=55,6,O570=50,6,O570=45,6,O570=40,5,O570=35,4,O570=30,4,O570=25,3,O570=20,2,O570=15,1,O570=10,1,O570=0,0)</f>
        <v>0</v>
      </c>
      <c r="R570" s="3" t="n">
        <f aca="false">IF(P570&lt;=1,0,IF(P570&lt;=10,11,IF(P570&lt;=14,12,IF(P570&lt;=17,13,IF(P570&lt;=20,14,IF(P570&lt;=22,15,IF(P570&lt;=25,16,IF(P570&lt;=27,17,IF(P570&lt;=29,18,IF(P570&lt;=32,19,IF(P570&lt;=34,20,IF(P570&lt;=36,21,IF(P570&lt;=40,22,24)))))))))))))</f>
        <v>21</v>
      </c>
      <c r="S570" s="14" t="n">
        <f aca="false">ROUND((Q570+R570+I570+J570+M570+N570)/3,0)</f>
        <v>20</v>
      </c>
      <c r="T570" s="15" t="n">
        <f aca="false">F570*LOG10(S570+2)</f>
        <v>8.05453608493324</v>
      </c>
    </row>
    <row r="571" customFormat="false" ht="14.65" hidden="false" customHeight="true" outlineLevel="0" collapsed="false">
      <c r="A571" s="12" t="s">
        <v>627</v>
      </c>
      <c r="B571" s="13" t="n">
        <v>38879</v>
      </c>
      <c r="C571" s="3" t="s">
        <v>21</v>
      </c>
      <c r="D571" s="4" t="s">
        <v>620</v>
      </c>
      <c r="E571" s="3" t="n">
        <v>5</v>
      </c>
      <c r="F571" s="3" t="n">
        <v>7</v>
      </c>
      <c r="H571" s="3" t="n">
        <v>21</v>
      </c>
      <c r="I571" s="3" t="n">
        <f aca="false">_xlfn.IFS(G571="взв",11,G571="накл",24,G571="прокл",25,G571="пт",26,G571=90,10,G571=85,10,G571=80,9,G571=75,8,G571=70,8,G571=65,7,G571=60,7,G571=55,6,G571=50,6,G571=45,6,G571=40,5,G571=35,4,G571=30,4,G571=25,3,G571=20,2,G571=15,1,G571=10,1,G571=0,0)</f>
        <v>0</v>
      </c>
      <c r="J571" s="3" t="n">
        <f aca="false">IF(H571&lt;=1,0,IF(H571&lt;=10,11,IF(H571&lt;=14,12,IF(H571&lt;=17,13,IF(H571&lt;=20,14,IF(H571&lt;=22,15,IF(H571&lt;=25,16,IF(H571&lt;=27,17,IF(H571&lt;=29,18,IF(H571&lt;=32,19,IF(H571&lt;=34,20,IF(H571&lt;=36,21,IF(H571&lt;=40,22,24)))))))))))))</f>
        <v>15</v>
      </c>
      <c r="L571" s="3" t="n">
        <v>27</v>
      </c>
      <c r="M571" s="3" t="n">
        <f aca="false">_xlfn.IFS(K571="взв",11,K571="накл",24,K571="прокл",25,K571="пт",26,K571=90,10,K571=85,10,K571=80,9,K571=75,8,K571=70,8,K571=65,7,K571=60,7,K571=55,6,K571=50,6,K571=45,6,K571=40,5,K571=35,4,K571=30,4,K571=25,3,K571=20,2,K571=15,1,K571=10,1,K571=0,0)</f>
        <v>0</v>
      </c>
      <c r="N571" s="3" t="n">
        <f aca="false">IF(L571&lt;=1,0,IF(L571&lt;=10,11,IF(L571&lt;=14,12,IF(L571&lt;=17,13,IF(L571&lt;=20,14,IF(L571&lt;=22,15,IF(L571&lt;=25,16,IF(L571&lt;=27,17,IF(L571&lt;=29,18,IF(L571&lt;=32,19,IF(L571&lt;=34,20,IF(L571&lt;=36,21,IF(L571&lt;=40,22,24)))))))))))))</f>
        <v>17</v>
      </c>
      <c r="P571" s="3" t="n">
        <v>16</v>
      </c>
      <c r="Q571" s="3" t="n">
        <f aca="false">_xlfn.IFS(O571="взв",11,O571="накл",24,O571="прокл",25,O571="пт",26,O571=90,10,O571=85,10,O571=80,9,O571=75,8,O571=70,8,O571=65,7,O571=60,7,O571=55,6,O571=50,6,O571=45,6,O571=40,5,O571=35,4,O571=30,4,O571=25,3,O571=20,2,O571=15,1,O571=10,1,O571=0,0)</f>
        <v>0</v>
      </c>
      <c r="R571" s="3" t="n">
        <f aca="false">IF(P571&lt;=1,0,IF(P571&lt;=10,11,IF(P571&lt;=14,12,IF(P571&lt;=17,13,IF(P571&lt;=20,14,IF(P571&lt;=22,15,IF(P571&lt;=25,16,IF(P571&lt;=27,17,IF(P571&lt;=29,18,IF(P571&lt;=32,19,IF(P571&lt;=34,20,IF(P571&lt;=36,21,IF(P571&lt;=40,22,24)))))))))))))</f>
        <v>13</v>
      </c>
      <c r="S571" s="14" t="n">
        <f aca="false">ROUND((Q571+R571+I571+J571+M571+N571)/3,0)</f>
        <v>15</v>
      </c>
      <c r="T571" s="15" t="n">
        <f aca="false">F571*LOG10(S571+2)</f>
        <v>8.61314244964792</v>
      </c>
    </row>
    <row r="572" customFormat="false" ht="14.65" hidden="false" customHeight="true" outlineLevel="0" collapsed="false">
      <c r="A572" s="12" t="s">
        <v>628</v>
      </c>
      <c r="B572" s="13" t="n">
        <v>38879</v>
      </c>
      <c r="C572" s="3" t="s">
        <v>21</v>
      </c>
      <c r="D572" s="4" t="s">
        <v>620</v>
      </c>
      <c r="E572" s="3" t="n">
        <v>6</v>
      </c>
      <c r="F572" s="3" t="n">
        <v>12</v>
      </c>
      <c r="G572" s="3" t="n">
        <v>90</v>
      </c>
      <c r="I572" s="3" t="n">
        <f aca="false">_xlfn.IFS(G572="взв",11,G572="накл",24,G572="прокл",25,G572="пт",26,G572=90,10,G572=85,10,G572=80,9,G572=75,8,G572=70,8,G572=65,7,G572=60,7,G572=55,6,G572=50,6,G572=45,6,G572=40,5,G572=35,4,G572=30,4,G572=25,3,G572=20,2,G572=15,1,G572=10,1,G572=0,0)</f>
        <v>10</v>
      </c>
      <c r="J572" s="3" t="n">
        <f aca="false">IF(H572&lt;=1,0,IF(H572&lt;=10,11,IF(H572&lt;=14,12,IF(H572&lt;=17,13,IF(H572&lt;=20,14,IF(H572&lt;=22,15,IF(H572&lt;=25,16,IF(H572&lt;=27,17,IF(H572&lt;=29,18,IF(H572&lt;=32,19,IF(H572&lt;=34,20,IF(H572&lt;=36,21,IF(H572&lt;=40,22,24)))))))))))))</f>
        <v>0</v>
      </c>
      <c r="K572" s="3" t="n">
        <v>75</v>
      </c>
      <c r="M572" s="3" t="n">
        <f aca="false">_xlfn.IFS(K572="взв",11,K572="накл",24,K572="прокл",25,K572="пт",26,K572=90,10,K572=85,10,K572=80,9,K572=75,8,K572=70,8,K572=65,7,K572=60,7,K572=55,6,K572=50,6,K572=45,6,K572=40,5,K572=35,4,K572=30,4,K572=25,3,K572=20,2,K572=15,1,K572=10,1,K572=0,0)</f>
        <v>8</v>
      </c>
      <c r="N572" s="3" t="n">
        <f aca="false">IF(L572&lt;=1,0,IF(L572&lt;=10,11,IF(L572&lt;=14,12,IF(L572&lt;=17,13,IF(L572&lt;=20,14,IF(L572&lt;=22,15,IF(L572&lt;=25,16,IF(L572&lt;=27,17,IF(L572&lt;=29,18,IF(L572&lt;=32,19,IF(L572&lt;=34,20,IF(L572&lt;=36,21,IF(L572&lt;=40,22,24)))))))))))))</f>
        <v>0</v>
      </c>
      <c r="O572" s="3" t="n">
        <v>90</v>
      </c>
      <c r="Q572" s="3" t="n">
        <f aca="false">_xlfn.IFS(O572="взв",11,O572="накл",24,O572="прокл",25,O572="пт",26,O572=90,10,O572=85,10,O572=80,9,O572=75,8,O572=70,8,O572=65,7,O572=60,7,O572=55,6,O572=50,6,O572=45,6,O572=40,5,O572=35,4,O572=30,4,O572=25,3,O572=20,2,O572=15,1,O572=10,1,O572=0,0)</f>
        <v>10</v>
      </c>
      <c r="R572" s="3" t="n">
        <f aca="false">IF(P572&lt;=1,0,IF(P572&lt;=10,11,IF(P572&lt;=14,12,IF(P572&lt;=17,13,IF(P572&lt;=20,14,IF(P572&lt;=22,15,IF(P572&lt;=25,16,IF(P572&lt;=27,17,IF(P572&lt;=29,18,IF(P572&lt;=32,19,IF(P572&lt;=34,20,IF(P572&lt;=36,21,IF(P572&lt;=40,22,24)))))))))))))</f>
        <v>0</v>
      </c>
      <c r="S572" s="14" t="n">
        <f aca="false">ROUND((Q572+R572+I572+J572+M572+N572)/3,0)</f>
        <v>9</v>
      </c>
      <c r="T572" s="15" t="n">
        <f aca="false">F572*LOG10(S572+2)</f>
        <v>12.4967122218987</v>
      </c>
    </row>
    <row r="573" customFormat="false" ht="14.65" hidden="false" customHeight="true" outlineLevel="0" collapsed="false">
      <c r="A573" s="12" t="s">
        <v>629</v>
      </c>
      <c r="B573" s="13" t="n">
        <v>38879</v>
      </c>
      <c r="C573" s="3" t="s">
        <v>21</v>
      </c>
      <c r="D573" s="4" t="s">
        <v>620</v>
      </c>
      <c r="E573" s="3" t="n">
        <v>5</v>
      </c>
      <c r="F573" s="3" t="n">
        <v>0</v>
      </c>
      <c r="H573" s="3" t="n">
        <v>38</v>
      </c>
      <c r="I573" s="3" t="n">
        <f aca="false">_xlfn.IFS(G573="взв",11,G573="накл",24,G573="прокл",25,G573="пт",26,G573=90,10,G573=85,10,G573=80,9,G573=75,8,G573=70,8,G573=65,7,G573=60,7,G573=55,6,G573=50,6,G573=45,6,G573=40,5,G573=35,4,G573=30,4,G573=25,3,G573=20,2,G573=15,1,G573=10,1,G573=0,0)</f>
        <v>0</v>
      </c>
      <c r="J573" s="3" t="n">
        <f aca="false">IF(H573&lt;=1,0,IF(H573&lt;=10,11,IF(H573&lt;=14,12,IF(H573&lt;=17,13,IF(H573&lt;=20,14,IF(H573&lt;=22,15,IF(H573&lt;=25,16,IF(H573&lt;=27,17,IF(H573&lt;=29,18,IF(H573&lt;=32,19,IF(H573&lt;=34,20,IF(H573&lt;=36,21,IF(H573&lt;=40,22,24)))))))))))))</f>
        <v>22</v>
      </c>
      <c r="L573" s="3" t="n">
        <v>41</v>
      </c>
      <c r="M573" s="3" t="n">
        <f aca="false">_xlfn.IFS(K573="взв",11,K573="накл",24,K573="прокл",25,K573="пт",26,K573=90,10,K573=85,10,K573=80,9,K573=75,8,K573=70,8,K573=65,7,K573=60,7,K573=55,6,K573=50,6,K573=45,6,K573=40,5,K573=35,4,K573=30,4,K573=25,3,K573=20,2,K573=15,1,K573=10,1,K573=0,0)</f>
        <v>0</v>
      </c>
      <c r="N573" s="3" t="n">
        <f aca="false">IF(L573&lt;=1,0,IF(L573&lt;=10,11,IF(L573&lt;=14,12,IF(L573&lt;=17,13,IF(L573&lt;=20,14,IF(L573&lt;=22,15,IF(L573&lt;=25,16,IF(L573&lt;=27,17,IF(L573&lt;=29,18,IF(L573&lt;=32,19,IF(L573&lt;=34,20,IF(L573&lt;=36,21,IF(L573&lt;=40,22,24)))))))))))))</f>
        <v>24</v>
      </c>
      <c r="P573" s="3" t="n">
        <v>35</v>
      </c>
      <c r="Q573" s="3" t="n">
        <f aca="false">_xlfn.IFS(O573="взв",11,O573="накл",24,O573="прокл",25,O573="пт",26,O573=90,10,O573=85,10,O573=80,9,O573=75,8,O573=70,8,O573=65,7,O573=60,7,O573=55,6,O573=50,6,O573=45,6,O573=40,5,O573=35,4,O573=30,4,O573=25,3,O573=20,2,O573=15,1,O573=10,1,O573=0,0)</f>
        <v>0</v>
      </c>
      <c r="R573" s="3" t="n">
        <f aca="false">IF(P573&lt;=1,0,IF(P573&lt;=10,11,IF(P573&lt;=14,12,IF(P573&lt;=17,13,IF(P573&lt;=20,14,IF(P573&lt;=22,15,IF(P573&lt;=25,16,IF(P573&lt;=27,17,IF(P573&lt;=29,18,IF(P573&lt;=32,19,IF(P573&lt;=34,20,IF(P573&lt;=36,21,IF(P573&lt;=40,22,24)))))))))))))</f>
        <v>21</v>
      </c>
      <c r="S573" s="14" t="n">
        <f aca="false">ROUND((Q573+R573+I573+J573+M573+N573)/3,0)</f>
        <v>22</v>
      </c>
      <c r="T573" s="15" t="n">
        <f aca="false">F573*LOG10(S573+2)</f>
        <v>0</v>
      </c>
    </row>
    <row r="574" customFormat="false" ht="14.65" hidden="false" customHeight="true" outlineLevel="0" collapsed="false">
      <c r="A574" s="12" t="s">
        <v>630</v>
      </c>
      <c r="B574" s="13" t="n">
        <v>38893</v>
      </c>
      <c r="C574" s="3" t="s">
        <v>21</v>
      </c>
      <c r="D574" s="4" t="s">
        <v>631</v>
      </c>
      <c r="E574" s="3" t="n">
        <v>4</v>
      </c>
      <c r="F574" s="3" t="n">
        <v>4</v>
      </c>
      <c r="G574" s="3" t="n">
        <v>30</v>
      </c>
      <c r="I574" s="3" t="n">
        <f aca="false">_xlfn.IFS(G574="взв",11,G574="накл",24,G574="прокл",25,G574="пт",26,G574=90,10,G574=85,10,G574=80,9,G574=75,8,G574=70,8,G574=65,7,G574=60,7,G574=55,6,G574=50,6,G574=45,6,G574=40,5,G574=35,4,G574=30,4,G574=25,3,G574=20,2,G574=15,1,G574=10,1,G574=0,0)</f>
        <v>4</v>
      </c>
      <c r="J574" s="3" t="n">
        <f aca="false">IF(H574&lt;=1,0,IF(H574&lt;=10,11,IF(H574&lt;=14,12,IF(H574&lt;=17,13,IF(H574&lt;=20,14,IF(H574&lt;=22,15,IF(H574&lt;=25,16,IF(H574&lt;=27,17,IF(H574&lt;=29,18,IF(H574&lt;=32,19,IF(H574&lt;=34,20,IF(H574&lt;=36,21,IF(H574&lt;=40,22,24)))))))))))))</f>
        <v>0</v>
      </c>
      <c r="K574" s="3" t="n">
        <v>30</v>
      </c>
      <c r="M574" s="3" t="n">
        <f aca="false">_xlfn.IFS(K574="взв",11,K574="накл",24,K574="прокл",25,K574="пт",26,K574=90,10,K574=85,10,K574=80,9,K574=75,8,K574=70,8,K574=65,7,K574=60,7,K574=55,6,K574=50,6,K574=45,6,K574=40,5,K574=35,4,K574=30,4,K574=25,3,K574=20,2,K574=15,1,K574=10,1,K574=0,0)</f>
        <v>4</v>
      </c>
      <c r="N574" s="3" t="n">
        <f aca="false">IF(L574&lt;=1,0,IF(L574&lt;=10,11,IF(L574&lt;=14,12,IF(L574&lt;=17,13,IF(L574&lt;=20,14,IF(L574&lt;=22,15,IF(L574&lt;=25,16,IF(L574&lt;=27,17,IF(L574&lt;=29,18,IF(L574&lt;=32,19,IF(L574&lt;=34,20,IF(L574&lt;=36,21,IF(L574&lt;=40,22,24)))))))))))))</f>
        <v>0</v>
      </c>
      <c r="O574" s="3" t="n">
        <v>45</v>
      </c>
      <c r="Q574" s="3" t="n">
        <f aca="false">_xlfn.IFS(O574="взв",11,O574="накл",24,O574="прокл",25,O574="пт",26,O574=90,10,O574=85,10,O574=80,9,O574=75,8,O574=70,8,O574=65,7,O574=60,7,O574=55,6,O574=50,6,O574=45,6,O574=40,5,O574=35,4,O574=30,4,O574=25,3,O574=20,2,O574=15,1,O574=10,1,O574=0,0)</f>
        <v>6</v>
      </c>
      <c r="R574" s="3" t="n">
        <f aca="false">IF(P574&lt;=1,0,IF(P574&lt;=10,11,IF(P574&lt;=14,12,IF(P574&lt;=17,13,IF(P574&lt;=20,14,IF(P574&lt;=22,15,IF(P574&lt;=25,16,IF(P574&lt;=27,17,IF(P574&lt;=29,18,IF(P574&lt;=32,19,IF(P574&lt;=34,20,IF(P574&lt;=36,21,IF(P574&lt;=40,22,24)))))))))))))</f>
        <v>0</v>
      </c>
      <c r="S574" s="14" t="n">
        <f aca="false">ROUND((Q574+R574+I574+J574+M574+N574)/3,0)</f>
        <v>5</v>
      </c>
      <c r="T574" s="15" t="n">
        <f aca="false">F574*LOG10(S574+2)</f>
        <v>3.38039216005703</v>
      </c>
    </row>
    <row r="575" customFormat="false" ht="14.65" hidden="false" customHeight="true" outlineLevel="0" collapsed="false">
      <c r="A575" s="12" t="s">
        <v>632</v>
      </c>
      <c r="B575" s="16" t="n">
        <v>38884</v>
      </c>
      <c r="C575" s="17" t="s">
        <v>228</v>
      </c>
      <c r="D575" s="18" t="s">
        <v>633</v>
      </c>
      <c r="E575" s="3" t="n">
        <v>5</v>
      </c>
      <c r="F575" s="3" t="n">
        <v>4</v>
      </c>
      <c r="H575" s="3" t="n">
        <v>20</v>
      </c>
      <c r="I575" s="3" t="n">
        <f aca="false">_xlfn.IFS(G575="взв",11,G575="накл",24,G575="прокл",25,G575="пт",26,G575=90,10,G575=85,10,G575=80,9,G575=75,8,G575=70,8,G575=65,7,G575=60,7,G575=55,6,G575=50,6,G575=45,6,G575=40,5,G575=35,4,G575=30,4,G575=25,3,G575=20,2,G575=15,1,G575=10,1,G575=0,0)</f>
        <v>0</v>
      </c>
      <c r="J575" s="3" t="n">
        <f aca="false">IF(H575&lt;=1,0,IF(H575&lt;=10,11,IF(H575&lt;=14,12,IF(H575&lt;=17,13,IF(H575&lt;=20,14,IF(H575&lt;=22,15,IF(H575&lt;=25,16,IF(H575&lt;=27,17,IF(H575&lt;=29,18,IF(H575&lt;=32,19,IF(H575&lt;=34,20,IF(H575&lt;=36,21,IF(H575&lt;=40,22,24)))))))))))))</f>
        <v>14</v>
      </c>
      <c r="K575" s="3" t="n">
        <v>90</v>
      </c>
      <c r="M575" s="3" t="n">
        <f aca="false">_xlfn.IFS(K575="взв",11,K575="накл",24,K575="прокл",25,K575="пт",26,K575=90,10,K575=85,10,K575=80,9,K575=75,8,K575=70,8,K575=65,7,K575=60,7,K575=55,6,K575=50,6,K575=45,6,K575=40,5,K575=35,4,K575=30,4,K575=25,3,K575=20,2,K575=15,1,K575=10,1,K575=0,0)</f>
        <v>10</v>
      </c>
      <c r="N575" s="3" t="n">
        <f aca="false">IF(L575&lt;=1,0,IF(L575&lt;=10,11,IF(L575&lt;=14,12,IF(L575&lt;=17,13,IF(L575&lt;=20,14,IF(L575&lt;=22,15,IF(L575&lt;=25,16,IF(L575&lt;=27,17,IF(L575&lt;=29,18,IF(L575&lt;=32,19,IF(L575&lt;=34,20,IF(L575&lt;=36,21,IF(L575&lt;=40,22,24)))))))))))))</f>
        <v>0</v>
      </c>
      <c r="P575" s="3" t="n">
        <v>18</v>
      </c>
      <c r="Q575" s="3" t="n">
        <f aca="false">_xlfn.IFS(O575="взв",11,O575="накл",24,O575="прокл",25,O575="пт",26,O575=90,10,O575=85,10,O575=80,9,O575=75,8,O575=70,8,O575=65,7,O575=60,7,O575=55,6,O575=50,6,O575=45,6,O575=40,5,O575=35,4,O575=30,4,O575=25,3,O575=20,2,O575=15,1,O575=10,1,O575=0,0)</f>
        <v>0</v>
      </c>
      <c r="R575" s="3" t="n">
        <f aca="false">IF(P575&lt;=1,0,IF(P575&lt;=10,11,IF(P575&lt;=14,12,IF(P575&lt;=17,13,IF(P575&lt;=20,14,IF(P575&lt;=22,15,IF(P575&lt;=25,16,IF(P575&lt;=27,17,IF(P575&lt;=29,18,IF(P575&lt;=32,19,IF(P575&lt;=34,20,IF(P575&lt;=36,21,IF(P575&lt;=40,22,24)))))))))))))</f>
        <v>14</v>
      </c>
      <c r="S575" s="14" t="n">
        <f aca="false">ROUND((Q575+R575+I575+J575+M575+N575)/3,0)</f>
        <v>13</v>
      </c>
      <c r="T575" s="15" t="n">
        <f aca="false">F575*LOG10(S575+2)</f>
        <v>4.70436503622273</v>
      </c>
    </row>
    <row r="576" customFormat="false" ht="14.65" hidden="false" customHeight="true" outlineLevel="0" collapsed="false">
      <c r="A576" s="12" t="s">
        <v>634</v>
      </c>
      <c r="B576" s="16" t="n">
        <v>38884</v>
      </c>
      <c r="C576" s="17" t="s">
        <v>228</v>
      </c>
      <c r="D576" s="18" t="s">
        <v>633</v>
      </c>
      <c r="E576" s="3" t="n">
        <v>5</v>
      </c>
      <c r="F576" s="3" t="n">
        <v>6</v>
      </c>
      <c r="G576" s="3" t="n">
        <v>75</v>
      </c>
      <c r="I576" s="3" t="n">
        <f aca="false">_xlfn.IFS(G576="взв",11,G576="накл",24,G576="прокл",25,G576="пт",26,G576=90,10,G576=85,10,G576=80,9,G576=75,8,G576=70,8,G576=65,7,G576=60,7,G576=55,6,G576=50,6,G576=45,6,G576=40,5,G576=35,4,G576=30,4,G576=25,3,G576=20,2,G576=15,1,G576=10,1,G576=0,0)</f>
        <v>8</v>
      </c>
      <c r="J576" s="3" t="n">
        <f aca="false">IF(H576&lt;=1,0,IF(H576&lt;=10,11,IF(H576&lt;=14,12,IF(H576&lt;=17,13,IF(H576&lt;=20,14,IF(H576&lt;=22,15,IF(H576&lt;=25,16,IF(H576&lt;=27,17,IF(H576&lt;=29,18,IF(H576&lt;=32,19,IF(H576&lt;=34,20,IF(H576&lt;=36,21,IF(H576&lt;=40,22,24)))))))))))))</f>
        <v>0</v>
      </c>
      <c r="K576" s="3" t="n">
        <v>60</v>
      </c>
      <c r="M576" s="3" t="n">
        <f aca="false">_xlfn.IFS(K576="взв",11,K576="накл",24,K576="прокл",25,K576="пт",26,K576=90,10,K576=85,10,K576=80,9,K576=75,8,K576=70,8,K576=65,7,K576=60,7,K576=55,6,K576=50,6,K576=45,6,K576=40,5,K576=35,4,K576=30,4,K576=25,3,K576=20,2,K576=15,1,K576=10,1,K576=0,0)</f>
        <v>7</v>
      </c>
      <c r="N576" s="3" t="n">
        <f aca="false">IF(L576&lt;=1,0,IF(L576&lt;=10,11,IF(L576&lt;=14,12,IF(L576&lt;=17,13,IF(L576&lt;=20,14,IF(L576&lt;=22,15,IF(L576&lt;=25,16,IF(L576&lt;=27,17,IF(L576&lt;=29,18,IF(L576&lt;=32,19,IF(L576&lt;=34,20,IF(L576&lt;=36,21,IF(L576&lt;=40,22,24)))))))))))))</f>
        <v>0</v>
      </c>
      <c r="O576" s="3" t="n">
        <v>75</v>
      </c>
      <c r="Q576" s="3" t="n">
        <f aca="false">_xlfn.IFS(O576="взв",11,O576="накл",24,O576="прокл",25,O576="пт",26,O576=90,10,O576=85,10,O576=80,9,O576=75,8,O576=70,8,O576=65,7,O576=60,7,O576=55,6,O576=50,6,O576=45,6,O576=40,5,O576=35,4,O576=30,4,O576=25,3,O576=20,2,O576=15,1,O576=10,1,O576=0,0)</f>
        <v>8</v>
      </c>
      <c r="R576" s="3" t="n">
        <f aca="false">IF(P576&lt;=1,0,IF(P576&lt;=10,11,IF(P576&lt;=14,12,IF(P576&lt;=17,13,IF(P576&lt;=20,14,IF(P576&lt;=22,15,IF(P576&lt;=25,16,IF(P576&lt;=27,17,IF(P576&lt;=29,18,IF(P576&lt;=32,19,IF(P576&lt;=34,20,IF(P576&lt;=36,21,IF(P576&lt;=40,22,24)))))))))))))</f>
        <v>0</v>
      </c>
      <c r="S576" s="14" t="n">
        <f aca="false">ROUND((Q576+R576+I576+J576+M576+N576)/3,0)</f>
        <v>8</v>
      </c>
      <c r="T576" s="15" t="n">
        <f aca="false">F576*LOG10(S576+2)</f>
        <v>6</v>
      </c>
    </row>
    <row r="577" customFormat="false" ht="14.65" hidden="false" customHeight="true" outlineLevel="0" collapsed="false">
      <c r="A577" s="12" t="s">
        <v>635</v>
      </c>
      <c r="B577" s="16" t="n">
        <v>38884</v>
      </c>
      <c r="C577" s="17" t="s">
        <v>228</v>
      </c>
      <c r="D577" s="18" t="s">
        <v>636</v>
      </c>
      <c r="E577" s="3" t="n">
        <v>4</v>
      </c>
      <c r="F577" s="3" t="n">
        <v>3</v>
      </c>
      <c r="G577" s="3" t="n">
        <v>30</v>
      </c>
      <c r="I577" s="3" t="n">
        <f aca="false">_xlfn.IFS(G577="взв",11,G577="накл",24,G577="прокл",25,G577="пт",26,G577=90,10,G577=85,10,G577=80,9,G577=75,8,G577=70,8,G577=65,7,G577=60,7,G577=55,6,G577=50,6,G577=45,6,G577=40,5,G577=35,4,G577=30,4,G577=25,3,G577=20,2,G577=15,1,G577=10,1,G577=0,0)</f>
        <v>4</v>
      </c>
      <c r="J577" s="3" t="n">
        <f aca="false">IF(H577&lt;=1,0,IF(H577&lt;=10,11,IF(H577&lt;=14,12,IF(H577&lt;=17,13,IF(H577&lt;=20,14,IF(H577&lt;=22,15,IF(H577&lt;=25,16,IF(H577&lt;=27,17,IF(H577&lt;=29,18,IF(H577&lt;=32,19,IF(H577&lt;=34,20,IF(H577&lt;=36,21,IF(H577&lt;=40,22,24)))))))))))))</f>
        <v>0</v>
      </c>
      <c r="K577" s="3" t="n">
        <v>30</v>
      </c>
      <c r="M577" s="3" t="n">
        <f aca="false">_xlfn.IFS(K577="взв",11,K577="накл",24,K577="прокл",25,K577="пт",26,K577=90,10,K577=85,10,K577=80,9,K577=75,8,K577=70,8,K577=65,7,K577=60,7,K577=55,6,K577=50,6,K577=45,6,K577=40,5,K577=35,4,K577=30,4,K577=25,3,K577=20,2,K577=15,1,K577=10,1,K577=0,0)</f>
        <v>4</v>
      </c>
      <c r="N577" s="3" t="n">
        <f aca="false">IF(L577&lt;=1,0,IF(L577&lt;=10,11,IF(L577&lt;=14,12,IF(L577&lt;=17,13,IF(L577&lt;=20,14,IF(L577&lt;=22,15,IF(L577&lt;=25,16,IF(L577&lt;=27,17,IF(L577&lt;=29,18,IF(L577&lt;=32,19,IF(L577&lt;=34,20,IF(L577&lt;=36,21,IF(L577&lt;=40,22,24)))))))))))))</f>
        <v>0</v>
      </c>
      <c r="O577" s="3" t="n">
        <v>45</v>
      </c>
      <c r="Q577" s="3" t="n">
        <f aca="false">_xlfn.IFS(O577="взв",11,O577="накл",24,O577="прокл",25,O577="пт",26,O577=90,10,O577=85,10,O577=80,9,O577=75,8,O577=70,8,O577=65,7,O577=60,7,O577=55,6,O577=50,6,O577=45,6,O577=40,5,O577=35,4,O577=30,4,O577=25,3,O577=20,2,O577=15,1,O577=10,1,O577=0,0)</f>
        <v>6</v>
      </c>
      <c r="R577" s="3" t="n">
        <f aca="false">IF(P577&lt;=1,0,IF(P577&lt;=10,11,IF(P577&lt;=14,12,IF(P577&lt;=17,13,IF(P577&lt;=20,14,IF(P577&lt;=22,15,IF(P577&lt;=25,16,IF(P577&lt;=27,17,IF(P577&lt;=29,18,IF(P577&lt;=32,19,IF(P577&lt;=34,20,IF(P577&lt;=36,21,IF(P577&lt;=40,22,24)))))))))))))</f>
        <v>0</v>
      </c>
      <c r="S577" s="14" t="n">
        <f aca="false">ROUND((Q577+R577+I577+J577+M577+N577)/3,0)</f>
        <v>5</v>
      </c>
      <c r="T577" s="15" t="n">
        <f aca="false">F577*LOG10(S577+2)</f>
        <v>2.53529412004277</v>
      </c>
    </row>
    <row r="578" customFormat="false" ht="14.65" hidden="false" customHeight="true" outlineLevel="0" collapsed="false">
      <c r="A578" s="12" t="s">
        <v>637</v>
      </c>
      <c r="B578" s="16" t="n">
        <v>38884</v>
      </c>
      <c r="C578" s="17" t="s">
        <v>228</v>
      </c>
      <c r="D578" s="18" t="s">
        <v>636</v>
      </c>
      <c r="E578" s="3" t="n">
        <v>6</v>
      </c>
      <c r="F578" s="3" t="n">
        <v>6</v>
      </c>
      <c r="H578" s="3" t="n">
        <v>32</v>
      </c>
      <c r="I578" s="3" t="n">
        <f aca="false">_xlfn.IFS(G578="взв",11,G578="накл",24,G578="прокл",25,G578="пт",26,G578=90,10,G578=85,10,G578=80,9,G578=75,8,G578=70,8,G578=65,7,G578=60,7,G578=55,6,G578=50,6,G578=45,6,G578=40,5,G578=35,4,G578=30,4,G578=25,3,G578=20,2,G578=15,1,G578=10,1,G578=0,0)</f>
        <v>0</v>
      </c>
      <c r="J578" s="3" t="n">
        <f aca="false">IF(H578&lt;=1,0,IF(H578&lt;=10,11,IF(H578&lt;=14,12,IF(H578&lt;=17,13,IF(H578&lt;=20,14,IF(H578&lt;=22,15,IF(H578&lt;=25,16,IF(H578&lt;=27,17,IF(H578&lt;=29,18,IF(H578&lt;=32,19,IF(H578&lt;=34,20,IF(H578&lt;=36,21,IF(H578&lt;=40,22,24)))))))))))))</f>
        <v>19</v>
      </c>
      <c r="L578" s="3" t="n">
        <v>32</v>
      </c>
      <c r="M578" s="3" t="n">
        <f aca="false">_xlfn.IFS(K578="взв",11,K578="накл",24,K578="прокл",25,K578="пт",26,K578=90,10,K578=85,10,K578=80,9,K578=75,8,K578=70,8,K578=65,7,K578=60,7,K578=55,6,K578=50,6,K578=45,6,K578=40,5,K578=35,4,K578=30,4,K578=25,3,K578=20,2,K578=15,1,K578=10,1,K578=0,0)</f>
        <v>0</v>
      </c>
      <c r="N578" s="3" t="n">
        <f aca="false">IF(L578&lt;=1,0,IF(L578&lt;=10,11,IF(L578&lt;=14,12,IF(L578&lt;=17,13,IF(L578&lt;=20,14,IF(L578&lt;=22,15,IF(L578&lt;=25,16,IF(L578&lt;=27,17,IF(L578&lt;=29,18,IF(L578&lt;=32,19,IF(L578&lt;=34,20,IF(L578&lt;=36,21,IF(L578&lt;=40,22,24)))))))))))))</f>
        <v>19</v>
      </c>
      <c r="P578" s="3" t="n">
        <v>31</v>
      </c>
      <c r="Q578" s="3" t="n">
        <f aca="false">_xlfn.IFS(O578="взв",11,O578="накл",24,O578="прокл",25,O578="пт",26,O578=90,10,O578=85,10,O578=80,9,O578=75,8,O578=70,8,O578=65,7,O578=60,7,O578=55,6,O578=50,6,O578=45,6,O578=40,5,O578=35,4,O578=30,4,O578=25,3,O578=20,2,O578=15,1,O578=10,1,O578=0,0)</f>
        <v>0</v>
      </c>
      <c r="R578" s="3" t="n">
        <f aca="false">IF(P578&lt;=1,0,IF(P578&lt;=10,11,IF(P578&lt;=14,12,IF(P578&lt;=17,13,IF(P578&lt;=20,14,IF(P578&lt;=22,15,IF(P578&lt;=25,16,IF(P578&lt;=27,17,IF(P578&lt;=29,18,IF(P578&lt;=32,19,IF(P578&lt;=34,20,IF(P578&lt;=36,21,IF(P578&lt;=40,22,24)))))))))))))</f>
        <v>19</v>
      </c>
      <c r="S578" s="14" t="n">
        <f aca="false">ROUND((Q578+R578+I578+J578+M578+N578)/3,0)</f>
        <v>19</v>
      </c>
      <c r="T578" s="15" t="n">
        <f aca="false">F578*LOG10(S578+2)</f>
        <v>7.93331576840352</v>
      </c>
    </row>
    <row r="579" customFormat="false" ht="14.65" hidden="false" customHeight="true" outlineLevel="0" collapsed="false">
      <c r="A579" s="12" t="s">
        <v>638</v>
      </c>
      <c r="B579" s="16" t="n">
        <v>38884</v>
      </c>
      <c r="C579" s="17" t="s">
        <v>228</v>
      </c>
      <c r="D579" s="18" t="s">
        <v>636</v>
      </c>
      <c r="E579" s="3" t="n">
        <v>3</v>
      </c>
      <c r="F579" s="3" t="n">
        <v>8</v>
      </c>
      <c r="G579" s="3" t="n">
        <v>45</v>
      </c>
      <c r="I579" s="3" t="n">
        <f aca="false">_xlfn.IFS(G579="взв",11,G579="накл",24,G579="прокл",25,G579="пт",26,G579=90,10,G579=85,10,G579=80,9,G579=75,8,G579=70,8,G579=65,7,G579=60,7,G579=55,6,G579=50,6,G579=45,6,G579=40,5,G579=35,4,G579=30,4,G579=25,3,G579=20,2,G579=15,1,G579=10,1,G579=0,0)</f>
        <v>6</v>
      </c>
      <c r="J579" s="3" t="n">
        <f aca="false">IF(H579&lt;=1,0,IF(H579&lt;=10,11,IF(H579&lt;=14,12,IF(H579&lt;=17,13,IF(H579&lt;=20,14,IF(H579&lt;=22,15,IF(H579&lt;=25,16,IF(H579&lt;=27,17,IF(H579&lt;=29,18,IF(H579&lt;=32,19,IF(H579&lt;=34,20,IF(H579&lt;=36,21,IF(H579&lt;=40,22,24)))))))))))))</f>
        <v>0</v>
      </c>
      <c r="K579" s="3" t="n">
        <v>45</v>
      </c>
      <c r="M579" s="3" t="n">
        <f aca="false">_xlfn.IFS(K579="взв",11,K579="накл",24,K579="прокл",25,K579="пт",26,K579=90,10,K579=85,10,K579=80,9,K579=75,8,K579=70,8,K579=65,7,K579=60,7,K579=55,6,K579=50,6,K579=45,6,K579=40,5,K579=35,4,K579=30,4,K579=25,3,K579=20,2,K579=15,1,K579=10,1,K579=0,0)</f>
        <v>6</v>
      </c>
      <c r="N579" s="3" t="n">
        <f aca="false">IF(L579&lt;=1,0,IF(L579&lt;=10,11,IF(L579&lt;=14,12,IF(L579&lt;=17,13,IF(L579&lt;=20,14,IF(L579&lt;=22,15,IF(L579&lt;=25,16,IF(L579&lt;=27,17,IF(L579&lt;=29,18,IF(L579&lt;=32,19,IF(L579&lt;=34,20,IF(L579&lt;=36,21,IF(L579&lt;=40,22,24)))))))))))))</f>
        <v>0</v>
      </c>
      <c r="O579" s="3" t="n">
        <v>45</v>
      </c>
      <c r="Q579" s="3" t="n">
        <f aca="false">_xlfn.IFS(O579="взв",11,O579="накл",24,O579="прокл",25,O579="пт",26,O579=90,10,O579=85,10,O579=80,9,O579=75,8,O579=70,8,O579=65,7,O579=60,7,O579=55,6,O579=50,6,O579=45,6,O579=40,5,O579=35,4,O579=30,4,O579=25,3,O579=20,2,O579=15,1,O579=10,1,O579=0,0)</f>
        <v>6</v>
      </c>
      <c r="R579" s="3" t="n">
        <f aca="false">IF(P579&lt;=1,0,IF(P579&lt;=10,11,IF(P579&lt;=14,12,IF(P579&lt;=17,13,IF(P579&lt;=20,14,IF(P579&lt;=22,15,IF(P579&lt;=25,16,IF(P579&lt;=27,17,IF(P579&lt;=29,18,IF(P579&lt;=32,19,IF(P579&lt;=34,20,IF(P579&lt;=36,21,IF(P579&lt;=40,22,24)))))))))))))</f>
        <v>0</v>
      </c>
      <c r="S579" s="14" t="n">
        <f aca="false">ROUND((Q579+R579+I579+J579+M579+N579)/3,0)</f>
        <v>6</v>
      </c>
      <c r="T579" s="15" t="n">
        <f aca="false">F579*LOG10(S579+2)</f>
        <v>7.22471989593555</v>
      </c>
    </row>
    <row r="580" customFormat="false" ht="14.65" hidden="false" customHeight="true" outlineLevel="0" collapsed="false">
      <c r="A580" s="12" t="s">
        <v>639</v>
      </c>
      <c r="B580" s="16" t="n">
        <v>38884</v>
      </c>
      <c r="C580" s="17" t="s">
        <v>228</v>
      </c>
      <c r="D580" s="18" t="s">
        <v>636</v>
      </c>
      <c r="E580" s="3" t="n">
        <v>4</v>
      </c>
      <c r="F580" s="3" t="n">
        <v>13</v>
      </c>
      <c r="G580" s="3" t="n">
        <v>15</v>
      </c>
      <c r="I580" s="3" t="n">
        <f aca="false">_xlfn.IFS(G580="взв",11,G580="накл",24,G580="прокл",25,G580="пт",26,G580=90,10,G580=85,10,G580=80,9,G580=75,8,G580=70,8,G580=65,7,G580=60,7,G580=55,6,G580=50,6,G580=45,6,G580=40,5,G580=35,4,G580=30,4,G580=25,3,G580=20,2,G580=15,1,G580=10,1,G580=0,0)</f>
        <v>1</v>
      </c>
      <c r="J580" s="3" t="n">
        <f aca="false">IF(H580&lt;=1,0,IF(H580&lt;=10,11,IF(H580&lt;=14,12,IF(H580&lt;=17,13,IF(H580&lt;=20,14,IF(H580&lt;=22,15,IF(H580&lt;=25,16,IF(H580&lt;=27,17,IF(H580&lt;=29,18,IF(H580&lt;=32,19,IF(H580&lt;=34,20,IF(H580&lt;=36,21,IF(H580&lt;=40,22,24)))))))))))))</f>
        <v>0</v>
      </c>
      <c r="K580" s="3" t="n">
        <v>15</v>
      </c>
      <c r="M580" s="3" t="n">
        <f aca="false">_xlfn.IFS(K580="взв",11,K580="накл",24,K580="прокл",25,K580="пт",26,K580=90,10,K580=85,10,K580=80,9,K580=75,8,K580=70,8,K580=65,7,K580=60,7,K580=55,6,K580=50,6,K580=45,6,K580=40,5,K580=35,4,K580=30,4,K580=25,3,K580=20,2,K580=15,1,K580=10,1,K580=0,0)</f>
        <v>1</v>
      </c>
      <c r="N580" s="3" t="n">
        <f aca="false">IF(L580&lt;=1,0,IF(L580&lt;=10,11,IF(L580&lt;=14,12,IF(L580&lt;=17,13,IF(L580&lt;=20,14,IF(L580&lt;=22,15,IF(L580&lt;=25,16,IF(L580&lt;=27,17,IF(L580&lt;=29,18,IF(L580&lt;=32,19,IF(L580&lt;=34,20,IF(L580&lt;=36,21,IF(L580&lt;=40,22,24)))))))))))))</f>
        <v>0</v>
      </c>
      <c r="O580" s="3" t="n">
        <v>30</v>
      </c>
      <c r="Q580" s="3" t="n">
        <f aca="false">_xlfn.IFS(O580="взв",11,O580="накл",24,O580="прокл",25,O580="пт",26,O580=90,10,O580=85,10,O580=80,9,O580=75,8,O580=70,8,O580=65,7,O580=60,7,O580=55,6,O580=50,6,O580=45,6,O580=40,5,O580=35,4,O580=30,4,O580=25,3,O580=20,2,O580=15,1,O580=10,1,O580=0,0)</f>
        <v>4</v>
      </c>
      <c r="R580" s="3" t="n">
        <f aca="false">IF(P580&lt;=1,0,IF(P580&lt;=10,11,IF(P580&lt;=14,12,IF(P580&lt;=17,13,IF(P580&lt;=20,14,IF(P580&lt;=22,15,IF(P580&lt;=25,16,IF(P580&lt;=27,17,IF(P580&lt;=29,18,IF(P580&lt;=32,19,IF(P580&lt;=34,20,IF(P580&lt;=36,21,IF(P580&lt;=40,22,24)))))))))))))</f>
        <v>0</v>
      </c>
      <c r="S580" s="14" t="n">
        <f aca="false">ROUND((Q580+R580+I580+J580+M580+N580)/3,0)</f>
        <v>2</v>
      </c>
      <c r="T580" s="15" t="n">
        <f aca="false">F580*LOG10(S580+2)</f>
        <v>7.82677988726351</v>
      </c>
    </row>
    <row r="581" customFormat="false" ht="14.65" hidden="false" customHeight="true" outlineLevel="0" collapsed="false">
      <c r="A581" s="12" t="s">
        <v>640</v>
      </c>
      <c r="B581" s="16" t="n">
        <v>38884</v>
      </c>
      <c r="C581" s="17" t="s">
        <v>228</v>
      </c>
      <c r="D581" s="18" t="s">
        <v>636</v>
      </c>
      <c r="E581" s="3" t="n">
        <v>4</v>
      </c>
      <c r="F581" s="3" t="n">
        <v>14</v>
      </c>
      <c r="H581" s="3" t="n">
        <v>19</v>
      </c>
      <c r="I581" s="3" t="n">
        <f aca="false">_xlfn.IFS(G581="взв",11,G581="накл",24,G581="прокл",25,G581="пт",26,G581=90,10,G581=85,10,G581=80,9,G581=75,8,G581=70,8,G581=65,7,G581=60,7,G581=55,6,G581=50,6,G581=45,6,G581=40,5,G581=35,4,G581=30,4,G581=25,3,G581=20,2,G581=15,1,G581=10,1,G581=0,0)</f>
        <v>0</v>
      </c>
      <c r="J581" s="3" t="n">
        <f aca="false">IF(H581&lt;=1,0,IF(H581&lt;=10,11,IF(H581&lt;=14,12,IF(H581&lt;=17,13,IF(H581&lt;=20,14,IF(H581&lt;=22,15,IF(H581&lt;=25,16,IF(H581&lt;=27,17,IF(H581&lt;=29,18,IF(H581&lt;=32,19,IF(H581&lt;=34,20,IF(H581&lt;=36,21,IF(H581&lt;=40,22,24)))))))))))))</f>
        <v>14</v>
      </c>
      <c r="L581" s="3" t="n">
        <v>27</v>
      </c>
      <c r="M581" s="3" t="n">
        <f aca="false">_xlfn.IFS(K581="взв",11,K581="накл",24,K581="прокл",25,K581="пт",26,K581=90,10,K581=85,10,K581=80,9,K581=75,8,K581=70,8,K581=65,7,K581=60,7,K581=55,6,K581=50,6,K581=45,6,K581=40,5,K581=35,4,K581=30,4,K581=25,3,K581=20,2,K581=15,1,K581=10,1,K581=0,0)</f>
        <v>0</v>
      </c>
      <c r="N581" s="3" t="n">
        <f aca="false">IF(L581&lt;=1,0,IF(L581&lt;=10,11,IF(L581&lt;=14,12,IF(L581&lt;=17,13,IF(L581&lt;=20,14,IF(L581&lt;=22,15,IF(L581&lt;=25,16,IF(L581&lt;=27,17,IF(L581&lt;=29,18,IF(L581&lt;=32,19,IF(L581&lt;=34,20,IF(L581&lt;=36,21,IF(L581&lt;=40,22,24)))))))))))))</f>
        <v>17</v>
      </c>
      <c r="P581" s="3" t="n">
        <v>28</v>
      </c>
      <c r="Q581" s="3" t="n">
        <f aca="false">_xlfn.IFS(O581="взв",11,O581="накл",24,O581="прокл",25,O581="пт",26,O581=90,10,O581=85,10,O581=80,9,O581=75,8,O581=70,8,O581=65,7,O581=60,7,O581=55,6,O581=50,6,O581=45,6,O581=40,5,O581=35,4,O581=30,4,O581=25,3,O581=20,2,O581=15,1,O581=10,1,O581=0,0)</f>
        <v>0</v>
      </c>
      <c r="R581" s="3" t="n">
        <f aca="false">IF(P581&lt;=1,0,IF(P581&lt;=10,11,IF(P581&lt;=14,12,IF(P581&lt;=17,13,IF(P581&lt;=20,14,IF(P581&lt;=22,15,IF(P581&lt;=25,16,IF(P581&lt;=27,17,IF(P581&lt;=29,18,IF(P581&lt;=32,19,IF(P581&lt;=34,20,IF(P581&lt;=36,21,IF(P581&lt;=40,22,24)))))))))))))</f>
        <v>18</v>
      </c>
      <c r="S581" s="14" t="n">
        <f aca="false">ROUND((Q581+R581+I581+J581+M581+N581)/3,0)</f>
        <v>16</v>
      </c>
      <c r="T581" s="15" t="n">
        <f aca="false">F581*LOG10(S581+2)</f>
        <v>17.5738150714463</v>
      </c>
    </row>
    <row r="582" customFormat="false" ht="14.65" hidden="false" customHeight="true" outlineLevel="0" collapsed="false">
      <c r="A582" s="12" t="s">
        <v>641</v>
      </c>
      <c r="B582" s="16" t="n">
        <v>38885</v>
      </c>
      <c r="C582" s="17" t="s">
        <v>228</v>
      </c>
      <c r="D582" s="18" t="s">
        <v>642</v>
      </c>
      <c r="E582" s="3" t="n">
        <v>4</v>
      </c>
      <c r="F582" s="3" t="n">
        <v>3</v>
      </c>
      <c r="G582" s="3" t="n">
        <v>15</v>
      </c>
      <c r="I582" s="3" t="n">
        <f aca="false">_xlfn.IFS(G582="взв",11,G582="накл",24,G582="прокл",25,G582="пт",26,G582=90,10,G582=85,10,G582=80,9,G582=75,8,G582=70,8,G582=65,7,G582=60,7,G582=55,6,G582=50,6,G582=45,6,G582=40,5,G582=35,4,G582=30,4,G582=25,3,G582=20,2,G582=15,1,G582=10,1,G582=0,0)</f>
        <v>1</v>
      </c>
      <c r="J582" s="3" t="n">
        <f aca="false">IF(H582&lt;=1,0,IF(H582&lt;=10,11,IF(H582&lt;=14,12,IF(H582&lt;=17,13,IF(H582&lt;=20,14,IF(H582&lt;=22,15,IF(H582&lt;=25,16,IF(H582&lt;=27,17,IF(H582&lt;=29,18,IF(H582&lt;=32,19,IF(H582&lt;=34,20,IF(H582&lt;=36,21,IF(H582&lt;=40,22,24)))))))))))))</f>
        <v>0</v>
      </c>
      <c r="K582" s="3" t="n">
        <v>30</v>
      </c>
      <c r="M582" s="3" t="n">
        <f aca="false">_xlfn.IFS(K582="взв",11,K582="накл",24,K582="прокл",25,K582="пт",26,K582=90,10,K582=85,10,K582=80,9,K582=75,8,K582=70,8,K582=65,7,K582=60,7,K582=55,6,K582=50,6,K582=45,6,K582=40,5,K582=35,4,K582=30,4,K582=25,3,K582=20,2,K582=15,1,K582=10,1,K582=0,0)</f>
        <v>4</v>
      </c>
      <c r="N582" s="3" t="n">
        <f aca="false">IF(L582&lt;=1,0,IF(L582&lt;=10,11,IF(L582&lt;=14,12,IF(L582&lt;=17,13,IF(L582&lt;=20,14,IF(L582&lt;=22,15,IF(L582&lt;=25,16,IF(L582&lt;=27,17,IF(L582&lt;=29,18,IF(L582&lt;=32,19,IF(L582&lt;=34,20,IF(L582&lt;=36,21,IF(L582&lt;=40,22,24)))))))))))))</f>
        <v>0</v>
      </c>
      <c r="O582" s="3" t="n">
        <v>45</v>
      </c>
      <c r="Q582" s="3" t="n">
        <f aca="false">_xlfn.IFS(O582="взв",11,O582="накл",24,O582="прокл",25,O582="пт",26,O582=90,10,O582=85,10,O582=80,9,O582=75,8,O582=70,8,O582=65,7,O582=60,7,O582=55,6,O582=50,6,O582=45,6,O582=40,5,O582=35,4,O582=30,4,O582=25,3,O582=20,2,O582=15,1,O582=10,1,O582=0,0)</f>
        <v>6</v>
      </c>
      <c r="R582" s="3" t="n">
        <f aca="false">IF(P582&lt;=1,0,IF(P582&lt;=10,11,IF(P582&lt;=14,12,IF(P582&lt;=17,13,IF(P582&lt;=20,14,IF(P582&lt;=22,15,IF(P582&lt;=25,16,IF(P582&lt;=27,17,IF(P582&lt;=29,18,IF(P582&lt;=32,19,IF(P582&lt;=34,20,IF(P582&lt;=36,21,IF(P582&lt;=40,22,24)))))))))))))</f>
        <v>0</v>
      </c>
      <c r="S582" s="14" t="n">
        <f aca="false">ROUND((Q582+R582+I582+J582+M582+N582)/3,0)</f>
        <v>4</v>
      </c>
      <c r="T582" s="15" t="n">
        <f aca="false">F582*LOG10(S582+2)</f>
        <v>2.33445375115093</v>
      </c>
    </row>
    <row r="583" customFormat="false" ht="14.65" hidden="false" customHeight="true" outlineLevel="0" collapsed="false">
      <c r="A583" s="12" t="s">
        <v>643</v>
      </c>
      <c r="B583" s="16" t="n">
        <v>38885</v>
      </c>
      <c r="C583" s="17" t="s">
        <v>228</v>
      </c>
      <c r="D583" s="18" t="s">
        <v>642</v>
      </c>
      <c r="E583" s="3" t="n">
        <v>5</v>
      </c>
      <c r="F583" s="3" t="n">
        <v>3</v>
      </c>
      <c r="H583" s="3" t="n">
        <v>31</v>
      </c>
      <c r="I583" s="3" t="n">
        <f aca="false">_xlfn.IFS(G583="взв",11,G583="накл",24,G583="прокл",25,G583="пт",26,G583=90,10,G583=85,10,G583=80,9,G583=75,8,G583=70,8,G583=65,7,G583=60,7,G583=55,6,G583=50,6,G583=45,6,G583=40,5,G583=35,4,G583=30,4,G583=25,3,G583=20,2,G583=15,1,G583=10,1,G583=0,0)</f>
        <v>0</v>
      </c>
      <c r="J583" s="3" t="n">
        <f aca="false">IF(H583&lt;=1,0,IF(H583&lt;=10,11,IF(H583&lt;=14,12,IF(H583&lt;=17,13,IF(H583&lt;=20,14,IF(H583&lt;=22,15,IF(H583&lt;=25,16,IF(H583&lt;=27,17,IF(H583&lt;=29,18,IF(H583&lt;=32,19,IF(H583&lt;=34,20,IF(H583&lt;=36,21,IF(H583&lt;=40,22,24)))))))))))))</f>
        <v>19</v>
      </c>
      <c r="L583" s="3" t="n">
        <v>29</v>
      </c>
      <c r="M583" s="3" t="n">
        <f aca="false">_xlfn.IFS(K583="взв",11,K583="накл",24,K583="прокл",25,K583="пт",26,K583=90,10,K583=85,10,K583=80,9,K583=75,8,K583=70,8,K583=65,7,K583=60,7,K583=55,6,K583=50,6,K583=45,6,K583=40,5,K583=35,4,K583=30,4,K583=25,3,K583=20,2,K583=15,1,K583=10,1,K583=0,0)</f>
        <v>0</v>
      </c>
      <c r="N583" s="3" t="n">
        <f aca="false">IF(L583&lt;=1,0,IF(L583&lt;=10,11,IF(L583&lt;=14,12,IF(L583&lt;=17,13,IF(L583&lt;=20,14,IF(L583&lt;=22,15,IF(L583&lt;=25,16,IF(L583&lt;=27,17,IF(L583&lt;=29,18,IF(L583&lt;=32,19,IF(L583&lt;=34,20,IF(L583&lt;=36,21,IF(L583&lt;=40,22,24)))))))))))))</f>
        <v>18</v>
      </c>
      <c r="P583" s="3" t="n">
        <v>29</v>
      </c>
      <c r="Q583" s="3" t="n">
        <f aca="false">_xlfn.IFS(O583="взв",11,O583="накл",24,O583="прокл",25,O583="пт",26,O583=90,10,O583=85,10,O583=80,9,O583=75,8,O583=70,8,O583=65,7,O583=60,7,O583=55,6,O583=50,6,O583=45,6,O583=40,5,O583=35,4,O583=30,4,O583=25,3,O583=20,2,O583=15,1,O583=10,1,O583=0,0)</f>
        <v>0</v>
      </c>
      <c r="R583" s="3" t="n">
        <f aca="false">IF(P583&lt;=1,0,IF(P583&lt;=10,11,IF(P583&lt;=14,12,IF(P583&lt;=17,13,IF(P583&lt;=20,14,IF(P583&lt;=22,15,IF(P583&lt;=25,16,IF(P583&lt;=27,17,IF(P583&lt;=29,18,IF(P583&lt;=32,19,IF(P583&lt;=34,20,IF(P583&lt;=36,21,IF(P583&lt;=40,22,24)))))))))))))</f>
        <v>18</v>
      </c>
      <c r="S583" s="14" t="n">
        <f aca="false">ROUND((Q583+R583+I583+J583+M583+N583)/3,0)</f>
        <v>18</v>
      </c>
      <c r="T583" s="15" t="n">
        <f aca="false">F583*LOG10(S583+2)</f>
        <v>3.90308998699194</v>
      </c>
    </row>
    <row r="584" customFormat="false" ht="14.65" hidden="false" customHeight="true" outlineLevel="0" collapsed="false">
      <c r="A584" s="12" t="s">
        <v>644</v>
      </c>
      <c r="B584" s="16" t="n">
        <v>38885</v>
      </c>
      <c r="C584" s="17" t="s">
        <v>228</v>
      </c>
      <c r="D584" s="18" t="s">
        <v>642</v>
      </c>
      <c r="E584" s="3" t="n">
        <v>3</v>
      </c>
      <c r="F584" s="3" t="n">
        <v>5</v>
      </c>
      <c r="G584" s="3" t="n">
        <v>0</v>
      </c>
      <c r="I584" s="3" t="n">
        <f aca="false">_xlfn.IFS(G584="взв",11,G584="накл",24,G584="прокл",25,G584="пт",26,G584=90,10,G584=85,10,G584=80,9,G584=75,8,G584=70,8,G584=65,7,G584=60,7,G584=55,6,G584=50,6,G584=45,6,G584=40,5,G584=35,4,G584=30,4,G584=25,3,G584=20,2,G584=15,1,G584=10,1,G584=0,0)</f>
        <v>0</v>
      </c>
      <c r="J584" s="3" t="n">
        <f aca="false">IF(H584&lt;=1,0,IF(H584&lt;=10,11,IF(H584&lt;=14,12,IF(H584&lt;=17,13,IF(H584&lt;=20,14,IF(H584&lt;=22,15,IF(H584&lt;=25,16,IF(H584&lt;=27,17,IF(H584&lt;=29,18,IF(H584&lt;=32,19,IF(H584&lt;=34,20,IF(H584&lt;=36,21,IF(H584&lt;=40,22,24)))))))))))))</f>
        <v>0</v>
      </c>
      <c r="K584" s="3" t="n">
        <v>15</v>
      </c>
      <c r="M584" s="3" t="n">
        <f aca="false">_xlfn.IFS(K584="взв",11,K584="накл",24,K584="прокл",25,K584="пт",26,K584=90,10,K584=85,10,K584=80,9,K584=75,8,K584=70,8,K584=65,7,K584=60,7,K584=55,6,K584=50,6,K584=45,6,K584=40,5,K584=35,4,K584=30,4,K584=25,3,K584=20,2,K584=15,1,K584=10,1,K584=0,0)</f>
        <v>1</v>
      </c>
      <c r="N584" s="3" t="n">
        <f aca="false">IF(L584&lt;=1,0,IF(L584&lt;=10,11,IF(L584&lt;=14,12,IF(L584&lt;=17,13,IF(L584&lt;=20,14,IF(L584&lt;=22,15,IF(L584&lt;=25,16,IF(L584&lt;=27,17,IF(L584&lt;=29,18,IF(L584&lt;=32,19,IF(L584&lt;=34,20,IF(L584&lt;=36,21,IF(L584&lt;=40,22,24)))))))))))))</f>
        <v>0</v>
      </c>
      <c r="O584" s="3" t="n">
        <v>15</v>
      </c>
      <c r="Q584" s="3" t="n">
        <f aca="false">_xlfn.IFS(O584="взв",11,O584="накл",24,O584="прокл",25,O584="пт",26,O584=90,10,O584=85,10,O584=80,9,O584=75,8,O584=70,8,O584=65,7,O584=60,7,O584=55,6,O584=50,6,O584=45,6,O584=40,5,O584=35,4,O584=30,4,O584=25,3,O584=20,2,O584=15,1,O584=10,1,O584=0,0)</f>
        <v>1</v>
      </c>
      <c r="R584" s="3" t="n">
        <f aca="false">IF(P584&lt;=1,0,IF(P584&lt;=10,11,IF(P584&lt;=14,12,IF(P584&lt;=17,13,IF(P584&lt;=20,14,IF(P584&lt;=22,15,IF(P584&lt;=25,16,IF(P584&lt;=27,17,IF(P584&lt;=29,18,IF(P584&lt;=32,19,IF(P584&lt;=34,20,IF(P584&lt;=36,21,IF(P584&lt;=40,22,24)))))))))))))</f>
        <v>0</v>
      </c>
      <c r="S584" s="14" t="n">
        <f aca="false">ROUND((Q584+R584+I584+J584+M584+N584)/3,0)</f>
        <v>1</v>
      </c>
      <c r="T584" s="15" t="n">
        <f aca="false">F584*LOG10(S584+2)</f>
        <v>2.38560627359831</v>
      </c>
    </row>
    <row r="585" customFormat="false" ht="14.65" hidden="false" customHeight="true" outlineLevel="0" collapsed="false">
      <c r="A585" s="12" t="s">
        <v>645</v>
      </c>
      <c r="B585" s="16" t="n">
        <v>38885</v>
      </c>
      <c r="C585" s="17" t="s">
        <v>228</v>
      </c>
      <c r="D585" s="18" t="s">
        <v>642</v>
      </c>
      <c r="E585" s="3" t="n">
        <v>5</v>
      </c>
      <c r="F585" s="3" t="n">
        <v>5</v>
      </c>
      <c r="H585" s="3" t="n">
        <v>15</v>
      </c>
      <c r="I585" s="3" t="n">
        <f aca="false">_xlfn.IFS(G585="взв",11,G585="накл",24,G585="прокл",25,G585="пт",26,G585=90,10,G585=85,10,G585=80,9,G585=75,8,G585=70,8,G585=65,7,G585=60,7,G585=55,6,G585=50,6,G585=45,6,G585=40,5,G585=35,4,G585=30,4,G585=25,3,G585=20,2,G585=15,1,G585=10,1,G585=0,0)</f>
        <v>0</v>
      </c>
      <c r="J585" s="3" t="n">
        <f aca="false">IF(H585&lt;=1,0,IF(H585&lt;=10,11,IF(H585&lt;=14,12,IF(H585&lt;=17,13,IF(H585&lt;=20,14,IF(H585&lt;=22,15,IF(H585&lt;=25,16,IF(H585&lt;=27,17,IF(H585&lt;=29,18,IF(H585&lt;=32,19,IF(H585&lt;=34,20,IF(H585&lt;=36,21,IF(H585&lt;=40,22,24)))))))))))))</f>
        <v>13</v>
      </c>
      <c r="L585" s="3" t="n">
        <v>34</v>
      </c>
      <c r="M585" s="3" t="n">
        <f aca="false">_xlfn.IFS(K585="взв",11,K585="накл",24,K585="прокл",25,K585="пт",26,K585=90,10,K585=85,10,K585=80,9,K585=75,8,K585=70,8,K585=65,7,K585=60,7,K585=55,6,K585=50,6,K585=45,6,K585=40,5,K585=35,4,K585=30,4,K585=25,3,K585=20,2,K585=15,1,K585=10,1,K585=0,0)</f>
        <v>0</v>
      </c>
      <c r="N585" s="3" t="n">
        <f aca="false">IF(L585&lt;=1,0,IF(L585&lt;=10,11,IF(L585&lt;=14,12,IF(L585&lt;=17,13,IF(L585&lt;=20,14,IF(L585&lt;=22,15,IF(L585&lt;=25,16,IF(L585&lt;=27,17,IF(L585&lt;=29,18,IF(L585&lt;=32,19,IF(L585&lt;=34,20,IF(L585&lt;=36,21,IF(L585&lt;=40,22,24)))))))))))))</f>
        <v>20</v>
      </c>
      <c r="P585" s="3" t="n">
        <v>34</v>
      </c>
      <c r="Q585" s="3" t="n">
        <f aca="false">_xlfn.IFS(O585="взв",11,O585="накл",24,O585="прокл",25,O585="пт",26,O585=90,10,O585=85,10,O585=80,9,O585=75,8,O585=70,8,O585=65,7,O585=60,7,O585=55,6,O585=50,6,O585=45,6,O585=40,5,O585=35,4,O585=30,4,O585=25,3,O585=20,2,O585=15,1,O585=10,1,O585=0,0)</f>
        <v>0</v>
      </c>
      <c r="R585" s="3" t="n">
        <f aca="false">IF(P585&lt;=1,0,IF(P585&lt;=10,11,IF(P585&lt;=14,12,IF(P585&lt;=17,13,IF(P585&lt;=20,14,IF(P585&lt;=22,15,IF(P585&lt;=25,16,IF(P585&lt;=27,17,IF(P585&lt;=29,18,IF(P585&lt;=32,19,IF(P585&lt;=34,20,IF(P585&lt;=36,21,IF(P585&lt;=40,22,24)))))))))))))</f>
        <v>20</v>
      </c>
      <c r="S585" s="14" t="n">
        <f aca="false">ROUND((Q585+R585+I585+J585+M585+N585)/3,0)</f>
        <v>18</v>
      </c>
      <c r="T585" s="15" t="n">
        <f aca="false">F585*LOG10(S585+2)</f>
        <v>6.50514997831991</v>
      </c>
    </row>
    <row r="586" customFormat="false" ht="14.65" hidden="false" customHeight="true" outlineLevel="0" collapsed="false">
      <c r="A586" s="12" t="s">
        <v>646</v>
      </c>
      <c r="B586" s="16" t="n">
        <v>38885</v>
      </c>
      <c r="C586" s="17" t="s">
        <v>228</v>
      </c>
      <c r="D586" s="18" t="s">
        <v>642</v>
      </c>
      <c r="E586" s="3" t="n">
        <v>9</v>
      </c>
      <c r="F586" s="3" t="n">
        <v>5</v>
      </c>
      <c r="G586" s="3" t="n">
        <v>90</v>
      </c>
      <c r="I586" s="3" t="n">
        <f aca="false">_xlfn.IFS(G586="взв",11,G586="накл",24,G586="прокл",25,G586="пт",26,G586=90,10,G586=85,10,G586=80,9,G586=75,8,G586=70,8,G586=65,7,G586=60,7,G586=55,6,G586=50,6,G586=45,6,G586=40,5,G586=35,4,G586=30,4,G586=25,3,G586=20,2,G586=15,1,G586=10,1,G586=0,0)</f>
        <v>10</v>
      </c>
      <c r="J586" s="3" t="n">
        <f aca="false">IF(H586&lt;=1,0,IF(H586&lt;=10,11,IF(H586&lt;=14,12,IF(H586&lt;=17,13,IF(H586&lt;=20,14,IF(H586&lt;=22,15,IF(H586&lt;=25,16,IF(H586&lt;=27,17,IF(H586&lt;=29,18,IF(H586&lt;=32,19,IF(H586&lt;=34,20,IF(H586&lt;=36,21,IF(H586&lt;=40,22,24)))))))))))))</f>
        <v>0</v>
      </c>
      <c r="K586" s="3" t="n">
        <v>90</v>
      </c>
      <c r="M586" s="3" t="n">
        <f aca="false">_xlfn.IFS(K586="взв",11,K586="накл",24,K586="прокл",25,K586="пт",26,K586=90,10,K586=85,10,K586=80,9,K586=75,8,K586=70,8,K586=65,7,K586=60,7,K586=55,6,K586=50,6,K586=45,6,K586=40,5,K586=35,4,K586=30,4,K586=25,3,K586=20,2,K586=15,1,K586=10,1,K586=0,0)</f>
        <v>10</v>
      </c>
      <c r="N586" s="3" t="n">
        <f aca="false">IF(L586&lt;=1,0,IF(L586&lt;=10,11,IF(L586&lt;=14,12,IF(L586&lt;=17,13,IF(L586&lt;=20,14,IF(L586&lt;=22,15,IF(L586&lt;=25,16,IF(L586&lt;=27,17,IF(L586&lt;=29,18,IF(L586&lt;=32,19,IF(L586&lt;=34,20,IF(L586&lt;=36,21,IF(L586&lt;=40,22,24)))))))))))))</f>
        <v>0</v>
      </c>
      <c r="O586" s="3" t="n">
        <v>90</v>
      </c>
      <c r="Q586" s="3" t="n">
        <f aca="false">_xlfn.IFS(O586="взв",11,O586="накл",24,O586="прокл",25,O586="пт",26,O586=90,10,O586=85,10,O586=80,9,O586=75,8,O586=70,8,O586=65,7,O586=60,7,O586=55,6,O586=50,6,O586=45,6,O586=40,5,O586=35,4,O586=30,4,O586=25,3,O586=20,2,O586=15,1,O586=10,1,O586=0,0)</f>
        <v>10</v>
      </c>
      <c r="R586" s="3" t="n">
        <f aca="false">IF(P586&lt;=1,0,IF(P586&lt;=10,11,IF(P586&lt;=14,12,IF(P586&lt;=17,13,IF(P586&lt;=20,14,IF(P586&lt;=22,15,IF(P586&lt;=25,16,IF(P586&lt;=27,17,IF(P586&lt;=29,18,IF(P586&lt;=32,19,IF(P586&lt;=34,20,IF(P586&lt;=36,21,IF(P586&lt;=40,22,24)))))))))))))</f>
        <v>0</v>
      </c>
      <c r="S586" s="14" t="n">
        <f aca="false">ROUND((Q586+R586+I586+J586+M586+N586)/3,0)</f>
        <v>10</v>
      </c>
      <c r="T586" s="15" t="n">
        <f aca="false">F586*LOG10(S586+2)</f>
        <v>5.39590623023813</v>
      </c>
    </row>
    <row r="587" customFormat="false" ht="14.65" hidden="false" customHeight="true" outlineLevel="0" collapsed="false">
      <c r="A587" s="12" t="s">
        <v>647</v>
      </c>
      <c r="B587" s="16" t="n">
        <v>38885</v>
      </c>
      <c r="C587" s="17" t="s">
        <v>228</v>
      </c>
      <c r="D587" s="18" t="s">
        <v>642</v>
      </c>
      <c r="E587" s="3" t="n">
        <v>3</v>
      </c>
      <c r="F587" s="3" t="n">
        <v>6</v>
      </c>
      <c r="H587" s="3" t="n">
        <v>21</v>
      </c>
      <c r="I587" s="3" t="n">
        <f aca="false">_xlfn.IFS(G587="взв",11,G587="накл",24,G587="прокл",25,G587="пт",26,G587=90,10,G587=85,10,G587=80,9,G587=75,8,G587=70,8,G587=65,7,G587=60,7,G587=55,6,G587=50,6,G587=45,6,G587=40,5,G587=35,4,G587=30,4,G587=25,3,G587=20,2,G587=15,1,G587=10,1,G587=0,0)</f>
        <v>0</v>
      </c>
      <c r="J587" s="3" t="n">
        <f aca="false">IF(H587&lt;=1,0,IF(H587&lt;=10,11,IF(H587&lt;=14,12,IF(H587&lt;=17,13,IF(H587&lt;=20,14,IF(H587&lt;=22,15,IF(H587&lt;=25,16,IF(H587&lt;=27,17,IF(H587&lt;=29,18,IF(H587&lt;=32,19,IF(H587&lt;=34,20,IF(H587&lt;=36,21,IF(H587&lt;=40,22,24)))))))))))))</f>
        <v>15</v>
      </c>
      <c r="K587" s="3" t="n">
        <v>90</v>
      </c>
      <c r="M587" s="3" t="n">
        <f aca="false">_xlfn.IFS(K587="взв",11,K587="накл",24,K587="прокл",25,K587="пт",26,K587=90,10,K587=85,10,K587=80,9,K587=75,8,K587=70,8,K587=65,7,K587=60,7,K587=55,6,K587=50,6,K587=45,6,K587=40,5,K587=35,4,K587=30,4,K587=25,3,K587=20,2,K587=15,1,K587=10,1,K587=0,0)</f>
        <v>10</v>
      </c>
      <c r="N587" s="3" t="n">
        <f aca="false">IF(L587&lt;=1,0,IF(L587&lt;=10,11,IF(L587&lt;=14,12,IF(L587&lt;=17,13,IF(L587&lt;=20,14,IF(L587&lt;=22,15,IF(L587&lt;=25,16,IF(L587&lt;=27,17,IF(L587&lt;=29,18,IF(L587&lt;=32,19,IF(L587&lt;=34,20,IF(L587&lt;=36,21,IF(L587&lt;=40,22,24)))))))))))))</f>
        <v>0</v>
      </c>
      <c r="O587" s="3" t="n">
        <v>90</v>
      </c>
      <c r="Q587" s="3" t="n">
        <f aca="false">_xlfn.IFS(O587="взв",11,O587="накл",24,O587="прокл",25,O587="пт",26,O587=90,10,O587=85,10,O587=80,9,O587=75,8,O587=70,8,O587=65,7,O587=60,7,O587=55,6,O587=50,6,O587=45,6,O587=40,5,O587=35,4,O587=30,4,O587=25,3,O587=20,2,O587=15,1,O587=10,1,O587=0,0)</f>
        <v>10</v>
      </c>
      <c r="R587" s="3" t="n">
        <f aca="false">IF(P587&lt;=1,0,IF(P587&lt;=10,11,IF(P587&lt;=14,12,IF(P587&lt;=17,13,IF(P587&lt;=20,14,IF(P587&lt;=22,15,IF(P587&lt;=25,16,IF(P587&lt;=27,17,IF(P587&lt;=29,18,IF(P587&lt;=32,19,IF(P587&lt;=34,20,IF(P587&lt;=36,21,IF(P587&lt;=40,22,24)))))))))))))</f>
        <v>0</v>
      </c>
      <c r="S587" s="14" t="n">
        <f aca="false">ROUND((Q587+R587+I587+J587+M587+N587)/3,0)</f>
        <v>12</v>
      </c>
      <c r="T587" s="15" t="n">
        <f aca="false">F587*LOG10(S587+2)</f>
        <v>6.87676821406943</v>
      </c>
    </row>
    <row r="588" customFormat="false" ht="14.65" hidden="false" customHeight="true" outlineLevel="0" collapsed="false">
      <c r="A588" s="12" t="s">
        <v>648</v>
      </c>
      <c r="B588" s="16" t="n">
        <v>38885</v>
      </c>
      <c r="C588" s="17" t="s">
        <v>228</v>
      </c>
      <c r="D588" s="18" t="s">
        <v>642</v>
      </c>
      <c r="E588" s="3" t="n">
        <v>5</v>
      </c>
      <c r="F588" s="3" t="n">
        <v>6</v>
      </c>
      <c r="H588" s="3" t="n">
        <v>28</v>
      </c>
      <c r="I588" s="3" t="n">
        <f aca="false">_xlfn.IFS(G588="взв",11,G588="накл",24,G588="прокл",25,G588="пт",26,G588=90,10,G588=85,10,G588=80,9,G588=75,8,G588=70,8,G588=65,7,G588=60,7,G588=55,6,G588=50,6,G588=45,6,G588=40,5,G588=35,4,G588=30,4,G588=25,3,G588=20,2,G588=15,1,G588=10,1,G588=0,0)</f>
        <v>0</v>
      </c>
      <c r="J588" s="3" t="n">
        <f aca="false">IF(H588&lt;=1,0,IF(H588&lt;=10,11,IF(H588&lt;=14,12,IF(H588&lt;=17,13,IF(H588&lt;=20,14,IF(H588&lt;=22,15,IF(H588&lt;=25,16,IF(H588&lt;=27,17,IF(H588&lt;=29,18,IF(H588&lt;=32,19,IF(H588&lt;=34,20,IF(H588&lt;=36,21,IF(H588&lt;=40,22,24)))))))))))))</f>
        <v>18</v>
      </c>
      <c r="L588" s="3" t="n">
        <v>26</v>
      </c>
      <c r="M588" s="3" t="n">
        <f aca="false">_xlfn.IFS(K588="взв",11,K588="накл",24,K588="прокл",25,K588="пт",26,K588=90,10,K588=85,10,K588=80,9,K588=75,8,K588=70,8,K588=65,7,K588=60,7,K588=55,6,K588=50,6,K588=45,6,K588=40,5,K588=35,4,K588=30,4,K588=25,3,K588=20,2,K588=15,1,K588=10,1,K588=0,0)</f>
        <v>0</v>
      </c>
      <c r="N588" s="3" t="n">
        <f aca="false">IF(L588&lt;=1,0,IF(L588&lt;=10,11,IF(L588&lt;=14,12,IF(L588&lt;=17,13,IF(L588&lt;=20,14,IF(L588&lt;=22,15,IF(L588&lt;=25,16,IF(L588&lt;=27,17,IF(L588&lt;=29,18,IF(L588&lt;=32,19,IF(L588&lt;=34,20,IF(L588&lt;=36,21,IF(L588&lt;=40,22,24)))))))))))))</f>
        <v>17</v>
      </c>
      <c r="P588" s="3" t="n">
        <v>32</v>
      </c>
      <c r="Q588" s="3" t="n">
        <f aca="false">_xlfn.IFS(O588="взв",11,O588="накл",24,O588="прокл",25,O588="пт",26,O588=90,10,O588=85,10,O588=80,9,O588=75,8,O588=70,8,O588=65,7,O588=60,7,O588=55,6,O588=50,6,O588=45,6,O588=40,5,O588=35,4,O588=30,4,O588=25,3,O588=20,2,O588=15,1,O588=10,1,O588=0,0)</f>
        <v>0</v>
      </c>
      <c r="R588" s="3" t="n">
        <f aca="false">IF(P588&lt;=1,0,IF(P588&lt;=10,11,IF(P588&lt;=14,12,IF(P588&lt;=17,13,IF(P588&lt;=20,14,IF(P588&lt;=22,15,IF(P588&lt;=25,16,IF(P588&lt;=27,17,IF(P588&lt;=29,18,IF(P588&lt;=32,19,IF(P588&lt;=34,20,IF(P588&lt;=36,21,IF(P588&lt;=40,22,24)))))))))))))</f>
        <v>19</v>
      </c>
      <c r="S588" s="14" t="n">
        <f aca="false">ROUND((Q588+R588+I588+J588+M588+N588)/3,0)</f>
        <v>18</v>
      </c>
      <c r="T588" s="15" t="n">
        <f aca="false">F588*LOG10(S588+2)</f>
        <v>7.80617997398389</v>
      </c>
    </row>
    <row r="589" customFormat="false" ht="14.65" hidden="false" customHeight="true" outlineLevel="0" collapsed="false">
      <c r="A589" s="12" t="s">
        <v>649</v>
      </c>
      <c r="B589" s="16" t="n">
        <v>38885</v>
      </c>
      <c r="C589" s="17" t="s">
        <v>228</v>
      </c>
      <c r="D589" s="18" t="s">
        <v>642</v>
      </c>
      <c r="E589" s="3" t="n">
        <v>10</v>
      </c>
      <c r="F589" s="3" t="n">
        <v>8</v>
      </c>
      <c r="G589" s="3" t="n">
        <v>80</v>
      </c>
      <c r="I589" s="3" t="n">
        <f aca="false">_xlfn.IFS(G589="взв",11,G589="накл",24,G589="прокл",25,G589="пт",26,G589=90,10,G589=85,10,G589=80,9,G589=75,8,G589=70,8,G589=65,7,G589=60,7,G589=55,6,G589=50,6,G589=45,6,G589=40,5,G589=35,4,G589=30,4,G589=25,3,G589=20,2,G589=15,1,G589=10,1,G589=0,0)</f>
        <v>9</v>
      </c>
      <c r="J589" s="3" t="n">
        <f aca="false">IF(H589&lt;=1,0,IF(H589&lt;=10,11,IF(H589&lt;=14,12,IF(H589&lt;=17,13,IF(H589&lt;=20,14,IF(H589&lt;=22,15,IF(H589&lt;=25,16,IF(H589&lt;=27,17,IF(H589&lt;=29,18,IF(H589&lt;=32,19,IF(H589&lt;=34,20,IF(H589&lt;=36,21,IF(H589&lt;=40,22,24)))))))))))))</f>
        <v>0</v>
      </c>
      <c r="K589" s="3" t="n">
        <v>75</v>
      </c>
      <c r="M589" s="3" t="n">
        <f aca="false">_xlfn.IFS(K589="взв",11,K589="накл",24,K589="прокл",25,K589="пт",26,K589=90,10,K589=85,10,K589=80,9,K589=75,8,K589=70,8,K589=65,7,K589=60,7,K589=55,6,K589=50,6,K589=45,6,K589=40,5,K589=35,4,K589=30,4,K589=25,3,K589=20,2,K589=15,1,K589=10,1,K589=0,0)</f>
        <v>8</v>
      </c>
      <c r="N589" s="3" t="n">
        <f aca="false">IF(L589&lt;=1,0,IF(L589&lt;=10,11,IF(L589&lt;=14,12,IF(L589&lt;=17,13,IF(L589&lt;=20,14,IF(L589&lt;=22,15,IF(L589&lt;=25,16,IF(L589&lt;=27,17,IF(L589&lt;=29,18,IF(L589&lt;=32,19,IF(L589&lt;=34,20,IF(L589&lt;=36,21,IF(L589&lt;=40,22,24)))))))))))))</f>
        <v>0</v>
      </c>
      <c r="O589" s="3" t="n">
        <v>75</v>
      </c>
      <c r="Q589" s="3" t="n">
        <f aca="false">_xlfn.IFS(O589="взв",11,O589="накл",24,O589="прокл",25,O589="пт",26,O589=90,10,O589=85,10,O589=80,9,O589=75,8,O589=70,8,O589=65,7,O589=60,7,O589=55,6,O589=50,6,O589=45,6,O589=40,5,O589=35,4,O589=30,4,O589=25,3,O589=20,2,O589=15,1,O589=10,1,O589=0,0)</f>
        <v>8</v>
      </c>
      <c r="R589" s="3" t="n">
        <f aca="false">IF(P589&lt;=1,0,IF(P589&lt;=10,11,IF(P589&lt;=14,12,IF(P589&lt;=17,13,IF(P589&lt;=20,14,IF(P589&lt;=22,15,IF(P589&lt;=25,16,IF(P589&lt;=27,17,IF(P589&lt;=29,18,IF(P589&lt;=32,19,IF(P589&lt;=34,20,IF(P589&lt;=36,21,IF(P589&lt;=40,22,24)))))))))))))</f>
        <v>0</v>
      </c>
      <c r="S589" s="14" t="n">
        <f aca="false">ROUND((Q589+R589+I589+J589+M589+N589)/3,0)</f>
        <v>8</v>
      </c>
      <c r="T589" s="15" t="n">
        <f aca="false">F589*LOG10(S589+2)</f>
        <v>8</v>
      </c>
    </row>
    <row r="590" customFormat="false" ht="14.65" hidden="false" customHeight="true" outlineLevel="0" collapsed="false">
      <c r="A590" s="12" t="s">
        <v>650</v>
      </c>
      <c r="B590" s="16" t="n">
        <v>38885</v>
      </c>
      <c r="C590" s="17" t="s">
        <v>228</v>
      </c>
      <c r="D590" s="18" t="s">
        <v>642</v>
      </c>
      <c r="E590" s="3" t="n">
        <v>5</v>
      </c>
      <c r="F590" s="3" t="n">
        <v>8</v>
      </c>
      <c r="G590" s="3" t="s">
        <v>38</v>
      </c>
      <c r="I590" s="3" t="n">
        <f aca="false">_xlfn.IFS(G590="взв",11,G590="накл",24,G590="прокл",25,G590="пт",26,G590=90,10,G590=85,10,G590=80,9,G590=75,8,G590=70,8,G590=65,7,G590=60,7,G590=55,6,G590=50,6,G590=45,6,G590=40,5,G590=35,4,G590=30,4,G590=25,3,G590=20,2,G590=15,1,G590=10,1,G590=0,0)</f>
        <v>26</v>
      </c>
      <c r="J590" s="3" t="n">
        <f aca="false">IF(H590&lt;=1,0,IF(H590&lt;=10,11,IF(H590&lt;=14,12,IF(H590&lt;=17,13,IF(H590&lt;=20,14,IF(H590&lt;=22,15,IF(H590&lt;=25,16,IF(H590&lt;=27,17,IF(H590&lt;=29,18,IF(H590&lt;=32,19,IF(H590&lt;=34,20,IF(H590&lt;=36,21,IF(H590&lt;=40,22,24)))))))))))))</f>
        <v>0</v>
      </c>
      <c r="K590" s="3" t="s">
        <v>47</v>
      </c>
      <c r="M590" s="3" t="n">
        <f aca="false">_xlfn.IFS(K590="взв",11,K590="накл",24,K590="прокл",25,K590="пт",26,K590=90,10,K590=85,10,K590=80,9,K590=75,8,K590=70,8,K590=65,7,K590=60,7,K590=55,6,K590=50,6,K590=45,6,K590=40,5,K590=35,4,K590=30,4,K590=25,3,K590=20,2,K590=15,1,K590=10,1,K590=0,0)</f>
        <v>25</v>
      </c>
      <c r="N590" s="3" t="n">
        <f aca="false">IF(L590&lt;=1,0,IF(L590&lt;=10,11,IF(L590&lt;=14,12,IF(L590&lt;=17,13,IF(L590&lt;=20,14,IF(L590&lt;=22,15,IF(L590&lt;=25,16,IF(L590&lt;=27,17,IF(L590&lt;=29,18,IF(L590&lt;=32,19,IF(L590&lt;=34,20,IF(L590&lt;=36,21,IF(L590&lt;=40,22,24)))))))))))))</f>
        <v>0</v>
      </c>
      <c r="O590" s="3" t="s">
        <v>27</v>
      </c>
      <c r="P590" s="0"/>
      <c r="Q590" s="3" t="n">
        <f aca="false">_xlfn.IFS(O590="взв",11,O590="накл",24,O590="прокл",25,O590="пт",26,O590=90,10,O590=85,10,O590=80,9,O590=75,8,O590=70,8,O590=65,7,O590=60,7,O590=55,6,O590=50,6,O590=45,6,O590=40,5,O590=35,4,O590=30,4,O590=25,3,O590=20,2,O590=15,1,O590=10,1,O590=0,0)</f>
        <v>24</v>
      </c>
      <c r="R590" s="3" t="n">
        <f aca="false">IF(P590&lt;=1,0,IF(P590&lt;=10,11,IF(P590&lt;=14,12,IF(P590&lt;=17,13,IF(P590&lt;=20,14,IF(P590&lt;=22,15,IF(P590&lt;=25,16,IF(P590&lt;=27,17,IF(P590&lt;=29,18,IF(P590&lt;=32,19,IF(P590&lt;=34,20,IF(P590&lt;=36,21,IF(P590&lt;=40,22,24)))))))))))))</f>
        <v>0</v>
      </c>
      <c r="S590" s="14" t="n">
        <f aca="false">ROUND((Q590+R590+I590+J590+M590+N590)/3,0)</f>
        <v>25</v>
      </c>
      <c r="T590" s="15" t="n">
        <f aca="false">F590*LOG10(S590+2)</f>
        <v>11.4509101132719</v>
      </c>
    </row>
    <row r="591" customFormat="false" ht="14.65" hidden="false" customHeight="true" outlineLevel="0" collapsed="false">
      <c r="A591" s="12" t="s">
        <v>651</v>
      </c>
      <c r="B591" s="16" t="n">
        <v>38885</v>
      </c>
      <c r="C591" s="17" t="s">
        <v>228</v>
      </c>
      <c r="D591" s="18" t="s">
        <v>642</v>
      </c>
      <c r="E591" s="3" t="n">
        <v>4</v>
      </c>
      <c r="F591" s="3" t="n">
        <v>10</v>
      </c>
      <c r="G591" s="3" t="n">
        <v>75</v>
      </c>
      <c r="I591" s="3" t="n">
        <f aca="false">_xlfn.IFS(G591="взв",11,G591="накл",24,G591="прокл",25,G591="пт",26,G591=90,10,G591=85,10,G591=80,9,G591=75,8,G591=70,8,G591=65,7,G591=60,7,G591=55,6,G591=50,6,G591=45,6,G591=40,5,G591=35,4,G591=30,4,G591=25,3,G591=20,2,G591=15,1,G591=10,1,G591=0,0)</f>
        <v>8</v>
      </c>
      <c r="J591" s="3" t="n">
        <f aca="false">IF(H591&lt;=1,0,IF(H591&lt;=10,11,IF(H591&lt;=14,12,IF(H591&lt;=17,13,IF(H591&lt;=20,14,IF(H591&lt;=22,15,IF(H591&lt;=25,16,IF(H591&lt;=27,17,IF(H591&lt;=29,18,IF(H591&lt;=32,19,IF(H591&lt;=34,20,IF(H591&lt;=36,21,IF(H591&lt;=40,22,24)))))))))))))</f>
        <v>0</v>
      </c>
      <c r="K591" s="3" t="n">
        <v>60</v>
      </c>
      <c r="M591" s="3" t="n">
        <f aca="false">_xlfn.IFS(K591="взв",11,K591="накл",24,K591="прокл",25,K591="пт",26,K591=90,10,K591=85,10,K591=80,9,K591=75,8,K591=70,8,K591=65,7,K591=60,7,K591=55,6,K591=50,6,K591=45,6,K591=40,5,K591=35,4,K591=30,4,K591=25,3,K591=20,2,K591=15,1,K591=10,1,K591=0,0)</f>
        <v>7</v>
      </c>
      <c r="N591" s="3" t="n">
        <f aca="false">IF(L591&lt;=1,0,IF(L591&lt;=10,11,IF(L591&lt;=14,12,IF(L591&lt;=17,13,IF(L591&lt;=20,14,IF(L591&lt;=22,15,IF(L591&lt;=25,16,IF(L591&lt;=27,17,IF(L591&lt;=29,18,IF(L591&lt;=32,19,IF(L591&lt;=34,20,IF(L591&lt;=36,21,IF(L591&lt;=40,22,24)))))))))))))</f>
        <v>0</v>
      </c>
      <c r="O591" s="3" t="n">
        <v>45</v>
      </c>
      <c r="Q591" s="3" t="n">
        <f aca="false">_xlfn.IFS(O591="взв",11,O591="накл",24,O591="прокл",25,O591="пт",26,O591=90,10,O591=85,10,O591=80,9,O591=75,8,O591=70,8,O591=65,7,O591=60,7,O591=55,6,O591=50,6,O591=45,6,O591=40,5,O591=35,4,O591=30,4,O591=25,3,O591=20,2,O591=15,1,O591=10,1,O591=0,0)</f>
        <v>6</v>
      </c>
      <c r="R591" s="3" t="n">
        <f aca="false">IF(P591&lt;=1,0,IF(P591&lt;=10,11,IF(P591&lt;=14,12,IF(P591&lt;=17,13,IF(P591&lt;=20,14,IF(P591&lt;=22,15,IF(P591&lt;=25,16,IF(P591&lt;=27,17,IF(P591&lt;=29,18,IF(P591&lt;=32,19,IF(P591&lt;=34,20,IF(P591&lt;=36,21,IF(P591&lt;=40,22,24)))))))))))))</f>
        <v>0</v>
      </c>
      <c r="S591" s="14" t="n">
        <f aca="false">ROUND((Q591+R591+I591+J591+M591+N591)/3,0)</f>
        <v>7</v>
      </c>
      <c r="T591" s="15" t="n">
        <f aca="false">F591*LOG10(S591+2)</f>
        <v>9.54242509439325</v>
      </c>
    </row>
    <row r="592" customFormat="false" ht="14.65" hidden="false" customHeight="true" outlineLevel="0" collapsed="false">
      <c r="A592" s="12" t="s">
        <v>652</v>
      </c>
      <c r="B592" s="16" t="n">
        <v>38885</v>
      </c>
      <c r="C592" s="17" t="s">
        <v>228</v>
      </c>
      <c r="D592" s="18" t="s">
        <v>642</v>
      </c>
      <c r="E592" s="3" t="n">
        <v>6</v>
      </c>
      <c r="F592" s="3" t="n">
        <v>11</v>
      </c>
      <c r="G592" s="3" t="n">
        <v>30</v>
      </c>
      <c r="I592" s="3" t="n">
        <f aca="false">_xlfn.IFS(G592="взв",11,G592="накл",24,G592="прокл",25,G592="пт",26,G592=90,10,G592=85,10,G592=80,9,G592=75,8,G592=70,8,G592=65,7,G592=60,7,G592=55,6,G592=50,6,G592=45,6,G592=40,5,G592=35,4,G592=30,4,G592=25,3,G592=20,2,G592=15,1,G592=10,1,G592=0,0)</f>
        <v>4</v>
      </c>
      <c r="J592" s="3" t="n">
        <f aca="false">IF(H592&lt;=1,0,IF(H592&lt;=10,11,IF(H592&lt;=14,12,IF(H592&lt;=17,13,IF(H592&lt;=20,14,IF(H592&lt;=22,15,IF(H592&lt;=25,16,IF(H592&lt;=27,17,IF(H592&lt;=29,18,IF(H592&lt;=32,19,IF(H592&lt;=34,20,IF(H592&lt;=36,21,IF(H592&lt;=40,22,24)))))))))))))</f>
        <v>0</v>
      </c>
      <c r="K592" s="3" t="n">
        <v>75</v>
      </c>
      <c r="M592" s="3" t="n">
        <f aca="false">_xlfn.IFS(K592="взв",11,K592="накл",24,K592="прокл",25,K592="пт",26,K592=90,10,K592=85,10,K592=80,9,K592=75,8,K592=70,8,K592=65,7,K592=60,7,K592=55,6,K592=50,6,K592=45,6,K592=40,5,K592=35,4,K592=30,4,K592=25,3,K592=20,2,K592=15,1,K592=10,1,K592=0,0)</f>
        <v>8</v>
      </c>
      <c r="N592" s="3" t="n">
        <f aca="false">IF(L592&lt;=1,0,IF(L592&lt;=10,11,IF(L592&lt;=14,12,IF(L592&lt;=17,13,IF(L592&lt;=20,14,IF(L592&lt;=22,15,IF(L592&lt;=25,16,IF(L592&lt;=27,17,IF(L592&lt;=29,18,IF(L592&lt;=32,19,IF(L592&lt;=34,20,IF(L592&lt;=36,21,IF(L592&lt;=40,22,24)))))))))))))</f>
        <v>0</v>
      </c>
      <c r="O592" s="3" t="n">
        <v>60</v>
      </c>
      <c r="Q592" s="3" t="n">
        <f aca="false">_xlfn.IFS(O592="взв",11,O592="накл",24,O592="прокл",25,O592="пт",26,O592=90,10,O592=85,10,O592=80,9,O592=75,8,O592=70,8,O592=65,7,O592=60,7,O592=55,6,O592=50,6,O592=45,6,O592=40,5,O592=35,4,O592=30,4,O592=25,3,O592=20,2,O592=15,1,O592=10,1,O592=0,0)</f>
        <v>7</v>
      </c>
      <c r="R592" s="3" t="n">
        <f aca="false">IF(P592&lt;=1,0,IF(P592&lt;=10,11,IF(P592&lt;=14,12,IF(P592&lt;=17,13,IF(P592&lt;=20,14,IF(P592&lt;=22,15,IF(P592&lt;=25,16,IF(P592&lt;=27,17,IF(P592&lt;=29,18,IF(P592&lt;=32,19,IF(P592&lt;=34,20,IF(P592&lt;=36,21,IF(P592&lt;=40,22,24)))))))))))))</f>
        <v>0</v>
      </c>
      <c r="S592" s="14" t="n">
        <f aca="false">ROUND((Q592+R592+I592+J592+M592+N592)/3,0)</f>
        <v>6</v>
      </c>
      <c r="T592" s="15" t="n">
        <f aca="false">F592*LOG10(S592+2)</f>
        <v>9.93398985691138</v>
      </c>
    </row>
    <row r="593" customFormat="false" ht="14.65" hidden="false" customHeight="true" outlineLevel="0" collapsed="false">
      <c r="A593" s="12" t="s">
        <v>653</v>
      </c>
      <c r="B593" s="16" t="n">
        <v>38884</v>
      </c>
      <c r="C593" s="17" t="s">
        <v>228</v>
      </c>
      <c r="D593" s="18" t="s">
        <v>654</v>
      </c>
      <c r="E593" s="17" t="n">
        <v>2</v>
      </c>
      <c r="F593" s="17" t="n">
        <v>6</v>
      </c>
      <c r="H593" s="3" t="n">
        <v>31</v>
      </c>
      <c r="I593" s="3" t="n">
        <f aca="false">_xlfn.IFS(G593="взв",11,G593="накл",24,G593="прокл",25,G593="пт",26,G593=90,10,G593=85,10,G593=80,9,G593=75,8,G593=70,8,G593=65,7,G593=60,7,G593=55,6,G593=50,6,G593=45,6,G593=40,5,G593=35,4,G593=30,4,G593=25,3,G593=20,2,G593=15,1,G593=10,1,G593=0,0)</f>
        <v>0</v>
      </c>
      <c r="J593" s="3" t="n">
        <f aca="false">IF(H593&lt;=1,0,IF(H593&lt;=10,11,IF(H593&lt;=14,12,IF(H593&lt;=17,13,IF(H593&lt;=20,14,IF(H593&lt;=22,15,IF(H593&lt;=25,16,IF(H593&lt;=27,17,IF(H593&lt;=29,18,IF(H593&lt;=32,19,IF(H593&lt;=34,20,IF(H593&lt;=36,21,IF(H593&lt;=40,22,24)))))))))))))</f>
        <v>19</v>
      </c>
      <c r="L593" s="3" t="n">
        <v>25</v>
      </c>
      <c r="M593" s="3" t="n">
        <f aca="false">_xlfn.IFS(K593="взв",11,K593="накл",24,K593="прокл",25,K593="пт",26,K593=90,10,K593=85,10,K593=80,9,K593=75,8,K593=70,8,K593=65,7,K593=60,7,K593=55,6,K593=50,6,K593=45,6,K593=40,5,K593=35,4,K593=30,4,K593=25,3,K593=20,2,K593=15,1,K593=10,1,K593=0,0)</f>
        <v>0</v>
      </c>
      <c r="N593" s="3" t="n">
        <f aca="false">IF(L593&lt;=1,0,IF(L593&lt;=10,11,IF(L593&lt;=14,12,IF(L593&lt;=17,13,IF(L593&lt;=20,14,IF(L593&lt;=22,15,IF(L593&lt;=25,16,IF(L593&lt;=27,17,IF(L593&lt;=29,18,IF(L593&lt;=32,19,IF(L593&lt;=34,20,IF(L593&lt;=36,21,IF(L593&lt;=40,22,24)))))))))))))</f>
        <v>16</v>
      </c>
      <c r="Q593" s="3" t="n">
        <f aca="false">_xlfn.IFS(O593="взв",11,O593="накл",24,O593="прокл",25,O593="пт",26,O593=90,10,O593=85,10,O593=80,9,O593=75,8,O593=70,8,O593=65,7,O593=60,7,O593=55,6,O593=50,6,O593=45,6,O593=40,5,O593=35,4,O593=30,4,O593=25,3,O593=20,2,O593=15,1,O593=10,1,O593=0,0)</f>
        <v>0</v>
      </c>
      <c r="R593" s="3" t="n">
        <f aca="false">IF(P593&lt;=1,0,IF(P593&lt;=10,11,IF(P593&lt;=14,12,IF(P593&lt;=17,13,IF(P593&lt;=20,14,IF(P593&lt;=22,15,IF(P593&lt;=25,16,IF(P593&lt;=27,17,IF(P593&lt;=29,18,IF(P593&lt;=32,19,IF(P593&lt;=34,20,IF(P593&lt;=36,21,IF(P593&lt;=40,22,24)))))))))))))</f>
        <v>0</v>
      </c>
      <c r="S593" s="14" t="n">
        <f aca="false">ROUND((Q593+R593+I593+J593+M593+N593)/2,0)</f>
        <v>18</v>
      </c>
      <c r="T593" s="15" t="n">
        <f aca="false">F593*LOG10(S593+2)</f>
        <v>7.80617997398389</v>
      </c>
    </row>
    <row r="594" customFormat="false" ht="14.65" hidden="false" customHeight="true" outlineLevel="0" collapsed="false">
      <c r="A594" s="12" t="s">
        <v>655</v>
      </c>
      <c r="B594" s="16" t="n">
        <v>38884</v>
      </c>
      <c r="C594" s="17" t="s">
        <v>228</v>
      </c>
      <c r="D594" s="18" t="s">
        <v>654</v>
      </c>
      <c r="E594" s="3" t="n">
        <v>4</v>
      </c>
      <c r="F594" s="3" t="n">
        <v>50</v>
      </c>
      <c r="G594" s="3" t="n">
        <v>60</v>
      </c>
      <c r="I594" s="3" t="n">
        <f aca="false">_xlfn.IFS(G594="взв",11,G594="накл",24,G594="прокл",25,G594="пт",26,G594=90,10,G594=85,10,G594=80,9,G594=75,8,G594=70,8,G594=65,7,G594=60,7,G594=55,6,G594=50,6,G594=45,6,G594=40,5,G594=35,4,G594=30,4,G594=25,3,G594=20,2,G594=15,1,G594=10,1,G594=0,0)</f>
        <v>7</v>
      </c>
      <c r="J594" s="3" t="n">
        <f aca="false">IF(H594&lt;=1,0,IF(H594&lt;=10,11,IF(H594&lt;=14,12,IF(H594&lt;=17,13,IF(H594&lt;=20,14,IF(H594&lt;=22,15,IF(H594&lt;=25,16,IF(H594&lt;=27,17,IF(H594&lt;=29,18,IF(H594&lt;=32,19,IF(H594&lt;=34,20,IF(H594&lt;=36,21,IF(H594&lt;=40,22,24)))))))))))))</f>
        <v>0</v>
      </c>
      <c r="K594" s="3" t="n">
        <v>30</v>
      </c>
      <c r="M594" s="3" t="n">
        <f aca="false">_xlfn.IFS(K594="взв",11,K594="накл",24,K594="прокл",25,K594="пт",26,K594=90,10,K594=85,10,K594=80,9,K594=75,8,K594=70,8,K594=65,7,K594=60,7,K594=55,6,K594=50,6,K594=45,6,K594=40,5,K594=35,4,K594=30,4,K594=25,3,K594=20,2,K594=15,1,K594=10,1,K594=0,0)</f>
        <v>4</v>
      </c>
      <c r="N594" s="3" t="n">
        <f aca="false">IF(L594&lt;=1,0,IF(L594&lt;=10,11,IF(L594&lt;=14,12,IF(L594&lt;=17,13,IF(L594&lt;=20,14,IF(L594&lt;=22,15,IF(L594&lt;=25,16,IF(L594&lt;=27,17,IF(L594&lt;=29,18,IF(L594&lt;=32,19,IF(L594&lt;=34,20,IF(L594&lt;=36,21,IF(L594&lt;=40,22,24)))))))))))))</f>
        <v>0</v>
      </c>
      <c r="O594" s="3" t="n">
        <v>60</v>
      </c>
      <c r="Q594" s="3" t="n">
        <f aca="false">_xlfn.IFS(O594="взв",11,O594="накл",24,O594="прокл",25,O594="пт",26,O594=90,10,O594=85,10,O594=80,9,O594=75,8,O594=70,8,O594=65,7,O594=60,7,O594=55,6,O594=50,6,O594=45,6,O594=40,5,O594=35,4,O594=30,4,O594=25,3,O594=20,2,O594=15,1,O594=10,1,O594=0,0)</f>
        <v>7</v>
      </c>
      <c r="R594" s="3" t="n">
        <f aca="false">IF(P594&lt;=1,0,IF(P594&lt;=10,11,IF(P594&lt;=14,12,IF(P594&lt;=17,13,IF(P594&lt;=20,14,IF(P594&lt;=22,15,IF(P594&lt;=25,16,IF(P594&lt;=27,17,IF(P594&lt;=29,18,IF(P594&lt;=32,19,IF(P594&lt;=34,20,IF(P594&lt;=36,21,IF(P594&lt;=40,22,24)))))))))))))</f>
        <v>0</v>
      </c>
      <c r="S594" s="14" t="n">
        <f aca="false">ROUND((Q594+R594+I594+J594+M594+N594)/3,0)</f>
        <v>6</v>
      </c>
      <c r="T594" s="15" t="n">
        <f aca="false">F594*LOG10(S594+2)</f>
        <v>45.1544993495972</v>
      </c>
    </row>
    <row r="595" customFormat="false" ht="14.65" hidden="false" customHeight="true" outlineLevel="0" collapsed="false">
      <c r="A595" s="12" t="s">
        <v>656</v>
      </c>
      <c r="B595" s="16" t="n">
        <v>38885</v>
      </c>
      <c r="C595" s="17" t="s">
        <v>228</v>
      </c>
      <c r="D595" s="18" t="s">
        <v>657</v>
      </c>
      <c r="E595" s="3" t="n">
        <v>6</v>
      </c>
      <c r="F595" s="3" t="n">
        <v>4</v>
      </c>
      <c r="H595" s="3" t="n">
        <v>33</v>
      </c>
      <c r="I595" s="3" t="n">
        <f aca="false">_xlfn.IFS(G595="взв",11,G595="накл",24,G595="прокл",25,G595="пт",26,G595=90,10,G595=85,10,G595=80,9,G595=75,8,G595=70,8,G595=65,7,G595=60,7,G595=55,6,G595=50,6,G595=45,6,G595=40,5,G595=35,4,G595=30,4,G595=25,3,G595=20,2,G595=15,1,G595=10,1,G595=0,0)</f>
        <v>0</v>
      </c>
      <c r="J595" s="3" t="n">
        <f aca="false">IF(H595&lt;=1,0,IF(H595&lt;=10,11,IF(H595&lt;=14,12,IF(H595&lt;=17,13,IF(H595&lt;=20,14,IF(H595&lt;=22,15,IF(H595&lt;=25,16,IF(H595&lt;=27,17,IF(H595&lt;=29,18,IF(H595&lt;=32,19,IF(H595&lt;=34,20,IF(H595&lt;=36,21,IF(H595&lt;=40,22,24)))))))))))))</f>
        <v>20</v>
      </c>
      <c r="L595" s="3" t="n">
        <v>33</v>
      </c>
      <c r="M595" s="3" t="n">
        <f aca="false">_xlfn.IFS(K595="взв",11,K595="накл",24,K595="прокл",25,K595="пт",26,K595=90,10,K595=85,10,K595=80,9,K595=75,8,K595=70,8,K595=65,7,K595=60,7,K595=55,6,K595=50,6,K595=45,6,K595=40,5,K595=35,4,K595=30,4,K595=25,3,K595=20,2,K595=15,1,K595=10,1,K595=0,0)</f>
        <v>0</v>
      </c>
      <c r="N595" s="3" t="n">
        <f aca="false">IF(L595&lt;=1,0,IF(L595&lt;=10,11,IF(L595&lt;=14,12,IF(L595&lt;=17,13,IF(L595&lt;=20,14,IF(L595&lt;=22,15,IF(L595&lt;=25,16,IF(L595&lt;=27,17,IF(L595&lt;=29,18,IF(L595&lt;=32,19,IF(L595&lt;=34,20,IF(L595&lt;=36,21,IF(L595&lt;=40,22,24)))))))))))))</f>
        <v>20</v>
      </c>
      <c r="P595" s="3" t="n">
        <v>34</v>
      </c>
      <c r="Q595" s="3" t="n">
        <f aca="false">_xlfn.IFS(O595="взв",11,O595="накл",24,O595="прокл",25,O595="пт",26,O595=90,10,O595=85,10,O595=80,9,O595=75,8,O595=70,8,O595=65,7,O595=60,7,O595=55,6,O595=50,6,O595=45,6,O595=40,5,O595=35,4,O595=30,4,O595=25,3,O595=20,2,O595=15,1,O595=10,1,O595=0,0)</f>
        <v>0</v>
      </c>
      <c r="R595" s="3" t="n">
        <f aca="false">IF(P595&lt;=1,0,IF(P595&lt;=10,11,IF(P595&lt;=14,12,IF(P595&lt;=17,13,IF(P595&lt;=20,14,IF(P595&lt;=22,15,IF(P595&lt;=25,16,IF(P595&lt;=27,17,IF(P595&lt;=29,18,IF(P595&lt;=32,19,IF(P595&lt;=34,20,IF(P595&lt;=36,21,IF(P595&lt;=40,22,24)))))))))))))</f>
        <v>20</v>
      </c>
      <c r="S595" s="14" t="n">
        <f aca="false">ROUND((Q595+R595+I595+J595+M595+N595)/3,0)</f>
        <v>20</v>
      </c>
      <c r="T595" s="15" t="n">
        <f aca="false">F595*LOG10(S595+2)</f>
        <v>5.36969072328883</v>
      </c>
    </row>
    <row r="596" customFormat="false" ht="14.65" hidden="false" customHeight="true" outlineLevel="0" collapsed="false">
      <c r="A596" s="12" t="s">
        <v>658</v>
      </c>
      <c r="B596" s="16" t="n">
        <v>38885</v>
      </c>
      <c r="C596" s="17" t="s">
        <v>228</v>
      </c>
      <c r="D596" s="18" t="s">
        <v>657</v>
      </c>
      <c r="E596" s="3" t="n">
        <v>3</v>
      </c>
      <c r="F596" s="3" t="n">
        <v>4</v>
      </c>
      <c r="G596" s="3" t="s">
        <v>47</v>
      </c>
      <c r="I596" s="3" t="n">
        <f aca="false">_xlfn.IFS(G596="взв",11,G596="накл",24,G596="прокл",25,G596="пт",26,G596=90,10,G596=85,10,G596=80,9,G596=75,8,G596=70,8,G596=65,7,G596=60,7,G596=55,6,G596=50,6,G596=45,6,G596=40,5,G596=35,4,G596=30,4,G596=25,3,G596=20,2,G596=15,1,G596=10,1,G596=0,0)</f>
        <v>25</v>
      </c>
      <c r="J596" s="3" t="n">
        <f aca="false">IF(H596&lt;=1,0,IF(H596&lt;=10,11,IF(H596&lt;=14,12,IF(H596&lt;=17,13,IF(H596&lt;=20,14,IF(H596&lt;=22,15,IF(H596&lt;=25,16,IF(H596&lt;=27,17,IF(H596&lt;=29,18,IF(H596&lt;=32,19,IF(H596&lt;=34,20,IF(H596&lt;=36,21,IF(H596&lt;=40,22,24)))))))))))))</f>
        <v>0</v>
      </c>
      <c r="K596" s="3" t="s">
        <v>27</v>
      </c>
      <c r="M596" s="3" t="n">
        <f aca="false">_xlfn.IFS(K596="взв",11,K596="накл",24,K596="прокл",25,K596="пт",26,K596=90,10,K596=85,10,K596=80,9,K596=75,8,K596=70,8,K596=65,7,K596=60,7,K596=55,6,K596=50,6,K596=45,6,K596=40,5,K596=35,4,K596=30,4,K596=25,3,K596=20,2,K596=15,1,K596=10,1,K596=0,0)</f>
        <v>24</v>
      </c>
      <c r="N596" s="3" t="n">
        <f aca="false">IF(L596&lt;=1,0,IF(L596&lt;=10,11,IF(L596&lt;=14,12,IF(L596&lt;=17,13,IF(L596&lt;=20,14,IF(L596&lt;=22,15,IF(L596&lt;=25,16,IF(L596&lt;=27,17,IF(L596&lt;=29,18,IF(L596&lt;=32,19,IF(L596&lt;=34,20,IF(L596&lt;=36,21,IF(L596&lt;=40,22,24)))))))))))))</f>
        <v>0</v>
      </c>
      <c r="O596" s="3" t="s">
        <v>27</v>
      </c>
      <c r="P596" s="0"/>
      <c r="Q596" s="3" t="n">
        <f aca="false">_xlfn.IFS(O596="взв",11,O596="накл",24,O596="прокл",25,O596="пт",26,O596=90,10,O596=85,10,O596=80,9,O596=75,8,O596=70,8,O596=65,7,O596=60,7,O596=55,6,O596=50,6,O596=45,6,O596=40,5,O596=35,4,O596=30,4,O596=25,3,O596=20,2,O596=15,1,O596=10,1,O596=0,0)</f>
        <v>24</v>
      </c>
      <c r="R596" s="3" t="n">
        <f aca="false">IF(P596&lt;=1,0,IF(P596&lt;=10,11,IF(P596&lt;=14,12,IF(P596&lt;=17,13,IF(P596&lt;=20,14,IF(P596&lt;=22,15,IF(P596&lt;=25,16,IF(P596&lt;=27,17,IF(P596&lt;=29,18,IF(P596&lt;=32,19,IF(P596&lt;=34,20,IF(P596&lt;=36,21,IF(P596&lt;=40,22,24)))))))))))))</f>
        <v>0</v>
      </c>
      <c r="S596" s="14" t="n">
        <f aca="false">ROUND((Q596+R596+I596+J596+M596+N596)/3,0)</f>
        <v>24</v>
      </c>
      <c r="T596" s="15" t="n">
        <f aca="false">F596*LOG10(S596+2)</f>
        <v>5.65989339188327</v>
      </c>
    </row>
    <row r="597" customFormat="false" ht="14.65" hidden="false" customHeight="true" outlineLevel="0" collapsed="false">
      <c r="A597" s="12" t="s">
        <v>659</v>
      </c>
      <c r="B597" s="16" t="n">
        <v>38885</v>
      </c>
      <c r="C597" s="17" t="s">
        <v>228</v>
      </c>
      <c r="D597" s="18" t="s">
        <v>657</v>
      </c>
      <c r="E597" s="3" t="n">
        <v>6</v>
      </c>
      <c r="F597" s="3" t="n">
        <v>7</v>
      </c>
      <c r="G597" s="3" t="n">
        <v>90</v>
      </c>
      <c r="I597" s="3" t="n">
        <f aca="false">_xlfn.IFS(G597="взв",11,G597="накл",24,G597="прокл",25,G597="пт",26,G597=90,10,G597=85,10,G597=80,9,G597=75,8,G597=70,8,G597=65,7,G597=60,7,G597=55,6,G597=50,6,G597=45,6,G597=40,5,G597=35,4,G597=30,4,G597=25,3,G597=20,2,G597=15,1,G597=10,1,G597=0,0)</f>
        <v>10</v>
      </c>
      <c r="J597" s="3" t="n">
        <f aca="false">IF(H597&lt;=1,0,IF(H597&lt;=10,11,IF(H597&lt;=14,12,IF(H597&lt;=17,13,IF(H597&lt;=20,14,IF(H597&lt;=22,15,IF(H597&lt;=25,16,IF(H597&lt;=27,17,IF(H597&lt;=29,18,IF(H597&lt;=32,19,IF(H597&lt;=34,20,IF(H597&lt;=36,21,IF(H597&lt;=40,22,24)))))))))))))</f>
        <v>0</v>
      </c>
      <c r="K597" s="3" t="n">
        <v>75</v>
      </c>
      <c r="M597" s="3" t="n">
        <f aca="false">_xlfn.IFS(K597="взв",11,K597="накл",24,K597="прокл",25,K597="пт",26,K597=90,10,K597=85,10,K597=80,9,K597=75,8,K597=70,8,K597=65,7,K597=60,7,K597=55,6,K597=50,6,K597=45,6,K597=40,5,K597=35,4,K597=30,4,K597=25,3,K597=20,2,K597=15,1,K597=10,1,K597=0,0)</f>
        <v>8</v>
      </c>
      <c r="N597" s="3" t="n">
        <f aca="false">IF(L597&lt;=1,0,IF(L597&lt;=10,11,IF(L597&lt;=14,12,IF(L597&lt;=17,13,IF(L597&lt;=20,14,IF(L597&lt;=22,15,IF(L597&lt;=25,16,IF(L597&lt;=27,17,IF(L597&lt;=29,18,IF(L597&lt;=32,19,IF(L597&lt;=34,20,IF(L597&lt;=36,21,IF(L597&lt;=40,22,24)))))))))))))</f>
        <v>0</v>
      </c>
      <c r="O597" s="3" t="n">
        <v>75</v>
      </c>
      <c r="Q597" s="3" t="n">
        <f aca="false">_xlfn.IFS(O597="взв",11,O597="накл",24,O597="прокл",25,O597="пт",26,O597=90,10,O597=85,10,O597=80,9,O597=75,8,O597=70,8,O597=65,7,O597=60,7,O597=55,6,O597=50,6,O597=45,6,O597=40,5,O597=35,4,O597=30,4,O597=25,3,O597=20,2,O597=15,1,O597=10,1,O597=0,0)</f>
        <v>8</v>
      </c>
      <c r="R597" s="3" t="n">
        <f aca="false">IF(P597&lt;=1,0,IF(P597&lt;=10,11,IF(P597&lt;=14,12,IF(P597&lt;=17,13,IF(P597&lt;=20,14,IF(P597&lt;=22,15,IF(P597&lt;=25,16,IF(P597&lt;=27,17,IF(P597&lt;=29,18,IF(P597&lt;=32,19,IF(P597&lt;=34,20,IF(P597&lt;=36,21,IF(P597&lt;=40,22,24)))))))))))))</f>
        <v>0</v>
      </c>
      <c r="S597" s="14" t="n">
        <f aca="false">ROUND((Q597+R597+I597+J597+M597+N597)/3,0)</f>
        <v>9</v>
      </c>
      <c r="T597" s="15" t="n">
        <f aca="false">F597*LOG10(S597+2)</f>
        <v>7.28974879610758</v>
      </c>
    </row>
    <row r="598" customFormat="false" ht="14.65" hidden="false" customHeight="true" outlineLevel="0" collapsed="false">
      <c r="A598" s="12" t="s">
        <v>660</v>
      </c>
      <c r="B598" s="16" t="n">
        <v>38885</v>
      </c>
      <c r="C598" s="17" t="s">
        <v>228</v>
      </c>
      <c r="D598" s="18" t="s">
        <v>657</v>
      </c>
      <c r="E598" s="3" t="n">
        <v>5</v>
      </c>
      <c r="F598" s="3" t="n">
        <v>23</v>
      </c>
      <c r="G598" s="3" t="n">
        <v>60</v>
      </c>
      <c r="I598" s="3" t="n">
        <f aca="false">_xlfn.IFS(G598="взв",11,G598="накл",24,G598="прокл",25,G598="пт",26,G598=90,10,G598=85,10,G598=80,9,G598=75,8,G598=70,8,G598=65,7,G598=60,7,G598=55,6,G598=50,6,G598=45,6,G598=40,5,G598=35,4,G598=30,4,G598=25,3,G598=20,2,G598=15,1,G598=10,1,G598=0,0)</f>
        <v>7</v>
      </c>
      <c r="J598" s="3" t="n">
        <f aca="false">IF(H598&lt;=1,0,IF(H598&lt;=10,11,IF(H598&lt;=14,12,IF(H598&lt;=17,13,IF(H598&lt;=20,14,IF(H598&lt;=22,15,IF(H598&lt;=25,16,IF(H598&lt;=27,17,IF(H598&lt;=29,18,IF(H598&lt;=32,19,IF(H598&lt;=34,20,IF(H598&lt;=36,21,IF(H598&lt;=40,22,24)))))))))))))</f>
        <v>0</v>
      </c>
      <c r="K598" s="3" t="n">
        <v>45</v>
      </c>
      <c r="M598" s="3" t="n">
        <f aca="false">_xlfn.IFS(K598="взв",11,K598="накл",24,K598="прокл",25,K598="пт",26,K598=90,10,K598=85,10,K598=80,9,K598=75,8,K598=70,8,K598=65,7,K598=60,7,K598=55,6,K598=50,6,K598=45,6,K598=40,5,K598=35,4,K598=30,4,K598=25,3,K598=20,2,K598=15,1,K598=10,1,K598=0,0)</f>
        <v>6</v>
      </c>
      <c r="N598" s="3" t="n">
        <f aca="false">IF(L598&lt;=1,0,IF(L598&lt;=10,11,IF(L598&lt;=14,12,IF(L598&lt;=17,13,IF(L598&lt;=20,14,IF(L598&lt;=22,15,IF(L598&lt;=25,16,IF(L598&lt;=27,17,IF(L598&lt;=29,18,IF(L598&lt;=32,19,IF(L598&lt;=34,20,IF(L598&lt;=36,21,IF(L598&lt;=40,22,24)))))))))))))</f>
        <v>0</v>
      </c>
      <c r="O598" s="3" t="n">
        <v>60</v>
      </c>
      <c r="Q598" s="3" t="n">
        <f aca="false">_xlfn.IFS(O598="взв",11,O598="накл",24,O598="прокл",25,O598="пт",26,O598=90,10,O598=85,10,O598=80,9,O598=75,8,O598=70,8,O598=65,7,O598=60,7,O598=55,6,O598=50,6,O598=45,6,O598=40,5,O598=35,4,O598=30,4,O598=25,3,O598=20,2,O598=15,1,O598=10,1,O598=0,0)</f>
        <v>7</v>
      </c>
      <c r="R598" s="3" t="n">
        <f aca="false">IF(P598&lt;=1,0,IF(P598&lt;=10,11,IF(P598&lt;=14,12,IF(P598&lt;=17,13,IF(P598&lt;=20,14,IF(P598&lt;=22,15,IF(P598&lt;=25,16,IF(P598&lt;=27,17,IF(P598&lt;=29,18,IF(P598&lt;=32,19,IF(P598&lt;=34,20,IF(P598&lt;=36,21,IF(P598&lt;=40,22,24)))))))))))))</f>
        <v>0</v>
      </c>
      <c r="S598" s="14" t="n">
        <f aca="false">ROUND((Q598+R598+I598+J598+M598+N598)/3,0)</f>
        <v>7</v>
      </c>
      <c r="T598" s="15" t="n">
        <f aca="false">F598*LOG10(S598+2)</f>
        <v>21.9475777171045</v>
      </c>
    </row>
    <row r="599" customFormat="false" ht="14.65" hidden="false" customHeight="true" outlineLevel="0" collapsed="false">
      <c r="A599" s="12" t="s">
        <v>661</v>
      </c>
      <c r="B599" s="16" t="n">
        <v>38885</v>
      </c>
      <c r="C599" s="17" t="s">
        <v>228</v>
      </c>
      <c r="D599" s="18" t="s">
        <v>657</v>
      </c>
      <c r="E599" s="3" t="n">
        <v>5</v>
      </c>
      <c r="F599" s="3" t="n">
        <v>25</v>
      </c>
      <c r="H599" s="3" t="n">
        <v>42</v>
      </c>
      <c r="I599" s="3" t="n">
        <f aca="false">_xlfn.IFS(G599="взв",11,G599="накл",24,G599="прокл",25,G599="пт",26,G599=90,10,G599=85,10,G599=80,9,G599=75,8,G599=70,8,G599=65,7,G599=60,7,G599=55,6,G599=50,6,G599=45,6,G599=40,5,G599=35,4,G599=30,4,G599=25,3,G599=20,2,G599=15,1,G599=10,1,G599=0,0)</f>
        <v>0</v>
      </c>
      <c r="J599" s="3" t="n">
        <f aca="false">IF(H599&lt;=1,0,IF(H599&lt;=10,11,IF(H599&lt;=14,12,IF(H599&lt;=17,13,IF(H599&lt;=20,14,IF(H599&lt;=22,15,IF(H599&lt;=25,16,IF(H599&lt;=27,17,IF(H599&lt;=29,18,IF(H599&lt;=32,19,IF(H599&lt;=34,20,IF(H599&lt;=36,21,IF(H599&lt;=40,22,24)))))))))))))</f>
        <v>24</v>
      </c>
      <c r="L599" s="3" t="n">
        <v>40</v>
      </c>
      <c r="M599" s="3" t="n">
        <f aca="false">_xlfn.IFS(K599="взв",11,K599="накл",24,K599="прокл",25,K599="пт",26,K599=90,10,K599=85,10,K599=80,9,K599=75,8,K599=70,8,K599=65,7,K599=60,7,K599=55,6,K599=50,6,K599=45,6,K599=40,5,K599=35,4,K599=30,4,K599=25,3,K599=20,2,K599=15,1,K599=10,1,K599=0,0)</f>
        <v>0</v>
      </c>
      <c r="N599" s="3" t="n">
        <f aca="false">IF(L599&lt;=1,0,IF(L599&lt;=10,11,IF(L599&lt;=14,12,IF(L599&lt;=17,13,IF(L599&lt;=20,14,IF(L599&lt;=22,15,IF(L599&lt;=25,16,IF(L599&lt;=27,17,IF(L599&lt;=29,18,IF(L599&lt;=32,19,IF(L599&lt;=34,20,IF(L599&lt;=36,21,IF(L599&lt;=40,22,24)))))))))))))</f>
        <v>22</v>
      </c>
      <c r="P599" s="3" t="n">
        <v>41</v>
      </c>
      <c r="Q599" s="3" t="n">
        <f aca="false">_xlfn.IFS(O599="взв",11,O599="накл",24,O599="прокл",25,O599="пт",26,O599=90,10,O599=85,10,O599=80,9,O599=75,8,O599=70,8,O599=65,7,O599=60,7,O599=55,6,O599=50,6,O599=45,6,O599=40,5,O599=35,4,O599=30,4,O599=25,3,O599=20,2,O599=15,1,O599=10,1,O599=0,0)</f>
        <v>0</v>
      </c>
      <c r="R599" s="3" t="n">
        <f aca="false">IF(P599&lt;=1,0,IF(P599&lt;=10,11,IF(P599&lt;=14,12,IF(P599&lt;=17,13,IF(P599&lt;=20,14,IF(P599&lt;=22,15,IF(P599&lt;=25,16,IF(P599&lt;=27,17,IF(P599&lt;=29,18,IF(P599&lt;=32,19,IF(P599&lt;=34,20,IF(P599&lt;=36,21,IF(P599&lt;=40,22,24)))))))))))))</f>
        <v>24</v>
      </c>
      <c r="S599" s="14" t="n">
        <f aca="false">ROUND((Q599+R599+I599+J599+M599+N599)/3,0)</f>
        <v>23</v>
      </c>
      <c r="T599" s="15" t="n">
        <f aca="false">F599*LOG10(S599+2)</f>
        <v>34.9485002168009</v>
      </c>
    </row>
    <row r="600" customFormat="false" ht="14.65" hidden="false" customHeight="true" outlineLevel="0" collapsed="false">
      <c r="A600" s="12" t="s">
        <v>662</v>
      </c>
      <c r="B600" s="16" t="n">
        <v>38885</v>
      </c>
      <c r="C600" s="17" t="s">
        <v>228</v>
      </c>
      <c r="D600" s="18" t="s">
        <v>663</v>
      </c>
      <c r="E600" s="3" t="n">
        <v>6</v>
      </c>
      <c r="F600" s="3" t="n">
        <v>1</v>
      </c>
      <c r="H600" s="3" t="n">
        <v>26</v>
      </c>
      <c r="I600" s="3" t="n">
        <f aca="false">_xlfn.IFS(G600="взв",11,G600="накл",24,G600="прокл",25,G600="пт",26,G600=90,10,G600=85,10,G600=80,9,G600=75,8,G600=70,8,G600=65,7,G600=60,7,G600=55,6,G600=50,6,G600=45,6,G600=40,5,G600=35,4,G600=30,4,G600=25,3,G600=20,2,G600=15,1,G600=10,1,G600=0,0)</f>
        <v>0</v>
      </c>
      <c r="J600" s="3" t="n">
        <f aca="false">IF(H600&lt;=1,0,IF(H600&lt;=10,11,IF(H600&lt;=14,12,IF(H600&lt;=17,13,IF(H600&lt;=20,14,IF(H600&lt;=22,15,IF(H600&lt;=25,16,IF(H600&lt;=27,17,IF(H600&lt;=29,18,IF(H600&lt;=32,19,IF(H600&lt;=34,20,IF(H600&lt;=36,21,IF(H600&lt;=40,22,24)))))))))))))</f>
        <v>17</v>
      </c>
      <c r="L600" s="3" t="n">
        <v>30</v>
      </c>
      <c r="M600" s="3" t="n">
        <f aca="false">_xlfn.IFS(K600="взв",11,K600="накл",24,K600="прокл",25,K600="пт",26,K600=90,10,K600=85,10,K600=80,9,K600=75,8,K600=70,8,K600=65,7,K600=60,7,K600=55,6,K600=50,6,K600=45,6,K600=40,5,K600=35,4,K600=30,4,K600=25,3,K600=20,2,K600=15,1,K600=10,1,K600=0,0)</f>
        <v>0</v>
      </c>
      <c r="N600" s="3" t="n">
        <f aca="false">IF(L600&lt;=1,0,IF(L600&lt;=10,11,IF(L600&lt;=14,12,IF(L600&lt;=17,13,IF(L600&lt;=20,14,IF(L600&lt;=22,15,IF(L600&lt;=25,16,IF(L600&lt;=27,17,IF(L600&lt;=29,18,IF(L600&lt;=32,19,IF(L600&lt;=34,20,IF(L600&lt;=36,21,IF(L600&lt;=40,22,24)))))))))))))</f>
        <v>19</v>
      </c>
      <c r="P600" s="3" t="n">
        <v>30</v>
      </c>
      <c r="Q600" s="3" t="n">
        <f aca="false">_xlfn.IFS(O600="взв",11,O600="накл",24,O600="прокл",25,O600="пт",26,O600=90,10,O600=85,10,O600=80,9,O600=75,8,O600=70,8,O600=65,7,O600=60,7,O600=55,6,O600=50,6,O600=45,6,O600=40,5,O600=35,4,O600=30,4,O600=25,3,O600=20,2,O600=15,1,O600=10,1,O600=0,0)</f>
        <v>0</v>
      </c>
      <c r="R600" s="3" t="n">
        <f aca="false">IF(P600&lt;=1,0,IF(P600&lt;=10,11,IF(P600&lt;=14,12,IF(P600&lt;=17,13,IF(P600&lt;=20,14,IF(P600&lt;=22,15,IF(P600&lt;=25,16,IF(P600&lt;=27,17,IF(P600&lt;=29,18,IF(P600&lt;=32,19,IF(P600&lt;=34,20,IF(P600&lt;=36,21,IF(P600&lt;=40,22,24)))))))))))))</f>
        <v>19</v>
      </c>
      <c r="S600" s="14" t="n">
        <f aca="false">ROUND((Q600+R600+I600+J600+M600+N600)/3,0)</f>
        <v>18</v>
      </c>
      <c r="T600" s="15" t="n">
        <f aca="false">F600*LOG10(S600+2)</f>
        <v>1.30102999566398</v>
      </c>
    </row>
    <row r="601" customFormat="false" ht="14.65" hidden="false" customHeight="true" outlineLevel="0" collapsed="false">
      <c r="A601" s="12" t="s">
        <v>664</v>
      </c>
      <c r="B601" s="16" t="n">
        <v>38885</v>
      </c>
      <c r="C601" s="17" t="s">
        <v>228</v>
      </c>
      <c r="D601" s="18" t="s">
        <v>663</v>
      </c>
      <c r="E601" s="3" t="n">
        <v>4</v>
      </c>
      <c r="F601" s="3" t="n">
        <v>2.5</v>
      </c>
      <c r="H601" s="3" t="n">
        <v>23</v>
      </c>
      <c r="I601" s="3" t="n">
        <f aca="false">_xlfn.IFS(G601="взв",11,G601="накл",24,G601="прокл",25,G601="пт",26,G601=90,10,G601=85,10,G601=80,9,G601=75,8,G601=70,8,G601=65,7,G601=60,7,G601=55,6,G601=50,6,G601=45,6,G601=40,5,G601=35,4,G601=30,4,G601=25,3,G601=20,2,G601=15,1,G601=10,1,G601=0,0)</f>
        <v>0</v>
      </c>
      <c r="J601" s="3" t="n">
        <f aca="false">IF(H601&lt;=1,0,IF(H601&lt;=10,11,IF(H601&lt;=14,12,IF(H601&lt;=17,13,IF(H601&lt;=20,14,IF(H601&lt;=22,15,IF(H601&lt;=25,16,IF(H601&lt;=27,17,IF(H601&lt;=29,18,IF(H601&lt;=32,19,IF(H601&lt;=34,20,IF(H601&lt;=36,21,IF(H601&lt;=40,22,24)))))))))))))</f>
        <v>16</v>
      </c>
      <c r="L601" s="3" t="n">
        <v>29</v>
      </c>
      <c r="M601" s="3" t="n">
        <f aca="false">_xlfn.IFS(K601="взв",11,K601="накл",24,K601="прокл",25,K601="пт",26,K601=90,10,K601=85,10,K601=80,9,K601=75,8,K601=70,8,K601=65,7,K601=60,7,K601=55,6,K601=50,6,K601=45,6,K601=40,5,K601=35,4,K601=30,4,K601=25,3,K601=20,2,K601=15,1,K601=10,1,K601=0,0)</f>
        <v>0</v>
      </c>
      <c r="N601" s="3" t="n">
        <f aca="false">IF(L601&lt;=1,0,IF(L601&lt;=10,11,IF(L601&lt;=14,12,IF(L601&lt;=17,13,IF(L601&lt;=20,14,IF(L601&lt;=22,15,IF(L601&lt;=25,16,IF(L601&lt;=27,17,IF(L601&lt;=29,18,IF(L601&lt;=32,19,IF(L601&lt;=34,20,IF(L601&lt;=36,21,IF(L601&lt;=40,22,24)))))))))))))</f>
        <v>18</v>
      </c>
      <c r="P601" s="3" t="n">
        <v>26</v>
      </c>
      <c r="Q601" s="3" t="n">
        <f aca="false">_xlfn.IFS(O601="взв",11,O601="накл",24,O601="прокл",25,O601="пт",26,O601=90,10,O601=85,10,O601=80,9,O601=75,8,O601=70,8,O601=65,7,O601=60,7,O601=55,6,O601=50,6,O601=45,6,O601=40,5,O601=35,4,O601=30,4,O601=25,3,O601=20,2,O601=15,1,O601=10,1,O601=0,0)</f>
        <v>0</v>
      </c>
      <c r="R601" s="3" t="n">
        <f aca="false">IF(P601&lt;=1,0,IF(P601&lt;=10,11,IF(P601&lt;=14,12,IF(P601&lt;=17,13,IF(P601&lt;=20,14,IF(P601&lt;=22,15,IF(P601&lt;=25,16,IF(P601&lt;=27,17,IF(P601&lt;=29,18,IF(P601&lt;=32,19,IF(P601&lt;=34,20,IF(P601&lt;=36,21,IF(P601&lt;=40,22,24)))))))))))))</f>
        <v>17</v>
      </c>
      <c r="S601" s="14" t="n">
        <f aca="false">ROUND((Q601+R601+I601+J601+M601+N601)/3,0)</f>
        <v>17</v>
      </c>
      <c r="T601" s="15" t="n">
        <f aca="false">F601*LOG10(S601+2)</f>
        <v>3.19688400238207</v>
      </c>
    </row>
    <row r="602" customFormat="false" ht="14.65" hidden="false" customHeight="true" outlineLevel="0" collapsed="false">
      <c r="A602" s="12" t="s">
        <v>665</v>
      </c>
      <c r="B602" s="16" t="n">
        <v>38885</v>
      </c>
      <c r="C602" s="17" t="s">
        <v>228</v>
      </c>
      <c r="D602" s="18" t="s">
        <v>663</v>
      </c>
      <c r="E602" s="3" t="n">
        <v>5</v>
      </c>
      <c r="F602" s="3" t="n">
        <v>5</v>
      </c>
      <c r="G602" s="3" t="n">
        <v>75</v>
      </c>
      <c r="I602" s="3" t="n">
        <f aca="false">_xlfn.IFS(G602="взв",11,G602="накл",24,G602="прокл",25,G602="пт",26,G602=90,10,G602=85,10,G602=80,9,G602=75,8,G602=70,8,G602=65,7,G602=60,7,G602=55,6,G602=50,6,G602=45,6,G602=40,5,G602=35,4,G602=30,4,G602=25,3,G602=20,2,G602=15,1,G602=10,1,G602=0,0)</f>
        <v>8</v>
      </c>
      <c r="J602" s="3" t="n">
        <f aca="false">IF(H602&lt;=1,0,IF(H602&lt;=10,11,IF(H602&lt;=14,12,IF(H602&lt;=17,13,IF(H602&lt;=20,14,IF(H602&lt;=22,15,IF(H602&lt;=25,16,IF(H602&lt;=27,17,IF(H602&lt;=29,18,IF(H602&lt;=32,19,IF(H602&lt;=34,20,IF(H602&lt;=36,21,IF(H602&lt;=40,22,24)))))))))))))</f>
        <v>0</v>
      </c>
      <c r="L602" s="3" t="n">
        <v>30</v>
      </c>
      <c r="M602" s="3" t="n">
        <f aca="false">_xlfn.IFS(K602="взв",11,K602="накл",24,K602="прокл",25,K602="пт",26,K602=90,10,K602=85,10,K602=80,9,K602=75,8,K602=70,8,K602=65,7,K602=60,7,K602=55,6,K602=50,6,K602=45,6,K602=40,5,K602=35,4,K602=30,4,K602=25,3,K602=20,2,K602=15,1,K602=10,1,K602=0,0)</f>
        <v>0</v>
      </c>
      <c r="N602" s="3" t="n">
        <f aca="false">IF(L602&lt;=1,0,IF(L602&lt;=10,11,IF(L602&lt;=14,12,IF(L602&lt;=17,13,IF(L602&lt;=20,14,IF(L602&lt;=22,15,IF(L602&lt;=25,16,IF(L602&lt;=27,17,IF(L602&lt;=29,18,IF(L602&lt;=32,19,IF(L602&lt;=34,20,IF(L602&lt;=36,21,IF(L602&lt;=40,22,24)))))))))))))</f>
        <v>19</v>
      </c>
      <c r="O602" s="3" t="n">
        <v>90</v>
      </c>
      <c r="Q602" s="3" t="n">
        <f aca="false">_xlfn.IFS(O602="взв",11,O602="накл",24,O602="прокл",25,O602="пт",26,O602=90,10,O602=85,10,O602=80,9,O602=75,8,O602=70,8,O602=65,7,O602=60,7,O602=55,6,O602=50,6,O602=45,6,O602=40,5,O602=35,4,O602=30,4,O602=25,3,O602=20,2,O602=15,1,O602=10,1,O602=0,0)</f>
        <v>10</v>
      </c>
      <c r="R602" s="3" t="n">
        <f aca="false">IF(P602&lt;=1,0,IF(P602&lt;=10,11,IF(P602&lt;=14,12,IF(P602&lt;=17,13,IF(P602&lt;=20,14,IF(P602&lt;=22,15,IF(P602&lt;=25,16,IF(P602&lt;=27,17,IF(P602&lt;=29,18,IF(P602&lt;=32,19,IF(P602&lt;=34,20,IF(P602&lt;=36,21,IF(P602&lt;=40,22,24)))))))))))))</f>
        <v>0</v>
      </c>
      <c r="S602" s="14" t="n">
        <f aca="false">ROUND((Q602+R602+I602+J602+M602+N602)/3,0)</f>
        <v>12</v>
      </c>
      <c r="T602" s="15" t="n">
        <f aca="false">F602*LOG10(S602+2)</f>
        <v>5.73064017839119</v>
      </c>
    </row>
    <row r="603" customFormat="false" ht="14.65" hidden="false" customHeight="true" outlineLevel="0" collapsed="false">
      <c r="A603" s="12" t="s">
        <v>666</v>
      </c>
      <c r="B603" s="16" t="n">
        <v>38885</v>
      </c>
      <c r="C603" s="17" t="s">
        <v>228</v>
      </c>
      <c r="D603" s="18" t="s">
        <v>663</v>
      </c>
      <c r="E603" s="3" t="n">
        <v>4</v>
      </c>
      <c r="F603" s="3" t="n">
        <v>17</v>
      </c>
      <c r="H603" s="3" t="n">
        <v>31</v>
      </c>
      <c r="I603" s="3" t="n">
        <f aca="false">_xlfn.IFS(G603="взв",11,G603="накл",24,G603="прокл",25,G603="пт",26,G603=90,10,G603=85,10,G603=80,9,G603=75,8,G603=70,8,G603=65,7,G603=60,7,G603=55,6,G603=50,6,G603=45,6,G603=40,5,G603=35,4,G603=30,4,G603=25,3,G603=20,2,G603=15,1,G603=10,1,G603=0,0)</f>
        <v>0</v>
      </c>
      <c r="J603" s="3" t="n">
        <f aca="false">IF(H603&lt;=1,0,IF(H603&lt;=10,11,IF(H603&lt;=14,12,IF(H603&lt;=17,13,IF(H603&lt;=20,14,IF(H603&lt;=22,15,IF(H603&lt;=25,16,IF(H603&lt;=27,17,IF(H603&lt;=29,18,IF(H603&lt;=32,19,IF(H603&lt;=34,20,IF(H603&lt;=36,21,IF(H603&lt;=40,22,24)))))))))))))</f>
        <v>19</v>
      </c>
      <c r="L603" s="3" t="n">
        <v>34</v>
      </c>
      <c r="M603" s="3" t="n">
        <f aca="false">_xlfn.IFS(K603="взв",11,K603="накл",24,K603="прокл",25,K603="пт",26,K603=90,10,K603=85,10,K603=80,9,K603=75,8,K603=70,8,K603=65,7,K603=60,7,K603=55,6,K603=50,6,K603=45,6,K603=40,5,K603=35,4,K603=30,4,K603=25,3,K603=20,2,K603=15,1,K603=10,1,K603=0,0)</f>
        <v>0</v>
      </c>
      <c r="N603" s="3" t="n">
        <f aca="false">IF(L603&lt;=1,0,IF(L603&lt;=10,11,IF(L603&lt;=14,12,IF(L603&lt;=17,13,IF(L603&lt;=20,14,IF(L603&lt;=22,15,IF(L603&lt;=25,16,IF(L603&lt;=27,17,IF(L603&lt;=29,18,IF(L603&lt;=32,19,IF(L603&lt;=34,20,IF(L603&lt;=36,21,IF(L603&lt;=40,22,24)))))))))))))</f>
        <v>20</v>
      </c>
      <c r="P603" s="3" t="n">
        <v>33</v>
      </c>
      <c r="Q603" s="3" t="n">
        <f aca="false">_xlfn.IFS(O603="взв",11,O603="накл",24,O603="прокл",25,O603="пт",26,O603=90,10,O603=85,10,O603=80,9,O603=75,8,O603=70,8,O603=65,7,O603=60,7,O603=55,6,O603=50,6,O603=45,6,O603=40,5,O603=35,4,O603=30,4,O603=25,3,O603=20,2,O603=15,1,O603=10,1,O603=0,0)</f>
        <v>0</v>
      </c>
      <c r="R603" s="3" t="n">
        <f aca="false">IF(P603&lt;=1,0,IF(P603&lt;=10,11,IF(P603&lt;=14,12,IF(P603&lt;=17,13,IF(P603&lt;=20,14,IF(P603&lt;=22,15,IF(P603&lt;=25,16,IF(P603&lt;=27,17,IF(P603&lt;=29,18,IF(P603&lt;=32,19,IF(P603&lt;=34,20,IF(P603&lt;=36,21,IF(P603&lt;=40,22,24)))))))))))))</f>
        <v>20</v>
      </c>
      <c r="S603" s="14" t="n">
        <f aca="false">ROUND((Q603+R603+I603+J603+M603+N603)/3,0)</f>
        <v>20</v>
      </c>
      <c r="T603" s="15" t="n">
        <f aca="false">F603*LOG10(S603+2)</f>
        <v>22.8211855739775</v>
      </c>
    </row>
    <row r="604" customFormat="false" ht="14.65" hidden="false" customHeight="true" outlineLevel="0" collapsed="false">
      <c r="A604" s="12" t="s">
        <v>667</v>
      </c>
      <c r="B604" s="16" t="n">
        <v>38885</v>
      </c>
      <c r="C604" s="17" t="s">
        <v>228</v>
      </c>
      <c r="D604" s="18" t="s">
        <v>663</v>
      </c>
      <c r="E604" s="3" t="n">
        <v>3</v>
      </c>
      <c r="F604" s="3" t="n">
        <v>18</v>
      </c>
      <c r="H604" s="3" t="n">
        <v>35</v>
      </c>
      <c r="I604" s="3" t="n">
        <f aca="false">_xlfn.IFS(G604="взв",11,G604="накл",24,G604="прокл",25,G604="пт",26,G604=90,10,G604=85,10,G604=80,9,G604=75,8,G604=70,8,G604=65,7,G604=60,7,G604=55,6,G604=50,6,G604=45,6,G604=40,5,G604=35,4,G604=30,4,G604=25,3,G604=20,2,G604=15,1,G604=10,1,G604=0,0)</f>
        <v>0</v>
      </c>
      <c r="J604" s="3" t="n">
        <f aca="false">IF(H604&lt;=1,0,IF(H604&lt;=10,11,IF(H604&lt;=14,12,IF(H604&lt;=17,13,IF(H604&lt;=20,14,IF(H604&lt;=22,15,IF(H604&lt;=25,16,IF(H604&lt;=27,17,IF(H604&lt;=29,18,IF(H604&lt;=32,19,IF(H604&lt;=34,20,IF(H604&lt;=36,21,IF(H604&lt;=40,22,24)))))))))))))</f>
        <v>21</v>
      </c>
      <c r="L604" s="3" t="n">
        <v>35</v>
      </c>
      <c r="M604" s="3" t="n">
        <f aca="false">_xlfn.IFS(K604="взв",11,K604="накл",24,K604="прокл",25,K604="пт",26,K604=90,10,K604=85,10,K604=80,9,K604=75,8,K604=70,8,K604=65,7,K604=60,7,K604=55,6,K604=50,6,K604=45,6,K604=40,5,K604=35,4,K604=30,4,K604=25,3,K604=20,2,K604=15,1,K604=10,1,K604=0,0)</f>
        <v>0</v>
      </c>
      <c r="N604" s="3" t="n">
        <f aca="false">IF(L604&lt;=1,0,IF(L604&lt;=10,11,IF(L604&lt;=14,12,IF(L604&lt;=17,13,IF(L604&lt;=20,14,IF(L604&lt;=22,15,IF(L604&lt;=25,16,IF(L604&lt;=27,17,IF(L604&lt;=29,18,IF(L604&lt;=32,19,IF(L604&lt;=34,20,IF(L604&lt;=36,21,IF(L604&lt;=40,22,24)))))))))))))</f>
        <v>21</v>
      </c>
      <c r="P604" s="3" t="n">
        <v>32</v>
      </c>
      <c r="Q604" s="3" t="n">
        <f aca="false">_xlfn.IFS(O604="взв",11,O604="накл",24,O604="прокл",25,O604="пт",26,O604=90,10,O604=85,10,O604=80,9,O604=75,8,O604=70,8,O604=65,7,O604=60,7,O604=55,6,O604=50,6,O604=45,6,O604=40,5,O604=35,4,O604=30,4,O604=25,3,O604=20,2,O604=15,1,O604=10,1,O604=0,0)</f>
        <v>0</v>
      </c>
      <c r="R604" s="3" t="n">
        <f aca="false">IF(P604&lt;=1,0,IF(P604&lt;=10,11,IF(P604&lt;=14,12,IF(P604&lt;=17,13,IF(P604&lt;=20,14,IF(P604&lt;=22,15,IF(P604&lt;=25,16,IF(P604&lt;=27,17,IF(P604&lt;=29,18,IF(P604&lt;=32,19,IF(P604&lt;=34,20,IF(P604&lt;=36,21,IF(P604&lt;=40,22,24)))))))))))))</f>
        <v>19</v>
      </c>
      <c r="S604" s="14" t="n">
        <f aca="false">ROUND((Q604+R604+I604+J604+M604+N604)/3,0)</f>
        <v>20</v>
      </c>
      <c r="T604" s="15" t="n">
        <f aca="false">F604*LOG10(S604+2)</f>
        <v>24.1636082547997</v>
      </c>
    </row>
    <row r="605" customFormat="false" ht="14.65" hidden="false" customHeight="true" outlineLevel="0" collapsed="false">
      <c r="A605" s="12" t="s">
        <v>668</v>
      </c>
      <c r="B605" s="16" t="n">
        <v>38885</v>
      </c>
      <c r="C605" s="17" t="s">
        <v>228</v>
      </c>
      <c r="D605" s="18" t="s">
        <v>663</v>
      </c>
      <c r="E605" s="3" t="n">
        <v>4</v>
      </c>
      <c r="F605" s="3" t="n">
        <v>50</v>
      </c>
      <c r="G605" s="3" t="n">
        <v>0</v>
      </c>
      <c r="I605" s="3" t="n">
        <f aca="false">_xlfn.IFS(G605="взв",11,G605="накл",24,G605="прокл",25,G605="пт",26,G605=90,10,G605=85,10,G605=80,9,G605=75,8,G605=70,8,G605=65,7,G605=60,7,G605=55,6,G605=50,6,G605=45,6,G605=40,5,G605=35,4,G605=30,4,G605=25,3,G605=20,2,G605=15,1,G605=10,1,G605=0,0)</f>
        <v>0</v>
      </c>
      <c r="J605" s="3" t="n">
        <f aca="false">IF(H605&lt;=1,0,IF(H605&lt;=10,11,IF(H605&lt;=14,12,IF(H605&lt;=17,13,IF(H605&lt;=20,14,IF(H605&lt;=22,15,IF(H605&lt;=25,16,IF(H605&lt;=27,17,IF(H605&lt;=29,18,IF(H605&lt;=32,19,IF(H605&lt;=34,20,IF(H605&lt;=36,21,IF(H605&lt;=40,22,24)))))))))))))</f>
        <v>0</v>
      </c>
      <c r="K605" s="3" t="n">
        <v>0</v>
      </c>
      <c r="M605" s="3" t="n">
        <f aca="false">_xlfn.IFS(K605="взв",11,K605="накл",24,K605="прокл",25,K605="пт",26,K605=90,10,K605=85,10,K605=80,9,K605=75,8,K605=70,8,K605=65,7,K605=60,7,K605=55,6,K605=50,6,K605=45,6,K605=40,5,K605=35,4,K605=30,4,K605=25,3,K605=20,2,K605=15,1,K605=10,1,K605=0,0)</f>
        <v>0</v>
      </c>
      <c r="N605" s="3" t="n">
        <f aca="false">IF(L605&lt;=1,0,IF(L605&lt;=10,11,IF(L605&lt;=14,12,IF(L605&lt;=17,13,IF(L605&lt;=20,14,IF(L605&lt;=22,15,IF(L605&lt;=25,16,IF(L605&lt;=27,17,IF(L605&lt;=29,18,IF(L605&lt;=32,19,IF(L605&lt;=34,20,IF(L605&lt;=36,21,IF(L605&lt;=40,22,24)))))))))))))</f>
        <v>0</v>
      </c>
      <c r="O605" s="3" t="n">
        <v>0</v>
      </c>
      <c r="Q605" s="3" t="n">
        <f aca="false">_xlfn.IFS(O605="взв",11,O605="накл",24,O605="прокл",25,O605="пт",26,O605=90,10,O605=85,10,O605=80,9,O605=75,8,O605=70,8,O605=65,7,O605=60,7,O605=55,6,O605=50,6,O605=45,6,O605=40,5,O605=35,4,O605=30,4,O605=25,3,O605=20,2,O605=15,1,O605=10,1,O605=0,0)</f>
        <v>0</v>
      </c>
      <c r="R605" s="3" t="n">
        <f aca="false">IF(P605&lt;=1,0,IF(P605&lt;=10,11,IF(P605&lt;=14,12,IF(P605&lt;=17,13,IF(P605&lt;=20,14,IF(P605&lt;=22,15,IF(P605&lt;=25,16,IF(P605&lt;=27,17,IF(P605&lt;=29,18,IF(P605&lt;=32,19,IF(P605&lt;=34,20,IF(P605&lt;=36,21,IF(P605&lt;=40,22,24)))))))))))))</f>
        <v>0</v>
      </c>
      <c r="S605" s="14" t="n">
        <f aca="false">ROUND((Q605+R605+I605+J605+M605+N605)/3,0)</f>
        <v>0</v>
      </c>
      <c r="T605" s="15" t="n">
        <f aca="false">F605*LOG10(S605+2)</f>
        <v>15.0514997831991</v>
      </c>
    </row>
    <row r="606" customFormat="false" ht="14.65" hidden="false" customHeight="true" outlineLevel="0" collapsed="false">
      <c r="A606" s="12" t="s">
        <v>669</v>
      </c>
      <c r="B606" s="16" t="n">
        <v>38885</v>
      </c>
      <c r="C606" s="17" t="s">
        <v>228</v>
      </c>
      <c r="D606" s="18" t="s">
        <v>670</v>
      </c>
      <c r="E606" s="3" t="n">
        <v>5</v>
      </c>
      <c r="F606" s="3" t="n">
        <v>2</v>
      </c>
      <c r="H606" s="3" t="n">
        <v>28</v>
      </c>
      <c r="I606" s="3" t="n">
        <f aca="false">_xlfn.IFS(G606="взв",11,G606="накл",24,G606="прокл",25,G606="пт",26,G606=90,10,G606=85,10,G606=80,9,G606=75,8,G606=70,8,G606=65,7,G606=60,7,G606=55,6,G606=50,6,G606=45,6,G606=40,5,G606=35,4,G606=30,4,G606=25,3,G606=20,2,G606=15,1,G606=10,1,G606=0,0)</f>
        <v>0</v>
      </c>
      <c r="J606" s="3" t="n">
        <f aca="false">IF(H606&lt;=1,0,IF(H606&lt;=10,11,IF(H606&lt;=14,12,IF(H606&lt;=17,13,IF(H606&lt;=20,14,IF(H606&lt;=22,15,IF(H606&lt;=25,16,IF(H606&lt;=27,17,IF(H606&lt;=29,18,IF(H606&lt;=32,19,IF(H606&lt;=34,20,IF(H606&lt;=36,21,IF(H606&lt;=40,22,24)))))))))))))</f>
        <v>18</v>
      </c>
      <c r="K606" s="3" t="n">
        <v>75</v>
      </c>
      <c r="M606" s="3" t="n">
        <f aca="false">_xlfn.IFS(K606="взв",11,K606="накл",24,K606="прокл",25,K606="пт",26,K606=90,10,K606=85,10,K606=80,9,K606=75,8,K606=70,8,K606=65,7,K606=60,7,K606=55,6,K606=50,6,K606=45,6,K606=40,5,K606=35,4,K606=30,4,K606=25,3,K606=20,2,K606=15,1,K606=10,1,K606=0,0)</f>
        <v>8</v>
      </c>
      <c r="N606" s="3" t="n">
        <f aca="false">IF(L606&lt;=1,0,IF(L606&lt;=10,11,IF(L606&lt;=14,12,IF(L606&lt;=17,13,IF(L606&lt;=20,14,IF(L606&lt;=22,15,IF(L606&lt;=25,16,IF(L606&lt;=27,17,IF(L606&lt;=29,18,IF(L606&lt;=32,19,IF(L606&lt;=34,20,IF(L606&lt;=36,21,IF(L606&lt;=40,22,24)))))))))))))</f>
        <v>0</v>
      </c>
      <c r="O606" s="3" t="n">
        <v>90</v>
      </c>
      <c r="Q606" s="3" t="n">
        <f aca="false">_xlfn.IFS(O606="взв",11,O606="накл",24,O606="прокл",25,O606="пт",26,O606=90,10,O606=85,10,O606=80,9,O606=75,8,O606=70,8,O606=65,7,O606=60,7,O606=55,6,O606=50,6,O606=45,6,O606=40,5,O606=35,4,O606=30,4,O606=25,3,O606=20,2,O606=15,1,O606=10,1,O606=0,0)</f>
        <v>10</v>
      </c>
      <c r="R606" s="3" t="n">
        <f aca="false">IF(P606&lt;=1,0,IF(P606&lt;=10,11,IF(P606&lt;=14,12,IF(P606&lt;=17,13,IF(P606&lt;=20,14,IF(P606&lt;=22,15,IF(P606&lt;=25,16,IF(P606&lt;=27,17,IF(P606&lt;=29,18,IF(P606&lt;=32,19,IF(P606&lt;=34,20,IF(P606&lt;=36,21,IF(P606&lt;=40,22,24)))))))))))))</f>
        <v>0</v>
      </c>
      <c r="S606" s="14" t="n">
        <f aca="false">ROUND((Q606+R606+I606+J606+M606+N606)/3,0)</f>
        <v>12</v>
      </c>
      <c r="T606" s="15" t="n">
        <f aca="false">F606*LOG10(S606+2)</f>
        <v>2.29225607135648</v>
      </c>
    </row>
    <row r="607" customFormat="false" ht="14.65" hidden="false" customHeight="true" outlineLevel="0" collapsed="false">
      <c r="A607" s="12" t="s">
        <v>671</v>
      </c>
      <c r="B607" s="16" t="n">
        <v>38885</v>
      </c>
      <c r="C607" s="17" t="s">
        <v>228</v>
      </c>
      <c r="D607" s="18" t="s">
        <v>670</v>
      </c>
      <c r="E607" s="3" t="n">
        <v>4</v>
      </c>
      <c r="F607" s="3" t="n">
        <v>3</v>
      </c>
      <c r="H607" s="3" t="n">
        <v>36</v>
      </c>
      <c r="I607" s="3" t="n">
        <f aca="false">_xlfn.IFS(G607="взв",11,G607="накл",24,G607="прокл",25,G607="пт",26,G607=90,10,G607=85,10,G607=80,9,G607=75,8,G607=70,8,G607=65,7,G607=60,7,G607=55,6,G607=50,6,G607=45,6,G607=40,5,G607=35,4,G607=30,4,G607=25,3,G607=20,2,G607=15,1,G607=10,1,G607=0,0)</f>
        <v>0</v>
      </c>
      <c r="J607" s="3" t="n">
        <f aca="false">IF(H607&lt;=1,0,IF(H607&lt;=10,11,IF(H607&lt;=14,12,IF(H607&lt;=17,13,IF(H607&lt;=20,14,IF(H607&lt;=22,15,IF(H607&lt;=25,16,IF(H607&lt;=27,17,IF(H607&lt;=29,18,IF(H607&lt;=32,19,IF(H607&lt;=34,20,IF(H607&lt;=36,21,IF(H607&lt;=40,22,24)))))))))))))</f>
        <v>21</v>
      </c>
      <c r="L607" s="3" t="n">
        <v>35</v>
      </c>
      <c r="M607" s="3" t="n">
        <f aca="false">_xlfn.IFS(K607="взв",11,K607="накл",24,K607="прокл",25,K607="пт",26,K607=90,10,K607=85,10,K607=80,9,K607=75,8,K607=70,8,K607=65,7,K607=60,7,K607=55,6,K607=50,6,K607=45,6,K607=40,5,K607=35,4,K607=30,4,K607=25,3,K607=20,2,K607=15,1,K607=10,1,K607=0,0)</f>
        <v>0</v>
      </c>
      <c r="N607" s="3" t="n">
        <f aca="false">IF(L607&lt;=1,0,IF(L607&lt;=10,11,IF(L607&lt;=14,12,IF(L607&lt;=17,13,IF(L607&lt;=20,14,IF(L607&lt;=22,15,IF(L607&lt;=25,16,IF(L607&lt;=27,17,IF(L607&lt;=29,18,IF(L607&lt;=32,19,IF(L607&lt;=34,20,IF(L607&lt;=36,21,IF(L607&lt;=40,22,24)))))))))))))</f>
        <v>21</v>
      </c>
      <c r="P607" s="3" t="n">
        <v>34</v>
      </c>
      <c r="Q607" s="3" t="n">
        <f aca="false">_xlfn.IFS(O607="взв",11,O607="накл",24,O607="прокл",25,O607="пт",26,O607=90,10,O607=85,10,O607=80,9,O607=75,8,O607=70,8,O607=65,7,O607=60,7,O607=55,6,O607=50,6,O607=45,6,O607=40,5,O607=35,4,O607=30,4,O607=25,3,O607=20,2,O607=15,1,O607=10,1,O607=0,0)</f>
        <v>0</v>
      </c>
      <c r="R607" s="3" t="n">
        <f aca="false">IF(P607&lt;=1,0,IF(P607&lt;=10,11,IF(P607&lt;=14,12,IF(P607&lt;=17,13,IF(P607&lt;=20,14,IF(P607&lt;=22,15,IF(P607&lt;=25,16,IF(P607&lt;=27,17,IF(P607&lt;=29,18,IF(P607&lt;=32,19,IF(P607&lt;=34,20,IF(P607&lt;=36,21,IF(P607&lt;=40,22,24)))))))))))))</f>
        <v>20</v>
      </c>
      <c r="S607" s="14" t="n">
        <f aca="false">ROUND((Q607+R607+I607+J607+M607+N607)/3,0)</f>
        <v>21</v>
      </c>
      <c r="T607" s="15" t="n">
        <f aca="false">F607*LOG10(S607+2)</f>
        <v>4.08518350805278</v>
      </c>
    </row>
    <row r="608" customFormat="false" ht="14.65" hidden="false" customHeight="true" outlineLevel="0" collapsed="false">
      <c r="A608" s="12" t="s">
        <v>672</v>
      </c>
      <c r="B608" s="16" t="n">
        <v>38885</v>
      </c>
      <c r="C608" s="17" t="s">
        <v>228</v>
      </c>
      <c r="D608" s="18" t="s">
        <v>670</v>
      </c>
      <c r="E608" s="3" t="n">
        <v>5</v>
      </c>
      <c r="F608" s="3" t="n">
        <v>3</v>
      </c>
      <c r="G608" s="3" t="n">
        <v>90</v>
      </c>
      <c r="I608" s="3" t="n">
        <f aca="false">_xlfn.IFS(G608="взв",11,G608="накл",24,G608="прокл",25,G608="пт",26,G608=90,10,G608=85,10,G608=80,9,G608=75,8,G608=70,8,G608=65,7,G608=60,7,G608=55,6,G608=50,6,G608=45,6,G608=40,5,G608=35,4,G608=30,4,G608=25,3,G608=20,2,G608=15,1,G608=10,1,G608=0,0)</f>
        <v>10</v>
      </c>
      <c r="J608" s="3" t="n">
        <f aca="false">IF(H608&lt;=1,0,IF(H608&lt;=10,11,IF(H608&lt;=14,12,IF(H608&lt;=17,13,IF(H608&lt;=20,14,IF(H608&lt;=22,15,IF(H608&lt;=25,16,IF(H608&lt;=27,17,IF(H608&lt;=29,18,IF(H608&lt;=32,19,IF(H608&lt;=34,20,IF(H608&lt;=36,21,IF(H608&lt;=40,22,24)))))))))))))</f>
        <v>0</v>
      </c>
      <c r="K608" s="3" t="n">
        <v>75</v>
      </c>
      <c r="M608" s="3" t="n">
        <f aca="false">_xlfn.IFS(K608="взв",11,K608="накл",24,K608="прокл",25,K608="пт",26,K608=90,10,K608=85,10,K608=80,9,K608=75,8,K608=70,8,K608=65,7,K608=60,7,K608=55,6,K608=50,6,K608=45,6,K608=40,5,K608=35,4,K608=30,4,K608=25,3,K608=20,2,K608=15,1,K608=10,1,K608=0,0)</f>
        <v>8</v>
      </c>
      <c r="N608" s="3" t="n">
        <f aca="false">IF(L608&lt;=1,0,IF(L608&lt;=10,11,IF(L608&lt;=14,12,IF(L608&lt;=17,13,IF(L608&lt;=20,14,IF(L608&lt;=22,15,IF(L608&lt;=25,16,IF(L608&lt;=27,17,IF(L608&lt;=29,18,IF(L608&lt;=32,19,IF(L608&lt;=34,20,IF(L608&lt;=36,21,IF(L608&lt;=40,22,24)))))))))))))</f>
        <v>0</v>
      </c>
      <c r="O608" s="3" t="n">
        <v>75</v>
      </c>
      <c r="Q608" s="3" t="n">
        <f aca="false">_xlfn.IFS(O608="взв",11,O608="накл",24,O608="прокл",25,O608="пт",26,O608=90,10,O608=85,10,O608=80,9,O608=75,8,O608=70,8,O608=65,7,O608=60,7,O608=55,6,O608=50,6,O608=45,6,O608=40,5,O608=35,4,O608=30,4,O608=25,3,O608=20,2,O608=15,1,O608=10,1,O608=0,0)</f>
        <v>8</v>
      </c>
      <c r="R608" s="3" t="n">
        <f aca="false">IF(P608&lt;=1,0,IF(P608&lt;=10,11,IF(P608&lt;=14,12,IF(P608&lt;=17,13,IF(P608&lt;=20,14,IF(P608&lt;=22,15,IF(P608&lt;=25,16,IF(P608&lt;=27,17,IF(P608&lt;=29,18,IF(P608&lt;=32,19,IF(P608&lt;=34,20,IF(P608&lt;=36,21,IF(P608&lt;=40,22,24)))))))))))))</f>
        <v>0</v>
      </c>
      <c r="S608" s="14" t="n">
        <f aca="false">ROUND((Q608+R608+I608+J608+M608+N608)/3,0)</f>
        <v>9</v>
      </c>
      <c r="T608" s="15" t="n">
        <f aca="false">F608*LOG10(S608+2)</f>
        <v>3.12417805547468</v>
      </c>
    </row>
    <row r="609" customFormat="false" ht="14.65" hidden="false" customHeight="true" outlineLevel="0" collapsed="false">
      <c r="A609" s="12" t="s">
        <v>673</v>
      </c>
      <c r="B609" s="16" t="n">
        <v>38885</v>
      </c>
      <c r="C609" s="17" t="s">
        <v>228</v>
      </c>
      <c r="D609" s="18" t="s">
        <v>670</v>
      </c>
      <c r="E609" s="3" t="n">
        <v>5</v>
      </c>
      <c r="F609" s="3" t="n">
        <v>4</v>
      </c>
      <c r="H609" s="3" t="n">
        <v>32</v>
      </c>
      <c r="I609" s="3" t="n">
        <f aca="false">_xlfn.IFS(G609="взв",11,G609="накл",24,G609="прокл",25,G609="пт",26,G609=90,10,G609=85,10,G609=80,9,G609=75,8,G609=70,8,G609=65,7,G609=60,7,G609=55,6,G609=50,6,G609=45,6,G609=40,5,G609=35,4,G609=30,4,G609=25,3,G609=20,2,G609=15,1,G609=10,1,G609=0,0)</f>
        <v>0</v>
      </c>
      <c r="J609" s="3" t="n">
        <f aca="false">IF(H609&lt;=1,0,IF(H609&lt;=10,11,IF(H609&lt;=14,12,IF(H609&lt;=17,13,IF(H609&lt;=20,14,IF(H609&lt;=22,15,IF(H609&lt;=25,16,IF(H609&lt;=27,17,IF(H609&lt;=29,18,IF(H609&lt;=32,19,IF(H609&lt;=34,20,IF(H609&lt;=36,21,IF(H609&lt;=40,22,24)))))))))))))</f>
        <v>19</v>
      </c>
      <c r="L609" s="3" t="n">
        <v>33</v>
      </c>
      <c r="M609" s="3" t="n">
        <f aca="false">_xlfn.IFS(K609="взв",11,K609="накл",24,K609="прокл",25,K609="пт",26,K609=90,10,K609=85,10,K609=80,9,K609=75,8,K609=70,8,K609=65,7,K609=60,7,K609=55,6,K609=50,6,K609=45,6,K609=40,5,K609=35,4,K609=30,4,K609=25,3,K609=20,2,K609=15,1,K609=10,1,K609=0,0)</f>
        <v>0</v>
      </c>
      <c r="N609" s="3" t="n">
        <f aca="false">IF(L609&lt;=1,0,IF(L609&lt;=10,11,IF(L609&lt;=14,12,IF(L609&lt;=17,13,IF(L609&lt;=20,14,IF(L609&lt;=22,15,IF(L609&lt;=25,16,IF(L609&lt;=27,17,IF(L609&lt;=29,18,IF(L609&lt;=32,19,IF(L609&lt;=34,20,IF(L609&lt;=36,21,IF(L609&lt;=40,22,24)))))))))))))</f>
        <v>20</v>
      </c>
      <c r="P609" s="3" t="n">
        <v>30</v>
      </c>
      <c r="Q609" s="3" t="n">
        <f aca="false">_xlfn.IFS(O609="взв",11,O609="накл",24,O609="прокл",25,O609="пт",26,O609=90,10,O609=85,10,O609=80,9,O609=75,8,O609=70,8,O609=65,7,O609=60,7,O609=55,6,O609=50,6,O609=45,6,O609=40,5,O609=35,4,O609=30,4,O609=25,3,O609=20,2,O609=15,1,O609=10,1,O609=0,0)</f>
        <v>0</v>
      </c>
      <c r="R609" s="3" t="n">
        <f aca="false">IF(P609&lt;=1,0,IF(P609&lt;=10,11,IF(P609&lt;=14,12,IF(P609&lt;=17,13,IF(P609&lt;=20,14,IF(P609&lt;=22,15,IF(P609&lt;=25,16,IF(P609&lt;=27,17,IF(P609&lt;=29,18,IF(P609&lt;=32,19,IF(P609&lt;=34,20,IF(P609&lt;=36,21,IF(P609&lt;=40,22,24)))))))))))))</f>
        <v>19</v>
      </c>
      <c r="S609" s="14" t="n">
        <f aca="false">ROUND((Q609+R609+I609+J609+M609+N609)/3,0)</f>
        <v>19</v>
      </c>
      <c r="T609" s="15" t="n">
        <f aca="false">F609*LOG10(S609+2)</f>
        <v>5.28887717893568</v>
      </c>
    </row>
    <row r="610" customFormat="false" ht="14.65" hidden="false" customHeight="true" outlineLevel="0" collapsed="false">
      <c r="A610" s="12" t="s">
        <v>674</v>
      </c>
      <c r="B610" s="16" t="n">
        <v>38885</v>
      </c>
      <c r="C610" s="17" t="s">
        <v>228</v>
      </c>
      <c r="D610" s="18" t="s">
        <v>670</v>
      </c>
      <c r="E610" s="3" t="n">
        <v>4</v>
      </c>
      <c r="F610" s="3" t="n">
        <v>5</v>
      </c>
      <c r="H610" s="3" t="n">
        <v>34</v>
      </c>
      <c r="I610" s="3" t="n">
        <f aca="false">_xlfn.IFS(G610="взв",11,G610="накл",24,G610="прокл",25,G610="пт",26,G610=90,10,G610=85,10,G610=80,9,G610=75,8,G610=70,8,G610=65,7,G610=60,7,G610=55,6,G610=50,6,G610=45,6,G610=40,5,G610=35,4,G610=30,4,G610=25,3,G610=20,2,G610=15,1,G610=10,1,G610=0,0)</f>
        <v>0</v>
      </c>
      <c r="J610" s="3" t="n">
        <f aca="false">IF(H610&lt;=1,0,IF(H610&lt;=10,11,IF(H610&lt;=14,12,IF(H610&lt;=17,13,IF(H610&lt;=20,14,IF(H610&lt;=22,15,IF(H610&lt;=25,16,IF(H610&lt;=27,17,IF(H610&lt;=29,18,IF(H610&lt;=32,19,IF(H610&lt;=34,20,IF(H610&lt;=36,21,IF(H610&lt;=40,22,24)))))))))))))</f>
        <v>20</v>
      </c>
      <c r="L610" s="3" t="n">
        <v>37</v>
      </c>
      <c r="M610" s="3" t="n">
        <f aca="false">_xlfn.IFS(K610="взв",11,K610="накл",24,K610="прокл",25,K610="пт",26,K610=90,10,K610=85,10,K610=80,9,K610=75,8,K610=70,8,K610=65,7,K610=60,7,K610=55,6,K610=50,6,K610=45,6,K610=40,5,K610=35,4,K610=30,4,K610=25,3,K610=20,2,K610=15,1,K610=10,1,K610=0,0)</f>
        <v>0</v>
      </c>
      <c r="N610" s="3" t="n">
        <f aca="false">IF(L610&lt;=1,0,IF(L610&lt;=10,11,IF(L610&lt;=14,12,IF(L610&lt;=17,13,IF(L610&lt;=20,14,IF(L610&lt;=22,15,IF(L610&lt;=25,16,IF(L610&lt;=27,17,IF(L610&lt;=29,18,IF(L610&lt;=32,19,IF(L610&lt;=34,20,IF(L610&lt;=36,21,IF(L610&lt;=40,22,24)))))))))))))</f>
        <v>22</v>
      </c>
      <c r="P610" s="3" t="n">
        <v>35</v>
      </c>
      <c r="Q610" s="3" t="n">
        <f aca="false">_xlfn.IFS(O610="взв",11,O610="накл",24,O610="прокл",25,O610="пт",26,O610=90,10,O610=85,10,O610=80,9,O610=75,8,O610=70,8,O610=65,7,O610=60,7,O610=55,6,O610=50,6,O610=45,6,O610=40,5,O610=35,4,O610=30,4,O610=25,3,O610=20,2,O610=15,1,O610=10,1,O610=0,0)</f>
        <v>0</v>
      </c>
      <c r="R610" s="3" t="n">
        <f aca="false">IF(P610&lt;=1,0,IF(P610&lt;=10,11,IF(P610&lt;=14,12,IF(P610&lt;=17,13,IF(P610&lt;=20,14,IF(P610&lt;=22,15,IF(P610&lt;=25,16,IF(P610&lt;=27,17,IF(P610&lt;=29,18,IF(P610&lt;=32,19,IF(P610&lt;=34,20,IF(P610&lt;=36,21,IF(P610&lt;=40,22,24)))))))))))))</f>
        <v>21</v>
      </c>
      <c r="S610" s="14" t="n">
        <f aca="false">ROUND((Q610+R610+I610+J610+M610+N610)/3,0)</f>
        <v>21</v>
      </c>
      <c r="T610" s="15" t="n">
        <f aca="false">F610*LOG10(S610+2)</f>
        <v>6.80863918008796</v>
      </c>
    </row>
    <row r="611" customFormat="false" ht="14.65" hidden="false" customHeight="true" outlineLevel="0" collapsed="false">
      <c r="A611" s="12" t="s">
        <v>675</v>
      </c>
      <c r="B611" s="16" t="n">
        <v>38885</v>
      </c>
      <c r="C611" s="17" t="s">
        <v>228</v>
      </c>
      <c r="D611" s="18" t="s">
        <v>670</v>
      </c>
      <c r="E611" s="3" t="n">
        <v>5</v>
      </c>
      <c r="F611" s="3" t="n">
        <v>5</v>
      </c>
      <c r="H611" s="3" t="n">
        <v>33</v>
      </c>
      <c r="I611" s="3" t="n">
        <f aca="false">_xlfn.IFS(G611="взв",11,G611="накл",24,G611="прокл",25,G611="пт",26,G611=90,10,G611=85,10,G611=80,9,G611=75,8,G611=70,8,G611=65,7,G611=60,7,G611=55,6,G611=50,6,G611=45,6,G611=40,5,G611=35,4,G611=30,4,G611=25,3,G611=20,2,G611=15,1,G611=10,1,G611=0,0)</f>
        <v>0</v>
      </c>
      <c r="J611" s="3" t="n">
        <f aca="false">IF(H611&lt;=1,0,IF(H611&lt;=10,11,IF(H611&lt;=14,12,IF(H611&lt;=17,13,IF(H611&lt;=20,14,IF(H611&lt;=22,15,IF(H611&lt;=25,16,IF(H611&lt;=27,17,IF(H611&lt;=29,18,IF(H611&lt;=32,19,IF(H611&lt;=34,20,IF(H611&lt;=36,21,IF(H611&lt;=40,22,24)))))))))))))</f>
        <v>20</v>
      </c>
      <c r="L611" s="3" t="n">
        <v>32</v>
      </c>
      <c r="M611" s="3" t="n">
        <f aca="false">_xlfn.IFS(K611="взв",11,K611="накл",24,K611="прокл",25,K611="пт",26,K611=90,10,K611=85,10,K611=80,9,K611=75,8,K611=70,8,K611=65,7,K611=60,7,K611=55,6,K611=50,6,K611=45,6,K611=40,5,K611=35,4,K611=30,4,K611=25,3,K611=20,2,K611=15,1,K611=10,1,K611=0,0)</f>
        <v>0</v>
      </c>
      <c r="N611" s="3" t="n">
        <f aca="false">IF(L611&lt;=1,0,IF(L611&lt;=10,11,IF(L611&lt;=14,12,IF(L611&lt;=17,13,IF(L611&lt;=20,14,IF(L611&lt;=22,15,IF(L611&lt;=25,16,IF(L611&lt;=27,17,IF(L611&lt;=29,18,IF(L611&lt;=32,19,IF(L611&lt;=34,20,IF(L611&lt;=36,21,IF(L611&lt;=40,22,24)))))))))))))</f>
        <v>19</v>
      </c>
      <c r="P611" s="3" t="n">
        <v>30</v>
      </c>
      <c r="Q611" s="3" t="n">
        <f aca="false">_xlfn.IFS(O611="взв",11,O611="накл",24,O611="прокл",25,O611="пт",26,O611=90,10,O611=85,10,O611=80,9,O611=75,8,O611=70,8,O611=65,7,O611=60,7,O611=55,6,O611=50,6,O611=45,6,O611=40,5,O611=35,4,O611=30,4,O611=25,3,O611=20,2,O611=15,1,O611=10,1,O611=0,0)</f>
        <v>0</v>
      </c>
      <c r="R611" s="3" t="n">
        <f aca="false">IF(P611&lt;=1,0,IF(P611&lt;=10,11,IF(P611&lt;=14,12,IF(P611&lt;=17,13,IF(P611&lt;=20,14,IF(P611&lt;=22,15,IF(P611&lt;=25,16,IF(P611&lt;=27,17,IF(P611&lt;=29,18,IF(P611&lt;=32,19,IF(P611&lt;=34,20,IF(P611&lt;=36,21,IF(P611&lt;=40,22,24)))))))))))))</f>
        <v>19</v>
      </c>
      <c r="S611" s="14" t="n">
        <f aca="false">ROUND((Q611+R611+I611+J611+M611+N611)/3,0)</f>
        <v>19</v>
      </c>
      <c r="T611" s="15" t="n">
        <f aca="false">F611*LOG10(S611+2)</f>
        <v>6.6110964736696</v>
      </c>
    </row>
    <row r="612" customFormat="false" ht="14.65" hidden="false" customHeight="true" outlineLevel="0" collapsed="false">
      <c r="A612" s="12" t="s">
        <v>676</v>
      </c>
      <c r="B612" s="16" t="n">
        <v>38885</v>
      </c>
      <c r="C612" s="17" t="s">
        <v>228</v>
      </c>
      <c r="D612" s="18" t="s">
        <v>670</v>
      </c>
      <c r="E612" s="3" t="n">
        <v>4</v>
      </c>
      <c r="F612" s="3" t="n">
        <v>5</v>
      </c>
      <c r="H612" s="3" t="n">
        <v>33</v>
      </c>
      <c r="I612" s="3" t="n">
        <f aca="false">_xlfn.IFS(G612="взв",11,G612="накл",24,G612="прокл",25,G612="пт",26,G612=90,10,G612=85,10,G612=80,9,G612=75,8,G612=70,8,G612=65,7,G612=60,7,G612=55,6,G612=50,6,G612=45,6,G612=40,5,G612=35,4,G612=30,4,G612=25,3,G612=20,2,G612=15,1,G612=10,1,G612=0,0)</f>
        <v>0</v>
      </c>
      <c r="J612" s="3" t="n">
        <f aca="false">IF(H612&lt;=1,0,IF(H612&lt;=10,11,IF(H612&lt;=14,12,IF(H612&lt;=17,13,IF(H612&lt;=20,14,IF(H612&lt;=22,15,IF(H612&lt;=25,16,IF(H612&lt;=27,17,IF(H612&lt;=29,18,IF(H612&lt;=32,19,IF(H612&lt;=34,20,IF(H612&lt;=36,21,IF(H612&lt;=40,22,24)))))))))))))</f>
        <v>20</v>
      </c>
      <c r="L612" s="3" t="n">
        <v>28</v>
      </c>
      <c r="M612" s="3" t="n">
        <f aca="false">_xlfn.IFS(K612="взв",11,K612="накл",24,K612="прокл",25,K612="пт",26,K612=90,10,K612=85,10,K612=80,9,K612=75,8,K612=70,8,K612=65,7,K612=60,7,K612=55,6,K612=50,6,K612=45,6,K612=40,5,K612=35,4,K612=30,4,K612=25,3,K612=20,2,K612=15,1,K612=10,1,K612=0,0)</f>
        <v>0</v>
      </c>
      <c r="N612" s="3" t="n">
        <f aca="false">IF(L612&lt;=1,0,IF(L612&lt;=10,11,IF(L612&lt;=14,12,IF(L612&lt;=17,13,IF(L612&lt;=20,14,IF(L612&lt;=22,15,IF(L612&lt;=25,16,IF(L612&lt;=27,17,IF(L612&lt;=29,18,IF(L612&lt;=32,19,IF(L612&lt;=34,20,IF(L612&lt;=36,21,IF(L612&lt;=40,22,24)))))))))))))</f>
        <v>18</v>
      </c>
      <c r="P612" s="3" t="n">
        <v>30</v>
      </c>
      <c r="Q612" s="3" t="n">
        <f aca="false">_xlfn.IFS(O612="взв",11,O612="накл",24,O612="прокл",25,O612="пт",26,O612=90,10,O612=85,10,O612=80,9,O612=75,8,O612=70,8,O612=65,7,O612=60,7,O612=55,6,O612=50,6,O612=45,6,O612=40,5,O612=35,4,O612=30,4,O612=25,3,O612=20,2,O612=15,1,O612=10,1,O612=0,0)</f>
        <v>0</v>
      </c>
      <c r="R612" s="3" t="n">
        <f aca="false">IF(P612&lt;=1,0,IF(P612&lt;=10,11,IF(P612&lt;=14,12,IF(P612&lt;=17,13,IF(P612&lt;=20,14,IF(P612&lt;=22,15,IF(P612&lt;=25,16,IF(P612&lt;=27,17,IF(P612&lt;=29,18,IF(P612&lt;=32,19,IF(P612&lt;=34,20,IF(P612&lt;=36,21,IF(P612&lt;=40,22,24)))))))))))))</f>
        <v>19</v>
      </c>
      <c r="S612" s="14" t="n">
        <f aca="false">ROUND((Q612+R612+I612+J612+M612+N612)/3,0)</f>
        <v>19</v>
      </c>
      <c r="T612" s="15" t="n">
        <f aca="false">F612*LOG10(S612+2)</f>
        <v>6.6110964736696</v>
      </c>
    </row>
    <row r="613" customFormat="false" ht="14.65" hidden="false" customHeight="true" outlineLevel="0" collapsed="false">
      <c r="A613" s="12" t="s">
        <v>677</v>
      </c>
      <c r="B613" s="16" t="n">
        <v>38885</v>
      </c>
      <c r="C613" s="17" t="s">
        <v>228</v>
      </c>
      <c r="D613" s="18" t="s">
        <v>670</v>
      </c>
      <c r="E613" s="3" t="n">
        <v>5</v>
      </c>
      <c r="F613" s="3" t="n">
        <v>5</v>
      </c>
      <c r="G613" s="3" t="n">
        <v>75</v>
      </c>
      <c r="I613" s="3" t="n">
        <f aca="false">_xlfn.IFS(G613="взв",11,G613="накл",24,G613="прокл",25,G613="пт",26,G613=90,10,G613=85,10,G613=80,9,G613=75,8,G613=70,8,G613=65,7,G613=60,7,G613=55,6,G613=50,6,G613=45,6,G613=40,5,G613=35,4,G613=30,4,G613=25,3,G613=20,2,G613=15,1,G613=10,1,G613=0,0)</f>
        <v>8</v>
      </c>
      <c r="J613" s="3" t="n">
        <f aca="false">IF(H613&lt;=1,0,IF(H613&lt;=10,11,IF(H613&lt;=14,12,IF(H613&lt;=17,13,IF(H613&lt;=20,14,IF(H613&lt;=22,15,IF(H613&lt;=25,16,IF(H613&lt;=27,17,IF(H613&lt;=29,18,IF(H613&lt;=32,19,IF(H613&lt;=34,20,IF(H613&lt;=36,21,IF(H613&lt;=40,22,24)))))))))))))</f>
        <v>0</v>
      </c>
      <c r="K613" s="3" t="n">
        <v>75</v>
      </c>
      <c r="M613" s="3" t="n">
        <f aca="false">_xlfn.IFS(K613="взв",11,K613="накл",24,K613="прокл",25,K613="пт",26,K613=90,10,K613=85,10,K613=80,9,K613=75,8,K613=70,8,K613=65,7,K613=60,7,K613=55,6,K613=50,6,K613=45,6,K613=40,5,K613=35,4,K613=30,4,K613=25,3,K613=20,2,K613=15,1,K613=10,1,K613=0,0)</f>
        <v>8</v>
      </c>
      <c r="N613" s="3" t="n">
        <f aca="false">IF(L613&lt;=1,0,IF(L613&lt;=10,11,IF(L613&lt;=14,12,IF(L613&lt;=17,13,IF(L613&lt;=20,14,IF(L613&lt;=22,15,IF(L613&lt;=25,16,IF(L613&lt;=27,17,IF(L613&lt;=29,18,IF(L613&lt;=32,19,IF(L613&lt;=34,20,IF(L613&lt;=36,21,IF(L613&lt;=40,22,24)))))))))))))</f>
        <v>0</v>
      </c>
      <c r="O613" s="3" t="n">
        <v>75</v>
      </c>
      <c r="Q613" s="3" t="n">
        <f aca="false">_xlfn.IFS(O613="взв",11,O613="накл",24,O613="прокл",25,O613="пт",26,O613=90,10,O613=85,10,O613=80,9,O613=75,8,O613=70,8,O613=65,7,O613=60,7,O613=55,6,O613=50,6,O613=45,6,O613=40,5,O613=35,4,O613=30,4,O613=25,3,O613=20,2,O613=15,1,O613=10,1,O613=0,0)</f>
        <v>8</v>
      </c>
      <c r="R613" s="3" t="n">
        <f aca="false">IF(P613&lt;=1,0,IF(P613&lt;=10,11,IF(P613&lt;=14,12,IF(P613&lt;=17,13,IF(P613&lt;=20,14,IF(P613&lt;=22,15,IF(P613&lt;=25,16,IF(P613&lt;=27,17,IF(P613&lt;=29,18,IF(P613&lt;=32,19,IF(P613&lt;=34,20,IF(P613&lt;=36,21,IF(P613&lt;=40,22,24)))))))))))))</f>
        <v>0</v>
      </c>
      <c r="S613" s="14" t="n">
        <f aca="false">ROUND((Q613+R613+I613+J613+M613+N613)/3,0)</f>
        <v>8</v>
      </c>
      <c r="T613" s="15" t="n">
        <f aca="false">F613*LOG10(S613+2)</f>
        <v>5</v>
      </c>
    </row>
    <row r="614" customFormat="false" ht="14.65" hidden="false" customHeight="true" outlineLevel="0" collapsed="false">
      <c r="A614" s="12" t="s">
        <v>678</v>
      </c>
      <c r="B614" s="16" t="n">
        <v>38885</v>
      </c>
      <c r="C614" s="17" t="s">
        <v>228</v>
      </c>
      <c r="D614" s="18" t="s">
        <v>670</v>
      </c>
      <c r="E614" s="3" t="n">
        <v>4</v>
      </c>
      <c r="F614" s="3" t="n">
        <v>5</v>
      </c>
      <c r="G614" s="3" t="n">
        <v>60</v>
      </c>
      <c r="I614" s="3" t="n">
        <f aca="false">_xlfn.IFS(G614="взв",11,G614="накл",24,G614="прокл",25,G614="пт",26,G614=90,10,G614=85,10,G614=80,9,G614=75,8,G614=70,8,G614=65,7,G614=60,7,G614=55,6,G614=50,6,G614=45,6,G614=40,5,G614=35,4,G614=30,4,G614=25,3,G614=20,2,G614=15,1,G614=10,1,G614=0,0)</f>
        <v>7</v>
      </c>
      <c r="J614" s="3" t="n">
        <f aca="false">IF(H614&lt;=1,0,IF(H614&lt;=10,11,IF(H614&lt;=14,12,IF(H614&lt;=17,13,IF(H614&lt;=20,14,IF(H614&lt;=22,15,IF(H614&lt;=25,16,IF(H614&lt;=27,17,IF(H614&lt;=29,18,IF(H614&lt;=32,19,IF(H614&lt;=34,20,IF(H614&lt;=36,21,IF(H614&lt;=40,22,24)))))))))))))</f>
        <v>0</v>
      </c>
      <c r="K614" s="3" t="n">
        <v>60</v>
      </c>
      <c r="M614" s="3" t="n">
        <f aca="false">_xlfn.IFS(K614="взв",11,K614="накл",24,K614="прокл",25,K614="пт",26,K614=90,10,K614=85,10,K614=80,9,K614=75,8,K614=70,8,K614=65,7,K614=60,7,K614=55,6,K614=50,6,K614=45,6,K614=40,5,K614=35,4,K614=30,4,K614=25,3,K614=20,2,K614=15,1,K614=10,1,K614=0,0)</f>
        <v>7</v>
      </c>
      <c r="N614" s="3" t="n">
        <f aca="false">IF(L614&lt;=1,0,IF(L614&lt;=10,11,IF(L614&lt;=14,12,IF(L614&lt;=17,13,IF(L614&lt;=20,14,IF(L614&lt;=22,15,IF(L614&lt;=25,16,IF(L614&lt;=27,17,IF(L614&lt;=29,18,IF(L614&lt;=32,19,IF(L614&lt;=34,20,IF(L614&lt;=36,21,IF(L614&lt;=40,22,24)))))))))))))</f>
        <v>0</v>
      </c>
      <c r="O614" s="3" t="n">
        <v>75</v>
      </c>
      <c r="Q614" s="3" t="n">
        <f aca="false">_xlfn.IFS(O614="взв",11,O614="накл",24,O614="прокл",25,O614="пт",26,O614=90,10,O614=85,10,O614=80,9,O614=75,8,O614=70,8,O614=65,7,O614=60,7,O614=55,6,O614=50,6,O614=45,6,O614=40,5,O614=35,4,O614=30,4,O614=25,3,O614=20,2,O614=15,1,O614=10,1,O614=0,0)</f>
        <v>8</v>
      </c>
      <c r="R614" s="3" t="n">
        <f aca="false">IF(P614&lt;=1,0,IF(P614&lt;=10,11,IF(P614&lt;=14,12,IF(P614&lt;=17,13,IF(P614&lt;=20,14,IF(P614&lt;=22,15,IF(P614&lt;=25,16,IF(P614&lt;=27,17,IF(P614&lt;=29,18,IF(P614&lt;=32,19,IF(P614&lt;=34,20,IF(P614&lt;=36,21,IF(P614&lt;=40,22,24)))))))))))))</f>
        <v>0</v>
      </c>
      <c r="S614" s="14" t="n">
        <f aca="false">ROUND((Q614+R614+I614+J614+M614+N614)/3,0)</f>
        <v>7</v>
      </c>
      <c r="T614" s="15" t="n">
        <f aca="false">F614*LOG10(S614+2)</f>
        <v>4.77121254719662</v>
      </c>
    </row>
    <row r="615" customFormat="false" ht="14.65" hidden="false" customHeight="true" outlineLevel="0" collapsed="false">
      <c r="A615" s="12" t="s">
        <v>679</v>
      </c>
      <c r="B615" s="16" t="n">
        <v>38885</v>
      </c>
      <c r="C615" s="17" t="s">
        <v>228</v>
      </c>
      <c r="D615" s="18" t="s">
        <v>670</v>
      </c>
      <c r="E615" s="3" t="n">
        <v>6</v>
      </c>
      <c r="F615" s="3" t="n">
        <v>6</v>
      </c>
      <c r="H615" s="3" t="n">
        <v>29</v>
      </c>
      <c r="I615" s="3" t="n">
        <f aca="false">_xlfn.IFS(G615="взв",11,G615="накл",24,G615="прокл",25,G615="пт",26,G615=90,10,G615=85,10,G615=80,9,G615=75,8,G615=70,8,G615=65,7,G615=60,7,G615=55,6,G615=50,6,G615=45,6,G615=40,5,G615=35,4,G615=30,4,G615=25,3,G615=20,2,G615=15,1,G615=10,1,G615=0,0)</f>
        <v>0</v>
      </c>
      <c r="J615" s="3" t="n">
        <f aca="false">IF(H615&lt;=1,0,IF(H615&lt;=10,11,IF(H615&lt;=14,12,IF(H615&lt;=17,13,IF(H615&lt;=20,14,IF(H615&lt;=22,15,IF(H615&lt;=25,16,IF(H615&lt;=27,17,IF(H615&lt;=29,18,IF(H615&lt;=32,19,IF(H615&lt;=34,20,IF(H615&lt;=36,21,IF(H615&lt;=40,22,24)))))))))))))</f>
        <v>18</v>
      </c>
      <c r="L615" s="3" t="n">
        <v>33</v>
      </c>
      <c r="M615" s="3" t="n">
        <f aca="false">_xlfn.IFS(K615="взв",11,K615="накл",24,K615="прокл",25,K615="пт",26,K615=90,10,K615=85,10,K615=80,9,K615=75,8,K615=70,8,K615=65,7,K615=60,7,K615=55,6,K615=50,6,K615=45,6,K615=40,5,K615=35,4,K615=30,4,K615=25,3,K615=20,2,K615=15,1,K615=10,1,K615=0,0)</f>
        <v>0</v>
      </c>
      <c r="N615" s="3" t="n">
        <f aca="false">IF(L615&lt;=1,0,IF(L615&lt;=10,11,IF(L615&lt;=14,12,IF(L615&lt;=17,13,IF(L615&lt;=20,14,IF(L615&lt;=22,15,IF(L615&lt;=25,16,IF(L615&lt;=27,17,IF(L615&lt;=29,18,IF(L615&lt;=32,19,IF(L615&lt;=34,20,IF(L615&lt;=36,21,IF(L615&lt;=40,22,24)))))))))))))</f>
        <v>20</v>
      </c>
      <c r="P615" s="3" t="n">
        <v>34</v>
      </c>
      <c r="Q615" s="3" t="n">
        <f aca="false">_xlfn.IFS(O615="взв",11,O615="накл",24,O615="прокл",25,O615="пт",26,O615=90,10,O615=85,10,O615=80,9,O615=75,8,O615=70,8,O615=65,7,O615=60,7,O615=55,6,O615=50,6,O615=45,6,O615=40,5,O615=35,4,O615=30,4,O615=25,3,O615=20,2,O615=15,1,O615=10,1,O615=0,0)</f>
        <v>0</v>
      </c>
      <c r="R615" s="3" t="n">
        <f aca="false">IF(P615&lt;=1,0,IF(P615&lt;=10,11,IF(P615&lt;=14,12,IF(P615&lt;=17,13,IF(P615&lt;=20,14,IF(P615&lt;=22,15,IF(P615&lt;=25,16,IF(P615&lt;=27,17,IF(P615&lt;=29,18,IF(P615&lt;=32,19,IF(P615&lt;=34,20,IF(P615&lt;=36,21,IF(P615&lt;=40,22,24)))))))))))))</f>
        <v>20</v>
      </c>
      <c r="S615" s="14" t="n">
        <f aca="false">ROUND((Q615+R615+I615+J615+M615+N615)/3,0)</f>
        <v>19</v>
      </c>
      <c r="T615" s="15" t="n">
        <f aca="false">F615*LOG10(S615+2)</f>
        <v>7.93331576840352</v>
      </c>
    </row>
    <row r="616" customFormat="false" ht="14.65" hidden="false" customHeight="true" outlineLevel="0" collapsed="false">
      <c r="A616" s="12" t="s">
        <v>680</v>
      </c>
      <c r="B616" s="16" t="n">
        <v>38885</v>
      </c>
      <c r="C616" s="17" t="s">
        <v>228</v>
      </c>
      <c r="D616" s="18" t="s">
        <v>670</v>
      </c>
      <c r="E616" s="3" t="n">
        <v>3</v>
      </c>
      <c r="F616" s="3" t="n">
        <v>6</v>
      </c>
      <c r="H616" s="3" t="n">
        <v>19</v>
      </c>
      <c r="I616" s="3" t="n">
        <f aca="false">_xlfn.IFS(G616="взв",11,G616="накл",24,G616="прокл",25,G616="пт",26,G616=90,10,G616=85,10,G616=80,9,G616=75,8,G616=70,8,G616=65,7,G616=60,7,G616=55,6,G616=50,6,G616=45,6,G616=40,5,G616=35,4,G616=30,4,G616=25,3,G616=20,2,G616=15,1,G616=10,1,G616=0,0)</f>
        <v>0</v>
      </c>
      <c r="J616" s="3" t="n">
        <f aca="false">IF(H616&lt;=1,0,IF(H616&lt;=10,11,IF(H616&lt;=14,12,IF(H616&lt;=17,13,IF(H616&lt;=20,14,IF(H616&lt;=22,15,IF(H616&lt;=25,16,IF(H616&lt;=27,17,IF(H616&lt;=29,18,IF(H616&lt;=32,19,IF(H616&lt;=34,20,IF(H616&lt;=36,21,IF(H616&lt;=40,22,24)))))))))))))</f>
        <v>14</v>
      </c>
      <c r="K616" s="3" t="n">
        <v>90</v>
      </c>
      <c r="M616" s="3" t="n">
        <f aca="false">_xlfn.IFS(K616="взв",11,K616="накл",24,K616="прокл",25,K616="пт",26,K616=90,10,K616=85,10,K616=80,9,K616=75,8,K616=70,8,K616=65,7,K616=60,7,K616=55,6,K616=50,6,K616=45,6,K616=40,5,K616=35,4,K616=30,4,K616=25,3,K616=20,2,K616=15,1,K616=10,1,K616=0,0)</f>
        <v>10</v>
      </c>
      <c r="N616" s="3" t="n">
        <f aca="false">IF(L616&lt;=1,0,IF(L616&lt;=10,11,IF(L616&lt;=14,12,IF(L616&lt;=17,13,IF(L616&lt;=20,14,IF(L616&lt;=22,15,IF(L616&lt;=25,16,IF(L616&lt;=27,17,IF(L616&lt;=29,18,IF(L616&lt;=32,19,IF(L616&lt;=34,20,IF(L616&lt;=36,21,IF(L616&lt;=40,22,24)))))))))))))</f>
        <v>0</v>
      </c>
      <c r="Q616" s="3" t="n">
        <f aca="false">_xlfn.IFS(O616="взв",11,O616="накл",24,O616="прокл",25,O616="пт",26,O616=90,10,O616=85,10,O616=80,9,O616=75,8,O616=70,8,O616=65,7,O616=60,7,O616=55,6,O616=50,6,O616=45,6,O616=40,5,O616=35,4,O616=30,4,O616=25,3,O616=20,2,O616=15,1,O616=10,1,O616=0,0)</f>
        <v>0</v>
      </c>
      <c r="R616" s="3" t="n">
        <f aca="false">IF(P616&lt;=1,0,IF(P616&lt;=10,11,IF(P616&lt;=14,12,IF(P616&lt;=17,13,IF(P616&lt;=20,14,IF(P616&lt;=22,15,IF(P616&lt;=25,16,IF(P616&lt;=27,17,IF(P616&lt;=29,18,IF(P616&lt;=32,19,IF(P616&lt;=34,20,IF(P616&lt;=36,21,IF(P616&lt;=40,22,24)))))))))))))</f>
        <v>0</v>
      </c>
      <c r="S616" s="14" t="n">
        <f aca="false">ROUND((Q616+R616+I616+J616+M616+N616)/2,0)</f>
        <v>12</v>
      </c>
      <c r="T616" s="15" t="n">
        <f aca="false">F616*LOG10(S616+2)</f>
        <v>6.87676821406943</v>
      </c>
    </row>
    <row r="617" customFormat="false" ht="14.65" hidden="false" customHeight="true" outlineLevel="0" collapsed="false">
      <c r="A617" s="12" t="s">
        <v>681</v>
      </c>
      <c r="B617" s="16" t="n">
        <v>38885</v>
      </c>
      <c r="C617" s="17" t="s">
        <v>228</v>
      </c>
      <c r="D617" s="18" t="s">
        <v>670</v>
      </c>
      <c r="E617" s="3" t="n">
        <v>5</v>
      </c>
      <c r="F617" s="3" t="n">
        <v>6</v>
      </c>
      <c r="G617" s="3" t="n">
        <v>90</v>
      </c>
      <c r="I617" s="3" t="n">
        <f aca="false">_xlfn.IFS(G617="взв",11,G617="накл",24,G617="прокл",25,G617="пт",26,G617=90,10,G617=85,10,G617=80,9,G617=75,8,G617=70,8,G617=65,7,G617=60,7,G617=55,6,G617=50,6,G617=45,6,G617=40,5,G617=35,4,G617=30,4,G617=25,3,G617=20,2,G617=15,1,G617=10,1,G617=0,0)</f>
        <v>10</v>
      </c>
      <c r="J617" s="3" t="n">
        <f aca="false">IF(H617&lt;=1,0,IF(H617&lt;=10,11,IF(H617&lt;=14,12,IF(H617&lt;=17,13,IF(H617&lt;=20,14,IF(H617&lt;=22,15,IF(H617&lt;=25,16,IF(H617&lt;=27,17,IF(H617&lt;=29,18,IF(H617&lt;=32,19,IF(H617&lt;=34,20,IF(H617&lt;=36,21,IF(H617&lt;=40,22,24)))))))))))))</f>
        <v>0</v>
      </c>
      <c r="K617" s="3" t="n">
        <v>90</v>
      </c>
      <c r="M617" s="3" t="n">
        <f aca="false">_xlfn.IFS(K617="взв",11,K617="накл",24,K617="прокл",25,K617="пт",26,K617=90,10,K617=85,10,K617=80,9,K617=75,8,K617=70,8,K617=65,7,K617=60,7,K617=55,6,K617=50,6,K617=45,6,K617=40,5,K617=35,4,K617=30,4,K617=25,3,K617=20,2,K617=15,1,K617=10,1,K617=0,0)</f>
        <v>10</v>
      </c>
      <c r="N617" s="3" t="n">
        <f aca="false">IF(L617&lt;=1,0,IF(L617&lt;=10,11,IF(L617&lt;=14,12,IF(L617&lt;=17,13,IF(L617&lt;=20,14,IF(L617&lt;=22,15,IF(L617&lt;=25,16,IF(L617&lt;=27,17,IF(L617&lt;=29,18,IF(L617&lt;=32,19,IF(L617&lt;=34,20,IF(L617&lt;=36,21,IF(L617&lt;=40,22,24)))))))))))))</f>
        <v>0</v>
      </c>
      <c r="O617" s="3" t="n">
        <v>90</v>
      </c>
      <c r="Q617" s="3" t="n">
        <f aca="false">_xlfn.IFS(O617="взв",11,O617="накл",24,O617="прокл",25,O617="пт",26,O617=90,10,O617=85,10,O617=80,9,O617=75,8,O617=70,8,O617=65,7,O617=60,7,O617=55,6,O617=50,6,O617=45,6,O617=40,5,O617=35,4,O617=30,4,O617=25,3,O617=20,2,O617=15,1,O617=10,1,O617=0,0)</f>
        <v>10</v>
      </c>
      <c r="R617" s="3" t="n">
        <f aca="false">IF(P617&lt;=1,0,IF(P617&lt;=10,11,IF(P617&lt;=14,12,IF(P617&lt;=17,13,IF(P617&lt;=20,14,IF(P617&lt;=22,15,IF(P617&lt;=25,16,IF(P617&lt;=27,17,IF(P617&lt;=29,18,IF(P617&lt;=32,19,IF(P617&lt;=34,20,IF(P617&lt;=36,21,IF(P617&lt;=40,22,24)))))))))))))</f>
        <v>0</v>
      </c>
      <c r="S617" s="14" t="n">
        <f aca="false">ROUND((Q617+R617+I617+J617+M617+N617)/3,0)</f>
        <v>10</v>
      </c>
      <c r="T617" s="15" t="n">
        <f aca="false">F617*LOG10(S617+2)</f>
        <v>6.47508747628575</v>
      </c>
    </row>
    <row r="618" customFormat="false" ht="14.65" hidden="false" customHeight="true" outlineLevel="0" collapsed="false">
      <c r="A618" s="12" t="s">
        <v>682</v>
      </c>
      <c r="B618" s="16" t="n">
        <v>38885</v>
      </c>
      <c r="C618" s="17" t="s">
        <v>228</v>
      </c>
      <c r="D618" s="18" t="s">
        <v>670</v>
      </c>
      <c r="E618" s="3" t="n">
        <v>7</v>
      </c>
      <c r="F618" s="3" t="n">
        <v>6</v>
      </c>
      <c r="G618" s="3" t="n">
        <v>45</v>
      </c>
      <c r="I618" s="3" t="n">
        <f aca="false">_xlfn.IFS(G618="взв",11,G618="накл",24,G618="прокл",25,G618="пт",26,G618=90,10,G618=85,10,G618=80,9,G618=75,8,G618=70,8,G618=65,7,G618=60,7,G618=55,6,G618=50,6,G618=45,6,G618=40,5,G618=35,4,G618=30,4,G618=25,3,G618=20,2,G618=15,1,G618=10,1,G618=0,0)</f>
        <v>6</v>
      </c>
      <c r="J618" s="3" t="n">
        <f aca="false">IF(H618&lt;=1,0,IF(H618&lt;=10,11,IF(H618&lt;=14,12,IF(H618&lt;=17,13,IF(H618&lt;=20,14,IF(H618&lt;=22,15,IF(H618&lt;=25,16,IF(H618&lt;=27,17,IF(H618&lt;=29,18,IF(H618&lt;=32,19,IF(H618&lt;=34,20,IF(H618&lt;=36,21,IF(H618&lt;=40,22,24)))))))))))))</f>
        <v>0</v>
      </c>
      <c r="K618" s="3" t="n">
        <v>45</v>
      </c>
      <c r="M618" s="3" t="n">
        <f aca="false">_xlfn.IFS(K618="взв",11,K618="накл",24,K618="прокл",25,K618="пт",26,K618=90,10,K618=85,10,K618=80,9,K618=75,8,K618=70,8,K618=65,7,K618=60,7,K618=55,6,K618=50,6,K618=45,6,K618=40,5,K618=35,4,K618=30,4,K618=25,3,K618=20,2,K618=15,1,K618=10,1,K618=0,0)</f>
        <v>6</v>
      </c>
      <c r="N618" s="3" t="n">
        <f aca="false">IF(L618&lt;=1,0,IF(L618&lt;=10,11,IF(L618&lt;=14,12,IF(L618&lt;=17,13,IF(L618&lt;=20,14,IF(L618&lt;=22,15,IF(L618&lt;=25,16,IF(L618&lt;=27,17,IF(L618&lt;=29,18,IF(L618&lt;=32,19,IF(L618&lt;=34,20,IF(L618&lt;=36,21,IF(L618&lt;=40,22,24)))))))))))))</f>
        <v>0</v>
      </c>
      <c r="O618" s="3" t="n">
        <v>30</v>
      </c>
      <c r="Q618" s="3" t="n">
        <f aca="false">_xlfn.IFS(O618="взв",11,O618="накл",24,O618="прокл",25,O618="пт",26,O618=90,10,O618=85,10,O618=80,9,O618=75,8,O618=70,8,O618=65,7,O618=60,7,O618=55,6,O618=50,6,O618=45,6,O618=40,5,O618=35,4,O618=30,4,O618=25,3,O618=20,2,O618=15,1,O618=10,1,O618=0,0)</f>
        <v>4</v>
      </c>
      <c r="R618" s="3" t="n">
        <f aca="false">IF(P618&lt;=1,0,IF(P618&lt;=10,11,IF(P618&lt;=14,12,IF(P618&lt;=17,13,IF(P618&lt;=20,14,IF(P618&lt;=22,15,IF(P618&lt;=25,16,IF(P618&lt;=27,17,IF(P618&lt;=29,18,IF(P618&lt;=32,19,IF(P618&lt;=34,20,IF(P618&lt;=36,21,IF(P618&lt;=40,22,24)))))))))))))</f>
        <v>0</v>
      </c>
      <c r="S618" s="14" t="n">
        <f aca="false">ROUND((Q618+R618+I618+J618+M618+N618)/3,0)</f>
        <v>5</v>
      </c>
      <c r="T618" s="15" t="n">
        <f aca="false">F618*LOG10(S618+2)</f>
        <v>5.07058824008554</v>
      </c>
    </row>
    <row r="619" customFormat="false" ht="14.65" hidden="false" customHeight="true" outlineLevel="0" collapsed="false">
      <c r="A619" s="12" t="s">
        <v>683</v>
      </c>
      <c r="B619" s="16" t="n">
        <v>38885</v>
      </c>
      <c r="C619" s="17" t="s">
        <v>228</v>
      </c>
      <c r="D619" s="18" t="s">
        <v>670</v>
      </c>
      <c r="E619" s="3" t="n">
        <v>4</v>
      </c>
      <c r="F619" s="3" t="n">
        <v>7</v>
      </c>
      <c r="H619" s="3" t="n">
        <v>32</v>
      </c>
      <c r="I619" s="3" t="n">
        <f aca="false">_xlfn.IFS(G619="взв",11,G619="накл",24,G619="прокл",25,G619="пт",26,G619=90,10,G619=85,10,G619=80,9,G619=75,8,G619=70,8,G619=65,7,G619=60,7,G619=55,6,G619=50,6,G619=45,6,G619=40,5,G619=35,4,G619=30,4,G619=25,3,G619=20,2,G619=15,1,G619=10,1,G619=0,0)</f>
        <v>0</v>
      </c>
      <c r="J619" s="3" t="n">
        <f aca="false">IF(H619&lt;=1,0,IF(H619&lt;=10,11,IF(H619&lt;=14,12,IF(H619&lt;=17,13,IF(H619&lt;=20,14,IF(H619&lt;=22,15,IF(H619&lt;=25,16,IF(H619&lt;=27,17,IF(H619&lt;=29,18,IF(H619&lt;=32,19,IF(H619&lt;=34,20,IF(H619&lt;=36,21,IF(H619&lt;=40,22,24)))))))))))))</f>
        <v>19</v>
      </c>
      <c r="L619" s="3" t="n">
        <v>32</v>
      </c>
      <c r="M619" s="3" t="n">
        <f aca="false">_xlfn.IFS(K619="взв",11,K619="накл",24,K619="прокл",25,K619="пт",26,K619=90,10,K619=85,10,K619=80,9,K619=75,8,K619=70,8,K619=65,7,K619=60,7,K619=55,6,K619=50,6,K619=45,6,K619=40,5,K619=35,4,K619=30,4,K619=25,3,K619=20,2,K619=15,1,K619=10,1,K619=0,0)</f>
        <v>0</v>
      </c>
      <c r="N619" s="3" t="n">
        <f aca="false">IF(L619&lt;=1,0,IF(L619&lt;=10,11,IF(L619&lt;=14,12,IF(L619&lt;=17,13,IF(L619&lt;=20,14,IF(L619&lt;=22,15,IF(L619&lt;=25,16,IF(L619&lt;=27,17,IF(L619&lt;=29,18,IF(L619&lt;=32,19,IF(L619&lt;=34,20,IF(L619&lt;=36,21,IF(L619&lt;=40,22,24)))))))))))))</f>
        <v>19</v>
      </c>
      <c r="Q619" s="3" t="n">
        <f aca="false">_xlfn.IFS(O619="взв",11,O619="накл",24,O619="прокл",25,O619="пт",26,O619=90,10,O619=85,10,O619=80,9,O619=75,8,O619=70,8,O619=65,7,O619=60,7,O619=55,6,O619=50,6,O619=45,6,O619=40,5,O619=35,4,O619=30,4,O619=25,3,O619=20,2,O619=15,1,O619=10,1,O619=0,0)</f>
        <v>0</v>
      </c>
      <c r="R619" s="3" t="n">
        <f aca="false">IF(P619&lt;=1,0,IF(P619&lt;=10,11,IF(P619&lt;=14,12,IF(P619&lt;=17,13,IF(P619&lt;=20,14,IF(P619&lt;=22,15,IF(P619&lt;=25,16,IF(P619&lt;=27,17,IF(P619&lt;=29,18,IF(P619&lt;=32,19,IF(P619&lt;=34,20,IF(P619&lt;=36,21,IF(P619&lt;=40,22,24)))))))))))))</f>
        <v>0</v>
      </c>
      <c r="S619" s="14" t="n">
        <f aca="false">ROUND((Q619+R619+I619+J619+M619+N619)/2,0)</f>
        <v>19</v>
      </c>
      <c r="T619" s="15" t="n">
        <f aca="false">F619*LOG10(S619+2)</f>
        <v>9.25553506313744</v>
      </c>
    </row>
    <row r="620" customFormat="false" ht="14.65" hidden="false" customHeight="true" outlineLevel="0" collapsed="false">
      <c r="A620" s="12" t="s">
        <v>684</v>
      </c>
      <c r="B620" s="16" t="n">
        <v>38885</v>
      </c>
      <c r="C620" s="17" t="s">
        <v>228</v>
      </c>
      <c r="D620" s="18" t="s">
        <v>670</v>
      </c>
      <c r="E620" s="3" t="n">
        <v>5</v>
      </c>
      <c r="F620" s="3" t="n">
        <v>8</v>
      </c>
      <c r="H620" s="3" t="n">
        <v>22</v>
      </c>
      <c r="I620" s="3" t="n">
        <f aca="false">_xlfn.IFS(G620="взв",11,G620="накл",24,G620="прокл",25,G620="пт",26,G620=90,10,G620=85,10,G620=80,9,G620=75,8,G620=70,8,G620=65,7,G620=60,7,G620=55,6,G620=50,6,G620=45,6,G620=40,5,G620=35,4,G620=30,4,G620=25,3,G620=20,2,G620=15,1,G620=10,1,G620=0,0)</f>
        <v>0</v>
      </c>
      <c r="J620" s="3" t="n">
        <f aca="false">IF(H620&lt;=1,0,IF(H620&lt;=10,11,IF(H620&lt;=14,12,IF(H620&lt;=17,13,IF(H620&lt;=20,14,IF(H620&lt;=22,15,IF(H620&lt;=25,16,IF(H620&lt;=27,17,IF(H620&lt;=29,18,IF(H620&lt;=32,19,IF(H620&lt;=34,20,IF(H620&lt;=36,21,IF(H620&lt;=40,22,24)))))))))))))</f>
        <v>15</v>
      </c>
      <c r="M620" s="3" t="n">
        <f aca="false">_xlfn.IFS(K620="взв",11,K620="накл",24,K620="прокл",25,K620="пт",26,K620=90,10,K620=85,10,K620=80,9,K620=75,8,K620=70,8,K620=65,7,K620=60,7,K620=55,6,K620=50,6,K620=45,6,K620=40,5,K620=35,4,K620=30,4,K620=25,3,K620=20,2,K620=15,1,K620=10,1,K620=0,0)</f>
        <v>0</v>
      </c>
      <c r="N620" s="3" t="n">
        <f aca="false">IF(L620&lt;=1,0,IF(L620&lt;=10,11,IF(L620&lt;=14,12,IF(L620&lt;=17,13,IF(L620&lt;=20,14,IF(L620&lt;=22,15,IF(L620&lt;=25,16,IF(L620&lt;=27,17,IF(L620&lt;=29,18,IF(L620&lt;=32,19,IF(L620&lt;=34,20,IF(L620&lt;=36,21,IF(L620&lt;=40,22,24)))))))))))))</f>
        <v>0</v>
      </c>
      <c r="P620" s="3" t="n">
        <v>25</v>
      </c>
      <c r="Q620" s="3" t="n">
        <f aca="false">_xlfn.IFS(O620="взв",11,O620="накл",24,O620="прокл",25,O620="пт",26,O620=90,10,O620=85,10,O620=80,9,O620=75,8,O620=70,8,O620=65,7,O620=60,7,O620=55,6,O620=50,6,O620=45,6,O620=40,5,O620=35,4,O620=30,4,O620=25,3,O620=20,2,O620=15,1,O620=10,1,O620=0,0)</f>
        <v>0</v>
      </c>
      <c r="R620" s="3" t="n">
        <f aca="false">IF(P620&lt;=1,0,IF(P620&lt;=10,11,IF(P620&lt;=14,12,IF(P620&lt;=17,13,IF(P620&lt;=20,14,IF(P620&lt;=22,15,IF(P620&lt;=25,16,IF(P620&lt;=27,17,IF(P620&lt;=29,18,IF(P620&lt;=32,19,IF(P620&lt;=34,20,IF(P620&lt;=36,21,IF(P620&lt;=40,22,24)))))))))))))</f>
        <v>16</v>
      </c>
      <c r="S620" s="14" t="n">
        <f aca="false">ROUND((Q620+R620+I620+J620+M620+N620)/3,0)</f>
        <v>10</v>
      </c>
      <c r="T620" s="15" t="n">
        <f aca="false">F620*LOG10(S620+2)</f>
        <v>8.633449968381</v>
      </c>
    </row>
    <row r="621" customFormat="false" ht="14.65" hidden="false" customHeight="true" outlineLevel="0" collapsed="false">
      <c r="A621" s="12" t="s">
        <v>685</v>
      </c>
      <c r="B621" s="16" t="n">
        <v>38885</v>
      </c>
      <c r="C621" s="17" t="s">
        <v>228</v>
      </c>
      <c r="D621" s="18" t="s">
        <v>670</v>
      </c>
      <c r="E621" s="3" t="n">
        <v>5</v>
      </c>
      <c r="F621" s="3" t="n">
        <v>10</v>
      </c>
      <c r="G621" s="3" t="n">
        <v>75</v>
      </c>
      <c r="I621" s="3" t="n">
        <f aca="false">_xlfn.IFS(G621="взв",11,G621="накл",24,G621="прокл",25,G621="пт",26,G621=90,10,G621=85,10,G621=80,9,G621=75,8,G621=70,8,G621=65,7,G621=60,7,G621=55,6,G621=50,6,G621=45,6,G621=40,5,G621=35,4,G621=30,4,G621=25,3,G621=20,2,G621=15,1,G621=10,1,G621=0,0)</f>
        <v>8</v>
      </c>
      <c r="J621" s="3" t="n">
        <f aca="false">IF(H621&lt;=1,0,IF(H621&lt;=10,11,IF(H621&lt;=14,12,IF(H621&lt;=17,13,IF(H621&lt;=20,14,IF(H621&lt;=22,15,IF(H621&lt;=25,16,IF(H621&lt;=27,17,IF(H621&lt;=29,18,IF(H621&lt;=32,19,IF(H621&lt;=34,20,IF(H621&lt;=36,21,IF(H621&lt;=40,22,24)))))))))))))</f>
        <v>0</v>
      </c>
      <c r="K621" s="3" t="n">
        <v>90</v>
      </c>
      <c r="M621" s="3" t="n">
        <f aca="false">_xlfn.IFS(K621="взв",11,K621="накл",24,K621="прокл",25,K621="пт",26,K621=90,10,K621=85,10,K621=80,9,K621=75,8,K621=70,8,K621=65,7,K621=60,7,K621=55,6,K621=50,6,K621=45,6,K621=40,5,K621=35,4,K621=30,4,K621=25,3,K621=20,2,K621=15,1,K621=10,1,K621=0,0)</f>
        <v>10</v>
      </c>
      <c r="N621" s="3" t="n">
        <f aca="false">IF(L621&lt;=1,0,IF(L621&lt;=10,11,IF(L621&lt;=14,12,IF(L621&lt;=17,13,IF(L621&lt;=20,14,IF(L621&lt;=22,15,IF(L621&lt;=25,16,IF(L621&lt;=27,17,IF(L621&lt;=29,18,IF(L621&lt;=32,19,IF(L621&lt;=34,20,IF(L621&lt;=36,21,IF(L621&lt;=40,22,24)))))))))))))</f>
        <v>0</v>
      </c>
      <c r="O621" s="3" t="n">
        <v>75</v>
      </c>
      <c r="Q621" s="3" t="n">
        <f aca="false">_xlfn.IFS(O621="взв",11,O621="накл",24,O621="прокл",25,O621="пт",26,O621=90,10,O621=85,10,O621=80,9,O621=75,8,O621=70,8,O621=65,7,O621=60,7,O621=55,6,O621=50,6,O621=45,6,O621=40,5,O621=35,4,O621=30,4,O621=25,3,O621=20,2,O621=15,1,O621=10,1,O621=0,0)</f>
        <v>8</v>
      </c>
      <c r="R621" s="3" t="n">
        <f aca="false">IF(P621&lt;=1,0,IF(P621&lt;=10,11,IF(P621&lt;=14,12,IF(P621&lt;=17,13,IF(P621&lt;=20,14,IF(P621&lt;=22,15,IF(P621&lt;=25,16,IF(P621&lt;=27,17,IF(P621&lt;=29,18,IF(P621&lt;=32,19,IF(P621&lt;=34,20,IF(P621&lt;=36,21,IF(P621&lt;=40,22,24)))))))))))))</f>
        <v>0</v>
      </c>
      <c r="S621" s="14" t="n">
        <f aca="false">ROUND((Q621+R621+I621+J621+M621+N621)/3,0)</f>
        <v>9</v>
      </c>
      <c r="T621" s="15" t="n">
        <f aca="false">F621*LOG10(S621+2)</f>
        <v>10.4139268515823</v>
      </c>
    </row>
    <row r="622" customFormat="false" ht="14.65" hidden="false" customHeight="true" outlineLevel="0" collapsed="false">
      <c r="A622" s="12" t="s">
        <v>686</v>
      </c>
      <c r="B622" s="16" t="n">
        <v>38885</v>
      </c>
      <c r="C622" s="17" t="s">
        <v>228</v>
      </c>
      <c r="D622" s="18" t="s">
        <v>670</v>
      </c>
      <c r="E622" s="3" t="n">
        <v>5</v>
      </c>
      <c r="F622" s="3" t="n">
        <v>10</v>
      </c>
      <c r="G622" s="3" t="n">
        <v>60</v>
      </c>
      <c r="I622" s="3" t="n">
        <f aca="false">_xlfn.IFS(G622="взв",11,G622="накл",24,G622="прокл",25,G622="пт",26,G622=90,10,G622=85,10,G622=80,9,G622=75,8,G622=70,8,G622=65,7,G622=60,7,G622=55,6,G622=50,6,G622=45,6,G622=40,5,G622=35,4,G622=30,4,G622=25,3,G622=20,2,G622=15,1,G622=10,1,G622=0,0)</f>
        <v>7</v>
      </c>
      <c r="J622" s="3" t="n">
        <f aca="false">IF(H622&lt;=1,0,IF(H622&lt;=10,11,IF(H622&lt;=14,12,IF(H622&lt;=17,13,IF(H622&lt;=20,14,IF(H622&lt;=22,15,IF(H622&lt;=25,16,IF(H622&lt;=27,17,IF(H622&lt;=29,18,IF(H622&lt;=32,19,IF(H622&lt;=34,20,IF(H622&lt;=36,21,IF(H622&lt;=40,22,24)))))))))))))</f>
        <v>0</v>
      </c>
      <c r="K622" s="3" t="n">
        <v>60</v>
      </c>
      <c r="M622" s="3" t="n">
        <f aca="false">_xlfn.IFS(K622="взв",11,K622="накл",24,K622="прокл",25,K622="пт",26,K622=90,10,K622=85,10,K622=80,9,K622=75,8,K622=70,8,K622=65,7,K622=60,7,K622=55,6,K622=50,6,K622=45,6,K622=40,5,K622=35,4,K622=30,4,K622=25,3,K622=20,2,K622=15,1,K622=10,1,K622=0,0)</f>
        <v>7</v>
      </c>
      <c r="N622" s="3" t="n">
        <f aca="false">IF(L622&lt;=1,0,IF(L622&lt;=10,11,IF(L622&lt;=14,12,IF(L622&lt;=17,13,IF(L622&lt;=20,14,IF(L622&lt;=22,15,IF(L622&lt;=25,16,IF(L622&lt;=27,17,IF(L622&lt;=29,18,IF(L622&lt;=32,19,IF(L622&lt;=34,20,IF(L622&lt;=36,21,IF(L622&lt;=40,22,24)))))))))))))</f>
        <v>0</v>
      </c>
      <c r="O622" s="3" t="n">
        <v>60</v>
      </c>
      <c r="Q622" s="3" t="n">
        <f aca="false">_xlfn.IFS(O622="взв",11,O622="накл",24,O622="прокл",25,O622="пт",26,O622=90,10,O622=85,10,O622=80,9,O622=75,8,O622=70,8,O622=65,7,O622=60,7,O622=55,6,O622=50,6,O622=45,6,O622=40,5,O622=35,4,O622=30,4,O622=25,3,O622=20,2,O622=15,1,O622=10,1,O622=0,0)</f>
        <v>7</v>
      </c>
      <c r="R622" s="3" t="n">
        <f aca="false">IF(P622&lt;=1,0,IF(P622&lt;=10,11,IF(P622&lt;=14,12,IF(P622&lt;=17,13,IF(P622&lt;=20,14,IF(P622&lt;=22,15,IF(P622&lt;=25,16,IF(P622&lt;=27,17,IF(P622&lt;=29,18,IF(P622&lt;=32,19,IF(P622&lt;=34,20,IF(P622&lt;=36,21,IF(P622&lt;=40,22,24)))))))))))))</f>
        <v>0</v>
      </c>
      <c r="S622" s="14" t="n">
        <f aca="false">ROUND((Q622+R622+I622+J622+M622+N622)/3,0)</f>
        <v>7</v>
      </c>
      <c r="T622" s="15" t="n">
        <f aca="false">F622*LOG10(S622+2)</f>
        <v>9.54242509439325</v>
      </c>
    </row>
    <row r="623" customFormat="false" ht="14.65" hidden="false" customHeight="true" outlineLevel="0" collapsed="false">
      <c r="A623" s="12" t="s">
        <v>687</v>
      </c>
      <c r="B623" s="16" t="n">
        <v>38885</v>
      </c>
      <c r="C623" s="17" t="s">
        <v>228</v>
      </c>
      <c r="D623" s="18" t="s">
        <v>670</v>
      </c>
      <c r="E623" s="3" t="n">
        <v>5</v>
      </c>
      <c r="F623" s="3" t="n">
        <v>12</v>
      </c>
      <c r="G623" s="3" t="n">
        <v>15</v>
      </c>
      <c r="I623" s="3" t="n">
        <f aca="false">_xlfn.IFS(G623="взв",11,G623="накл",24,G623="прокл",25,G623="пт",26,G623=90,10,G623=85,10,G623=80,9,G623=75,8,G623=70,8,G623=65,7,G623=60,7,G623=55,6,G623=50,6,G623=45,6,G623=40,5,G623=35,4,G623=30,4,G623=25,3,G623=20,2,G623=15,1,G623=10,1,G623=0,0)</f>
        <v>1</v>
      </c>
      <c r="J623" s="3" t="n">
        <f aca="false">IF(H623&lt;=1,0,IF(H623&lt;=10,11,IF(H623&lt;=14,12,IF(H623&lt;=17,13,IF(H623&lt;=20,14,IF(H623&lt;=22,15,IF(H623&lt;=25,16,IF(H623&lt;=27,17,IF(H623&lt;=29,18,IF(H623&lt;=32,19,IF(H623&lt;=34,20,IF(H623&lt;=36,21,IF(H623&lt;=40,22,24)))))))))))))</f>
        <v>0</v>
      </c>
      <c r="K623" s="3" t="n">
        <v>15</v>
      </c>
      <c r="M623" s="3" t="n">
        <f aca="false">_xlfn.IFS(K623="взв",11,K623="накл",24,K623="прокл",25,K623="пт",26,K623=90,10,K623=85,10,K623=80,9,K623=75,8,K623=70,8,K623=65,7,K623=60,7,K623=55,6,K623=50,6,K623=45,6,K623=40,5,K623=35,4,K623=30,4,K623=25,3,K623=20,2,K623=15,1,K623=10,1,K623=0,0)</f>
        <v>1</v>
      </c>
      <c r="N623" s="3" t="n">
        <f aca="false">IF(L623&lt;=1,0,IF(L623&lt;=10,11,IF(L623&lt;=14,12,IF(L623&lt;=17,13,IF(L623&lt;=20,14,IF(L623&lt;=22,15,IF(L623&lt;=25,16,IF(L623&lt;=27,17,IF(L623&lt;=29,18,IF(L623&lt;=32,19,IF(L623&lt;=34,20,IF(L623&lt;=36,21,IF(L623&lt;=40,22,24)))))))))))))</f>
        <v>0</v>
      </c>
      <c r="O623" s="3" t="n">
        <v>30</v>
      </c>
      <c r="Q623" s="3" t="n">
        <f aca="false">_xlfn.IFS(O623="взв",11,O623="накл",24,O623="прокл",25,O623="пт",26,O623=90,10,O623=85,10,O623=80,9,O623=75,8,O623=70,8,O623=65,7,O623=60,7,O623=55,6,O623=50,6,O623=45,6,O623=40,5,O623=35,4,O623=30,4,O623=25,3,O623=20,2,O623=15,1,O623=10,1,O623=0,0)</f>
        <v>4</v>
      </c>
      <c r="R623" s="3" t="n">
        <f aca="false">IF(P623&lt;=1,0,IF(P623&lt;=10,11,IF(P623&lt;=14,12,IF(P623&lt;=17,13,IF(P623&lt;=20,14,IF(P623&lt;=22,15,IF(P623&lt;=25,16,IF(P623&lt;=27,17,IF(P623&lt;=29,18,IF(P623&lt;=32,19,IF(P623&lt;=34,20,IF(P623&lt;=36,21,IF(P623&lt;=40,22,24)))))))))))))</f>
        <v>0</v>
      </c>
      <c r="S623" s="14" t="n">
        <f aca="false">ROUND((Q623+R623+I623+J623+M623+N623)/3,0)</f>
        <v>2</v>
      </c>
      <c r="T623" s="15" t="n">
        <f aca="false">F623*LOG10(S623+2)</f>
        <v>7.22471989593555</v>
      </c>
    </row>
    <row r="624" customFormat="false" ht="14.65" hidden="false" customHeight="true" outlineLevel="0" collapsed="false">
      <c r="A624" s="12" t="s">
        <v>688</v>
      </c>
      <c r="B624" s="16" t="n">
        <v>38885</v>
      </c>
      <c r="C624" s="17" t="s">
        <v>228</v>
      </c>
      <c r="D624" s="18" t="s">
        <v>670</v>
      </c>
      <c r="E624" s="3" t="n">
        <v>4</v>
      </c>
      <c r="F624" s="3" t="n">
        <v>12</v>
      </c>
      <c r="G624" s="3" t="n">
        <v>90</v>
      </c>
      <c r="I624" s="3" t="n">
        <f aca="false">_xlfn.IFS(G624="взв",11,G624="накл",24,G624="прокл",25,G624="пт",26,G624=90,10,G624=85,10,G624=80,9,G624=75,8,G624=70,8,G624=65,7,G624=60,7,G624=55,6,G624=50,6,G624=45,6,G624=40,5,G624=35,4,G624=30,4,G624=25,3,G624=20,2,G624=15,1,G624=10,1,G624=0,0)</f>
        <v>10</v>
      </c>
      <c r="J624" s="3" t="n">
        <f aca="false">IF(H624&lt;=1,0,IF(H624&lt;=10,11,IF(H624&lt;=14,12,IF(H624&lt;=17,13,IF(H624&lt;=20,14,IF(H624&lt;=22,15,IF(H624&lt;=25,16,IF(H624&lt;=27,17,IF(H624&lt;=29,18,IF(H624&lt;=32,19,IF(H624&lt;=34,20,IF(H624&lt;=36,21,IF(H624&lt;=40,22,24)))))))))))))</f>
        <v>0</v>
      </c>
      <c r="L624" s="3" t="n">
        <v>24</v>
      </c>
      <c r="M624" s="3" t="n">
        <f aca="false">_xlfn.IFS(K624="взв",11,K624="накл",24,K624="прокл",25,K624="пт",26,K624=90,10,K624=85,10,K624=80,9,K624=75,8,K624=70,8,K624=65,7,K624=60,7,K624=55,6,K624=50,6,K624=45,6,K624=40,5,K624=35,4,K624=30,4,K624=25,3,K624=20,2,K624=15,1,K624=10,1,K624=0,0)</f>
        <v>0</v>
      </c>
      <c r="N624" s="3" t="n">
        <f aca="false">IF(L624&lt;=1,0,IF(L624&lt;=10,11,IF(L624&lt;=14,12,IF(L624&lt;=17,13,IF(L624&lt;=20,14,IF(L624&lt;=22,15,IF(L624&lt;=25,16,IF(L624&lt;=27,17,IF(L624&lt;=29,18,IF(L624&lt;=32,19,IF(L624&lt;=34,20,IF(L624&lt;=36,21,IF(L624&lt;=40,22,24)))))))))))))</f>
        <v>16</v>
      </c>
      <c r="P624" s="3" t="n">
        <v>21</v>
      </c>
      <c r="Q624" s="3" t="n">
        <f aca="false">_xlfn.IFS(O624="взв",11,O624="накл",24,O624="прокл",25,O624="пт",26,O624=90,10,O624=85,10,O624=80,9,O624=75,8,O624=70,8,O624=65,7,O624=60,7,O624=55,6,O624=50,6,O624=45,6,O624=40,5,O624=35,4,O624=30,4,O624=25,3,O624=20,2,O624=15,1,O624=10,1,O624=0,0)</f>
        <v>0</v>
      </c>
      <c r="R624" s="3" t="n">
        <f aca="false">IF(P624&lt;=1,0,IF(P624&lt;=10,11,IF(P624&lt;=14,12,IF(P624&lt;=17,13,IF(P624&lt;=20,14,IF(P624&lt;=22,15,IF(P624&lt;=25,16,IF(P624&lt;=27,17,IF(P624&lt;=29,18,IF(P624&lt;=32,19,IF(P624&lt;=34,20,IF(P624&lt;=36,21,IF(P624&lt;=40,22,24)))))))))))))</f>
        <v>15</v>
      </c>
      <c r="S624" s="14" t="n">
        <f aca="false">ROUND((Q624+R624+I624+J624+M624+N624)/3,0)</f>
        <v>14</v>
      </c>
      <c r="T624" s="15" t="n">
        <f aca="false">F624*LOG10(S624+2)</f>
        <v>14.4494397918711</v>
      </c>
    </row>
    <row r="625" customFormat="false" ht="14.65" hidden="false" customHeight="true" outlineLevel="0" collapsed="false">
      <c r="A625" s="12" t="s">
        <v>689</v>
      </c>
      <c r="B625" s="16" t="n">
        <v>38885</v>
      </c>
      <c r="C625" s="17" t="s">
        <v>228</v>
      </c>
      <c r="D625" s="18" t="s">
        <v>670</v>
      </c>
      <c r="E625" s="3" t="n">
        <v>5</v>
      </c>
      <c r="F625" s="3" t="n">
        <v>13</v>
      </c>
      <c r="G625" s="3" t="n">
        <v>90</v>
      </c>
      <c r="I625" s="3" t="n">
        <f aca="false">_xlfn.IFS(G625="взв",11,G625="накл",24,G625="прокл",25,G625="пт",26,G625=90,10,G625=85,10,G625=80,9,G625=75,8,G625=70,8,G625=65,7,G625=60,7,G625=55,6,G625=50,6,G625=45,6,G625=40,5,G625=35,4,G625=30,4,G625=25,3,G625=20,2,G625=15,1,G625=10,1,G625=0,0)</f>
        <v>10</v>
      </c>
      <c r="J625" s="3" t="n">
        <f aca="false">IF(H625&lt;=1,0,IF(H625&lt;=10,11,IF(H625&lt;=14,12,IF(H625&lt;=17,13,IF(H625&lt;=20,14,IF(H625&lt;=22,15,IF(H625&lt;=25,16,IF(H625&lt;=27,17,IF(H625&lt;=29,18,IF(H625&lt;=32,19,IF(H625&lt;=34,20,IF(H625&lt;=36,21,IF(H625&lt;=40,22,24)))))))))))))</f>
        <v>0</v>
      </c>
      <c r="K625" s="3" t="n">
        <v>90</v>
      </c>
      <c r="M625" s="3" t="n">
        <f aca="false">_xlfn.IFS(K625="взв",11,K625="накл",24,K625="прокл",25,K625="пт",26,K625=90,10,K625=85,10,K625=80,9,K625=75,8,K625=70,8,K625=65,7,K625=60,7,K625=55,6,K625=50,6,K625=45,6,K625=40,5,K625=35,4,K625=30,4,K625=25,3,K625=20,2,K625=15,1,K625=10,1,K625=0,0)</f>
        <v>10</v>
      </c>
      <c r="N625" s="3" t="n">
        <f aca="false">IF(L625&lt;=1,0,IF(L625&lt;=10,11,IF(L625&lt;=14,12,IF(L625&lt;=17,13,IF(L625&lt;=20,14,IF(L625&lt;=22,15,IF(L625&lt;=25,16,IF(L625&lt;=27,17,IF(L625&lt;=29,18,IF(L625&lt;=32,19,IF(L625&lt;=34,20,IF(L625&lt;=36,21,IF(L625&lt;=40,22,24)))))))))))))</f>
        <v>0</v>
      </c>
      <c r="O625" s="3" t="n">
        <v>90</v>
      </c>
      <c r="Q625" s="3" t="n">
        <f aca="false">_xlfn.IFS(O625="взв",11,O625="накл",24,O625="прокл",25,O625="пт",26,O625=90,10,O625=85,10,O625=80,9,O625=75,8,O625=70,8,O625=65,7,O625=60,7,O625=55,6,O625=50,6,O625=45,6,O625=40,5,O625=35,4,O625=30,4,O625=25,3,O625=20,2,O625=15,1,O625=10,1,O625=0,0)</f>
        <v>10</v>
      </c>
      <c r="R625" s="3" t="n">
        <f aca="false">IF(P625&lt;=1,0,IF(P625&lt;=10,11,IF(P625&lt;=14,12,IF(P625&lt;=17,13,IF(P625&lt;=20,14,IF(P625&lt;=22,15,IF(P625&lt;=25,16,IF(P625&lt;=27,17,IF(P625&lt;=29,18,IF(P625&lt;=32,19,IF(P625&lt;=34,20,IF(P625&lt;=36,21,IF(P625&lt;=40,22,24)))))))))))))</f>
        <v>0</v>
      </c>
      <c r="S625" s="14" t="n">
        <f aca="false">ROUND((Q625+R625+I625+J625+M625+N625)/3,0)</f>
        <v>10</v>
      </c>
      <c r="T625" s="15" t="n">
        <f aca="false">F625*LOG10(S625+2)</f>
        <v>14.0293561986191</v>
      </c>
    </row>
    <row r="626" customFormat="false" ht="14.65" hidden="false" customHeight="true" outlineLevel="0" collapsed="false">
      <c r="A626" s="12" t="s">
        <v>690</v>
      </c>
      <c r="B626" s="16" t="n">
        <v>38885</v>
      </c>
      <c r="C626" s="17" t="s">
        <v>228</v>
      </c>
      <c r="D626" s="18" t="s">
        <v>670</v>
      </c>
      <c r="E626" s="3" t="n">
        <v>4</v>
      </c>
      <c r="F626" s="3" t="n">
        <v>13</v>
      </c>
      <c r="H626" s="3" t="n">
        <v>29</v>
      </c>
      <c r="I626" s="3" t="n">
        <f aca="false">_xlfn.IFS(G626="взв",11,G626="накл",24,G626="прокл",25,G626="пт",26,G626=90,10,G626=85,10,G626=80,9,G626=75,8,G626=70,8,G626=65,7,G626=60,7,G626=55,6,G626=50,6,G626=45,6,G626=40,5,G626=35,4,G626=30,4,G626=25,3,G626=20,2,G626=15,1,G626=10,1,G626=0,0)</f>
        <v>0</v>
      </c>
      <c r="J626" s="3" t="n">
        <f aca="false">IF(H626&lt;=1,0,IF(H626&lt;=10,11,IF(H626&lt;=14,12,IF(H626&lt;=17,13,IF(H626&lt;=20,14,IF(H626&lt;=22,15,IF(H626&lt;=25,16,IF(H626&lt;=27,17,IF(H626&lt;=29,18,IF(H626&lt;=32,19,IF(H626&lt;=34,20,IF(H626&lt;=36,21,IF(H626&lt;=40,22,24)))))))))))))</f>
        <v>18</v>
      </c>
      <c r="L626" s="3" t="n">
        <v>38</v>
      </c>
      <c r="M626" s="3" t="n">
        <f aca="false">_xlfn.IFS(K626="взв",11,K626="накл",24,K626="прокл",25,K626="пт",26,K626=90,10,K626=85,10,K626=80,9,K626=75,8,K626=70,8,K626=65,7,K626=60,7,K626=55,6,K626=50,6,K626=45,6,K626=40,5,K626=35,4,K626=30,4,K626=25,3,K626=20,2,K626=15,1,K626=10,1,K626=0,0)</f>
        <v>0</v>
      </c>
      <c r="N626" s="3" t="n">
        <f aca="false">IF(L626&lt;=1,0,IF(L626&lt;=10,11,IF(L626&lt;=14,12,IF(L626&lt;=17,13,IF(L626&lt;=20,14,IF(L626&lt;=22,15,IF(L626&lt;=25,16,IF(L626&lt;=27,17,IF(L626&lt;=29,18,IF(L626&lt;=32,19,IF(L626&lt;=34,20,IF(L626&lt;=36,21,IF(L626&lt;=40,22,24)))))))))))))</f>
        <v>22</v>
      </c>
      <c r="P626" s="3" t="n">
        <v>33</v>
      </c>
      <c r="Q626" s="3" t="n">
        <f aca="false">_xlfn.IFS(O626="взв",11,O626="накл",24,O626="прокл",25,O626="пт",26,O626=90,10,O626=85,10,O626=80,9,O626=75,8,O626=70,8,O626=65,7,O626=60,7,O626=55,6,O626=50,6,O626=45,6,O626=40,5,O626=35,4,O626=30,4,O626=25,3,O626=20,2,O626=15,1,O626=10,1,O626=0,0)</f>
        <v>0</v>
      </c>
      <c r="R626" s="3" t="n">
        <f aca="false">IF(P626&lt;=1,0,IF(P626&lt;=10,11,IF(P626&lt;=14,12,IF(P626&lt;=17,13,IF(P626&lt;=20,14,IF(P626&lt;=22,15,IF(P626&lt;=25,16,IF(P626&lt;=27,17,IF(P626&lt;=29,18,IF(P626&lt;=32,19,IF(P626&lt;=34,20,IF(P626&lt;=36,21,IF(P626&lt;=40,22,24)))))))))))))</f>
        <v>20</v>
      </c>
      <c r="S626" s="14" t="n">
        <f aca="false">ROUND((Q626+R626+I626+J626+M626+N626)/3,0)</f>
        <v>20</v>
      </c>
      <c r="T626" s="15" t="n">
        <f aca="false">F626*LOG10(S626+2)</f>
        <v>17.4514948506887</v>
      </c>
    </row>
    <row r="627" customFormat="false" ht="14.65" hidden="false" customHeight="true" outlineLevel="0" collapsed="false">
      <c r="A627" s="12" t="s">
        <v>691</v>
      </c>
      <c r="B627" s="16" t="n">
        <v>38885</v>
      </c>
      <c r="C627" s="17" t="s">
        <v>228</v>
      </c>
      <c r="D627" s="18" t="s">
        <v>670</v>
      </c>
      <c r="E627" s="3" t="n">
        <v>7</v>
      </c>
      <c r="F627" s="3" t="n">
        <v>14</v>
      </c>
      <c r="H627" s="3" t="n">
        <v>30</v>
      </c>
      <c r="I627" s="3" t="n">
        <f aca="false">_xlfn.IFS(G627="взв",11,G627="накл",24,G627="прокл",25,G627="пт",26,G627=90,10,G627=85,10,G627=80,9,G627=75,8,G627=70,8,G627=65,7,G627=60,7,G627=55,6,G627=50,6,G627=45,6,G627=40,5,G627=35,4,G627=30,4,G627=25,3,G627=20,2,G627=15,1,G627=10,1,G627=0,0)</f>
        <v>0</v>
      </c>
      <c r="J627" s="3" t="n">
        <f aca="false">IF(H627&lt;=1,0,IF(H627&lt;=10,11,IF(H627&lt;=14,12,IF(H627&lt;=17,13,IF(H627&lt;=20,14,IF(H627&lt;=22,15,IF(H627&lt;=25,16,IF(H627&lt;=27,17,IF(H627&lt;=29,18,IF(H627&lt;=32,19,IF(H627&lt;=34,20,IF(H627&lt;=36,21,IF(H627&lt;=40,22,24)))))))))))))</f>
        <v>19</v>
      </c>
      <c r="L627" s="3" t="n">
        <v>28</v>
      </c>
      <c r="M627" s="3" t="n">
        <f aca="false">_xlfn.IFS(K627="взв",11,K627="накл",24,K627="прокл",25,K627="пт",26,K627=90,10,K627=85,10,K627=80,9,K627=75,8,K627=70,8,K627=65,7,K627=60,7,K627=55,6,K627=50,6,K627=45,6,K627=40,5,K627=35,4,K627=30,4,K627=25,3,K627=20,2,K627=15,1,K627=10,1,K627=0,0)</f>
        <v>0</v>
      </c>
      <c r="N627" s="3" t="n">
        <f aca="false">IF(L627&lt;=1,0,IF(L627&lt;=10,11,IF(L627&lt;=14,12,IF(L627&lt;=17,13,IF(L627&lt;=20,14,IF(L627&lt;=22,15,IF(L627&lt;=25,16,IF(L627&lt;=27,17,IF(L627&lt;=29,18,IF(L627&lt;=32,19,IF(L627&lt;=34,20,IF(L627&lt;=36,21,IF(L627&lt;=40,22,24)))))))))))))</f>
        <v>18</v>
      </c>
      <c r="O627" s="3" t="n">
        <v>90</v>
      </c>
      <c r="Q627" s="3" t="n">
        <f aca="false">_xlfn.IFS(O627="взв",11,O627="накл",24,O627="прокл",25,O627="пт",26,O627=90,10,O627=85,10,O627=80,9,O627=75,8,O627=70,8,O627=65,7,O627=60,7,O627=55,6,O627=50,6,O627=45,6,O627=40,5,O627=35,4,O627=30,4,O627=25,3,O627=20,2,O627=15,1,O627=10,1,O627=0,0)</f>
        <v>10</v>
      </c>
      <c r="R627" s="3" t="n">
        <f aca="false">IF(P627&lt;=1,0,IF(P627&lt;=10,11,IF(P627&lt;=14,12,IF(P627&lt;=17,13,IF(P627&lt;=20,14,IF(P627&lt;=22,15,IF(P627&lt;=25,16,IF(P627&lt;=27,17,IF(P627&lt;=29,18,IF(P627&lt;=32,19,IF(P627&lt;=34,20,IF(P627&lt;=36,21,IF(P627&lt;=40,22,24)))))))))))))</f>
        <v>0</v>
      </c>
      <c r="S627" s="14" t="n">
        <f aca="false">ROUND((Q627+R627+I627+J627+M627+N627)/3,0)</f>
        <v>16</v>
      </c>
      <c r="T627" s="15" t="n">
        <f aca="false">F627*LOG10(S627+2)</f>
        <v>17.5738150714463</v>
      </c>
    </row>
    <row r="628" customFormat="false" ht="14.65" hidden="false" customHeight="true" outlineLevel="0" collapsed="false">
      <c r="A628" s="12" t="s">
        <v>692</v>
      </c>
      <c r="B628" s="16" t="n">
        <v>38885</v>
      </c>
      <c r="C628" s="17" t="s">
        <v>228</v>
      </c>
      <c r="D628" s="18" t="s">
        <v>670</v>
      </c>
      <c r="E628" s="3" t="n">
        <v>4</v>
      </c>
      <c r="F628" s="3" t="n">
        <v>15</v>
      </c>
      <c r="G628" s="3" t="n">
        <v>75</v>
      </c>
      <c r="I628" s="3" t="n">
        <f aca="false">_xlfn.IFS(G628="взв",11,G628="накл",24,G628="прокл",25,G628="пт",26,G628=90,10,G628=85,10,G628=80,9,G628=75,8,G628=70,8,G628=65,7,G628=60,7,G628=55,6,G628=50,6,G628=45,6,G628=40,5,G628=35,4,G628=30,4,G628=25,3,G628=20,2,G628=15,1,G628=10,1,G628=0,0)</f>
        <v>8</v>
      </c>
      <c r="J628" s="3" t="n">
        <f aca="false">IF(H628&lt;=1,0,IF(H628&lt;=10,11,IF(H628&lt;=14,12,IF(H628&lt;=17,13,IF(H628&lt;=20,14,IF(H628&lt;=22,15,IF(H628&lt;=25,16,IF(H628&lt;=27,17,IF(H628&lt;=29,18,IF(H628&lt;=32,19,IF(H628&lt;=34,20,IF(H628&lt;=36,21,IF(H628&lt;=40,22,24)))))))))))))</f>
        <v>0</v>
      </c>
      <c r="K628" s="3" t="n">
        <v>60</v>
      </c>
      <c r="M628" s="3" t="n">
        <f aca="false">_xlfn.IFS(K628="взв",11,K628="накл",24,K628="прокл",25,K628="пт",26,K628=90,10,K628=85,10,K628=80,9,K628=75,8,K628=70,8,K628=65,7,K628=60,7,K628=55,6,K628=50,6,K628=45,6,K628=40,5,K628=35,4,K628=30,4,K628=25,3,K628=20,2,K628=15,1,K628=10,1,K628=0,0)</f>
        <v>7</v>
      </c>
      <c r="N628" s="3" t="n">
        <f aca="false">IF(L628&lt;=1,0,IF(L628&lt;=10,11,IF(L628&lt;=14,12,IF(L628&lt;=17,13,IF(L628&lt;=20,14,IF(L628&lt;=22,15,IF(L628&lt;=25,16,IF(L628&lt;=27,17,IF(L628&lt;=29,18,IF(L628&lt;=32,19,IF(L628&lt;=34,20,IF(L628&lt;=36,21,IF(L628&lt;=40,22,24)))))))))))))</f>
        <v>0</v>
      </c>
      <c r="O628" s="3" t="n">
        <v>60</v>
      </c>
      <c r="Q628" s="3" t="n">
        <f aca="false">_xlfn.IFS(O628="взв",11,O628="накл",24,O628="прокл",25,O628="пт",26,O628=90,10,O628=85,10,O628=80,9,O628=75,8,O628=70,8,O628=65,7,O628=60,7,O628=55,6,O628=50,6,O628=45,6,O628=40,5,O628=35,4,O628=30,4,O628=25,3,O628=20,2,O628=15,1,O628=10,1,O628=0,0)</f>
        <v>7</v>
      </c>
      <c r="R628" s="3" t="n">
        <f aca="false">IF(P628&lt;=1,0,IF(P628&lt;=10,11,IF(P628&lt;=14,12,IF(P628&lt;=17,13,IF(P628&lt;=20,14,IF(P628&lt;=22,15,IF(P628&lt;=25,16,IF(P628&lt;=27,17,IF(P628&lt;=29,18,IF(P628&lt;=32,19,IF(P628&lt;=34,20,IF(P628&lt;=36,21,IF(P628&lt;=40,22,24)))))))))))))</f>
        <v>0</v>
      </c>
      <c r="S628" s="14" t="n">
        <f aca="false">ROUND((Q628+R628+I628+J628+M628+N628)/3,0)</f>
        <v>7</v>
      </c>
      <c r="T628" s="15" t="n">
        <f aca="false">F628*LOG10(S628+2)</f>
        <v>14.3136376415899</v>
      </c>
    </row>
    <row r="629" customFormat="false" ht="14.65" hidden="false" customHeight="true" outlineLevel="0" collapsed="false">
      <c r="A629" s="12" t="s">
        <v>693</v>
      </c>
      <c r="B629" s="16" t="n">
        <v>38885</v>
      </c>
      <c r="C629" s="17" t="s">
        <v>228</v>
      </c>
      <c r="D629" s="18" t="s">
        <v>670</v>
      </c>
      <c r="E629" s="3" t="n">
        <v>5</v>
      </c>
      <c r="F629" s="3" t="n">
        <v>17</v>
      </c>
      <c r="G629" s="3" t="n">
        <v>60</v>
      </c>
      <c r="I629" s="3" t="n">
        <f aca="false">_xlfn.IFS(G629="взв",11,G629="накл",24,G629="прокл",25,G629="пт",26,G629=90,10,G629=85,10,G629=80,9,G629=75,8,G629=70,8,G629=65,7,G629=60,7,G629=55,6,G629=50,6,G629=45,6,G629=40,5,G629=35,4,G629=30,4,G629=25,3,G629=20,2,G629=15,1,G629=10,1,G629=0,0)</f>
        <v>7</v>
      </c>
      <c r="J629" s="3" t="n">
        <f aca="false">IF(H629&lt;=1,0,IF(H629&lt;=10,11,IF(H629&lt;=14,12,IF(H629&lt;=17,13,IF(H629&lt;=20,14,IF(H629&lt;=22,15,IF(H629&lt;=25,16,IF(H629&lt;=27,17,IF(H629&lt;=29,18,IF(H629&lt;=32,19,IF(H629&lt;=34,20,IF(H629&lt;=36,21,IF(H629&lt;=40,22,24)))))))))))))</f>
        <v>0</v>
      </c>
      <c r="K629" s="3" t="n">
        <v>60</v>
      </c>
      <c r="M629" s="3" t="n">
        <f aca="false">_xlfn.IFS(K629="взв",11,K629="накл",24,K629="прокл",25,K629="пт",26,K629=90,10,K629=85,10,K629=80,9,K629=75,8,K629=70,8,K629=65,7,K629=60,7,K629=55,6,K629=50,6,K629=45,6,K629=40,5,K629=35,4,K629=30,4,K629=25,3,K629=20,2,K629=15,1,K629=10,1,K629=0,0)</f>
        <v>7</v>
      </c>
      <c r="N629" s="3" t="n">
        <f aca="false">IF(L629&lt;=1,0,IF(L629&lt;=10,11,IF(L629&lt;=14,12,IF(L629&lt;=17,13,IF(L629&lt;=20,14,IF(L629&lt;=22,15,IF(L629&lt;=25,16,IF(L629&lt;=27,17,IF(L629&lt;=29,18,IF(L629&lt;=32,19,IF(L629&lt;=34,20,IF(L629&lt;=36,21,IF(L629&lt;=40,22,24)))))))))))))</f>
        <v>0</v>
      </c>
      <c r="O629" s="3" t="n">
        <v>60</v>
      </c>
      <c r="Q629" s="3" t="n">
        <f aca="false">_xlfn.IFS(O629="взв",11,O629="накл",24,O629="прокл",25,O629="пт",26,O629=90,10,O629=85,10,O629=80,9,O629=75,8,O629=70,8,O629=65,7,O629=60,7,O629=55,6,O629=50,6,O629=45,6,O629=40,5,O629=35,4,O629=30,4,O629=25,3,O629=20,2,O629=15,1,O629=10,1,O629=0,0)</f>
        <v>7</v>
      </c>
      <c r="R629" s="3" t="n">
        <f aca="false">IF(P629&lt;=1,0,IF(P629&lt;=10,11,IF(P629&lt;=14,12,IF(P629&lt;=17,13,IF(P629&lt;=20,14,IF(P629&lt;=22,15,IF(P629&lt;=25,16,IF(P629&lt;=27,17,IF(P629&lt;=29,18,IF(P629&lt;=32,19,IF(P629&lt;=34,20,IF(P629&lt;=36,21,IF(P629&lt;=40,22,24)))))))))))))</f>
        <v>0</v>
      </c>
      <c r="S629" s="14" t="n">
        <f aca="false">ROUND((Q629+R629+I629+J629+M629+N629)/3,0)</f>
        <v>7</v>
      </c>
      <c r="T629" s="15" t="n">
        <f aca="false">F629*LOG10(S629+2)</f>
        <v>16.2221226604685</v>
      </c>
    </row>
    <row r="630" customFormat="false" ht="14.65" hidden="false" customHeight="true" outlineLevel="0" collapsed="false">
      <c r="A630" s="12" t="s">
        <v>694</v>
      </c>
      <c r="B630" s="16" t="n">
        <v>38895</v>
      </c>
      <c r="C630" s="17" t="s">
        <v>228</v>
      </c>
      <c r="D630" s="4" t="s">
        <v>695</v>
      </c>
      <c r="E630" s="3" t="n">
        <v>4</v>
      </c>
      <c r="F630" s="3" t="n">
        <v>1</v>
      </c>
      <c r="G630" s="3" t="n">
        <v>90</v>
      </c>
      <c r="I630" s="3" t="n">
        <f aca="false">_xlfn.IFS(G630="взв",11,G630="накл",24,G630="прокл",25,G630="пт",26,G630=90,10,G630=85,10,G630=80,9,G630=75,8,G630=70,8,G630=65,7,G630=60,7,G630=55,6,G630=50,6,G630=45,6,G630=40,5,G630=35,4,G630=30,4,G630=25,3,G630=20,2,G630=15,1,G630=10,1,G630=0,0)</f>
        <v>10</v>
      </c>
      <c r="J630" s="3" t="n">
        <f aca="false">IF(H630&lt;=1,0,IF(H630&lt;=10,11,IF(H630&lt;=14,12,IF(H630&lt;=17,13,IF(H630&lt;=20,14,IF(H630&lt;=22,15,IF(H630&lt;=25,16,IF(H630&lt;=27,17,IF(H630&lt;=29,18,IF(H630&lt;=32,19,IF(H630&lt;=34,20,IF(H630&lt;=36,21,IF(H630&lt;=40,22,24)))))))))))))</f>
        <v>0</v>
      </c>
      <c r="K630" s="3" t="n">
        <v>90</v>
      </c>
      <c r="M630" s="3" t="n">
        <f aca="false">_xlfn.IFS(K630="взв",11,K630="накл",24,K630="прокл",25,K630="пт",26,K630=90,10,K630=85,10,K630=80,9,K630=75,8,K630=70,8,K630=65,7,K630=60,7,K630=55,6,K630=50,6,K630=45,6,K630=40,5,K630=35,4,K630=30,4,K630=25,3,K630=20,2,K630=15,1,K630=10,1,K630=0,0)</f>
        <v>10</v>
      </c>
      <c r="N630" s="3" t="n">
        <f aca="false">IF(L630&lt;=1,0,IF(L630&lt;=10,11,IF(L630&lt;=14,12,IF(L630&lt;=17,13,IF(L630&lt;=20,14,IF(L630&lt;=22,15,IF(L630&lt;=25,16,IF(L630&lt;=27,17,IF(L630&lt;=29,18,IF(L630&lt;=32,19,IF(L630&lt;=34,20,IF(L630&lt;=36,21,IF(L630&lt;=40,22,24)))))))))))))</f>
        <v>0</v>
      </c>
      <c r="O630" s="3" t="n">
        <v>90</v>
      </c>
      <c r="Q630" s="3" t="n">
        <f aca="false">_xlfn.IFS(O630="взв",11,O630="накл",24,O630="прокл",25,O630="пт",26,O630=90,10,O630=85,10,O630=80,9,O630=75,8,O630=70,8,O630=65,7,O630=60,7,O630=55,6,O630=50,6,O630=45,6,O630=40,5,O630=35,4,O630=30,4,O630=25,3,O630=20,2,O630=15,1,O630=10,1,O630=0,0)</f>
        <v>10</v>
      </c>
      <c r="R630" s="3" t="n">
        <f aca="false">IF(P630&lt;=1,0,IF(P630&lt;=10,11,IF(P630&lt;=14,12,IF(P630&lt;=17,13,IF(P630&lt;=20,14,IF(P630&lt;=22,15,IF(P630&lt;=25,16,IF(P630&lt;=27,17,IF(P630&lt;=29,18,IF(P630&lt;=32,19,IF(P630&lt;=34,20,IF(P630&lt;=36,21,IF(P630&lt;=40,22,24)))))))))))))</f>
        <v>0</v>
      </c>
      <c r="S630" s="14" t="n">
        <f aca="false">ROUND((Q630+R630+I630+J630+M630+N630)/3,0)</f>
        <v>10</v>
      </c>
      <c r="T630" s="15" t="n">
        <f aca="false">F630*LOG10(S630+2)</f>
        <v>1.07918124604762</v>
      </c>
    </row>
    <row r="631" customFormat="false" ht="14.65" hidden="false" customHeight="true" outlineLevel="0" collapsed="false">
      <c r="A631" s="12" t="s">
        <v>696</v>
      </c>
      <c r="B631" s="16" t="n">
        <v>38895</v>
      </c>
      <c r="C631" s="17" t="s">
        <v>228</v>
      </c>
      <c r="D631" s="4" t="s">
        <v>695</v>
      </c>
      <c r="E631" s="3" t="n">
        <v>6</v>
      </c>
      <c r="F631" s="3" t="n">
        <v>1</v>
      </c>
      <c r="H631" s="3" t="n">
        <v>40</v>
      </c>
      <c r="I631" s="3" t="n">
        <f aca="false">_xlfn.IFS(G631="взв",11,G631="накл",24,G631="прокл",25,G631="пт",26,G631=90,10,G631=85,10,G631=80,9,G631=75,8,G631=70,8,G631=65,7,G631=60,7,G631=55,6,G631=50,6,G631=45,6,G631=40,5,G631=35,4,G631=30,4,G631=25,3,G631=20,2,G631=15,1,G631=10,1,G631=0,0)</f>
        <v>0</v>
      </c>
      <c r="J631" s="3" t="n">
        <f aca="false">IF(H631&lt;=1,0,IF(H631&lt;=10,11,IF(H631&lt;=14,12,IF(H631&lt;=17,13,IF(H631&lt;=20,14,IF(H631&lt;=22,15,IF(H631&lt;=25,16,IF(H631&lt;=27,17,IF(H631&lt;=29,18,IF(H631&lt;=32,19,IF(H631&lt;=34,20,IF(H631&lt;=36,21,IF(H631&lt;=40,22,24)))))))))))))</f>
        <v>22</v>
      </c>
      <c r="L631" s="3" t="n">
        <v>42</v>
      </c>
      <c r="M631" s="3" t="n">
        <f aca="false">_xlfn.IFS(K631="взв",11,K631="накл",24,K631="прокл",25,K631="пт",26,K631=90,10,K631=85,10,K631=80,9,K631=75,8,K631=70,8,K631=65,7,K631=60,7,K631=55,6,K631=50,6,K631=45,6,K631=40,5,K631=35,4,K631=30,4,K631=25,3,K631=20,2,K631=15,1,K631=10,1,K631=0,0)</f>
        <v>0</v>
      </c>
      <c r="N631" s="3" t="n">
        <f aca="false">IF(L631&lt;=1,0,IF(L631&lt;=10,11,IF(L631&lt;=14,12,IF(L631&lt;=17,13,IF(L631&lt;=20,14,IF(L631&lt;=22,15,IF(L631&lt;=25,16,IF(L631&lt;=27,17,IF(L631&lt;=29,18,IF(L631&lt;=32,19,IF(L631&lt;=34,20,IF(L631&lt;=36,21,IF(L631&lt;=40,22,24)))))))))))))</f>
        <v>24</v>
      </c>
      <c r="P631" s="3" t="n">
        <v>42</v>
      </c>
      <c r="Q631" s="3" t="n">
        <f aca="false">_xlfn.IFS(O631="взв",11,O631="накл",24,O631="прокл",25,O631="пт",26,O631=90,10,O631=85,10,O631=80,9,O631=75,8,O631=70,8,O631=65,7,O631=60,7,O631=55,6,O631=50,6,O631=45,6,O631=40,5,O631=35,4,O631=30,4,O631=25,3,O631=20,2,O631=15,1,O631=10,1,O631=0,0)</f>
        <v>0</v>
      </c>
      <c r="R631" s="3" t="n">
        <f aca="false">IF(P631&lt;=1,0,IF(P631&lt;=10,11,IF(P631&lt;=14,12,IF(P631&lt;=17,13,IF(P631&lt;=20,14,IF(P631&lt;=22,15,IF(P631&lt;=25,16,IF(P631&lt;=27,17,IF(P631&lt;=29,18,IF(P631&lt;=32,19,IF(P631&lt;=34,20,IF(P631&lt;=36,21,IF(P631&lt;=40,22,24)))))))))))))</f>
        <v>24</v>
      </c>
      <c r="S631" s="14" t="n">
        <f aca="false">ROUND((Q631+R631+I631+J631+M631+N631)/3,0)</f>
        <v>23</v>
      </c>
      <c r="T631" s="15" t="n">
        <f aca="false">F631*LOG10(S631+2)</f>
        <v>1.39794000867204</v>
      </c>
    </row>
    <row r="632" customFormat="false" ht="14.65" hidden="false" customHeight="true" outlineLevel="0" collapsed="false">
      <c r="A632" s="12" t="s">
        <v>697</v>
      </c>
      <c r="B632" s="16" t="n">
        <v>38895</v>
      </c>
      <c r="C632" s="17" t="s">
        <v>228</v>
      </c>
      <c r="D632" s="4" t="s">
        <v>695</v>
      </c>
      <c r="E632" s="3" t="n">
        <v>5</v>
      </c>
      <c r="F632" s="3" t="n">
        <v>1</v>
      </c>
      <c r="H632" s="3" t="n">
        <v>31</v>
      </c>
      <c r="I632" s="3" t="n">
        <f aca="false">_xlfn.IFS(G632="взв",11,G632="накл",24,G632="прокл",25,G632="пт",26,G632=90,10,G632=85,10,G632=80,9,G632=75,8,G632=70,8,G632=65,7,G632=60,7,G632=55,6,G632=50,6,G632=45,6,G632=40,5,G632=35,4,G632=30,4,G632=25,3,G632=20,2,G632=15,1,G632=10,1,G632=0,0)</f>
        <v>0</v>
      </c>
      <c r="J632" s="3" t="n">
        <f aca="false">IF(H632&lt;=1,0,IF(H632&lt;=10,11,IF(H632&lt;=14,12,IF(H632&lt;=17,13,IF(H632&lt;=20,14,IF(H632&lt;=22,15,IF(H632&lt;=25,16,IF(H632&lt;=27,17,IF(H632&lt;=29,18,IF(H632&lt;=32,19,IF(H632&lt;=34,20,IF(H632&lt;=36,21,IF(H632&lt;=40,22,24)))))))))))))</f>
        <v>19</v>
      </c>
      <c r="L632" s="3" t="n">
        <v>30</v>
      </c>
      <c r="M632" s="3" t="n">
        <f aca="false">_xlfn.IFS(K632="взв",11,K632="накл",24,K632="прокл",25,K632="пт",26,K632=90,10,K632=85,10,K632=80,9,K632=75,8,K632=70,8,K632=65,7,K632=60,7,K632=55,6,K632=50,6,K632=45,6,K632=40,5,K632=35,4,K632=30,4,K632=25,3,K632=20,2,K632=15,1,K632=10,1,K632=0,0)</f>
        <v>0</v>
      </c>
      <c r="N632" s="3" t="n">
        <f aca="false">IF(L632&lt;=1,0,IF(L632&lt;=10,11,IF(L632&lt;=14,12,IF(L632&lt;=17,13,IF(L632&lt;=20,14,IF(L632&lt;=22,15,IF(L632&lt;=25,16,IF(L632&lt;=27,17,IF(L632&lt;=29,18,IF(L632&lt;=32,19,IF(L632&lt;=34,20,IF(L632&lt;=36,21,IF(L632&lt;=40,22,24)))))))))))))</f>
        <v>19</v>
      </c>
      <c r="P632" s="3" t="n">
        <v>33</v>
      </c>
      <c r="Q632" s="3" t="n">
        <f aca="false">_xlfn.IFS(O632="взв",11,O632="накл",24,O632="прокл",25,O632="пт",26,O632=90,10,O632=85,10,O632=80,9,O632=75,8,O632=70,8,O632=65,7,O632=60,7,O632=55,6,O632=50,6,O632=45,6,O632=40,5,O632=35,4,O632=30,4,O632=25,3,O632=20,2,O632=15,1,O632=10,1,O632=0,0)</f>
        <v>0</v>
      </c>
      <c r="R632" s="3" t="n">
        <f aca="false">IF(P632&lt;=1,0,IF(P632&lt;=10,11,IF(P632&lt;=14,12,IF(P632&lt;=17,13,IF(P632&lt;=20,14,IF(P632&lt;=22,15,IF(P632&lt;=25,16,IF(P632&lt;=27,17,IF(P632&lt;=29,18,IF(P632&lt;=32,19,IF(P632&lt;=34,20,IF(P632&lt;=36,21,IF(P632&lt;=40,22,24)))))))))))))</f>
        <v>20</v>
      </c>
      <c r="S632" s="14" t="n">
        <f aca="false">ROUND((Q632+R632+I632+J632+M632+N632)/3,0)</f>
        <v>19</v>
      </c>
      <c r="T632" s="15" t="n">
        <f aca="false">F632*LOG10(S632+2)</f>
        <v>1.32221929473392</v>
      </c>
    </row>
    <row r="633" customFormat="false" ht="14.65" hidden="false" customHeight="true" outlineLevel="0" collapsed="false">
      <c r="A633" s="12" t="s">
        <v>698</v>
      </c>
      <c r="B633" s="16" t="n">
        <v>38895</v>
      </c>
      <c r="C633" s="17" t="s">
        <v>228</v>
      </c>
      <c r="D633" s="4" t="s">
        <v>695</v>
      </c>
      <c r="E633" s="3" t="n">
        <v>4</v>
      </c>
      <c r="F633" s="3" t="n">
        <v>1</v>
      </c>
      <c r="H633" s="3" t="n">
        <v>21</v>
      </c>
      <c r="I633" s="3" t="n">
        <f aca="false">_xlfn.IFS(G633="взв",11,G633="накл",24,G633="прокл",25,G633="пт",26,G633=90,10,G633=85,10,G633=80,9,G633=75,8,G633=70,8,G633=65,7,G633=60,7,G633=55,6,G633=50,6,G633=45,6,G633=40,5,G633=35,4,G633=30,4,G633=25,3,G633=20,2,G633=15,1,G633=10,1,G633=0,0)</f>
        <v>0</v>
      </c>
      <c r="J633" s="3" t="n">
        <f aca="false">IF(H633&lt;=1,0,IF(H633&lt;=10,11,IF(H633&lt;=14,12,IF(H633&lt;=17,13,IF(H633&lt;=20,14,IF(H633&lt;=22,15,IF(H633&lt;=25,16,IF(H633&lt;=27,17,IF(H633&lt;=29,18,IF(H633&lt;=32,19,IF(H633&lt;=34,20,IF(H633&lt;=36,21,IF(H633&lt;=40,22,24)))))))))))))</f>
        <v>15</v>
      </c>
      <c r="L633" s="3" t="n">
        <v>16</v>
      </c>
      <c r="M633" s="3" t="n">
        <f aca="false">_xlfn.IFS(K633="взв",11,K633="накл",24,K633="прокл",25,K633="пт",26,K633=90,10,K633=85,10,K633=80,9,K633=75,8,K633=70,8,K633=65,7,K633=60,7,K633=55,6,K633=50,6,K633=45,6,K633=40,5,K633=35,4,K633=30,4,K633=25,3,K633=20,2,K633=15,1,K633=10,1,K633=0,0)</f>
        <v>0</v>
      </c>
      <c r="N633" s="3" t="n">
        <f aca="false">IF(L633&lt;=1,0,IF(L633&lt;=10,11,IF(L633&lt;=14,12,IF(L633&lt;=17,13,IF(L633&lt;=20,14,IF(L633&lt;=22,15,IF(L633&lt;=25,16,IF(L633&lt;=27,17,IF(L633&lt;=29,18,IF(L633&lt;=32,19,IF(L633&lt;=34,20,IF(L633&lt;=36,21,IF(L633&lt;=40,22,24)))))))))))))</f>
        <v>13</v>
      </c>
      <c r="P633" s="3" t="n">
        <v>13</v>
      </c>
      <c r="Q633" s="3" t="n">
        <f aca="false">_xlfn.IFS(O633="взв",11,O633="накл",24,O633="прокл",25,O633="пт",26,O633=90,10,O633=85,10,O633=80,9,O633=75,8,O633=70,8,O633=65,7,O633=60,7,O633=55,6,O633=50,6,O633=45,6,O633=40,5,O633=35,4,O633=30,4,O633=25,3,O633=20,2,O633=15,1,O633=10,1,O633=0,0)</f>
        <v>0</v>
      </c>
      <c r="R633" s="3" t="n">
        <f aca="false">IF(P633&lt;=1,0,IF(P633&lt;=10,11,IF(P633&lt;=14,12,IF(P633&lt;=17,13,IF(P633&lt;=20,14,IF(P633&lt;=22,15,IF(P633&lt;=25,16,IF(P633&lt;=27,17,IF(P633&lt;=29,18,IF(P633&lt;=32,19,IF(P633&lt;=34,20,IF(P633&lt;=36,21,IF(P633&lt;=40,22,24)))))))))))))</f>
        <v>12</v>
      </c>
      <c r="S633" s="14" t="n">
        <f aca="false">ROUND((Q633+R633+I633+J633+M633+N633)/3,0)</f>
        <v>13</v>
      </c>
      <c r="T633" s="15" t="n">
        <f aca="false">F633*LOG10(S633+2)</f>
        <v>1.17609125905568</v>
      </c>
    </row>
    <row r="634" customFormat="false" ht="14.65" hidden="false" customHeight="true" outlineLevel="0" collapsed="false">
      <c r="A634" s="12" t="s">
        <v>699</v>
      </c>
      <c r="B634" s="16" t="n">
        <v>38895</v>
      </c>
      <c r="C634" s="17" t="s">
        <v>228</v>
      </c>
      <c r="D634" s="4" t="s">
        <v>695</v>
      </c>
      <c r="E634" s="3" t="n">
        <v>2</v>
      </c>
      <c r="F634" s="3" t="n">
        <v>1.5</v>
      </c>
      <c r="H634" s="3" t="n">
        <v>32</v>
      </c>
      <c r="I634" s="3" t="n">
        <f aca="false">_xlfn.IFS(G634="взв",11,G634="накл",24,G634="прокл",25,G634="пт",26,G634=90,10,G634=85,10,G634=80,9,G634=75,8,G634=70,8,G634=65,7,G634=60,7,G634=55,6,G634=50,6,G634=45,6,G634=40,5,G634=35,4,G634=30,4,G634=25,3,G634=20,2,G634=15,1,G634=10,1,G634=0,0)</f>
        <v>0</v>
      </c>
      <c r="J634" s="3" t="n">
        <f aca="false">IF(H634&lt;=1,0,IF(H634&lt;=10,11,IF(H634&lt;=14,12,IF(H634&lt;=17,13,IF(H634&lt;=20,14,IF(H634&lt;=22,15,IF(H634&lt;=25,16,IF(H634&lt;=27,17,IF(H634&lt;=29,18,IF(H634&lt;=32,19,IF(H634&lt;=34,20,IF(H634&lt;=36,21,IF(H634&lt;=40,22,24)))))))))))))</f>
        <v>19</v>
      </c>
      <c r="L634" s="3" t="n">
        <v>35</v>
      </c>
      <c r="M634" s="3" t="n">
        <f aca="false">_xlfn.IFS(K634="взв",11,K634="накл",24,K634="прокл",25,K634="пт",26,K634=90,10,K634=85,10,K634=80,9,K634=75,8,K634=70,8,K634=65,7,K634=60,7,K634=55,6,K634=50,6,K634=45,6,K634=40,5,K634=35,4,K634=30,4,K634=25,3,K634=20,2,K634=15,1,K634=10,1,K634=0,0)</f>
        <v>0</v>
      </c>
      <c r="N634" s="3" t="n">
        <f aca="false">IF(L634&lt;=1,0,IF(L634&lt;=10,11,IF(L634&lt;=14,12,IF(L634&lt;=17,13,IF(L634&lt;=20,14,IF(L634&lt;=22,15,IF(L634&lt;=25,16,IF(L634&lt;=27,17,IF(L634&lt;=29,18,IF(L634&lt;=32,19,IF(L634&lt;=34,20,IF(L634&lt;=36,21,IF(L634&lt;=40,22,24)))))))))))))</f>
        <v>21</v>
      </c>
      <c r="Q634" s="3" t="n">
        <f aca="false">_xlfn.IFS(O634="взв",11,O634="накл",24,O634="прокл",25,O634="пт",26,O634=90,10,O634=85,10,O634=80,9,O634=75,8,O634=70,8,O634=65,7,O634=60,7,O634=55,6,O634=50,6,O634=45,6,O634=40,5,O634=35,4,O634=30,4,O634=25,3,O634=20,2,O634=15,1,O634=10,1,O634=0,0)</f>
        <v>0</v>
      </c>
      <c r="R634" s="3" t="n">
        <f aca="false">IF(P634&lt;=1,0,IF(P634&lt;=10,11,IF(P634&lt;=14,12,IF(P634&lt;=17,13,IF(P634&lt;=20,14,IF(P634&lt;=22,15,IF(P634&lt;=25,16,IF(P634&lt;=27,17,IF(P634&lt;=29,18,IF(P634&lt;=32,19,IF(P634&lt;=34,20,IF(P634&lt;=36,21,IF(P634&lt;=40,22,24)))))))))))))</f>
        <v>0</v>
      </c>
      <c r="S634" s="14" t="n">
        <f aca="false">ROUND((Q634+R634+I634+J634+M634+N634)/3,0)</f>
        <v>13</v>
      </c>
      <c r="T634" s="15" t="n">
        <f aca="false">F634*LOG10(S634+2)</f>
        <v>1.76413688858352</v>
      </c>
    </row>
    <row r="635" customFormat="false" ht="14.65" hidden="false" customHeight="true" outlineLevel="0" collapsed="false">
      <c r="A635" s="12" t="s">
        <v>700</v>
      </c>
      <c r="B635" s="16" t="n">
        <v>38895</v>
      </c>
      <c r="C635" s="17" t="s">
        <v>228</v>
      </c>
      <c r="D635" s="4" t="s">
        <v>695</v>
      </c>
      <c r="E635" s="3" t="n">
        <v>3</v>
      </c>
      <c r="F635" s="3" t="n">
        <v>2</v>
      </c>
      <c r="I635" s="3" t="n">
        <f aca="false">_xlfn.IFS(G635="взв",11,G635="накл",24,G635="прокл",25,G635="пт",26,G635=90,10,G635=85,10,G635=80,9,G635=75,8,G635=70,8,G635=65,7,G635=60,7,G635=55,6,G635=50,6,G635=45,6,G635=40,5,G635=35,4,G635=30,4,G635=25,3,G635=20,2,G635=15,1,G635=10,1,G635=0,0)</f>
        <v>0</v>
      </c>
      <c r="J635" s="3" t="n">
        <f aca="false">IF(H635&lt;=1,0,IF(H635&lt;=10,11,IF(H635&lt;=14,12,IF(H635&lt;=17,13,IF(H635&lt;=20,14,IF(H635&lt;=22,15,IF(H635&lt;=25,16,IF(H635&lt;=27,17,IF(H635&lt;=29,18,IF(H635&lt;=32,19,IF(H635&lt;=34,20,IF(H635&lt;=36,21,IF(H635&lt;=40,22,24)))))))))))))</f>
        <v>0</v>
      </c>
      <c r="K635" s="3" t="s">
        <v>27</v>
      </c>
      <c r="L635" s="0"/>
      <c r="M635" s="3" t="n">
        <f aca="false">_xlfn.IFS(K635="взв",11,K635="накл",24,K635="прокл",25,K635="пт",26,K635=90,10,K635=85,10,K635=80,9,K635=75,8,K635=70,8,K635=65,7,K635=60,7,K635=55,6,K635=50,6,K635=45,6,K635=40,5,K635=35,4,K635=30,4,K635=25,3,K635=20,2,K635=15,1,K635=10,1,K635=0,0)</f>
        <v>24</v>
      </c>
      <c r="N635" s="3" t="n">
        <f aca="false">IF(L635&lt;=1,0,IF(L635&lt;=10,11,IF(L635&lt;=14,12,IF(L635&lt;=17,13,IF(L635&lt;=20,14,IF(L635&lt;=22,15,IF(L635&lt;=25,16,IF(L635&lt;=27,17,IF(L635&lt;=29,18,IF(L635&lt;=32,19,IF(L635&lt;=34,20,IF(L635&lt;=36,21,IF(L635&lt;=40,22,24)))))))))))))</f>
        <v>0</v>
      </c>
      <c r="Q635" s="3" t="n">
        <f aca="false">_xlfn.IFS(O635="взв",11,O635="накл",24,O635="прокл",25,O635="пт",26,O635=90,10,O635=85,10,O635=80,9,O635=75,8,O635=70,8,O635=65,7,O635=60,7,O635=55,6,O635=50,6,O635=45,6,O635=40,5,O635=35,4,O635=30,4,O635=25,3,O635=20,2,O635=15,1,O635=10,1,O635=0,0)</f>
        <v>0</v>
      </c>
      <c r="R635" s="3" t="n">
        <f aca="false">IF(P635&lt;=1,0,IF(P635&lt;=10,11,IF(P635&lt;=14,12,IF(P635&lt;=17,13,IF(P635&lt;=20,14,IF(P635&lt;=22,15,IF(P635&lt;=25,16,IF(P635&lt;=27,17,IF(P635&lt;=29,18,IF(P635&lt;=32,19,IF(P635&lt;=34,20,IF(P635&lt;=36,21,IF(P635&lt;=40,22,24)))))))))))))</f>
        <v>0</v>
      </c>
      <c r="S635" s="14" t="n">
        <f aca="false">ROUND((Q635+R635+I635+J635+M635+N635)/3,0)</f>
        <v>8</v>
      </c>
      <c r="T635" s="15" t="n">
        <f aca="false">F635*LOG10(S635+2)</f>
        <v>2</v>
      </c>
    </row>
    <row r="636" customFormat="false" ht="14.65" hidden="false" customHeight="true" outlineLevel="0" collapsed="false">
      <c r="A636" s="12" t="s">
        <v>701</v>
      </c>
      <c r="B636" s="16" t="n">
        <v>38895</v>
      </c>
      <c r="C636" s="17" t="s">
        <v>228</v>
      </c>
      <c r="D636" s="4" t="s">
        <v>695</v>
      </c>
      <c r="E636" s="3" t="n">
        <v>5</v>
      </c>
      <c r="F636" s="3" t="n">
        <v>3</v>
      </c>
      <c r="G636" s="3" t="n">
        <v>90</v>
      </c>
      <c r="I636" s="3" t="n">
        <f aca="false">_xlfn.IFS(G636="взв",11,G636="накл",24,G636="прокл",25,G636="пт",26,G636=90,10,G636=85,10,G636=80,9,G636=75,8,G636=70,8,G636=65,7,G636=60,7,G636=55,6,G636=50,6,G636=45,6,G636=40,5,G636=35,4,G636=30,4,G636=25,3,G636=20,2,G636=15,1,G636=10,1,G636=0,0)</f>
        <v>10</v>
      </c>
      <c r="J636" s="3" t="n">
        <f aca="false">IF(H636&lt;=1,0,IF(H636&lt;=10,11,IF(H636&lt;=14,12,IF(H636&lt;=17,13,IF(H636&lt;=20,14,IF(H636&lt;=22,15,IF(H636&lt;=25,16,IF(H636&lt;=27,17,IF(H636&lt;=29,18,IF(H636&lt;=32,19,IF(H636&lt;=34,20,IF(H636&lt;=36,21,IF(H636&lt;=40,22,24)))))))))))))</f>
        <v>0</v>
      </c>
      <c r="K636" s="3" t="n">
        <v>75</v>
      </c>
      <c r="M636" s="3" t="n">
        <f aca="false">_xlfn.IFS(K636="взв",11,K636="накл",24,K636="прокл",25,K636="пт",26,K636=90,10,K636=85,10,K636=80,9,K636=75,8,K636=70,8,K636=65,7,K636=60,7,K636=55,6,K636=50,6,K636=45,6,K636=40,5,K636=35,4,K636=30,4,K636=25,3,K636=20,2,K636=15,1,K636=10,1,K636=0,0)</f>
        <v>8</v>
      </c>
      <c r="N636" s="3" t="n">
        <f aca="false">IF(L636&lt;=1,0,IF(L636&lt;=10,11,IF(L636&lt;=14,12,IF(L636&lt;=17,13,IF(L636&lt;=20,14,IF(L636&lt;=22,15,IF(L636&lt;=25,16,IF(L636&lt;=27,17,IF(L636&lt;=29,18,IF(L636&lt;=32,19,IF(L636&lt;=34,20,IF(L636&lt;=36,21,IF(L636&lt;=40,22,24)))))))))))))</f>
        <v>0</v>
      </c>
      <c r="O636" s="3" t="n">
        <v>90</v>
      </c>
      <c r="Q636" s="3" t="n">
        <f aca="false">_xlfn.IFS(O636="взв",11,O636="накл",24,O636="прокл",25,O636="пт",26,O636=90,10,O636=85,10,O636=80,9,O636=75,8,O636=70,8,O636=65,7,O636=60,7,O636=55,6,O636=50,6,O636=45,6,O636=40,5,O636=35,4,O636=30,4,O636=25,3,O636=20,2,O636=15,1,O636=10,1,O636=0,0)</f>
        <v>10</v>
      </c>
      <c r="R636" s="3" t="n">
        <f aca="false">IF(P636&lt;=1,0,IF(P636&lt;=10,11,IF(P636&lt;=14,12,IF(P636&lt;=17,13,IF(P636&lt;=20,14,IF(P636&lt;=22,15,IF(P636&lt;=25,16,IF(P636&lt;=27,17,IF(P636&lt;=29,18,IF(P636&lt;=32,19,IF(P636&lt;=34,20,IF(P636&lt;=36,21,IF(P636&lt;=40,22,24)))))))))))))</f>
        <v>0</v>
      </c>
      <c r="S636" s="14" t="n">
        <f aca="false">ROUND((Q636+R636+I636+J636+M636+N636)/3,0)</f>
        <v>9</v>
      </c>
      <c r="T636" s="15" t="n">
        <f aca="false">F636*LOG10(S636+2)</f>
        <v>3.12417805547468</v>
      </c>
    </row>
    <row r="637" customFormat="false" ht="14.65" hidden="false" customHeight="true" outlineLevel="0" collapsed="false">
      <c r="A637" s="12" t="s">
        <v>702</v>
      </c>
      <c r="B637" s="16" t="n">
        <v>38895</v>
      </c>
      <c r="C637" s="17" t="s">
        <v>228</v>
      </c>
      <c r="D637" s="4" t="s">
        <v>695</v>
      </c>
      <c r="E637" s="3" t="n">
        <v>5</v>
      </c>
      <c r="F637" s="3" t="n">
        <v>3</v>
      </c>
      <c r="H637" s="3" t="n">
        <v>35</v>
      </c>
      <c r="I637" s="3" t="n">
        <f aca="false">_xlfn.IFS(G637="взв",11,G637="накл",24,G637="прокл",25,G637="пт",26,G637=90,10,G637=85,10,G637=80,9,G637=75,8,G637=70,8,G637=65,7,G637=60,7,G637=55,6,G637=50,6,G637=45,6,G637=40,5,G637=35,4,G637=30,4,G637=25,3,G637=20,2,G637=15,1,G637=10,1,G637=0,0)</f>
        <v>0</v>
      </c>
      <c r="J637" s="3" t="n">
        <f aca="false">IF(H637&lt;=1,0,IF(H637&lt;=10,11,IF(H637&lt;=14,12,IF(H637&lt;=17,13,IF(H637&lt;=20,14,IF(H637&lt;=22,15,IF(H637&lt;=25,16,IF(H637&lt;=27,17,IF(H637&lt;=29,18,IF(H637&lt;=32,19,IF(H637&lt;=34,20,IF(H637&lt;=36,21,IF(H637&lt;=40,22,24)))))))))))))</f>
        <v>21</v>
      </c>
      <c r="L637" s="3" t="n">
        <v>32</v>
      </c>
      <c r="M637" s="3" t="n">
        <f aca="false">_xlfn.IFS(K637="взв",11,K637="накл",24,K637="прокл",25,K637="пт",26,K637=90,10,K637=85,10,K637=80,9,K637=75,8,K637=70,8,K637=65,7,K637=60,7,K637=55,6,K637=50,6,K637=45,6,K637=40,5,K637=35,4,K637=30,4,K637=25,3,K637=20,2,K637=15,1,K637=10,1,K637=0,0)</f>
        <v>0</v>
      </c>
      <c r="N637" s="3" t="n">
        <f aca="false">IF(L637&lt;=1,0,IF(L637&lt;=10,11,IF(L637&lt;=14,12,IF(L637&lt;=17,13,IF(L637&lt;=20,14,IF(L637&lt;=22,15,IF(L637&lt;=25,16,IF(L637&lt;=27,17,IF(L637&lt;=29,18,IF(L637&lt;=32,19,IF(L637&lt;=34,20,IF(L637&lt;=36,21,IF(L637&lt;=40,22,24)))))))))))))</f>
        <v>19</v>
      </c>
      <c r="P637" s="3" t="n">
        <v>34</v>
      </c>
      <c r="Q637" s="3" t="n">
        <f aca="false">_xlfn.IFS(O637="взв",11,O637="накл",24,O637="прокл",25,O637="пт",26,O637=90,10,O637=85,10,O637=80,9,O637=75,8,O637=70,8,O637=65,7,O637=60,7,O637=55,6,O637=50,6,O637=45,6,O637=40,5,O637=35,4,O637=30,4,O637=25,3,O637=20,2,O637=15,1,O637=10,1,O637=0,0)</f>
        <v>0</v>
      </c>
      <c r="R637" s="3" t="n">
        <f aca="false">IF(P637&lt;=1,0,IF(P637&lt;=10,11,IF(P637&lt;=14,12,IF(P637&lt;=17,13,IF(P637&lt;=20,14,IF(P637&lt;=22,15,IF(P637&lt;=25,16,IF(P637&lt;=27,17,IF(P637&lt;=29,18,IF(P637&lt;=32,19,IF(P637&lt;=34,20,IF(P637&lt;=36,21,IF(P637&lt;=40,22,24)))))))))))))</f>
        <v>20</v>
      </c>
      <c r="S637" s="14" t="n">
        <f aca="false">ROUND((Q637+R637+I637+J637+M637+N637)/3,0)</f>
        <v>20</v>
      </c>
      <c r="T637" s="15" t="n">
        <f aca="false">F637*LOG10(S637+2)</f>
        <v>4.02726804246662</v>
      </c>
    </row>
    <row r="638" customFormat="false" ht="14.65" hidden="false" customHeight="true" outlineLevel="0" collapsed="false">
      <c r="A638" s="12" t="s">
        <v>703</v>
      </c>
      <c r="B638" s="16" t="n">
        <v>38895</v>
      </c>
      <c r="C638" s="17" t="s">
        <v>228</v>
      </c>
      <c r="D638" s="4" t="s">
        <v>695</v>
      </c>
      <c r="E638" s="3" t="n">
        <v>6</v>
      </c>
      <c r="F638" s="3" t="n">
        <v>3</v>
      </c>
      <c r="G638" s="3" t="n">
        <v>90</v>
      </c>
      <c r="I638" s="3" t="n">
        <f aca="false">_xlfn.IFS(G638="взв",11,G638="накл",24,G638="прокл",25,G638="пт",26,G638=90,10,G638=85,10,G638=80,9,G638=75,8,G638=70,8,G638=65,7,G638=60,7,G638=55,6,G638=50,6,G638=45,6,G638=40,5,G638=35,4,G638=30,4,G638=25,3,G638=20,2,G638=15,1,G638=10,1,G638=0,0)</f>
        <v>10</v>
      </c>
      <c r="J638" s="3" t="n">
        <f aca="false">IF(H638&lt;=1,0,IF(H638&lt;=10,11,IF(H638&lt;=14,12,IF(H638&lt;=17,13,IF(H638&lt;=20,14,IF(H638&lt;=22,15,IF(H638&lt;=25,16,IF(H638&lt;=27,17,IF(H638&lt;=29,18,IF(H638&lt;=32,19,IF(H638&lt;=34,20,IF(H638&lt;=36,21,IF(H638&lt;=40,22,24)))))))))))))</f>
        <v>0</v>
      </c>
      <c r="K638" s="3" t="n">
        <v>90</v>
      </c>
      <c r="M638" s="3" t="n">
        <f aca="false">_xlfn.IFS(K638="взв",11,K638="накл",24,K638="прокл",25,K638="пт",26,K638=90,10,K638=85,10,K638=80,9,K638=75,8,K638=70,8,K638=65,7,K638=60,7,K638=55,6,K638=50,6,K638=45,6,K638=40,5,K638=35,4,K638=30,4,K638=25,3,K638=20,2,K638=15,1,K638=10,1,K638=0,0)</f>
        <v>10</v>
      </c>
      <c r="N638" s="3" t="n">
        <f aca="false">IF(L638&lt;=1,0,IF(L638&lt;=10,11,IF(L638&lt;=14,12,IF(L638&lt;=17,13,IF(L638&lt;=20,14,IF(L638&lt;=22,15,IF(L638&lt;=25,16,IF(L638&lt;=27,17,IF(L638&lt;=29,18,IF(L638&lt;=32,19,IF(L638&lt;=34,20,IF(L638&lt;=36,21,IF(L638&lt;=40,22,24)))))))))))))</f>
        <v>0</v>
      </c>
      <c r="O638" s="3" t="n">
        <v>90</v>
      </c>
      <c r="Q638" s="3" t="n">
        <f aca="false">_xlfn.IFS(O638="взв",11,O638="накл",24,O638="прокл",25,O638="пт",26,O638=90,10,O638=85,10,O638=80,9,O638=75,8,O638=70,8,O638=65,7,O638=60,7,O638=55,6,O638=50,6,O638=45,6,O638=40,5,O638=35,4,O638=30,4,O638=25,3,O638=20,2,O638=15,1,O638=10,1,O638=0,0)</f>
        <v>10</v>
      </c>
      <c r="R638" s="3" t="n">
        <f aca="false">IF(P638&lt;=1,0,IF(P638&lt;=10,11,IF(P638&lt;=14,12,IF(P638&lt;=17,13,IF(P638&lt;=20,14,IF(P638&lt;=22,15,IF(P638&lt;=25,16,IF(P638&lt;=27,17,IF(P638&lt;=29,18,IF(P638&lt;=32,19,IF(P638&lt;=34,20,IF(P638&lt;=36,21,IF(P638&lt;=40,22,24)))))))))))))</f>
        <v>0</v>
      </c>
      <c r="S638" s="14" t="n">
        <f aca="false">ROUND((Q638+R638+I638+J638+M638+N638)/3,0)</f>
        <v>10</v>
      </c>
      <c r="T638" s="15" t="n">
        <f aca="false">F638*LOG10(S638+2)</f>
        <v>3.23754373814287</v>
      </c>
    </row>
    <row r="639" customFormat="false" ht="14.65" hidden="false" customHeight="true" outlineLevel="0" collapsed="false">
      <c r="A639" s="12" t="s">
        <v>704</v>
      </c>
      <c r="B639" s="16" t="n">
        <v>38895</v>
      </c>
      <c r="C639" s="17" t="s">
        <v>228</v>
      </c>
      <c r="D639" s="4" t="s">
        <v>695</v>
      </c>
      <c r="E639" s="3" t="n">
        <v>5</v>
      </c>
      <c r="F639" s="3" t="n">
        <v>3</v>
      </c>
      <c r="G639" s="3" t="n">
        <v>0</v>
      </c>
      <c r="I639" s="3" t="n">
        <f aca="false">_xlfn.IFS(G639="взв",11,G639="накл",24,G639="прокл",25,G639="пт",26,G639=90,10,G639=85,10,G639=80,9,G639=75,8,G639=70,8,G639=65,7,G639=60,7,G639=55,6,G639=50,6,G639=45,6,G639=40,5,G639=35,4,G639=30,4,G639=25,3,G639=20,2,G639=15,1,G639=10,1,G639=0,0)</f>
        <v>0</v>
      </c>
      <c r="J639" s="3" t="n">
        <f aca="false">IF(H639&lt;=1,0,IF(H639&lt;=10,11,IF(H639&lt;=14,12,IF(H639&lt;=17,13,IF(H639&lt;=20,14,IF(H639&lt;=22,15,IF(H639&lt;=25,16,IF(H639&lt;=27,17,IF(H639&lt;=29,18,IF(H639&lt;=32,19,IF(H639&lt;=34,20,IF(H639&lt;=36,21,IF(H639&lt;=40,22,24)))))))))))))</f>
        <v>0</v>
      </c>
      <c r="K639" s="3" t="n">
        <v>15</v>
      </c>
      <c r="M639" s="3" t="n">
        <f aca="false">_xlfn.IFS(K639="взв",11,K639="накл",24,K639="прокл",25,K639="пт",26,K639=90,10,K639=85,10,K639=80,9,K639=75,8,K639=70,8,K639=65,7,K639=60,7,K639=55,6,K639=50,6,K639=45,6,K639=40,5,K639=35,4,K639=30,4,K639=25,3,K639=20,2,K639=15,1,K639=10,1,K639=0,0)</f>
        <v>1</v>
      </c>
      <c r="N639" s="3" t="n">
        <f aca="false">IF(L639&lt;=1,0,IF(L639&lt;=10,11,IF(L639&lt;=14,12,IF(L639&lt;=17,13,IF(L639&lt;=20,14,IF(L639&lt;=22,15,IF(L639&lt;=25,16,IF(L639&lt;=27,17,IF(L639&lt;=29,18,IF(L639&lt;=32,19,IF(L639&lt;=34,20,IF(L639&lt;=36,21,IF(L639&lt;=40,22,24)))))))))))))</f>
        <v>0</v>
      </c>
      <c r="O639" s="3" t="n">
        <v>15</v>
      </c>
      <c r="Q639" s="3" t="n">
        <f aca="false">_xlfn.IFS(O639="взв",11,O639="накл",24,O639="прокл",25,O639="пт",26,O639=90,10,O639=85,10,O639=80,9,O639=75,8,O639=70,8,O639=65,7,O639=60,7,O639=55,6,O639=50,6,O639=45,6,O639=40,5,O639=35,4,O639=30,4,O639=25,3,O639=20,2,O639=15,1,O639=10,1,O639=0,0)</f>
        <v>1</v>
      </c>
      <c r="R639" s="3" t="n">
        <f aca="false">IF(P639&lt;=1,0,IF(P639&lt;=10,11,IF(P639&lt;=14,12,IF(P639&lt;=17,13,IF(P639&lt;=20,14,IF(P639&lt;=22,15,IF(P639&lt;=25,16,IF(P639&lt;=27,17,IF(P639&lt;=29,18,IF(P639&lt;=32,19,IF(P639&lt;=34,20,IF(P639&lt;=36,21,IF(P639&lt;=40,22,24)))))))))))))</f>
        <v>0</v>
      </c>
      <c r="S639" s="14" t="n">
        <f aca="false">ROUND((Q639+R639+I639+J639+M639+N639)/3,0)</f>
        <v>1</v>
      </c>
      <c r="T639" s="15" t="n">
        <f aca="false">F639*LOG10(S639+2)</f>
        <v>1.43136376415899</v>
      </c>
    </row>
    <row r="640" customFormat="false" ht="14.65" hidden="false" customHeight="true" outlineLevel="0" collapsed="false">
      <c r="A640" s="12" t="s">
        <v>705</v>
      </c>
      <c r="B640" s="16" t="n">
        <v>38895</v>
      </c>
      <c r="C640" s="17" t="s">
        <v>228</v>
      </c>
      <c r="D640" s="4" t="s">
        <v>695</v>
      </c>
      <c r="E640" s="3" t="n">
        <v>6</v>
      </c>
      <c r="F640" s="3" t="n">
        <v>4</v>
      </c>
      <c r="G640" s="3" t="n">
        <v>15</v>
      </c>
      <c r="I640" s="3" t="n">
        <f aca="false">_xlfn.IFS(G640="взв",11,G640="накл",24,G640="прокл",25,G640="пт",26,G640=90,10,G640=85,10,G640=80,9,G640=75,8,G640=70,8,G640=65,7,G640=60,7,G640=55,6,G640=50,6,G640=45,6,G640=40,5,G640=35,4,G640=30,4,G640=25,3,G640=20,2,G640=15,1,G640=10,1,G640=0,0)</f>
        <v>1</v>
      </c>
      <c r="J640" s="3" t="n">
        <f aca="false">IF(H640&lt;=1,0,IF(H640&lt;=10,11,IF(H640&lt;=14,12,IF(H640&lt;=17,13,IF(H640&lt;=20,14,IF(H640&lt;=22,15,IF(H640&lt;=25,16,IF(H640&lt;=27,17,IF(H640&lt;=29,18,IF(H640&lt;=32,19,IF(H640&lt;=34,20,IF(H640&lt;=36,21,IF(H640&lt;=40,22,24)))))))))))))</f>
        <v>0</v>
      </c>
      <c r="K640" s="3" t="n">
        <v>15</v>
      </c>
      <c r="M640" s="3" t="n">
        <f aca="false">_xlfn.IFS(K640="взв",11,K640="накл",24,K640="прокл",25,K640="пт",26,K640=90,10,K640=85,10,K640=80,9,K640=75,8,K640=70,8,K640=65,7,K640=60,7,K640=55,6,K640=50,6,K640=45,6,K640=40,5,K640=35,4,K640=30,4,K640=25,3,K640=20,2,K640=15,1,K640=10,1,K640=0,0)</f>
        <v>1</v>
      </c>
      <c r="N640" s="3" t="n">
        <f aca="false">IF(L640&lt;=1,0,IF(L640&lt;=10,11,IF(L640&lt;=14,12,IF(L640&lt;=17,13,IF(L640&lt;=20,14,IF(L640&lt;=22,15,IF(L640&lt;=25,16,IF(L640&lt;=27,17,IF(L640&lt;=29,18,IF(L640&lt;=32,19,IF(L640&lt;=34,20,IF(L640&lt;=36,21,IF(L640&lt;=40,22,24)))))))))))))</f>
        <v>0</v>
      </c>
      <c r="O640" s="3" t="n">
        <v>15</v>
      </c>
      <c r="Q640" s="3" t="n">
        <f aca="false">_xlfn.IFS(O640="взв",11,O640="накл",24,O640="прокл",25,O640="пт",26,O640=90,10,O640=85,10,O640=80,9,O640=75,8,O640=70,8,O640=65,7,O640=60,7,O640=55,6,O640=50,6,O640=45,6,O640=40,5,O640=35,4,O640=30,4,O640=25,3,O640=20,2,O640=15,1,O640=10,1,O640=0,0)</f>
        <v>1</v>
      </c>
      <c r="R640" s="3" t="n">
        <f aca="false">IF(P640&lt;=1,0,IF(P640&lt;=10,11,IF(P640&lt;=14,12,IF(P640&lt;=17,13,IF(P640&lt;=20,14,IF(P640&lt;=22,15,IF(P640&lt;=25,16,IF(P640&lt;=27,17,IF(P640&lt;=29,18,IF(P640&lt;=32,19,IF(P640&lt;=34,20,IF(P640&lt;=36,21,IF(P640&lt;=40,22,24)))))))))))))</f>
        <v>0</v>
      </c>
      <c r="S640" s="14" t="n">
        <f aca="false">ROUND((Q640+R640+I640+J640+M640+N640)/3,0)</f>
        <v>1</v>
      </c>
      <c r="T640" s="15" t="n">
        <f aca="false">F640*LOG10(S640+2)</f>
        <v>1.90848501887865</v>
      </c>
    </row>
    <row r="641" customFormat="false" ht="14.65" hidden="false" customHeight="true" outlineLevel="0" collapsed="false">
      <c r="A641" s="12" t="s">
        <v>706</v>
      </c>
      <c r="B641" s="16" t="n">
        <v>38895</v>
      </c>
      <c r="C641" s="17" t="s">
        <v>228</v>
      </c>
      <c r="D641" s="4" t="s">
        <v>695</v>
      </c>
      <c r="E641" s="3" t="n">
        <v>6</v>
      </c>
      <c r="F641" s="3" t="n">
        <v>4</v>
      </c>
      <c r="G641" s="3" t="n">
        <v>45</v>
      </c>
      <c r="I641" s="3" t="n">
        <f aca="false">_xlfn.IFS(G641="взв",11,G641="накл",24,G641="прокл",25,G641="пт",26,G641=90,10,G641=85,10,G641=80,9,G641=75,8,G641=70,8,G641=65,7,G641=60,7,G641=55,6,G641=50,6,G641=45,6,G641=40,5,G641=35,4,G641=30,4,G641=25,3,G641=20,2,G641=15,1,G641=10,1,G641=0,0)</f>
        <v>6</v>
      </c>
      <c r="J641" s="3" t="n">
        <f aca="false">IF(H641&lt;=1,0,IF(H641&lt;=10,11,IF(H641&lt;=14,12,IF(H641&lt;=17,13,IF(H641&lt;=20,14,IF(H641&lt;=22,15,IF(H641&lt;=25,16,IF(H641&lt;=27,17,IF(H641&lt;=29,18,IF(H641&lt;=32,19,IF(H641&lt;=34,20,IF(H641&lt;=36,21,IF(H641&lt;=40,22,24)))))))))))))</f>
        <v>0</v>
      </c>
      <c r="K641" s="3" t="n">
        <v>60</v>
      </c>
      <c r="M641" s="3" t="n">
        <f aca="false">_xlfn.IFS(K641="взв",11,K641="накл",24,K641="прокл",25,K641="пт",26,K641=90,10,K641=85,10,K641=80,9,K641=75,8,K641=70,8,K641=65,7,K641=60,7,K641=55,6,K641=50,6,K641=45,6,K641=40,5,K641=35,4,K641=30,4,K641=25,3,K641=20,2,K641=15,1,K641=10,1,K641=0,0)</f>
        <v>7</v>
      </c>
      <c r="N641" s="3" t="n">
        <f aca="false">IF(L641&lt;=1,0,IF(L641&lt;=10,11,IF(L641&lt;=14,12,IF(L641&lt;=17,13,IF(L641&lt;=20,14,IF(L641&lt;=22,15,IF(L641&lt;=25,16,IF(L641&lt;=27,17,IF(L641&lt;=29,18,IF(L641&lt;=32,19,IF(L641&lt;=34,20,IF(L641&lt;=36,21,IF(L641&lt;=40,22,24)))))))))))))</f>
        <v>0</v>
      </c>
      <c r="O641" s="3" t="n">
        <v>60</v>
      </c>
      <c r="Q641" s="3" t="n">
        <f aca="false">_xlfn.IFS(O641="взв",11,O641="накл",24,O641="прокл",25,O641="пт",26,O641=90,10,O641=85,10,O641=80,9,O641=75,8,O641=70,8,O641=65,7,O641=60,7,O641=55,6,O641=50,6,O641=45,6,O641=40,5,O641=35,4,O641=30,4,O641=25,3,O641=20,2,O641=15,1,O641=10,1,O641=0,0)</f>
        <v>7</v>
      </c>
      <c r="R641" s="3" t="n">
        <f aca="false">IF(P641&lt;=1,0,IF(P641&lt;=10,11,IF(P641&lt;=14,12,IF(P641&lt;=17,13,IF(P641&lt;=20,14,IF(P641&lt;=22,15,IF(P641&lt;=25,16,IF(P641&lt;=27,17,IF(P641&lt;=29,18,IF(P641&lt;=32,19,IF(P641&lt;=34,20,IF(P641&lt;=36,21,IF(P641&lt;=40,22,24)))))))))))))</f>
        <v>0</v>
      </c>
      <c r="S641" s="14" t="n">
        <f aca="false">ROUND((Q641+R641+I641+J641+M641+N641)/3,0)</f>
        <v>7</v>
      </c>
      <c r="T641" s="15" t="n">
        <f aca="false">F641*LOG10(S641+2)</f>
        <v>3.8169700377573</v>
      </c>
    </row>
    <row r="642" customFormat="false" ht="14.65" hidden="false" customHeight="true" outlineLevel="0" collapsed="false">
      <c r="A642" s="12" t="s">
        <v>707</v>
      </c>
      <c r="B642" s="16" t="n">
        <v>38884</v>
      </c>
      <c r="C642" s="17" t="s">
        <v>228</v>
      </c>
      <c r="D642" s="18" t="s">
        <v>708</v>
      </c>
      <c r="E642" s="3" t="n">
        <v>4</v>
      </c>
      <c r="F642" s="3" t="n">
        <v>2</v>
      </c>
      <c r="G642" s="3" t="n">
        <v>60</v>
      </c>
      <c r="I642" s="3" t="n">
        <f aca="false">_xlfn.IFS(G642="взв",11,G642="накл",24,G642="прокл",25,G642="пт",26,G642=90,10,G642=85,10,G642=80,9,G642=75,8,G642=70,8,G642=65,7,G642=60,7,G642=55,6,G642=50,6,G642=45,6,G642=40,5,G642=35,4,G642=30,4,G642=25,3,G642=20,2,G642=15,1,G642=10,1,G642=0,0)</f>
        <v>7</v>
      </c>
      <c r="J642" s="3" t="n">
        <f aca="false">IF(H642&lt;=1,0,IF(H642&lt;=10,11,IF(H642&lt;=14,12,IF(H642&lt;=17,13,IF(H642&lt;=20,14,IF(H642&lt;=22,15,IF(H642&lt;=25,16,IF(H642&lt;=27,17,IF(H642&lt;=29,18,IF(H642&lt;=32,19,IF(H642&lt;=34,20,IF(H642&lt;=36,21,IF(H642&lt;=40,22,24)))))))))))))</f>
        <v>0</v>
      </c>
      <c r="K642" s="3" t="n">
        <v>45</v>
      </c>
      <c r="M642" s="3" t="n">
        <f aca="false">_xlfn.IFS(K642="взв",11,K642="накл",24,K642="прокл",25,K642="пт",26,K642=90,10,K642=85,10,K642=80,9,K642=75,8,K642=70,8,K642=65,7,K642=60,7,K642=55,6,K642=50,6,K642=45,6,K642=40,5,K642=35,4,K642=30,4,K642=25,3,K642=20,2,K642=15,1,K642=10,1,K642=0,0)</f>
        <v>6</v>
      </c>
      <c r="N642" s="3" t="n">
        <f aca="false">IF(L642&lt;=1,0,IF(L642&lt;=10,11,IF(L642&lt;=14,12,IF(L642&lt;=17,13,IF(L642&lt;=20,14,IF(L642&lt;=22,15,IF(L642&lt;=25,16,IF(L642&lt;=27,17,IF(L642&lt;=29,18,IF(L642&lt;=32,19,IF(L642&lt;=34,20,IF(L642&lt;=36,21,IF(L642&lt;=40,22,24)))))))))))))</f>
        <v>0</v>
      </c>
      <c r="O642" s="3" t="n">
        <v>45</v>
      </c>
      <c r="Q642" s="3" t="n">
        <f aca="false">_xlfn.IFS(O642="взв",11,O642="накл",24,O642="прокл",25,O642="пт",26,O642=90,10,O642=85,10,O642=80,9,O642=75,8,O642=70,8,O642=65,7,O642=60,7,O642=55,6,O642=50,6,O642=45,6,O642=40,5,O642=35,4,O642=30,4,O642=25,3,O642=20,2,O642=15,1,O642=10,1,O642=0,0)</f>
        <v>6</v>
      </c>
      <c r="R642" s="3" t="n">
        <f aca="false">IF(P642&lt;=1,0,IF(P642&lt;=10,11,IF(P642&lt;=14,12,IF(P642&lt;=17,13,IF(P642&lt;=20,14,IF(P642&lt;=22,15,IF(P642&lt;=25,16,IF(P642&lt;=27,17,IF(P642&lt;=29,18,IF(P642&lt;=32,19,IF(P642&lt;=34,20,IF(P642&lt;=36,21,IF(P642&lt;=40,22,24)))))))))))))</f>
        <v>0</v>
      </c>
      <c r="S642" s="14" t="n">
        <f aca="false">ROUND((Q642+R642+I642+J642+M642+N642)/3,0)</f>
        <v>6</v>
      </c>
      <c r="T642" s="15" t="n">
        <f aca="false">F642*LOG10(S642+2)</f>
        <v>1.80617997398389</v>
      </c>
    </row>
    <row r="643" customFormat="false" ht="14.65" hidden="false" customHeight="true" outlineLevel="0" collapsed="false">
      <c r="A643" s="12" t="s">
        <v>709</v>
      </c>
      <c r="B643" s="13" t="n">
        <v>38888</v>
      </c>
      <c r="C643" s="3" t="s">
        <v>24</v>
      </c>
      <c r="D643" s="4" t="s">
        <v>710</v>
      </c>
      <c r="E643" s="3" t="n">
        <v>2</v>
      </c>
      <c r="F643" s="3" t="n">
        <v>1</v>
      </c>
      <c r="H643" s="3" t="n">
        <v>14</v>
      </c>
      <c r="I643" s="3" t="n">
        <f aca="false">_xlfn.IFS(G643="взв",11,G643="накл",24,G643="прокл",25,G643="пт",26,G643=90,10,G643=85,10,G643=80,9,G643=75,8,G643=70,8,G643=65,7,G643=60,7,G643=55,6,G643=50,6,G643=45,6,G643=40,5,G643=35,4,G643=30,4,G643=25,3,G643=20,2,G643=15,1,G643=10,1,G643=0,0)</f>
        <v>0</v>
      </c>
      <c r="J643" s="3" t="n">
        <f aca="false">IF(H643&lt;=1,0,IF(H643&lt;=10,11,IF(H643&lt;=14,12,IF(H643&lt;=17,13,IF(H643&lt;=20,14,IF(H643&lt;=22,15,IF(H643&lt;=25,16,IF(H643&lt;=27,17,IF(H643&lt;=29,18,IF(H643&lt;=32,19,IF(H643&lt;=34,20,IF(H643&lt;=36,21,IF(H643&lt;=40,22,24)))))))))))))</f>
        <v>12</v>
      </c>
      <c r="L643" s="3" t="n">
        <v>17</v>
      </c>
      <c r="M643" s="3" t="n">
        <f aca="false">_xlfn.IFS(K643="взв",11,K643="накл",24,K643="прокл",25,K643="пт",26,K643=90,10,K643=85,10,K643=80,9,K643=75,8,K643=70,8,K643=65,7,K643=60,7,K643=55,6,K643=50,6,K643=45,6,K643=40,5,K643=35,4,K643=30,4,K643=25,3,K643=20,2,K643=15,1,K643=10,1,K643=0,0)</f>
        <v>0</v>
      </c>
      <c r="N643" s="3" t="n">
        <f aca="false">IF(L643&lt;=1,0,IF(L643&lt;=10,11,IF(L643&lt;=14,12,IF(L643&lt;=17,13,IF(L643&lt;=20,14,IF(L643&lt;=22,15,IF(L643&lt;=25,16,IF(L643&lt;=27,17,IF(L643&lt;=29,18,IF(L643&lt;=32,19,IF(L643&lt;=34,20,IF(L643&lt;=36,21,IF(L643&lt;=40,22,24)))))))))))))</f>
        <v>13</v>
      </c>
      <c r="Q643" s="3" t="n">
        <f aca="false">_xlfn.IFS(O643="взв",11,O643="накл",24,O643="прокл",25,O643="пт",26,O643=90,10,O643=85,10,O643=80,9,O643=75,8,O643=70,8,O643=65,7,O643=60,7,O643=55,6,O643=50,6,O643=45,6,O643=40,5,O643=35,4,O643=30,4,O643=25,3,O643=20,2,O643=15,1,O643=10,1,O643=0,0)</f>
        <v>0</v>
      </c>
      <c r="R643" s="3" t="n">
        <f aca="false">IF(P643&lt;=1,0,IF(P643&lt;=10,11,IF(P643&lt;=14,12,IF(P643&lt;=17,13,IF(P643&lt;=20,14,IF(P643&lt;=22,15,IF(P643&lt;=25,16,IF(P643&lt;=27,17,IF(P643&lt;=29,18,IF(P643&lt;=32,19,IF(P643&lt;=34,20,IF(P643&lt;=36,21,IF(P643&lt;=40,22,24)))))))))))))</f>
        <v>0</v>
      </c>
      <c r="S643" s="14" t="n">
        <f aca="false">ROUND((Q643+R643+I643+J643+M643+N643)/3,0)</f>
        <v>8</v>
      </c>
      <c r="T643" s="15" t="n">
        <f aca="false">F643*LOG10(S643+2)</f>
        <v>1</v>
      </c>
    </row>
    <row r="644" customFormat="false" ht="14.65" hidden="false" customHeight="true" outlineLevel="0" collapsed="false">
      <c r="A644" s="12" t="s">
        <v>711</v>
      </c>
      <c r="B644" s="13" t="n">
        <v>38888</v>
      </c>
      <c r="C644" s="3" t="s">
        <v>24</v>
      </c>
      <c r="D644" s="4" t="s">
        <v>710</v>
      </c>
      <c r="E644" s="3" t="n">
        <v>3</v>
      </c>
      <c r="F644" s="3" t="n">
        <v>1</v>
      </c>
      <c r="H644" s="3" t="n">
        <v>31</v>
      </c>
      <c r="I644" s="3" t="n">
        <f aca="false">_xlfn.IFS(G644="взв",11,G644="накл",24,G644="прокл",25,G644="пт",26,G644=90,10,G644=85,10,G644=80,9,G644=75,8,G644=70,8,G644=65,7,G644=60,7,G644=55,6,G644=50,6,G644=45,6,G644=40,5,G644=35,4,G644=30,4,G644=25,3,G644=20,2,G644=15,1,G644=10,1,G644=0,0)</f>
        <v>0</v>
      </c>
      <c r="J644" s="3" t="n">
        <f aca="false">IF(H644&lt;=1,0,IF(H644&lt;=10,11,IF(H644&lt;=14,12,IF(H644&lt;=17,13,IF(H644&lt;=20,14,IF(H644&lt;=22,15,IF(H644&lt;=25,16,IF(H644&lt;=27,17,IF(H644&lt;=29,18,IF(H644&lt;=32,19,IF(H644&lt;=34,20,IF(H644&lt;=36,21,IF(H644&lt;=40,22,24)))))))))))))</f>
        <v>19</v>
      </c>
      <c r="L644" s="3" t="n">
        <v>32</v>
      </c>
      <c r="M644" s="3" t="n">
        <f aca="false">_xlfn.IFS(K644="взв",11,K644="накл",24,K644="прокл",25,K644="пт",26,K644=90,10,K644=85,10,K644=80,9,K644=75,8,K644=70,8,K644=65,7,K644=60,7,K644=55,6,K644=50,6,K644=45,6,K644=40,5,K644=35,4,K644=30,4,K644=25,3,K644=20,2,K644=15,1,K644=10,1,K644=0,0)</f>
        <v>0</v>
      </c>
      <c r="N644" s="3" t="n">
        <f aca="false">IF(L644&lt;=1,0,IF(L644&lt;=10,11,IF(L644&lt;=14,12,IF(L644&lt;=17,13,IF(L644&lt;=20,14,IF(L644&lt;=22,15,IF(L644&lt;=25,16,IF(L644&lt;=27,17,IF(L644&lt;=29,18,IF(L644&lt;=32,19,IF(L644&lt;=34,20,IF(L644&lt;=36,21,IF(L644&lt;=40,22,24)))))))))))))</f>
        <v>19</v>
      </c>
      <c r="P644" s="3" t="n">
        <v>35</v>
      </c>
      <c r="Q644" s="3" t="n">
        <f aca="false">_xlfn.IFS(O644="взв",11,O644="накл",24,O644="прокл",25,O644="пт",26,O644=90,10,O644=85,10,O644=80,9,O644=75,8,O644=70,8,O644=65,7,O644=60,7,O644=55,6,O644=50,6,O644=45,6,O644=40,5,O644=35,4,O644=30,4,O644=25,3,O644=20,2,O644=15,1,O644=10,1,O644=0,0)</f>
        <v>0</v>
      </c>
      <c r="R644" s="3" t="n">
        <f aca="false">IF(P644&lt;=1,0,IF(P644&lt;=10,11,IF(P644&lt;=14,12,IF(P644&lt;=17,13,IF(P644&lt;=20,14,IF(P644&lt;=22,15,IF(P644&lt;=25,16,IF(P644&lt;=27,17,IF(P644&lt;=29,18,IF(P644&lt;=32,19,IF(P644&lt;=34,20,IF(P644&lt;=36,21,IF(P644&lt;=40,22,24)))))))))))))</f>
        <v>21</v>
      </c>
      <c r="S644" s="14" t="n">
        <f aca="false">ROUND((Q644+R644+I644+J644+M644+N644)/3,0)</f>
        <v>20</v>
      </c>
      <c r="T644" s="15" t="n">
        <f aca="false">F644*LOG10(S644+2)</f>
        <v>1.34242268082221</v>
      </c>
    </row>
    <row r="645" customFormat="false" ht="14.65" hidden="false" customHeight="true" outlineLevel="0" collapsed="false">
      <c r="A645" s="12" t="s">
        <v>712</v>
      </c>
      <c r="B645" s="13" t="n">
        <v>38888</v>
      </c>
      <c r="C645" s="3" t="s">
        <v>24</v>
      </c>
      <c r="D645" s="4" t="s">
        <v>710</v>
      </c>
      <c r="E645" s="3" t="n">
        <v>3</v>
      </c>
      <c r="F645" s="3" t="n">
        <v>1</v>
      </c>
      <c r="G645" s="3" t="s">
        <v>38</v>
      </c>
      <c r="I645" s="3" t="n">
        <f aca="false">_xlfn.IFS(G645="взв",11,G645="накл",24,G645="прокл",25,G645="пт",26,G645=90,10,G645=85,10,G645=80,9,G645=75,8,G645=70,8,G645=65,7,G645=60,7,G645=55,6,G645=50,6,G645=45,6,G645=40,5,G645=35,4,G645=30,4,G645=25,3,G645=20,2,G645=15,1,G645=10,1,G645=0,0)</f>
        <v>26</v>
      </c>
      <c r="J645" s="3" t="n">
        <f aca="false">IF(H645&lt;=1,0,IF(H645&lt;=10,11,IF(H645&lt;=14,12,IF(H645&lt;=17,13,IF(H645&lt;=20,14,IF(H645&lt;=22,15,IF(H645&lt;=25,16,IF(H645&lt;=27,17,IF(H645&lt;=29,18,IF(H645&lt;=32,19,IF(H645&lt;=34,20,IF(H645&lt;=36,21,IF(H645&lt;=40,22,24)))))))))))))</f>
        <v>0</v>
      </c>
      <c r="K645" s="3" t="s">
        <v>38</v>
      </c>
      <c r="M645" s="3" t="n">
        <f aca="false">_xlfn.IFS(K645="взв",11,K645="накл",24,K645="прокл",25,K645="пт",26,K645=90,10,K645=85,10,K645=80,9,K645=75,8,K645=70,8,K645=65,7,K645=60,7,K645=55,6,K645=50,6,K645=45,6,K645=40,5,K645=35,4,K645=30,4,K645=25,3,K645=20,2,K645=15,1,K645=10,1,K645=0,0)</f>
        <v>26</v>
      </c>
      <c r="N645" s="3" t="n">
        <f aca="false">IF(L645&lt;=1,0,IF(L645&lt;=10,11,IF(L645&lt;=14,12,IF(L645&lt;=17,13,IF(L645&lt;=20,14,IF(L645&lt;=22,15,IF(L645&lt;=25,16,IF(L645&lt;=27,17,IF(L645&lt;=29,18,IF(L645&lt;=32,19,IF(L645&lt;=34,20,IF(L645&lt;=36,21,IF(L645&lt;=40,22,24)))))))))))))</f>
        <v>0</v>
      </c>
      <c r="O645" s="3" t="s">
        <v>38</v>
      </c>
      <c r="Q645" s="3" t="n">
        <f aca="false">_xlfn.IFS(O645="взв",11,O645="накл",24,O645="прокл",25,O645="пт",26,O645=90,10,O645=85,10,O645=80,9,O645=75,8,O645=70,8,O645=65,7,O645=60,7,O645=55,6,O645=50,6,O645=45,6,O645=40,5,O645=35,4,O645=30,4,O645=25,3,O645=20,2,O645=15,1,O645=10,1,O645=0,0)</f>
        <v>26</v>
      </c>
      <c r="R645" s="3" t="n">
        <f aca="false">IF(P645&lt;=1,0,IF(P645&lt;=10,11,IF(P645&lt;=14,12,IF(P645&lt;=17,13,IF(P645&lt;=20,14,IF(P645&lt;=22,15,IF(P645&lt;=25,16,IF(P645&lt;=27,17,IF(P645&lt;=29,18,IF(P645&lt;=32,19,IF(P645&lt;=34,20,IF(P645&lt;=36,21,IF(P645&lt;=40,22,24)))))))))))))</f>
        <v>0</v>
      </c>
      <c r="S645" s="14" t="n">
        <f aca="false">ROUND((Q645+R645+I645+J645+M645+N645)/3,0)</f>
        <v>26</v>
      </c>
      <c r="T645" s="15" t="n">
        <f aca="false">F645*LOG10(S645+2)</f>
        <v>1.44715803134222</v>
      </c>
    </row>
    <row r="646" customFormat="false" ht="14.65" hidden="false" customHeight="true" outlineLevel="0" collapsed="false">
      <c r="A646" s="12" t="s">
        <v>713</v>
      </c>
      <c r="B646" s="13" t="n">
        <v>38888</v>
      </c>
      <c r="C646" s="3" t="s">
        <v>24</v>
      </c>
      <c r="D646" s="4" t="s">
        <v>710</v>
      </c>
      <c r="E646" s="3" t="s">
        <v>97</v>
      </c>
      <c r="F646" s="3" t="n">
        <v>1</v>
      </c>
      <c r="H646" s="3" t="n">
        <v>34</v>
      </c>
      <c r="I646" s="3" t="n">
        <f aca="false">_xlfn.IFS(G646="взв",11,G646="накл",24,G646="прокл",25,G646="пт",26,G646=90,10,G646=85,10,G646=80,9,G646=75,8,G646=70,8,G646=65,7,G646=60,7,G646=55,6,G646=50,6,G646=45,6,G646=40,5,G646=35,4,G646=30,4,G646=25,3,G646=20,2,G646=15,1,G646=10,1,G646=0,0)</f>
        <v>0</v>
      </c>
      <c r="J646" s="3" t="n">
        <f aca="false">IF(H646&lt;=1,0,IF(H646&lt;=10,11,IF(H646&lt;=14,12,IF(H646&lt;=17,13,IF(H646&lt;=20,14,IF(H646&lt;=22,15,IF(H646&lt;=25,16,IF(H646&lt;=27,17,IF(H646&lt;=29,18,IF(H646&lt;=32,19,IF(H646&lt;=34,20,IF(H646&lt;=36,21,IF(H646&lt;=40,22,24)))))))))))))</f>
        <v>20</v>
      </c>
      <c r="L646" s="3" t="n">
        <v>32</v>
      </c>
      <c r="M646" s="3" t="n">
        <f aca="false">_xlfn.IFS(K646="взв",11,K646="накл",24,K646="прокл",25,K646="пт",26,K646=90,10,K646=85,10,K646=80,9,K646=75,8,K646=70,8,K646=65,7,K646=60,7,K646=55,6,K646=50,6,K646=45,6,K646=40,5,K646=35,4,K646=30,4,K646=25,3,K646=20,2,K646=15,1,K646=10,1,K646=0,0)</f>
        <v>0</v>
      </c>
      <c r="N646" s="3" t="n">
        <f aca="false">IF(L646&lt;=1,0,IF(L646&lt;=10,11,IF(L646&lt;=14,12,IF(L646&lt;=17,13,IF(L646&lt;=20,14,IF(L646&lt;=22,15,IF(L646&lt;=25,16,IF(L646&lt;=27,17,IF(L646&lt;=29,18,IF(L646&lt;=32,19,IF(L646&lt;=34,20,IF(L646&lt;=36,21,IF(L646&lt;=40,22,24)))))))))))))</f>
        <v>19</v>
      </c>
      <c r="P646" s="3" t="n">
        <v>32</v>
      </c>
      <c r="Q646" s="3" t="n">
        <f aca="false">_xlfn.IFS(O646="взв",11,O646="накл",24,O646="прокл",25,O646="пт",26,O646=90,10,O646=85,10,O646=80,9,O646=75,8,O646=70,8,O646=65,7,O646=60,7,O646=55,6,O646=50,6,O646=45,6,O646=40,5,O646=35,4,O646=30,4,O646=25,3,O646=20,2,O646=15,1,O646=10,1,O646=0,0)</f>
        <v>0</v>
      </c>
      <c r="R646" s="3" t="n">
        <f aca="false">IF(P646&lt;=1,0,IF(P646&lt;=10,11,IF(P646&lt;=14,12,IF(P646&lt;=17,13,IF(P646&lt;=20,14,IF(P646&lt;=22,15,IF(P646&lt;=25,16,IF(P646&lt;=27,17,IF(P646&lt;=29,18,IF(P646&lt;=32,19,IF(P646&lt;=34,20,IF(P646&lt;=36,21,IF(P646&lt;=40,22,24)))))))))))))</f>
        <v>19</v>
      </c>
      <c r="S646" s="14" t="n">
        <f aca="false">ROUND((Q646+R646+I646+J646+M646+N646)/3,0)</f>
        <v>19</v>
      </c>
      <c r="T646" s="15" t="n">
        <f aca="false">F646*LOG10(S646+2)</f>
        <v>1.32221929473392</v>
      </c>
    </row>
    <row r="647" customFormat="false" ht="14.65" hidden="false" customHeight="true" outlineLevel="0" collapsed="false">
      <c r="A647" s="12" t="s">
        <v>714</v>
      </c>
      <c r="B647" s="13" t="n">
        <v>38888</v>
      </c>
      <c r="C647" s="3" t="s">
        <v>24</v>
      </c>
      <c r="D647" s="4" t="s">
        <v>710</v>
      </c>
      <c r="E647" s="3" t="n">
        <v>5</v>
      </c>
      <c r="F647" s="3" t="n">
        <v>2</v>
      </c>
      <c r="G647" s="3" t="s">
        <v>38</v>
      </c>
      <c r="I647" s="3" t="n">
        <f aca="false">_xlfn.IFS(G647="взв",11,G647="накл",24,G647="прокл",25,G647="пт",26,G647=90,10,G647=85,10,G647=80,9,G647=75,8,G647=70,8,G647=65,7,G647=60,7,G647=55,6,G647=50,6,G647=45,6,G647=40,5,G647=35,4,G647=30,4,G647=25,3,G647=20,2,G647=15,1,G647=10,1,G647=0,0)</f>
        <v>26</v>
      </c>
      <c r="J647" s="3" t="n">
        <f aca="false">IF(H647&lt;=1,0,IF(H647&lt;=10,11,IF(H647&lt;=14,12,IF(H647&lt;=17,13,IF(H647&lt;=20,14,IF(H647&lt;=22,15,IF(H647&lt;=25,16,IF(H647&lt;=27,17,IF(H647&lt;=29,18,IF(H647&lt;=32,19,IF(H647&lt;=34,20,IF(H647&lt;=36,21,IF(H647&lt;=40,22,24)))))))))))))</f>
        <v>0</v>
      </c>
      <c r="K647" s="3" t="s">
        <v>38</v>
      </c>
      <c r="M647" s="3" t="n">
        <f aca="false">_xlfn.IFS(K647="взв",11,K647="накл",24,K647="прокл",25,K647="пт",26,K647=90,10,K647=85,10,K647=80,9,K647=75,8,K647=70,8,K647=65,7,K647=60,7,K647=55,6,K647=50,6,K647=45,6,K647=40,5,K647=35,4,K647=30,4,K647=25,3,K647=20,2,K647=15,1,K647=10,1,K647=0,0)</f>
        <v>26</v>
      </c>
      <c r="N647" s="3" t="n">
        <f aca="false">IF(L647&lt;=1,0,IF(L647&lt;=10,11,IF(L647&lt;=14,12,IF(L647&lt;=17,13,IF(L647&lt;=20,14,IF(L647&lt;=22,15,IF(L647&lt;=25,16,IF(L647&lt;=27,17,IF(L647&lt;=29,18,IF(L647&lt;=32,19,IF(L647&lt;=34,20,IF(L647&lt;=36,21,IF(L647&lt;=40,22,24)))))))))))))</f>
        <v>0</v>
      </c>
      <c r="O647" s="3" t="s">
        <v>38</v>
      </c>
      <c r="Q647" s="3" t="n">
        <f aca="false">_xlfn.IFS(O647="взв",11,O647="накл",24,O647="прокл",25,O647="пт",26,O647=90,10,O647=85,10,O647=80,9,O647=75,8,O647=70,8,O647=65,7,O647=60,7,O647=55,6,O647=50,6,O647=45,6,O647=40,5,O647=35,4,O647=30,4,O647=25,3,O647=20,2,O647=15,1,O647=10,1,O647=0,0)</f>
        <v>26</v>
      </c>
      <c r="R647" s="3" t="n">
        <f aca="false">IF(P647&lt;=1,0,IF(P647&lt;=10,11,IF(P647&lt;=14,12,IF(P647&lt;=17,13,IF(P647&lt;=20,14,IF(P647&lt;=22,15,IF(P647&lt;=25,16,IF(P647&lt;=27,17,IF(P647&lt;=29,18,IF(P647&lt;=32,19,IF(P647&lt;=34,20,IF(P647&lt;=36,21,IF(P647&lt;=40,22,24)))))))))))))</f>
        <v>0</v>
      </c>
      <c r="S647" s="14" t="n">
        <f aca="false">ROUND((Q647+R647+I647+J647+M647+N647)/3,0)</f>
        <v>26</v>
      </c>
      <c r="T647" s="15" t="n">
        <f aca="false">F647*LOG10(S647+2)</f>
        <v>2.89431606268444</v>
      </c>
    </row>
    <row r="648" customFormat="false" ht="14.65" hidden="false" customHeight="true" outlineLevel="0" collapsed="false">
      <c r="A648" s="12" t="s">
        <v>715</v>
      </c>
      <c r="B648" s="13" t="n">
        <v>38888</v>
      </c>
      <c r="C648" s="3" t="s">
        <v>24</v>
      </c>
      <c r="D648" s="4" t="s">
        <v>710</v>
      </c>
      <c r="E648" s="3" t="n">
        <v>6</v>
      </c>
      <c r="F648" s="3" t="n">
        <v>2</v>
      </c>
      <c r="G648" s="3" t="n">
        <v>15</v>
      </c>
      <c r="I648" s="3" t="n">
        <f aca="false">_xlfn.IFS(G648="взв",11,G648="накл",24,G648="прокл",25,G648="пт",26,G648=90,10,G648=85,10,G648=80,9,G648=75,8,G648=70,8,G648=65,7,G648=60,7,G648=55,6,G648=50,6,G648=45,6,G648=40,5,G648=35,4,G648=30,4,G648=25,3,G648=20,2,G648=15,1,G648=10,1,G648=0,0)</f>
        <v>1</v>
      </c>
      <c r="J648" s="3" t="n">
        <f aca="false">IF(H648&lt;=1,0,IF(H648&lt;=10,11,IF(H648&lt;=14,12,IF(H648&lt;=17,13,IF(H648&lt;=20,14,IF(H648&lt;=22,15,IF(H648&lt;=25,16,IF(H648&lt;=27,17,IF(H648&lt;=29,18,IF(H648&lt;=32,19,IF(H648&lt;=34,20,IF(H648&lt;=36,21,IF(H648&lt;=40,22,24)))))))))))))</f>
        <v>0</v>
      </c>
      <c r="K648" s="3" t="n">
        <v>15</v>
      </c>
      <c r="M648" s="3" t="n">
        <f aca="false">_xlfn.IFS(K648="взв",11,K648="накл",24,K648="прокл",25,K648="пт",26,K648=90,10,K648=85,10,K648=80,9,K648=75,8,K648=70,8,K648=65,7,K648=60,7,K648=55,6,K648=50,6,K648=45,6,K648=40,5,K648=35,4,K648=30,4,K648=25,3,K648=20,2,K648=15,1,K648=10,1,K648=0,0)</f>
        <v>1</v>
      </c>
      <c r="N648" s="3" t="n">
        <f aca="false">IF(L648&lt;=1,0,IF(L648&lt;=10,11,IF(L648&lt;=14,12,IF(L648&lt;=17,13,IF(L648&lt;=20,14,IF(L648&lt;=22,15,IF(L648&lt;=25,16,IF(L648&lt;=27,17,IF(L648&lt;=29,18,IF(L648&lt;=32,19,IF(L648&lt;=34,20,IF(L648&lt;=36,21,IF(L648&lt;=40,22,24)))))))))))))</f>
        <v>0</v>
      </c>
      <c r="O648" s="3" t="n">
        <v>15</v>
      </c>
      <c r="Q648" s="3" t="n">
        <f aca="false">_xlfn.IFS(O648="взв",11,O648="накл",24,O648="прокл",25,O648="пт",26,O648=90,10,O648=85,10,O648=80,9,O648=75,8,O648=70,8,O648=65,7,O648=60,7,O648=55,6,O648=50,6,O648=45,6,O648=40,5,O648=35,4,O648=30,4,O648=25,3,O648=20,2,O648=15,1,O648=10,1,O648=0,0)</f>
        <v>1</v>
      </c>
      <c r="R648" s="3" t="n">
        <f aca="false">IF(P648&lt;=1,0,IF(P648&lt;=10,11,IF(P648&lt;=14,12,IF(P648&lt;=17,13,IF(P648&lt;=20,14,IF(P648&lt;=22,15,IF(P648&lt;=25,16,IF(P648&lt;=27,17,IF(P648&lt;=29,18,IF(P648&lt;=32,19,IF(P648&lt;=34,20,IF(P648&lt;=36,21,IF(P648&lt;=40,22,24)))))))))))))</f>
        <v>0</v>
      </c>
      <c r="S648" s="14" t="n">
        <f aca="false">ROUND((Q648+R648+I648+J648+M648+N648)/3,0)</f>
        <v>1</v>
      </c>
      <c r="T648" s="15" t="n">
        <f aca="false">F648*LOG10(S648+2)</f>
        <v>0.954242509439325</v>
      </c>
    </row>
    <row r="649" customFormat="false" ht="14.65" hidden="false" customHeight="true" outlineLevel="0" collapsed="false">
      <c r="A649" s="12" t="s">
        <v>716</v>
      </c>
      <c r="B649" s="13" t="n">
        <v>38888</v>
      </c>
      <c r="C649" s="3" t="s">
        <v>24</v>
      </c>
      <c r="D649" s="4" t="s">
        <v>710</v>
      </c>
      <c r="E649" s="3" t="n">
        <v>6</v>
      </c>
      <c r="F649" s="3" t="n">
        <v>2</v>
      </c>
      <c r="H649" s="3" t="n">
        <v>35</v>
      </c>
      <c r="I649" s="3" t="n">
        <f aca="false">_xlfn.IFS(G649="взв",11,G649="накл",24,G649="прокл",25,G649="пт",26,G649=90,10,G649=85,10,G649=80,9,G649=75,8,G649=70,8,G649=65,7,G649=60,7,G649=55,6,G649=50,6,G649=45,6,G649=40,5,G649=35,4,G649=30,4,G649=25,3,G649=20,2,G649=15,1,G649=10,1,G649=0,0)</f>
        <v>0</v>
      </c>
      <c r="J649" s="3" t="n">
        <f aca="false">IF(H649&lt;=1,0,IF(H649&lt;=10,11,IF(H649&lt;=14,12,IF(H649&lt;=17,13,IF(H649&lt;=20,14,IF(H649&lt;=22,15,IF(H649&lt;=25,16,IF(H649&lt;=27,17,IF(H649&lt;=29,18,IF(H649&lt;=32,19,IF(H649&lt;=34,20,IF(H649&lt;=36,21,IF(H649&lt;=40,22,24)))))))))))))</f>
        <v>21</v>
      </c>
      <c r="L649" s="3" t="n">
        <v>36</v>
      </c>
      <c r="M649" s="3" t="n">
        <f aca="false">_xlfn.IFS(K649="взв",11,K649="накл",24,K649="прокл",25,K649="пт",26,K649=90,10,K649=85,10,K649=80,9,K649=75,8,K649=70,8,K649=65,7,K649=60,7,K649=55,6,K649=50,6,K649=45,6,K649=40,5,K649=35,4,K649=30,4,K649=25,3,K649=20,2,K649=15,1,K649=10,1,K649=0,0)</f>
        <v>0</v>
      </c>
      <c r="N649" s="3" t="n">
        <f aca="false">IF(L649&lt;=1,0,IF(L649&lt;=10,11,IF(L649&lt;=14,12,IF(L649&lt;=17,13,IF(L649&lt;=20,14,IF(L649&lt;=22,15,IF(L649&lt;=25,16,IF(L649&lt;=27,17,IF(L649&lt;=29,18,IF(L649&lt;=32,19,IF(L649&lt;=34,20,IF(L649&lt;=36,21,IF(L649&lt;=40,22,24)))))))))))))</f>
        <v>21</v>
      </c>
      <c r="P649" s="3" t="n">
        <v>39</v>
      </c>
      <c r="Q649" s="3" t="n">
        <f aca="false">_xlfn.IFS(O649="взв",11,O649="накл",24,O649="прокл",25,O649="пт",26,O649=90,10,O649=85,10,O649=80,9,O649=75,8,O649=70,8,O649=65,7,O649=60,7,O649=55,6,O649=50,6,O649=45,6,O649=40,5,O649=35,4,O649=30,4,O649=25,3,O649=20,2,O649=15,1,O649=10,1,O649=0,0)</f>
        <v>0</v>
      </c>
      <c r="R649" s="3" t="n">
        <f aca="false">IF(P649&lt;=1,0,IF(P649&lt;=10,11,IF(P649&lt;=14,12,IF(P649&lt;=17,13,IF(P649&lt;=20,14,IF(P649&lt;=22,15,IF(P649&lt;=25,16,IF(P649&lt;=27,17,IF(P649&lt;=29,18,IF(P649&lt;=32,19,IF(P649&lt;=34,20,IF(P649&lt;=36,21,IF(P649&lt;=40,22,24)))))))))))))</f>
        <v>22</v>
      </c>
      <c r="S649" s="14" t="n">
        <f aca="false">ROUND((Q649+R649+I649+J649+M649+N649)/3,0)</f>
        <v>21</v>
      </c>
      <c r="T649" s="15" t="n">
        <f aca="false">F649*LOG10(S649+2)</f>
        <v>2.72345567203519</v>
      </c>
    </row>
    <row r="650" customFormat="false" ht="14.65" hidden="false" customHeight="true" outlineLevel="0" collapsed="false">
      <c r="A650" s="12" t="s">
        <v>717</v>
      </c>
      <c r="B650" s="13" t="n">
        <v>38888</v>
      </c>
      <c r="C650" s="3" t="s">
        <v>24</v>
      </c>
      <c r="D650" s="4" t="s">
        <v>710</v>
      </c>
      <c r="E650" s="3" t="n">
        <v>3</v>
      </c>
      <c r="F650" s="3" t="n">
        <v>2</v>
      </c>
      <c r="G650" s="3" t="n">
        <v>90</v>
      </c>
      <c r="I650" s="3" t="n">
        <f aca="false">_xlfn.IFS(G650="взв",11,G650="накл",24,G650="прокл",25,G650="пт",26,G650=90,10,G650=85,10,G650=80,9,G650=75,8,G650=70,8,G650=65,7,G650=60,7,G650=55,6,G650=50,6,G650=45,6,G650=40,5,G650=35,4,G650=30,4,G650=25,3,G650=20,2,G650=15,1,G650=10,1,G650=0,0)</f>
        <v>10</v>
      </c>
      <c r="J650" s="3" t="n">
        <f aca="false">IF(H650&lt;=1,0,IF(H650&lt;=10,11,IF(H650&lt;=14,12,IF(H650&lt;=17,13,IF(H650&lt;=20,14,IF(H650&lt;=22,15,IF(H650&lt;=25,16,IF(H650&lt;=27,17,IF(H650&lt;=29,18,IF(H650&lt;=32,19,IF(H650&lt;=34,20,IF(H650&lt;=36,21,IF(H650&lt;=40,22,24)))))))))))))</f>
        <v>0</v>
      </c>
      <c r="K650" s="3" t="n">
        <v>90</v>
      </c>
      <c r="M650" s="3" t="n">
        <f aca="false">_xlfn.IFS(K650="взв",11,K650="накл",24,K650="прокл",25,K650="пт",26,K650=90,10,K650=85,10,K650=80,9,K650=75,8,K650=70,8,K650=65,7,K650=60,7,K650=55,6,K650=50,6,K650=45,6,K650=40,5,K650=35,4,K650=30,4,K650=25,3,K650=20,2,K650=15,1,K650=10,1,K650=0,0)</f>
        <v>10</v>
      </c>
      <c r="N650" s="3" t="n">
        <f aca="false">IF(L650&lt;=1,0,IF(L650&lt;=10,11,IF(L650&lt;=14,12,IF(L650&lt;=17,13,IF(L650&lt;=20,14,IF(L650&lt;=22,15,IF(L650&lt;=25,16,IF(L650&lt;=27,17,IF(L650&lt;=29,18,IF(L650&lt;=32,19,IF(L650&lt;=34,20,IF(L650&lt;=36,21,IF(L650&lt;=40,22,24)))))))))))))</f>
        <v>0</v>
      </c>
      <c r="O650" s="3" t="n">
        <v>90</v>
      </c>
      <c r="Q650" s="3" t="n">
        <f aca="false">_xlfn.IFS(O650="взв",11,O650="накл",24,O650="прокл",25,O650="пт",26,O650=90,10,O650=85,10,O650=80,9,O650=75,8,O650=70,8,O650=65,7,O650=60,7,O650=55,6,O650=50,6,O650=45,6,O650=40,5,O650=35,4,O650=30,4,O650=25,3,O650=20,2,O650=15,1,O650=10,1,O650=0,0)</f>
        <v>10</v>
      </c>
      <c r="R650" s="3" t="n">
        <f aca="false">IF(P650&lt;=1,0,IF(P650&lt;=10,11,IF(P650&lt;=14,12,IF(P650&lt;=17,13,IF(P650&lt;=20,14,IF(P650&lt;=22,15,IF(P650&lt;=25,16,IF(P650&lt;=27,17,IF(P650&lt;=29,18,IF(P650&lt;=32,19,IF(P650&lt;=34,20,IF(P650&lt;=36,21,IF(P650&lt;=40,22,24)))))))))))))</f>
        <v>0</v>
      </c>
      <c r="S650" s="14" t="n">
        <f aca="false">ROUND((Q650+R650+I650+J650+M650+N650)/3,0)</f>
        <v>10</v>
      </c>
      <c r="T650" s="15" t="n">
        <f aca="false">F650*LOG10(S650+2)</f>
        <v>2.15836249209525</v>
      </c>
    </row>
    <row r="651" customFormat="false" ht="14.65" hidden="false" customHeight="true" outlineLevel="0" collapsed="false">
      <c r="A651" s="12" t="s">
        <v>718</v>
      </c>
      <c r="B651" s="13" t="n">
        <v>38888</v>
      </c>
      <c r="C651" s="3" t="s">
        <v>24</v>
      </c>
      <c r="D651" s="4" t="s">
        <v>710</v>
      </c>
      <c r="E651" s="3" t="n">
        <v>5</v>
      </c>
      <c r="F651" s="3" t="n">
        <v>2</v>
      </c>
      <c r="H651" s="3" t="n">
        <v>28</v>
      </c>
      <c r="I651" s="3" t="n">
        <f aca="false">_xlfn.IFS(G651="взв",11,G651="накл",24,G651="прокл",25,G651="пт",26,G651=90,10,G651=85,10,G651=80,9,G651=75,8,G651=70,8,G651=65,7,G651=60,7,G651=55,6,G651=50,6,G651=45,6,G651=40,5,G651=35,4,G651=30,4,G651=25,3,G651=20,2,G651=15,1,G651=10,1,G651=0,0)</f>
        <v>0</v>
      </c>
      <c r="J651" s="3" t="n">
        <f aca="false">IF(H651&lt;=1,0,IF(H651&lt;=10,11,IF(H651&lt;=14,12,IF(H651&lt;=17,13,IF(H651&lt;=20,14,IF(H651&lt;=22,15,IF(H651&lt;=25,16,IF(H651&lt;=27,17,IF(H651&lt;=29,18,IF(H651&lt;=32,19,IF(H651&lt;=34,20,IF(H651&lt;=36,21,IF(H651&lt;=40,22,24)))))))))))))</f>
        <v>18</v>
      </c>
      <c r="L651" s="3" t="n">
        <v>28</v>
      </c>
      <c r="M651" s="3" t="n">
        <f aca="false">_xlfn.IFS(K651="взв",11,K651="накл",24,K651="прокл",25,K651="пт",26,K651=90,10,K651=85,10,K651=80,9,K651=75,8,K651=70,8,K651=65,7,K651=60,7,K651=55,6,K651=50,6,K651=45,6,K651=40,5,K651=35,4,K651=30,4,K651=25,3,K651=20,2,K651=15,1,K651=10,1,K651=0,0)</f>
        <v>0</v>
      </c>
      <c r="N651" s="3" t="n">
        <f aca="false">IF(L651&lt;=1,0,IF(L651&lt;=10,11,IF(L651&lt;=14,12,IF(L651&lt;=17,13,IF(L651&lt;=20,14,IF(L651&lt;=22,15,IF(L651&lt;=25,16,IF(L651&lt;=27,17,IF(L651&lt;=29,18,IF(L651&lt;=32,19,IF(L651&lt;=34,20,IF(L651&lt;=36,21,IF(L651&lt;=40,22,24)))))))))))))</f>
        <v>18</v>
      </c>
      <c r="P651" s="3" t="n">
        <v>30</v>
      </c>
      <c r="Q651" s="3" t="n">
        <f aca="false">_xlfn.IFS(O651="взв",11,O651="накл",24,O651="прокл",25,O651="пт",26,O651=90,10,O651=85,10,O651=80,9,O651=75,8,O651=70,8,O651=65,7,O651=60,7,O651=55,6,O651=50,6,O651=45,6,O651=40,5,O651=35,4,O651=30,4,O651=25,3,O651=20,2,O651=15,1,O651=10,1,O651=0,0)</f>
        <v>0</v>
      </c>
      <c r="R651" s="3" t="n">
        <f aca="false">IF(P651&lt;=1,0,IF(P651&lt;=10,11,IF(P651&lt;=14,12,IF(P651&lt;=17,13,IF(P651&lt;=20,14,IF(P651&lt;=22,15,IF(P651&lt;=25,16,IF(P651&lt;=27,17,IF(P651&lt;=29,18,IF(P651&lt;=32,19,IF(P651&lt;=34,20,IF(P651&lt;=36,21,IF(P651&lt;=40,22,24)))))))))))))</f>
        <v>19</v>
      </c>
      <c r="S651" s="14" t="n">
        <f aca="false">ROUND((Q651+R651+I651+J651+M651+N651)/3,0)</f>
        <v>18</v>
      </c>
      <c r="T651" s="15" t="n">
        <f aca="false">F651*LOG10(S651+2)</f>
        <v>2.60205999132796</v>
      </c>
    </row>
    <row r="652" customFormat="false" ht="14.65" hidden="false" customHeight="true" outlineLevel="0" collapsed="false">
      <c r="A652" s="12" t="s">
        <v>719</v>
      </c>
      <c r="B652" s="13" t="n">
        <v>38888</v>
      </c>
      <c r="C652" s="3" t="s">
        <v>24</v>
      </c>
      <c r="D652" s="4" t="s">
        <v>710</v>
      </c>
      <c r="E652" s="3" t="n">
        <v>4</v>
      </c>
      <c r="F652" s="3" t="n">
        <v>2</v>
      </c>
      <c r="G652" s="3" t="s">
        <v>27</v>
      </c>
      <c r="I652" s="3" t="n">
        <f aca="false">_xlfn.IFS(G652="взв",11,G652="накл",24,G652="прокл",25,G652="пт",26,G652=90,10,G652=85,10,G652=80,9,G652=75,8,G652=70,8,G652=65,7,G652=60,7,G652=55,6,G652=50,6,G652=45,6,G652=40,5,G652=35,4,G652=30,4,G652=25,3,G652=20,2,G652=15,1,G652=10,1,G652=0,0)</f>
        <v>24</v>
      </c>
      <c r="J652" s="3" t="n">
        <f aca="false">IF(H652&lt;=1,0,IF(H652&lt;=10,11,IF(H652&lt;=14,12,IF(H652&lt;=17,13,IF(H652&lt;=20,14,IF(H652&lt;=22,15,IF(H652&lt;=25,16,IF(H652&lt;=27,17,IF(H652&lt;=29,18,IF(H652&lt;=32,19,IF(H652&lt;=34,20,IF(H652&lt;=36,21,IF(H652&lt;=40,22,24)))))))))))))</f>
        <v>0</v>
      </c>
      <c r="K652" s="3" t="s">
        <v>27</v>
      </c>
      <c r="L652" s="0"/>
      <c r="M652" s="3" t="n">
        <f aca="false">_xlfn.IFS(K652="взв",11,K652="накл",24,K652="прокл",25,K652="пт",26,K652=90,10,K652=85,10,K652=80,9,K652=75,8,K652=70,8,K652=65,7,K652=60,7,K652=55,6,K652=50,6,K652=45,6,K652=40,5,K652=35,4,K652=30,4,K652=25,3,K652=20,2,K652=15,1,K652=10,1,K652=0,0)</f>
        <v>24</v>
      </c>
      <c r="N652" s="3" t="n">
        <f aca="false">IF(L652&lt;=1,0,IF(L652&lt;=10,11,IF(L652&lt;=14,12,IF(L652&lt;=17,13,IF(L652&lt;=20,14,IF(L652&lt;=22,15,IF(L652&lt;=25,16,IF(L652&lt;=27,17,IF(L652&lt;=29,18,IF(L652&lt;=32,19,IF(L652&lt;=34,20,IF(L652&lt;=36,21,IF(L652&lt;=40,22,24)))))))))))))</f>
        <v>0</v>
      </c>
      <c r="Q652" s="3" t="n">
        <f aca="false">_xlfn.IFS(O652="взв",11,O652="накл",24,O652="прокл",25,O652="пт",26,O652=90,10,O652=85,10,O652=80,9,O652=75,8,O652=70,8,O652=65,7,O652=60,7,O652=55,6,O652=50,6,O652=45,6,O652=40,5,O652=35,4,O652=30,4,O652=25,3,O652=20,2,O652=15,1,O652=10,1,O652=0,0)</f>
        <v>0</v>
      </c>
      <c r="R652" s="3" t="n">
        <f aca="false">IF(P652&lt;=1,0,IF(P652&lt;=10,11,IF(P652&lt;=14,12,IF(P652&lt;=17,13,IF(P652&lt;=20,14,IF(P652&lt;=22,15,IF(P652&lt;=25,16,IF(P652&lt;=27,17,IF(P652&lt;=29,18,IF(P652&lt;=32,19,IF(P652&lt;=34,20,IF(P652&lt;=36,21,IF(P652&lt;=40,22,24)))))))))))))</f>
        <v>0</v>
      </c>
      <c r="S652" s="14" t="n">
        <v>24</v>
      </c>
      <c r="T652" s="15" t="n">
        <f aca="false">F652*LOG10(S652+2)</f>
        <v>2.82994669594164</v>
      </c>
    </row>
    <row r="653" customFormat="false" ht="14.65" hidden="false" customHeight="true" outlineLevel="0" collapsed="false">
      <c r="A653" s="12" t="s">
        <v>720</v>
      </c>
      <c r="B653" s="13" t="n">
        <v>38888</v>
      </c>
      <c r="C653" s="3" t="s">
        <v>24</v>
      </c>
      <c r="D653" s="4" t="s">
        <v>710</v>
      </c>
      <c r="E653" s="3" t="n">
        <v>2</v>
      </c>
      <c r="F653" s="3" t="n">
        <v>2</v>
      </c>
      <c r="H653" s="3" t="n">
        <v>29</v>
      </c>
      <c r="I653" s="3" t="n">
        <f aca="false">_xlfn.IFS(G653="взв",11,G653="накл",24,G653="прокл",25,G653="пт",26,G653=90,10,G653=85,10,G653=80,9,G653=75,8,G653=70,8,G653=65,7,G653=60,7,G653=55,6,G653=50,6,G653=45,6,G653=40,5,G653=35,4,G653=30,4,G653=25,3,G653=20,2,G653=15,1,G653=10,1,G653=0,0)</f>
        <v>0</v>
      </c>
      <c r="J653" s="3" t="n">
        <f aca="false">IF(H653&lt;=1,0,IF(H653&lt;=10,11,IF(H653&lt;=14,12,IF(H653&lt;=17,13,IF(H653&lt;=20,14,IF(H653&lt;=22,15,IF(H653&lt;=25,16,IF(H653&lt;=27,17,IF(H653&lt;=29,18,IF(H653&lt;=32,19,IF(H653&lt;=34,20,IF(H653&lt;=36,21,IF(H653&lt;=40,22,24)))))))))))))</f>
        <v>18</v>
      </c>
      <c r="L653" s="3" t="n">
        <v>30</v>
      </c>
      <c r="M653" s="3" t="n">
        <f aca="false">_xlfn.IFS(K653="взв",11,K653="накл",24,K653="прокл",25,K653="пт",26,K653=90,10,K653=85,10,K653=80,9,K653=75,8,K653=70,8,K653=65,7,K653=60,7,K653=55,6,K653=50,6,K653=45,6,K653=40,5,K653=35,4,K653=30,4,K653=25,3,K653=20,2,K653=15,1,K653=10,1,K653=0,0)</f>
        <v>0</v>
      </c>
      <c r="N653" s="3" t="n">
        <f aca="false">IF(L653&lt;=1,0,IF(L653&lt;=10,11,IF(L653&lt;=14,12,IF(L653&lt;=17,13,IF(L653&lt;=20,14,IF(L653&lt;=22,15,IF(L653&lt;=25,16,IF(L653&lt;=27,17,IF(L653&lt;=29,18,IF(L653&lt;=32,19,IF(L653&lt;=34,20,IF(L653&lt;=36,21,IF(L653&lt;=40,22,24)))))))))))))</f>
        <v>19</v>
      </c>
      <c r="Q653" s="3" t="n">
        <f aca="false">_xlfn.IFS(O653="взв",11,O653="накл",24,O653="прокл",25,O653="пт",26,O653=90,10,O653=85,10,O653=80,9,O653=75,8,O653=70,8,O653=65,7,O653=60,7,O653=55,6,O653=50,6,O653=45,6,O653=40,5,O653=35,4,O653=30,4,O653=25,3,O653=20,2,O653=15,1,O653=10,1,O653=0,0)</f>
        <v>0</v>
      </c>
      <c r="R653" s="3" t="n">
        <f aca="false">IF(P653&lt;=1,0,IF(P653&lt;=10,11,IF(P653&lt;=14,12,IF(P653&lt;=17,13,IF(P653&lt;=20,14,IF(P653&lt;=22,15,IF(P653&lt;=25,16,IF(P653&lt;=27,17,IF(P653&lt;=29,18,IF(P653&lt;=32,19,IF(P653&lt;=34,20,IF(P653&lt;=36,21,IF(P653&lt;=40,22,24)))))))))))))</f>
        <v>0</v>
      </c>
      <c r="S653" s="14" t="n">
        <f aca="false">ROUND((Q653+R653+I653+J653+M653+N653)/2,0)</f>
        <v>19</v>
      </c>
      <c r="T653" s="15" t="n">
        <f aca="false">F653*LOG10(S653+2)</f>
        <v>2.64443858946784</v>
      </c>
    </row>
    <row r="654" customFormat="false" ht="14.65" hidden="false" customHeight="true" outlineLevel="0" collapsed="false">
      <c r="A654" s="12" t="s">
        <v>721</v>
      </c>
      <c r="B654" s="13" t="n">
        <v>38888</v>
      </c>
      <c r="C654" s="3" t="s">
        <v>24</v>
      </c>
      <c r="D654" s="4" t="s">
        <v>710</v>
      </c>
      <c r="E654" s="3" t="n">
        <v>4</v>
      </c>
      <c r="F654" s="3" t="n">
        <v>2</v>
      </c>
      <c r="H654" s="3" t="n">
        <v>32</v>
      </c>
      <c r="I654" s="3" t="n">
        <f aca="false">_xlfn.IFS(G654="взв",11,G654="накл",24,G654="прокл",25,G654="пт",26,G654=90,10,G654=85,10,G654=80,9,G654=75,8,G654=70,8,G654=65,7,G654=60,7,G654=55,6,G654=50,6,G654=45,6,G654=40,5,G654=35,4,G654=30,4,G654=25,3,G654=20,2,G654=15,1,G654=10,1,G654=0,0)</f>
        <v>0</v>
      </c>
      <c r="J654" s="3" t="n">
        <f aca="false">IF(H654&lt;=1,0,IF(H654&lt;=10,11,IF(H654&lt;=14,12,IF(H654&lt;=17,13,IF(H654&lt;=20,14,IF(H654&lt;=22,15,IF(H654&lt;=25,16,IF(H654&lt;=27,17,IF(H654&lt;=29,18,IF(H654&lt;=32,19,IF(H654&lt;=34,20,IF(H654&lt;=36,21,IF(H654&lt;=40,22,24)))))))))))))</f>
        <v>19</v>
      </c>
      <c r="L654" s="3" t="n">
        <v>34</v>
      </c>
      <c r="M654" s="3" t="n">
        <f aca="false">_xlfn.IFS(K654="взв",11,K654="накл",24,K654="прокл",25,K654="пт",26,K654=90,10,K654=85,10,K654=80,9,K654=75,8,K654=70,8,K654=65,7,K654=60,7,K654=55,6,K654=50,6,K654=45,6,K654=40,5,K654=35,4,K654=30,4,K654=25,3,K654=20,2,K654=15,1,K654=10,1,K654=0,0)</f>
        <v>0</v>
      </c>
      <c r="N654" s="3" t="n">
        <f aca="false">IF(L654&lt;=1,0,IF(L654&lt;=10,11,IF(L654&lt;=14,12,IF(L654&lt;=17,13,IF(L654&lt;=20,14,IF(L654&lt;=22,15,IF(L654&lt;=25,16,IF(L654&lt;=27,17,IF(L654&lt;=29,18,IF(L654&lt;=32,19,IF(L654&lt;=34,20,IF(L654&lt;=36,21,IF(L654&lt;=40,22,24)))))))))))))</f>
        <v>20</v>
      </c>
      <c r="P654" s="3" t="n">
        <v>34</v>
      </c>
      <c r="Q654" s="3" t="n">
        <f aca="false">_xlfn.IFS(O654="взв",11,O654="накл",24,O654="прокл",25,O654="пт",26,O654=90,10,O654=85,10,O654=80,9,O654=75,8,O654=70,8,O654=65,7,O654=60,7,O654=55,6,O654=50,6,O654=45,6,O654=40,5,O654=35,4,O654=30,4,O654=25,3,O654=20,2,O654=15,1,O654=10,1,O654=0,0)</f>
        <v>0</v>
      </c>
      <c r="R654" s="3" t="n">
        <f aca="false">IF(P654&lt;=1,0,IF(P654&lt;=10,11,IF(P654&lt;=14,12,IF(P654&lt;=17,13,IF(P654&lt;=20,14,IF(P654&lt;=22,15,IF(P654&lt;=25,16,IF(P654&lt;=27,17,IF(P654&lt;=29,18,IF(P654&lt;=32,19,IF(P654&lt;=34,20,IF(P654&lt;=36,21,IF(P654&lt;=40,22,24)))))))))))))</f>
        <v>20</v>
      </c>
      <c r="S654" s="14" t="n">
        <f aca="false">ROUND((Q654+R654+I654+J654+M654+N654)/3,0)</f>
        <v>20</v>
      </c>
      <c r="T654" s="15" t="n">
        <f aca="false">F654*LOG10(S654+2)</f>
        <v>2.68484536164441</v>
      </c>
    </row>
    <row r="655" customFormat="false" ht="14.65" hidden="false" customHeight="true" outlineLevel="0" collapsed="false">
      <c r="A655" s="12" t="s">
        <v>722</v>
      </c>
      <c r="B655" s="13" t="n">
        <v>38888</v>
      </c>
      <c r="C655" s="3" t="s">
        <v>24</v>
      </c>
      <c r="D655" s="4" t="s">
        <v>710</v>
      </c>
      <c r="E655" s="3" t="n">
        <v>3</v>
      </c>
      <c r="F655" s="3" t="n">
        <v>3</v>
      </c>
      <c r="H655" s="3" t="n">
        <v>31</v>
      </c>
      <c r="I655" s="3" t="n">
        <f aca="false">_xlfn.IFS(G655="взв",11,G655="накл",24,G655="прокл",25,G655="пт",26,G655=90,10,G655=85,10,G655=80,9,G655=75,8,G655=70,8,G655=65,7,G655=60,7,G655=55,6,G655=50,6,G655=45,6,G655=40,5,G655=35,4,G655=30,4,G655=25,3,G655=20,2,G655=15,1,G655=10,1,G655=0,0)</f>
        <v>0</v>
      </c>
      <c r="J655" s="3" t="n">
        <f aca="false">IF(H655&lt;=1,0,IF(H655&lt;=10,11,IF(H655&lt;=14,12,IF(H655&lt;=17,13,IF(H655&lt;=20,14,IF(H655&lt;=22,15,IF(H655&lt;=25,16,IF(H655&lt;=27,17,IF(H655&lt;=29,18,IF(H655&lt;=32,19,IF(H655&lt;=34,20,IF(H655&lt;=36,21,IF(H655&lt;=40,22,24)))))))))))))</f>
        <v>19</v>
      </c>
      <c r="L655" s="3" t="n">
        <v>31</v>
      </c>
      <c r="M655" s="3" t="n">
        <f aca="false">_xlfn.IFS(K655="взв",11,K655="накл",24,K655="прокл",25,K655="пт",26,K655=90,10,K655=85,10,K655=80,9,K655=75,8,K655=70,8,K655=65,7,K655=60,7,K655=55,6,K655=50,6,K655=45,6,K655=40,5,K655=35,4,K655=30,4,K655=25,3,K655=20,2,K655=15,1,K655=10,1,K655=0,0)</f>
        <v>0</v>
      </c>
      <c r="N655" s="3" t="n">
        <f aca="false">IF(L655&lt;=1,0,IF(L655&lt;=10,11,IF(L655&lt;=14,12,IF(L655&lt;=17,13,IF(L655&lt;=20,14,IF(L655&lt;=22,15,IF(L655&lt;=25,16,IF(L655&lt;=27,17,IF(L655&lt;=29,18,IF(L655&lt;=32,19,IF(L655&lt;=34,20,IF(L655&lt;=36,21,IF(L655&lt;=40,22,24)))))))))))))</f>
        <v>19</v>
      </c>
      <c r="P655" s="3" t="n">
        <v>33</v>
      </c>
      <c r="Q655" s="3" t="n">
        <f aca="false">_xlfn.IFS(O655="взв",11,O655="накл",24,O655="прокл",25,O655="пт",26,O655=90,10,O655=85,10,O655=80,9,O655=75,8,O655=70,8,O655=65,7,O655=60,7,O655=55,6,O655=50,6,O655=45,6,O655=40,5,O655=35,4,O655=30,4,O655=25,3,O655=20,2,O655=15,1,O655=10,1,O655=0,0)</f>
        <v>0</v>
      </c>
      <c r="R655" s="3" t="n">
        <f aca="false">IF(P655&lt;=1,0,IF(P655&lt;=10,11,IF(P655&lt;=14,12,IF(P655&lt;=17,13,IF(P655&lt;=20,14,IF(P655&lt;=22,15,IF(P655&lt;=25,16,IF(P655&lt;=27,17,IF(P655&lt;=29,18,IF(P655&lt;=32,19,IF(P655&lt;=34,20,IF(P655&lt;=36,21,IF(P655&lt;=40,22,24)))))))))))))</f>
        <v>20</v>
      </c>
      <c r="S655" s="14" t="n">
        <f aca="false">ROUND((Q655+R655+I655+J655+M655+N655)/3,0)</f>
        <v>19</v>
      </c>
      <c r="T655" s="15" t="n">
        <f aca="false">F655*LOG10(S655+2)</f>
        <v>3.96665788420176</v>
      </c>
    </row>
    <row r="656" customFormat="false" ht="14.65" hidden="false" customHeight="true" outlineLevel="0" collapsed="false">
      <c r="A656" s="12" t="s">
        <v>723</v>
      </c>
      <c r="B656" s="13" t="n">
        <v>38888</v>
      </c>
      <c r="C656" s="3" t="s">
        <v>24</v>
      </c>
      <c r="D656" s="4" t="s">
        <v>710</v>
      </c>
      <c r="E656" s="3" t="n">
        <v>5</v>
      </c>
      <c r="F656" s="3" t="n">
        <v>3</v>
      </c>
      <c r="H656" s="3" t="n">
        <v>29</v>
      </c>
      <c r="I656" s="3" t="n">
        <f aca="false">_xlfn.IFS(G656="взв",11,G656="накл",24,G656="прокл",25,G656="пт",26,G656=90,10,G656=85,10,G656=80,9,G656=75,8,G656=70,8,G656=65,7,G656=60,7,G656=55,6,G656=50,6,G656=45,6,G656=40,5,G656=35,4,G656=30,4,G656=25,3,G656=20,2,G656=15,1,G656=10,1,G656=0,0)</f>
        <v>0</v>
      </c>
      <c r="J656" s="3" t="n">
        <f aca="false">IF(H656&lt;=1,0,IF(H656&lt;=10,11,IF(H656&lt;=14,12,IF(H656&lt;=17,13,IF(H656&lt;=20,14,IF(H656&lt;=22,15,IF(H656&lt;=25,16,IF(H656&lt;=27,17,IF(H656&lt;=29,18,IF(H656&lt;=32,19,IF(H656&lt;=34,20,IF(H656&lt;=36,21,IF(H656&lt;=40,22,24)))))))))))))</f>
        <v>18</v>
      </c>
      <c r="L656" s="3" t="n">
        <v>30</v>
      </c>
      <c r="M656" s="3" t="n">
        <f aca="false">_xlfn.IFS(K656="взв",11,K656="накл",24,K656="прокл",25,K656="пт",26,K656=90,10,K656=85,10,K656=80,9,K656=75,8,K656=70,8,K656=65,7,K656=60,7,K656=55,6,K656=50,6,K656=45,6,K656=40,5,K656=35,4,K656=30,4,K656=25,3,K656=20,2,K656=15,1,K656=10,1,K656=0,0)</f>
        <v>0</v>
      </c>
      <c r="N656" s="3" t="n">
        <f aca="false">IF(L656&lt;=1,0,IF(L656&lt;=10,11,IF(L656&lt;=14,12,IF(L656&lt;=17,13,IF(L656&lt;=20,14,IF(L656&lt;=22,15,IF(L656&lt;=25,16,IF(L656&lt;=27,17,IF(L656&lt;=29,18,IF(L656&lt;=32,19,IF(L656&lt;=34,20,IF(L656&lt;=36,21,IF(L656&lt;=40,22,24)))))))))))))</f>
        <v>19</v>
      </c>
      <c r="P656" s="3" t="n">
        <v>32</v>
      </c>
      <c r="Q656" s="3" t="n">
        <f aca="false">_xlfn.IFS(O656="взв",11,O656="накл",24,O656="прокл",25,O656="пт",26,O656=90,10,O656=85,10,O656=80,9,O656=75,8,O656=70,8,O656=65,7,O656=60,7,O656=55,6,O656=50,6,O656=45,6,O656=40,5,O656=35,4,O656=30,4,O656=25,3,O656=20,2,O656=15,1,O656=10,1,O656=0,0)</f>
        <v>0</v>
      </c>
      <c r="R656" s="3" t="n">
        <f aca="false">IF(P656&lt;=1,0,IF(P656&lt;=10,11,IF(P656&lt;=14,12,IF(P656&lt;=17,13,IF(P656&lt;=20,14,IF(P656&lt;=22,15,IF(P656&lt;=25,16,IF(P656&lt;=27,17,IF(P656&lt;=29,18,IF(P656&lt;=32,19,IF(P656&lt;=34,20,IF(P656&lt;=36,21,IF(P656&lt;=40,22,24)))))))))))))</f>
        <v>19</v>
      </c>
      <c r="S656" s="14" t="n">
        <f aca="false">ROUND((Q656+R656+I656+J656+M656+N656)/3,0)</f>
        <v>19</v>
      </c>
      <c r="T656" s="15" t="n">
        <f aca="false">F656*LOG10(S656+2)</f>
        <v>3.96665788420176</v>
      </c>
    </row>
    <row r="657" customFormat="false" ht="14.65" hidden="false" customHeight="true" outlineLevel="0" collapsed="false">
      <c r="A657" s="12" t="s">
        <v>724</v>
      </c>
      <c r="B657" s="13" t="n">
        <v>38888</v>
      </c>
      <c r="C657" s="3" t="s">
        <v>24</v>
      </c>
      <c r="D657" s="4" t="s">
        <v>710</v>
      </c>
      <c r="E657" s="3" t="n">
        <v>4</v>
      </c>
      <c r="F657" s="3" t="n">
        <v>3</v>
      </c>
      <c r="H657" s="3" t="n">
        <v>25</v>
      </c>
      <c r="I657" s="3" t="n">
        <f aca="false">_xlfn.IFS(G657="взв",11,G657="накл",24,G657="прокл",25,G657="пт",26,G657=90,10,G657=85,10,G657=80,9,G657=75,8,G657=70,8,G657=65,7,G657=60,7,G657=55,6,G657=50,6,G657=45,6,G657=40,5,G657=35,4,G657=30,4,G657=25,3,G657=20,2,G657=15,1,G657=10,1,G657=0,0)</f>
        <v>0</v>
      </c>
      <c r="J657" s="3" t="n">
        <f aca="false">IF(H657&lt;=1,0,IF(H657&lt;=10,11,IF(H657&lt;=14,12,IF(H657&lt;=17,13,IF(H657&lt;=20,14,IF(H657&lt;=22,15,IF(H657&lt;=25,16,IF(H657&lt;=27,17,IF(H657&lt;=29,18,IF(H657&lt;=32,19,IF(H657&lt;=34,20,IF(H657&lt;=36,21,IF(H657&lt;=40,22,24)))))))))))))</f>
        <v>16</v>
      </c>
      <c r="L657" s="3" t="n">
        <v>27</v>
      </c>
      <c r="M657" s="3" t="n">
        <f aca="false">_xlfn.IFS(K657="взв",11,K657="накл",24,K657="прокл",25,K657="пт",26,K657=90,10,K657=85,10,K657=80,9,K657=75,8,K657=70,8,K657=65,7,K657=60,7,K657=55,6,K657=50,6,K657=45,6,K657=40,5,K657=35,4,K657=30,4,K657=25,3,K657=20,2,K657=15,1,K657=10,1,K657=0,0)</f>
        <v>0</v>
      </c>
      <c r="N657" s="3" t="n">
        <f aca="false">IF(L657&lt;=1,0,IF(L657&lt;=10,11,IF(L657&lt;=14,12,IF(L657&lt;=17,13,IF(L657&lt;=20,14,IF(L657&lt;=22,15,IF(L657&lt;=25,16,IF(L657&lt;=27,17,IF(L657&lt;=29,18,IF(L657&lt;=32,19,IF(L657&lt;=34,20,IF(L657&lt;=36,21,IF(L657&lt;=40,22,24)))))))))))))</f>
        <v>17</v>
      </c>
      <c r="P657" s="3" t="n">
        <v>28</v>
      </c>
      <c r="Q657" s="3" t="n">
        <f aca="false">_xlfn.IFS(O657="взв",11,O657="накл",24,O657="прокл",25,O657="пт",26,O657=90,10,O657=85,10,O657=80,9,O657=75,8,O657=70,8,O657=65,7,O657=60,7,O657=55,6,O657=50,6,O657=45,6,O657=40,5,O657=35,4,O657=30,4,O657=25,3,O657=20,2,O657=15,1,O657=10,1,O657=0,0)</f>
        <v>0</v>
      </c>
      <c r="R657" s="3" t="n">
        <f aca="false">IF(P657&lt;=1,0,IF(P657&lt;=10,11,IF(P657&lt;=14,12,IF(P657&lt;=17,13,IF(P657&lt;=20,14,IF(P657&lt;=22,15,IF(P657&lt;=25,16,IF(P657&lt;=27,17,IF(P657&lt;=29,18,IF(P657&lt;=32,19,IF(P657&lt;=34,20,IF(P657&lt;=36,21,IF(P657&lt;=40,22,24)))))))))))))</f>
        <v>18</v>
      </c>
      <c r="S657" s="14" t="n">
        <f aca="false">ROUND((Q657+R657+I657+J657+M657+N657)/3,0)</f>
        <v>17</v>
      </c>
      <c r="T657" s="15" t="n">
        <f aca="false">F657*LOG10(S657+2)</f>
        <v>3.83626080285849</v>
      </c>
    </row>
    <row r="658" customFormat="false" ht="14.65" hidden="false" customHeight="true" outlineLevel="0" collapsed="false">
      <c r="A658" s="12" t="s">
        <v>725</v>
      </c>
      <c r="B658" s="13" t="n">
        <v>38888</v>
      </c>
      <c r="C658" s="3" t="s">
        <v>24</v>
      </c>
      <c r="D658" s="4" t="s">
        <v>710</v>
      </c>
      <c r="E658" s="3" t="n">
        <v>3</v>
      </c>
      <c r="F658" s="3" t="n">
        <v>4</v>
      </c>
      <c r="H658" s="3" t="n">
        <v>36</v>
      </c>
      <c r="I658" s="3" t="n">
        <f aca="false">_xlfn.IFS(G658="взв",11,G658="накл",24,G658="прокл",25,G658="пт",26,G658=90,10,G658=85,10,G658=80,9,G658=75,8,G658=70,8,G658=65,7,G658=60,7,G658=55,6,G658=50,6,G658=45,6,G658=40,5,G658=35,4,G658=30,4,G658=25,3,G658=20,2,G658=15,1,G658=10,1,G658=0,0)</f>
        <v>0</v>
      </c>
      <c r="J658" s="3" t="n">
        <f aca="false">IF(H658&lt;=1,0,IF(H658&lt;=10,11,IF(H658&lt;=14,12,IF(H658&lt;=17,13,IF(H658&lt;=20,14,IF(H658&lt;=22,15,IF(H658&lt;=25,16,IF(H658&lt;=27,17,IF(H658&lt;=29,18,IF(H658&lt;=32,19,IF(H658&lt;=34,20,IF(H658&lt;=36,21,IF(H658&lt;=40,22,24)))))))))))))</f>
        <v>21</v>
      </c>
      <c r="L658" s="3" t="n">
        <v>37</v>
      </c>
      <c r="M658" s="3" t="n">
        <f aca="false">_xlfn.IFS(K658="взв",11,K658="накл",24,K658="прокл",25,K658="пт",26,K658=90,10,K658=85,10,K658=80,9,K658=75,8,K658=70,8,K658=65,7,K658=60,7,K658=55,6,K658=50,6,K658=45,6,K658=40,5,K658=35,4,K658=30,4,K658=25,3,K658=20,2,K658=15,1,K658=10,1,K658=0,0)</f>
        <v>0</v>
      </c>
      <c r="N658" s="3" t="n">
        <f aca="false">IF(L658&lt;=1,0,IF(L658&lt;=10,11,IF(L658&lt;=14,12,IF(L658&lt;=17,13,IF(L658&lt;=20,14,IF(L658&lt;=22,15,IF(L658&lt;=25,16,IF(L658&lt;=27,17,IF(L658&lt;=29,18,IF(L658&lt;=32,19,IF(L658&lt;=34,20,IF(L658&lt;=36,21,IF(L658&lt;=40,22,24)))))))))))))</f>
        <v>22</v>
      </c>
      <c r="P658" s="3" t="n">
        <v>38</v>
      </c>
      <c r="Q658" s="3" t="n">
        <f aca="false">_xlfn.IFS(O658="взв",11,O658="накл",24,O658="прокл",25,O658="пт",26,O658=90,10,O658=85,10,O658=80,9,O658=75,8,O658=70,8,O658=65,7,O658=60,7,O658=55,6,O658=50,6,O658=45,6,O658=40,5,O658=35,4,O658=30,4,O658=25,3,O658=20,2,O658=15,1,O658=10,1,O658=0,0)</f>
        <v>0</v>
      </c>
      <c r="R658" s="3" t="n">
        <f aca="false">IF(P658&lt;=1,0,IF(P658&lt;=10,11,IF(P658&lt;=14,12,IF(P658&lt;=17,13,IF(P658&lt;=20,14,IF(P658&lt;=22,15,IF(P658&lt;=25,16,IF(P658&lt;=27,17,IF(P658&lt;=29,18,IF(P658&lt;=32,19,IF(P658&lt;=34,20,IF(P658&lt;=36,21,IF(P658&lt;=40,22,24)))))))))))))</f>
        <v>22</v>
      </c>
      <c r="S658" s="14" t="n">
        <f aca="false">ROUND((Q658+R658+I658+J658+M658+N658)/3,0)</f>
        <v>22</v>
      </c>
      <c r="T658" s="15" t="n">
        <f aca="false">F658*LOG10(S658+2)</f>
        <v>5.52084496684642</v>
      </c>
    </row>
    <row r="659" customFormat="false" ht="14.65" hidden="false" customHeight="true" outlineLevel="0" collapsed="false">
      <c r="A659" s="12" t="s">
        <v>726</v>
      </c>
      <c r="B659" s="13" t="n">
        <v>38888</v>
      </c>
      <c r="C659" s="3" t="s">
        <v>24</v>
      </c>
      <c r="D659" s="4" t="s">
        <v>710</v>
      </c>
      <c r="E659" s="3" t="n">
        <v>5</v>
      </c>
      <c r="F659" s="3" t="n">
        <v>5</v>
      </c>
      <c r="G659" s="3" t="n">
        <v>60</v>
      </c>
      <c r="I659" s="3" t="n">
        <f aca="false">_xlfn.IFS(G659="взв",11,G659="накл",24,G659="прокл",25,G659="пт",26,G659=90,10,G659=85,10,G659=80,9,G659=75,8,G659=70,8,G659=65,7,G659=60,7,G659=55,6,G659=50,6,G659=45,6,G659=40,5,G659=35,4,G659=30,4,G659=25,3,G659=20,2,G659=15,1,G659=10,1,G659=0,0)</f>
        <v>7</v>
      </c>
      <c r="J659" s="3" t="n">
        <f aca="false">IF(H659&lt;=1,0,IF(H659&lt;=10,11,IF(H659&lt;=14,12,IF(H659&lt;=17,13,IF(H659&lt;=20,14,IF(H659&lt;=22,15,IF(H659&lt;=25,16,IF(H659&lt;=27,17,IF(H659&lt;=29,18,IF(H659&lt;=32,19,IF(H659&lt;=34,20,IF(H659&lt;=36,21,IF(H659&lt;=40,22,24)))))))))))))</f>
        <v>0</v>
      </c>
      <c r="K659" s="3" t="n">
        <v>60</v>
      </c>
      <c r="M659" s="3" t="n">
        <f aca="false">_xlfn.IFS(K659="взв",11,K659="накл",24,K659="прокл",25,K659="пт",26,K659=90,10,K659=85,10,K659=80,9,K659=75,8,K659=70,8,K659=65,7,K659=60,7,K659=55,6,K659=50,6,K659=45,6,K659=40,5,K659=35,4,K659=30,4,K659=25,3,K659=20,2,K659=15,1,K659=10,1,K659=0,0)</f>
        <v>7</v>
      </c>
      <c r="N659" s="3" t="n">
        <f aca="false">IF(L659&lt;=1,0,IF(L659&lt;=10,11,IF(L659&lt;=14,12,IF(L659&lt;=17,13,IF(L659&lt;=20,14,IF(L659&lt;=22,15,IF(L659&lt;=25,16,IF(L659&lt;=27,17,IF(L659&lt;=29,18,IF(L659&lt;=32,19,IF(L659&lt;=34,20,IF(L659&lt;=36,21,IF(L659&lt;=40,22,24)))))))))))))</f>
        <v>0</v>
      </c>
      <c r="O659" s="3" t="n">
        <v>75</v>
      </c>
      <c r="Q659" s="3" t="n">
        <f aca="false">_xlfn.IFS(O659="взв",11,O659="накл",24,O659="прокл",25,O659="пт",26,O659=90,10,O659=85,10,O659=80,9,O659=75,8,O659=70,8,O659=65,7,O659=60,7,O659=55,6,O659=50,6,O659=45,6,O659=40,5,O659=35,4,O659=30,4,O659=25,3,O659=20,2,O659=15,1,O659=10,1,O659=0,0)</f>
        <v>8</v>
      </c>
      <c r="R659" s="3" t="n">
        <f aca="false">IF(P659&lt;=1,0,IF(P659&lt;=10,11,IF(P659&lt;=14,12,IF(P659&lt;=17,13,IF(P659&lt;=20,14,IF(P659&lt;=22,15,IF(P659&lt;=25,16,IF(P659&lt;=27,17,IF(P659&lt;=29,18,IF(P659&lt;=32,19,IF(P659&lt;=34,20,IF(P659&lt;=36,21,IF(P659&lt;=40,22,24)))))))))))))</f>
        <v>0</v>
      </c>
      <c r="S659" s="14" t="n">
        <f aca="false">ROUND((Q659+R659+I659+J659+M659+N659)/3,0)</f>
        <v>7</v>
      </c>
      <c r="T659" s="15" t="n">
        <f aca="false">F659*LOG10(S659+2)</f>
        <v>4.77121254719662</v>
      </c>
    </row>
    <row r="660" customFormat="false" ht="14.65" hidden="false" customHeight="true" outlineLevel="0" collapsed="false">
      <c r="A660" s="12" t="s">
        <v>727</v>
      </c>
      <c r="B660" s="13" t="n">
        <v>38888</v>
      </c>
      <c r="C660" s="3" t="s">
        <v>24</v>
      </c>
      <c r="D660" s="4" t="s">
        <v>710</v>
      </c>
      <c r="E660" s="3" t="n">
        <v>5</v>
      </c>
      <c r="F660" s="3" t="n">
        <v>5</v>
      </c>
      <c r="G660" s="3" t="n">
        <v>75</v>
      </c>
      <c r="I660" s="3" t="n">
        <f aca="false">_xlfn.IFS(G660="взв",11,G660="накл",24,G660="прокл",25,G660="пт",26,G660=90,10,G660=85,10,G660=80,9,G660=75,8,G660=70,8,G660=65,7,G660=60,7,G660=55,6,G660=50,6,G660=45,6,G660=40,5,G660=35,4,G660=30,4,G660=25,3,G660=20,2,G660=15,1,G660=10,1,G660=0,0)</f>
        <v>8</v>
      </c>
      <c r="J660" s="3" t="n">
        <f aca="false">IF(H660&lt;=1,0,IF(H660&lt;=10,11,IF(H660&lt;=14,12,IF(H660&lt;=17,13,IF(H660&lt;=20,14,IF(H660&lt;=22,15,IF(H660&lt;=25,16,IF(H660&lt;=27,17,IF(H660&lt;=29,18,IF(H660&lt;=32,19,IF(H660&lt;=34,20,IF(H660&lt;=36,21,IF(H660&lt;=40,22,24)))))))))))))</f>
        <v>0</v>
      </c>
      <c r="K660" s="3" t="n">
        <v>90</v>
      </c>
      <c r="M660" s="3" t="n">
        <f aca="false">_xlfn.IFS(K660="взв",11,K660="накл",24,K660="прокл",25,K660="пт",26,K660=90,10,K660=85,10,K660=80,9,K660=75,8,K660=70,8,K660=65,7,K660=60,7,K660=55,6,K660=50,6,K660=45,6,K660=40,5,K660=35,4,K660=30,4,K660=25,3,K660=20,2,K660=15,1,K660=10,1,K660=0,0)</f>
        <v>10</v>
      </c>
      <c r="N660" s="3" t="n">
        <f aca="false">IF(L660&lt;=1,0,IF(L660&lt;=10,11,IF(L660&lt;=14,12,IF(L660&lt;=17,13,IF(L660&lt;=20,14,IF(L660&lt;=22,15,IF(L660&lt;=25,16,IF(L660&lt;=27,17,IF(L660&lt;=29,18,IF(L660&lt;=32,19,IF(L660&lt;=34,20,IF(L660&lt;=36,21,IF(L660&lt;=40,22,24)))))))))))))</f>
        <v>0</v>
      </c>
      <c r="O660" s="3" t="n">
        <v>90</v>
      </c>
      <c r="Q660" s="3" t="n">
        <f aca="false">_xlfn.IFS(O660="взв",11,O660="накл",24,O660="прокл",25,O660="пт",26,O660=90,10,O660=85,10,O660=80,9,O660=75,8,O660=70,8,O660=65,7,O660=60,7,O660=55,6,O660=50,6,O660=45,6,O660=40,5,O660=35,4,O660=30,4,O660=25,3,O660=20,2,O660=15,1,O660=10,1,O660=0,0)</f>
        <v>10</v>
      </c>
      <c r="R660" s="3" t="n">
        <f aca="false">IF(P660&lt;=1,0,IF(P660&lt;=10,11,IF(P660&lt;=14,12,IF(P660&lt;=17,13,IF(P660&lt;=20,14,IF(P660&lt;=22,15,IF(P660&lt;=25,16,IF(P660&lt;=27,17,IF(P660&lt;=29,18,IF(P660&lt;=32,19,IF(P660&lt;=34,20,IF(P660&lt;=36,21,IF(P660&lt;=40,22,24)))))))))))))</f>
        <v>0</v>
      </c>
      <c r="S660" s="14" t="n">
        <f aca="false">ROUND((Q660+R660+I660+J660+M660+N660)/3,0)</f>
        <v>9</v>
      </c>
      <c r="T660" s="15" t="n">
        <f aca="false">F660*LOG10(S660+2)</f>
        <v>5.20696342579113</v>
      </c>
    </row>
    <row r="661" customFormat="false" ht="14.65" hidden="false" customHeight="true" outlineLevel="0" collapsed="false">
      <c r="A661" s="12" t="s">
        <v>728</v>
      </c>
      <c r="B661" s="13" t="n">
        <v>38888</v>
      </c>
      <c r="C661" s="3" t="s">
        <v>24</v>
      </c>
      <c r="D661" s="4" t="s">
        <v>710</v>
      </c>
      <c r="E661" s="3" t="n">
        <v>5</v>
      </c>
      <c r="F661" s="3" t="n">
        <v>5</v>
      </c>
      <c r="G661" s="3" t="n">
        <v>45</v>
      </c>
      <c r="I661" s="3" t="n">
        <f aca="false">_xlfn.IFS(G661="взв",11,G661="накл",24,G661="прокл",25,G661="пт",26,G661=90,10,G661=85,10,G661=80,9,G661=75,8,G661=70,8,G661=65,7,G661=60,7,G661=55,6,G661=50,6,G661=45,6,G661=40,5,G661=35,4,G661=30,4,G661=25,3,G661=20,2,G661=15,1,G661=10,1,G661=0,0)</f>
        <v>6</v>
      </c>
      <c r="J661" s="3" t="n">
        <f aca="false">IF(H661&lt;=1,0,IF(H661&lt;=10,11,IF(H661&lt;=14,12,IF(H661&lt;=17,13,IF(H661&lt;=20,14,IF(H661&lt;=22,15,IF(H661&lt;=25,16,IF(H661&lt;=27,17,IF(H661&lt;=29,18,IF(H661&lt;=32,19,IF(H661&lt;=34,20,IF(H661&lt;=36,21,IF(H661&lt;=40,22,24)))))))))))))</f>
        <v>0</v>
      </c>
      <c r="K661" s="3" t="n">
        <v>30</v>
      </c>
      <c r="M661" s="3" t="n">
        <f aca="false">_xlfn.IFS(K661="взв",11,K661="накл",24,K661="прокл",25,K661="пт",26,K661=90,10,K661=85,10,K661=80,9,K661=75,8,K661=70,8,K661=65,7,K661=60,7,K661=55,6,K661=50,6,K661=45,6,K661=40,5,K661=35,4,K661=30,4,K661=25,3,K661=20,2,K661=15,1,K661=10,1,K661=0,0)</f>
        <v>4</v>
      </c>
      <c r="N661" s="3" t="n">
        <f aca="false">IF(L661&lt;=1,0,IF(L661&lt;=10,11,IF(L661&lt;=14,12,IF(L661&lt;=17,13,IF(L661&lt;=20,14,IF(L661&lt;=22,15,IF(L661&lt;=25,16,IF(L661&lt;=27,17,IF(L661&lt;=29,18,IF(L661&lt;=32,19,IF(L661&lt;=34,20,IF(L661&lt;=36,21,IF(L661&lt;=40,22,24)))))))))))))</f>
        <v>0</v>
      </c>
      <c r="O661" s="3" t="n">
        <v>30</v>
      </c>
      <c r="Q661" s="3" t="n">
        <f aca="false">_xlfn.IFS(O661="взв",11,O661="накл",24,O661="прокл",25,O661="пт",26,O661=90,10,O661=85,10,O661=80,9,O661=75,8,O661=70,8,O661=65,7,O661=60,7,O661=55,6,O661=50,6,O661=45,6,O661=40,5,O661=35,4,O661=30,4,O661=25,3,O661=20,2,O661=15,1,O661=10,1,O661=0,0)</f>
        <v>4</v>
      </c>
      <c r="R661" s="3" t="n">
        <f aca="false">IF(P661&lt;=1,0,IF(P661&lt;=10,11,IF(P661&lt;=14,12,IF(P661&lt;=17,13,IF(P661&lt;=20,14,IF(P661&lt;=22,15,IF(P661&lt;=25,16,IF(P661&lt;=27,17,IF(P661&lt;=29,18,IF(P661&lt;=32,19,IF(P661&lt;=34,20,IF(P661&lt;=36,21,IF(P661&lt;=40,22,24)))))))))))))</f>
        <v>0</v>
      </c>
      <c r="S661" s="14" t="n">
        <f aca="false">ROUND((Q661+R661+I661+J661+M661+N661)/3,0)</f>
        <v>5</v>
      </c>
      <c r="T661" s="15" t="n">
        <f aca="false">F661*LOG10(S661+2)</f>
        <v>4.22549020007128</v>
      </c>
    </row>
    <row r="662" customFormat="false" ht="14.65" hidden="false" customHeight="true" outlineLevel="0" collapsed="false">
      <c r="A662" s="12" t="s">
        <v>729</v>
      </c>
      <c r="B662" s="13" t="n">
        <v>38888</v>
      </c>
      <c r="C662" s="3" t="s">
        <v>24</v>
      </c>
      <c r="D662" s="4" t="s">
        <v>710</v>
      </c>
      <c r="E662" s="3" t="n">
        <v>4</v>
      </c>
      <c r="F662" s="3" t="n">
        <v>5</v>
      </c>
      <c r="H662" s="3" t="n">
        <v>39</v>
      </c>
      <c r="I662" s="3" t="n">
        <f aca="false">_xlfn.IFS(G662="взв",11,G662="накл",24,G662="прокл",25,G662="пт",26,G662=90,10,G662=85,10,G662=80,9,G662=75,8,G662=70,8,G662=65,7,G662=60,7,G662=55,6,G662=50,6,G662=45,6,G662=40,5,G662=35,4,G662=30,4,G662=25,3,G662=20,2,G662=15,1,G662=10,1,G662=0,0)</f>
        <v>0</v>
      </c>
      <c r="J662" s="3" t="n">
        <f aca="false">IF(H662&lt;=1,0,IF(H662&lt;=10,11,IF(H662&lt;=14,12,IF(H662&lt;=17,13,IF(H662&lt;=20,14,IF(H662&lt;=22,15,IF(H662&lt;=25,16,IF(H662&lt;=27,17,IF(H662&lt;=29,18,IF(H662&lt;=32,19,IF(H662&lt;=34,20,IF(H662&lt;=36,21,IF(H662&lt;=40,22,24)))))))))))))</f>
        <v>22</v>
      </c>
      <c r="L662" s="3" t="n">
        <v>39</v>
      </c>
      <c r="M662" s="3" t="n">
        <f aca="false">_xlfn.IFS(K662="взв",11,K662="накл",24,K662="прокл",25,K662="пт",26,K662=90,10,K662=85,10,K662=80,9,K662=75,8,K662=70,8,K662=65,7,K662=60,7,K662=55,6,K662=50,6,K662=45,6,K662=40,5,K662=35,4,K662=30,4,K662=25,3,K662=20,2,K662=15,1,K662=10,1,K662=0,0)</f>
        <v>0</v>
      </c>
      <c r="N662" s="3" t="n">
        <f aca="false">IF(L662&lt;=1,0,IF(L662&lt;=10,11,IF(L662&lt;=14,12,IF(L662&lt;=17,13,IF(L662&lt;=20,14,IF(L662&lt;=22,15,IF(L662&lt;=25,16,IF(L662&lt;=27,17,IF(L662&lt;=29,18,IF(L662&lt;=32,19,IF(L662&lt;=34,20,IF(L662&lt;=36,21,IF(L662&lt;=40,22,24)))))))))))))</f>
        <v>22</v>
      </c>
      <c r="P662" s="3" t="n">
        <v>40</v>
      </c>
      <c r="Q662" s="3" t="n">
        <f aca="false">_xlfn.IFS(O662="взв",11,O662="накл",24,O662="прокл",25,O662="пт",26,O662=90,10,O662=85,10,O662=80,9,O662=75,8,O662=70,8,O662=65,7,O662=60,7,O662=55,6,O662=50,6,O662=45,6,O662=40,5,O662=35,4,O662=30,4,O662=25,3,O662=20,2,O662=15,1,O662=10,1,O662=0,0)</f>
        <v>0</v>
      </c>
      <c r="R662" s="3" t="n">
        <f aca="false">IF(P662&lt;=1,0,IF(P662&lt;=10,11,IF(P662&lt;=14,12,IF(P662&lt;=17,13,IF(P662&lt;=20,14,IF(P662&lt;=22,15,IF(P662&lt;=25,16,IF(P662&lt;=27,17,IF(P662&lt;=29,18,IF(P662&lt;=32,19,IF(P662&lt;=34,20,IF(P662&lt;=36,21,IF(P662&lt;=40,22,24)))))))))))))</f>
        <v>22</v>
      </c>
      <c r="S662" s="14" t="n">
        <f aca="false">ROUND((Q662+R662+I662+J662+M662+N662)/3,0)</f>
        <v>22</v>
      </c>
      <c r="T662" s="15" t="n">
        <f aca="false">F662*LOG10(S662+2)</f>
        <v>6.90105620855803</v>
      </c>
    </row>
    <row r="663" customFormat="false" ht="14.65" hidden="false" customHeight="true" outlineLevel="0" collapsed="false">
      <c r="A663" s="12" t="s">
        <v>730</v>
      </c>
      <c r="B663" s="13" t="n">
        <v>38888</v>
      </c>
      <c r="C663" s="3" t="s">
        <v>24</v>
      </c>
      <c r="D663" s="4" t="s">
        <v>710</v>
      </c>
      <c r="E663" s="3" t="n">
        <v>4</v>
      </c>
      <c r="F663" s="3" t="n">
        <v>6</v>
      </c>
      <c r="H663" s="3" t="n">
        <v>35</v>
      </c>
      <c r="I663" s="3" t="n">
        <f aca="false">_xlfn.IFS(G663="взв",11,G663="накл",24,G663="прокл",25,G663="пт",26,G663=90,10,G663=85,10,G663=80,9,G663=75,8,G663=70,8,G663=65,7,G663=60,7,G663=55,6,G663=50,6,G663=45,6,G663=40,5,G663=35,4,G663=30,4,G663=25,3,G663=20,2,G663=15,1,G663=10,1,G663=0,0)</f>
        <v>0</v>
      </c>
      <c r="J663" s="3" t="n">
        <f aca="false">IF(H663&lt;=1,0,IF(H663&lt;=10,11,IF(H663&lt;=14,12,IF(H663&lt;=17,13,IF(H663&lt;=20,14,IF(H663&lt;=22,15,IF(H663&lt;=25,16,IF(H663&lt;=27,17,IF(H663&lt;=29,18,IF(H663&lt;=32,19,IF(H663&lt;=34,20,IF(H663&lt;=36,21,IF(H663&lt;=40,22,24)))))))))))))</f>
        <v>21</v>
      </c>
      <c r="L663" s="3" t="n">
        <v>37</v>
      </c>
      <c r="M663" s="3" t="n">
        <f aca="false">_xlfn.IFS(K663="взв",11,K663="накл",24,K663="прокл",25,K663="пт",26,K663=90,10,K663=85,10,K663=80,9,K663=75,8,K663=70,8,K663=65,7,K663=60,7,K663=55,6,K663=50,6,K663=45,6,K663=40,5,K663=35,4,K663=30,4,K663=25,3,K663=20,2,K663=15,1,K663=10,1,K663=0,0)</f>
        <v>0</v>
      </c>
      <c r="N663" s="3" t="n">
        <f aca="false">IF(L663&lt;=1,0,IF(L663&lt;=10,11,IF(L663&lt;=14,12,IF(L663&lt;=17,13,IF(L663&lt;=20,14,IF(L663&lt;=22,15,IF(L663&lt;=25,16,IF(L663&lt;=27,17,IF(L663&lt;=29,18,IF(L663&lt;=32,19,IF(L663&lt;=34,20,IF(L663&lt;=36,21,IF(L663&lt;=40,22,24)))))))))))))</f>
        <v>22</v>
      </c>
      <c r="P663" s="3" t="n">
        <v>37</v>
      </c>
      <c r="Q663" s="3" t="n">
        <f aca="false">_xlfn.IFS(O663="взв",11,O663="накл",24,O663="прокл",25,O663="пт",26,O663=90,10,O663=85,10,O663=80,9,O663=75,8,O663=70,8,O663=65,7,O663=60,7,O663=55,6,O663=50,6,O663=45,6,O663=40,5,O663=35,4,O663=30,4,O663=25,3,O663=20,2,O663=15,1,O663=10,1,O663=0,0)</f>
        <v>0</v>
      </c>
      <c r="R663" s="3" t="n">
        <f aca="false">IF(P663&lt;=1,0,IF(P663&lt;=10,11,IF(P663&lt;=14,12,IF(P663&lt;=17,13,IF(P663&lt;=20,14,IF(P663&lt;=22,15,IF(P663&lt;=25,16,IF(P663&lt;=27,17,IF(P663&lt;=29,18,IF(P663&lt;=32,19,IF(P663&lt;=34,20,IF(P663&lt;=36,21,IF(P663&lt;=40,22,24)))))))))))))</f>
        <v>22</v>
      </c>
      <c r="S663" s="14" t="n">
        <f aca="false">ROUND((Q663+R663+I663+J663+M663+N663)/3,0)</f>
        <v>22</v>
      </c>
      <c r="T663" s="15" t="n">
        <f aca="false">F663*LOG10(S663+2)</f>
        <v>8.28126745026964</v>
      </c>
    </row>
    <row r="664" customFormat="false" ht="14.65" hidden="false" customHeight="true" outlineLevel="0" collapsed="false">
      <c r="A664" s="12" t="s">
        <v>731</v>
      </c>
      <c r="B664" s="13" t="n">
        <v>38888</v>
      </c>
      <c r="C664" s="3" t="s">
        <v>24</v>
      </c>
      <c r="D664" s="4" t="s">
        <v>710</v>
      </c>
      <c r="E664" s="3" t="n">
        <v>4</v>
      </c>
      <c r="F664" s="3" t="n">
        <v>7</v>
      </c>
      <c r="H664" s="3" t="n">
        <v>24</v>
      </c>
      <c r="I664" s="3" t="n">
        <f aca="false">_xlfn.IFS(G664="взв",11,G664="накл",24,G664="прокл",25,G664="пт",26,G664=90,10,G664=85,10,G664=80,9,G664=75,8,G664=70,8,G664=65,7,G664=60,7,G664=55,6,G664=50,6,G664=45,6,G664=40,5,G664=35,4,G664=30,4,G664=25,3,G664=20,2,G664=15,1,G664=10,1,G664=0,0)</f>
        <v>0</v>
      </c>
      <c r="J664" s="3" t="n">
        <f aca="false">IF(H664&lt;=1,0,IF(H664&lt;=10,11,IF(H664&lt;=14,12,IF(H664&lt;=17,13,IF(H664&lt;=20,14,IF(H664&lt;=22,15,IF(H664&lt;=25,16,IF(H664&lt;=27,17,IF(H664&lt;=29,18,IF(H664&lt;=32,19,IF(H664&lt;=34,20,IF(H664&lt;=36,21,IF(H664&lt;=40,22,24)))))))))))))</f>
        <v>16</v>
      </c>
      <c r="K664" s="3" t="s">
        <v>50</v>
      </c>
      <c r="M664" s="3" t="n">
        <f aca="false">_xlfn.IFS(K664="взв",11,K664="накл",24,K664="прокл",25,K664="пт",26,K664=90,10,K664=85,10,K664=80,9,K664=75,8,K664=70,8,K664=65,7,K664=60,7,K664=55,6,K664=50,6,K664=45,6,K664=40,5,K664=35,4,K664=30,4,K664=25,3,K664=20,2,K664=15,1,K664=10,1,K664=0,0)</f>
        <v>11</v>
      </c>
      <c r="N664" s="3" t="n">
        <f aca="false">IF(L664&lt;=1,0,IF(L664&lt;=10,11,IF(L664&lt;=14,12,IF(L664&lt;=17,13,IF(L664&lt;=20,14,IF(L664&lt;=22,15,IF(L664&lt;=25,16,IF(L664&lt;=27,17,IF(L664&lt;=29,18,IF(L664&lt;=32,19,IF(L664&lt;=34,20,IF(L664&lt;=36,21,IF(L664&lt;=40,22,24)))))))))))))</f>
        <v>0</v>
      </c>
      <c r="O664" s="3" t="s">
        <v>50</v>
      </c>
      <c r="P664" s="0"/>
      <c r="Q664" s="3" t="n">
        <f aca="false">_xlfn.IFS(O664="взв",11,O664="накл",24,O664="прокл",25,O664="пт",26,O664=90,10,O664=85,10,O664=80,9,O664=75,8,O664=70,8,O664=65,7,O664=60,7,O664=55,6,O664=50,6,O664=45,6,O664=40,5,O664=35,4,O664=30,4,O664=25,3,O664=20,2,O664=15,1,O664=10,1,O664=0,0)</f>
        <v>11</v>
      </c>
      <c r="R664" s="3" t="n">
        <f aca="false">IF(P664&lt;=1,0,IF(P664&lt;=10,11,IF(P664&lt;=14,12,IF(P664&lt;=17,13,IF(P664&lt;=20,14,IF(P664&lt;=22,15,IF(P664&lt;=25,16,IF(P664&lt;=27,17,IF(P664&lt;=29,18,IF(P664&lt;=32,19,IF(P664&lt;=34,20,IF(P664&lt;=36,21,IF(P664&lt;=40,22,24)))))))))))))</f>
        <v>0</v>
      </c>
      <c r="S664" s="14" t="n">
        <f aca="false">ROUND((Q664+R664+I664+J664+M664+N664)/3,0)</f>
        <v>13</v>
      </c>
      <c r="T664" s="15" t="n">
        <f aca="false">F664*LOG10(S664+2)</f>
        <v>8.23263881338977</v>
      </c>
    </row>
    <row r="665" customFormat="false" ht="14.65" hidden="false" customHeight="true" outlineLevel="0" collapsed="false">
      <c r="A665" s="12" t="s">
        <v>732</v>
      </c>
      <c r="B665" s="13" t="n">
        <v>38888</v>
      </c>
      <c r="C665" s="3" t="s">
        <v>24</v>
      </c>
      <c r="D665" s="4" t="s">
        <v>710</v>
      </c>
      <c r="E665" s="3" t="n">
        <v>4</v>
      </c>
      <c r="F665" s="3" t="n">
        <v>7</v>
      </c>
      <c r="G665" s="3" t="s">
        <v>27</v>
      </c>
      <c r="I665" s="3" t="n">
        <f aca="false">_xlfn.IFS(G665="взв",11,G665="накл",24,G665="прокл",25,G665="пт",26,G665=90,10,G665=85,10,G665=80,9,G665=75,8,G665=70,8,G665=65,7,G665=60,7,G665=55,6,G665=50,6,G665=45,6,G665=40,5,G665=35,4,G665=30,4,G665=25,3,G665=20,2,G665=15,1,G665=10,1,G665=0,0)</f>
        <v>24</v>
      </c>
      <c r="J665" s="3" t="n">
        <f aca="false">IF(H665&lt;=1,0,IF(H665&lt;=10,11,IF(H665&lt;=14,12,IF(H665&lt;=17,13,IF(H665&lt;=20,14,IF(H665&lt;=22,15,IF(H665&lt;=25,16,IF(H665&lt;=27,17,IF(H665&lt;=29,18,IF(H665&lt;=32,19,IF(H665&lt;=34,20,IF(H665&lt;=36,21,IF(H665&lt;=40,22,24)))))))))))))</f>
        <v>0</v>
      </c>
      <c r="K665" s="3" t="s">
        <v>27</v>
      </c>
      <c r="M665" s="3" t="n">
        <f aca="false">_xlfn.IFS(K665="взв",11,K665="накл",24,K665="прокл",25,K665="пт",26,K665=90,10,K665=85,10,K665=80,9,K665=75,8,K665=70,8,K665=65,7,K665=60,7,K665=55,6,K665=50,6,K665=45,6,K665=40,5,K665=35,4,K665=30,4,K665=25,3,K665=20,2,K665=15,1,K665=10,1,K665=0,0)</f>
        <v>24</v>
      </c>
      <c r="N665" s="3" t="n">
        <f aca="false">IF(L665&lt;=1,0,IF(L665&lt;=10,11,IF(L665&lt;=14,12,IF(L665&lt;=17,13,IF(L665&lt;=20,14,IF(L665&lt;=22,15,IF(L665&lt;=25,16,IF(L665&lt;=27,17,IF(L665&lt;=29,18,IF(L665&lt;=32,19,IF(L665&lt;=34,20,IF(L665&lt;=36,21,IF(L665&lt;=40,22,24)))))))))))))</f>
        <v>0</v>
      </c>
      <c r="O665" s="3" t="s">
        <v>27</v>
      </c>
      <c r="P665" s="0"/>
      <c r="Q665" s="3" t="n">
        <f aca="false">_xlfn.IFS(O665="взв",11,O665="накл",24,O665="прокл",25,O665="пт",26,O665=90,10,O665=85,10,O665=80,9,O665=75,8,O665=70,8,O665=65,7,O665=60,7,O665=55,6,O665=50,6,O665=45,6,O665=40,5,O665=35,4,O665=30,4,O665=25,3,O665=20,2,O665=15,1,O665=10,1,O665=0,0)</f>
        <v>24</v>
      </c>
      <c r="R665" s="3" t="n">
        <f aca="false">IF(P665&lt;=1,0,IF(P665&lt;=10,11,IF(P665&lt;=14,12,IF(P665&lt;=17,13,IF(P665&lt;=20,14,IF(P665&lt;=22,15,IF(P665&lt;=25,16,IF(P665&lt;=27,17,IF(P665&lt;=29,18,IF(P665&lt;=32,19,IF(P665&lt;=34,20,IF(P665&lt;=36,21,IF(P665&lt;=40,22,24)))))))))))))</f>
        <v>0</v>
      </c>
      <c r="S665" s="14" t="n">
        <f aca="false">ROUND((Q665+R665+I665+J665+M665+N665)/3,0)</f>
        <v>24</v>
      </c>
      <c r="T665" s="15" t="n">
        <f aca="false">F665*LOG10(S665+2)</f>
        <v>9.90481343579573</v>
      </c>
    </row>
    <row r="666" customFormat="false" ht="14.65" hidden="false" customHeight="true" outlineLevel="0" collapsed="false">
      <c r="A666" s="12" t="s">
        <v>733</v>
      </c>
      <c r="B666" s="13" t="n">
        <v>38888</v>
      </c>
      <c r="C666" s="3" t="s">
        <v>24</v>
      </c>
      <c r="D666" s="4" t="s">
        <v>710</v>
      </c>
      <c r="E666" s="3" t="n">
        <v>3</v>
      </c>
      <c r="F666" s="3" t="n">
        <v>0</v>
      </c>
      <c r="H666" s="3" t="n">
        <v>35</v>
      </c>
      <c r="I666" s="3" t="n">
        <f aca="false">_xlfn.IFS(G666="взв",11,G666="накл",24,G666="прокл",25,G666="пт",26,G666=90,10,G666=85,10,G666=80,9,G666=75,8,G666=70,8,G666=65,7,G666=60,7,G666=55,6,G666=50,6,G666=45,6,G666=40,5,G666=35,4,G666=30,4,G666=25,3,G666=20,2,G666=15,1,G666=10,1,G666=0,0)</f>
        <v>0</v>
      </c>
      <c r="J666" s="3" t="n">
        <f aca="false">IF(H666&lt;=1,0,IF(H666&lt;=10,11,IF(H666&lt;=14,12,IF(H666&lt;=17,13,IF(H666&lt;=20,14,IF(H666&lt;=22,15,IF(H666&lt;=25,16,IF(H666&lt;=27,17,IF(H666&lt;=29,18,IF(H666&lt;=32,19,IF(H666&lt;=34,20,IF(H666&lt;=36,21,IF(H666&lt;=40,22,24)))))))))))))</f>
        <v>21</v>
      </c>
      <c r="L666" s="3" t="n">
        <v>34</v>
      </c>
      <c r="M666" s="3" t="n">
        <f aca="false">_xlfn.IFS(K666="взв",11,K666="накл",24,K666="прокл",25,K666="пт",26,K666=90,10,K666=85,10,K666=80,9,K666=75,8,K666=70,8,K666=65,7,K666=60,7,K666=55,6,K666=50,6,K666=45,6,K666=40,5,K666=35,4,K666=30,4,K666=25,3,K666=20,2,K666=15,1,K666=10,1,K666=0,0)</f>
        <v>0</v>
      </c>
      <c r="N666" s="3" t="n">
        <f aca="false">IF(L666&lt;=1,0,IF(L666&lt;=10,11,IF(L666&lt;=14,12,IF(L666&lt;=17,13,IF(L666&lt;=20,14,IF(L666&lt;=22,15,IF(L666&lt;=25,16,IF(L666&lt;=27,17,IF(L666&lt;=29,18,IF(L666&lt;=32,19,IF(L666&lt;=34,20,IF(L666&lt;=36,21,IF(L666&lt;=40,22,24)))))))))))))</f>
        <v>20</v>
      </c>
      <c r="P666" s="3" t="n">
        <v>35</v>
      </c>
      <c r="Q666" s="3" t="n">
        <f aca="false">_xlfn.IFS(O666="взв",11,O666="накл",24,O666="прокл",25,O666="пт",26,O666=90,10,O666=85,10,O666=80,9,O666=75,8,O666=70,8,O666=65,7,O666=60,7,O666=55,6,O666=50,6,O666=45,6,O666=40,5,O666=35,4,O666=30,4,O666=25,3,O666=20,2,O666=15,1,O666=10,1,O666=0,0)</f>
        <v>0</v>
      </c>
      <c r="R666" s="3" t="n">
        <f aca="false">IF(P666&lt;=1,0,IF(P666&lt;=10,11,IF(P666&lt;=14,12,IF(P666&lt;=17,13,IF(P666&lt;=20,14,IF(P666&lt;=22,15,IF(P666&lt;=25,16,IF(P666&lt;=27,17,IF(P666&lt;=29,18,IF(P666&lt;=32,19,IF(P666&lt;=34,20,IF(P666&lt;=36,21,IF(P666&lt;=40,22,24)))))))))))))</f>
        <v>21</v>
      </c>
      <c r="S666" s="14" t="n">
        <f aca="false">ROUND((Q666+R666+I666+J666+M666+N666)/3,0)</f>
        <v>21</v>
      </c>
      <c r="T666" s="15" t="n">
        <f aca="false">F666*LOG10(S666+2)</f>
        <v>0</v>
      </c>
    </row>
    <row r="667" customFormat="false" ht="14.65" hidden="false" customHeight="true" outlineLevel="0" collapsed="false">
      <c r="A667" s="12" t="s">
        <v>734</v>
      </c>
      <c r="B667" s="16" t="n">
        <v>38885</v>
      </c>
      <c r="C667" s="17" t="s">
        <v>228</v>
      </c>
      <c r="D667" s="18" t="s">
        <v>735</v>
      </c>
      <c r="E667" s="3" t="n">
        <v>3</v>
      </c>
      <c r="F667" s="3" t="n">
        <v>3</v>
      </c>
      <c r="H667" s="3" t="n">
        <v>36</v>
      </c>
      <c r="I667" s="3" t="n">
        <f aca="false">_xlfn.IFS(G667="взв",11,G667="накл",24,G667="прокл",25,G667="пт",26,G667=90,10,G667=85,10,G667=80,9,G667=75,8,G667=70,8,G667=65,7,G667=60,7,G667=55,6,G667=50,6,G667=45,6,G667=40,5,G667=35,4,G667=30,4,G667=25,3,G667=20,2,G667=15,1,G667=10,1,G667=0,0)</f>
        <v>0</v>
      </c>
      <c r="J667" s="3" t="n">
        <f aca="false">IF(H667&lt;=1,0,IF(H667&lt;=10,11,IF(H667&lt;=14,12,IF(H667&lt;=17,13,IF(H667&lt;=20,14,IF(H667&lt;=22,15,IF(H667&lt;=25,16,IF(H667&lt;=27,17,IF(H667&lt;=29,18,IF(H667&lt;=32,19,IF(H667&lt;=34,20,IF(H667&lt;=36,21,IF(H667&lt;=40,22,24)))))))))))))</f>
        <v>21</v>
      </c>
      <c r="L667" s="3" t="n">
        <v>36</v>
      </c>
      <c r="M667" s="3" t="n">
        <f aca="false">_xlfn.IFS(K667="взв",11,K667="накл",24,K667="прокл",25,K667="пт",26,K667=90,10,K667=85,10,K667=80,9,K667=75,8,K667=70,8,K667=65,7,K667=60,7,K667=55,6,K667=50,6,K667=45,6,K667=40,5,K667=35,4,K667=30,4,K667=25,3,K667=20,2,K667=15,1,K667=10,1,K667=0,0)</f>
        <v>0</v>
      </c>
      <c r="N667" s="3" t="n">
        <f aca="false">IF(L667&lt;=1,0,IF(L667&lt;=10,11,IF(L667&lt;=14,12,IF(L667&lt;=17,13,IF(L667&lt;=20,14,IF(L667&lt;=22,15,IF(L667&lt;=25,16,IF(L667&lt;=27,17,IF(L667&lt;=29,18,IF(L667&lt;=32,19,IF(L667&lt;=34,20,IF(L667&lt;=36,21,IF(L667&lt;=40,22,24)))))))))))))</f>
        <v>21</v>
      </c>
      <c r="P667" s="3" t="n">
        <v>35</v>
      </c>
      <c r="Q667" s="3" t="n">
        <f aca="false">_xlfn.IFS(O667="взв",11,O667="накл",24,O667="прокл",25,O667="пт",26,O667=90,10,O667=85,10,O667=80,9,O667=75,8,O667=70,8,O667=65,7,O667=60,7,O667=55,6,O667=50,6,O667=45,6,O667=40,5,O667=35,4,O667=30,4,O667=25,3,O667=20,2,O667=15,1,O667=10,1,O667=0,0)</f>
        <v>0</v>
      </c>
      <c r="R667" s="3" t="n">
        <f aca="false">IF(P667&lt;=1,0,IF(P667&lt;=10,11,IF(P667&lt;=14,12,IF(P667&lt;=17,13,IF(P667&lt;=20,14,IF(P667&lt;=22,15,IF(P667&lt;=25,16,IF(P667&lt;=27,17,IF(P667&lt;=29,18,IF(P667&lt;=32,19,IF(P667&lt;=34,20,IF(P667&lt;=36,21,IF(P667&lt;=40,22,24)))))))))))))</f>
        <v>21</v>
      </c>
      <c r="S667" s="14" t="n">
        <f aca="false">ROUND((Q667+R667+I667+J667+M667+N667)/3,0)</f>
        <v>21</v>
      </c>
      <c r="T667" s="15" t="n">
        <f aca="false">F667*LOG10(S667+2)</f>
        <v>4.08518350805278</v>
      </c>
    </row>
    <row r="668" customFormat="false" ht="14.65" hidden="false" customHeight="true" outlineLevel="0" collapsed="false">
      <c r="A668" s="12" t="s">
        <v>736</v>
      </c>
      <c r="B668" s="16" t="n">
        <v>38885</v>
      </c>
      <c r="C668" s="17" t="s">
        <v>228</v>
      </c>
      <c r="D668" s="18" t="s">
        <v>735</v>
      </c>
      <c r="E668" s="3" t="n">
        <v>3</v>
      </c>
      <c r="F668" s="3" t="n">
        <v>4</v>
      </c>
      <c r="H668" s="3" t="n">
        <v>31</v>
      </c>
      <c r="I668" s="3" t="n">
        <f aca="false">_xlfn.IFS(G668="взв",11,G668="накл",24,G668="прокл",25,G668="пт",26,G668=90,10,G668=85,10,G668=80,9,G668=75,8,G668=70,8,G668=65,7,G668=60,7,G668=55,6,G668=50,6,G668=45,6,G668=40,5,G668=35,4,G668=30,4,G668=25,3,G668=20,2,G668=15,1,G668=10,1,G668=0,0)</f>
        <v>0</v>
      </c>
      <c r="J668" s="3" t="n">
        <f aca="false">IF(H668&lt;=1,0,IF(H668&lt;=10,11,IF(H668&lt;=14,12,IF(H668&lt;=17,13,IF(H668&lt;=20,14,IF(H668&lt;=22,15,IF(H668&lt;=25,16,IF(H668&lt;=27,17,IF(H668&lt;=29,18,IF(H668&lt;=32,19,IF(H668&lt;=34,20,IF(H668&lt;=36,21,IF(H668&lt;=40,22,24)))))))))))))</f>
        <v>19</v>
      </c>
      <c r="L668" s="3" t="n">
        <v>32</v>
      </c>
      <c r="M668" s="3" t="n">
        <f aca="false">_xlfn.IFS(K668="взв",11,K668="накл",24,K668="прокл",25,K668="пт",26,K668=90,10,K668=85,10,K668=80,9,K668=75,8,K668=70,8,K668=65,7,K668=60,7,K668=55,6,K668=50,6,K668=45,6,K668=40,5,K668=35,4,K668=30,4,K668=25,3,K668=20,2,K668=15,1,K668=10,1,K668=0,0)</f>
        <v>0</v>
      </c>
      <c r="N668" s="3" t="n">
        <f aca="false">IF(L668&lt;=1,0,IF(L668&lt;=10,11,IF(L668&lt;=14,12,IF(L668&lt;=17,13,IF(L668&lt;=20,14,IF(L668&lt;=22,15,IF(L668&lt;=25,16,IF(L668&lt;=27,17,IF(L668&lt;=29,18,IF(L668&lt;=32,19,IF(L668&lt;=34,20,IF(L668&lt;=36,21,IF(L668&lt;=40,22,24)))))))))))))</f>
        <v>19</v>
      </c>
      <c r="P668" s="3" t="n">
        <v>32</v>
      </c>
      <c r="Q668" s="3" t="n">
        <f aca="false">_xlfn.IFS(O668="взв",11,O668="накл",24,O668="прокл",25,O668="пт",26,O668=90,10,O668=85,10,O668=80,9,O668=75,8,O668=70,8,O668=65,7,O668=60,7,O668=55,6,O668=50,6,O668=45,6,O668=40,5,O668=35,4,O668=30,4,O668=25,3,O668=20,2,O668=15,1,O668=10,1,O668=0,0)</f>
        <v>0</v>
      </c>
      <c r="R668" s="3" t="n">
        <f aca="false">IF(P668&lt;=1,0,IF(P668&lt;=10,11,IF(P668&lt;=14,12,IF(P668&lt;=17,13,IF(P668&lt;=20,14,IF(P668&lt;=22,15,IF(P668&lt;=25,16,IF(P668&lt;=27,17,IF(P668&lt;=29,18,IF(P668&lt;=32,19,IF(P668&lt;=34,20,IF(P668&lt;=36,21,IF(P668&lt;=40,22,24)))))))))))))</f>
        <v>19</v>
      </c>
      <c r="S668" s="14" t="n">
        <f aca="false">ROUND((Q668+R668+I668+J668+M668+N668)/3,0)</f>
        <v>19</v>
      </c>
      <c r="T668" s="15" t="n">
        <f aca="false">F668*LOG10(S668+2)</f>
        <v>5.28887717893568</v>
      </c>
    </row>
    <row r="669" customFormat="false" ht="14.65" hidden="false" customHeight="true" outlineLevel="0" collapsed="false">
      <c r="A669" s="12" t="s">
        <v>737</v>
      </c>
      <c r="B669" s="16" t="n">
        <v>38885</v>
      </c>
      <c r="C669" s="17" t="s">
        <v>228</v>
      </c>
      <c r="D669" s="18" t="s">
        <v>735</v>
      </c>
      <c r="E669" s="3" t="n">
        <v>4</v>
      </c>
      <c r="F669" s="3" t="n">
        <v>6</v>
      </c>
      <c r="H669" s="3" t="n">
        <v>22</v>
      </c>
      <c r="I669" s="3" t="n">
        <f aca="false">_xlfn.IFS(G669="взв",11,G669="накл",24,G669="прокл",25,G669="пт",26,G669=90,10,G669=85,10,G669=80,9,G669=75,8,G669=70,8,G669=65,7,G669=60,7,G669=55,6,G669=50,6,G669=45,6,G669=40,5,G669=35,4,G669=30,4,G669=25,3,G669=20,2,G669=15,1,G669=10,1,G669=0,0)</f>
        <v>0</v>
      </c>
      <c r="J669" s="3" t="n">
        <f aca="false">IF(H669&lt;=1,0,IF(H669&lt;=10,11,IF(H669&lt;=14,12,IF(H669&lt;=17,13,IF(H669&lt;=20,14,IF(H669&lt;=22,15,IF(H669&lt;=25,16,IF(H669&lt;=27,17,IF(H669&lt;=29,18,IF(H669&lt;=32,19,IF(H669&lt;=34,20,IF(H669&lt;=36,21,IF(H669&lt;=40,22,24)))))))))))))</f>
        <v>15</v>
      </c>
      <c r="L669" s="3" t="n">
        <v>25</v>
      </c>
      <c r="M669" s="3" t="n">
        <f aca="false">_xlfn.IFS(K669="взв",11,K669="накл",24,K669="прокл",25,K669="пт",26,K669=90,10,K669=85,10,K669=80,9,K669=75,8,K669=70,8,K669=65,7,K669=60,7,K669=55,6,K669=50,6,K669=45,6,K669=40,5,K669=35,4,K669=30,4,K669=25,3,K669=20,2,K669=15,1,K669=10,1,K669=0,0)</f>
        <v>0</v>
      </c>
      <c r="N669" s="3" t="n">
        <f aca="false">IF(L669&lt;=1,0,IF(L669&lt;=10,11,IF(L669&lt;=14,12,IF(L669&lt;=17,13,IF(L669&lt;=20,14,IF(L669&lt;=22,15,IF(L669&lt;=25,16,IF(L669&lt;=27,17,IF(L669&lt;=29,18,IF(L669&lt;=32,19,IF(L669&lt;=34,20,IF(L669&lt;=36,21,IF(L669&lt;=40,22,24)))))))))))))</f>
        <v>16</v>
      </c>
      <c r="P669" s="3" t="n">
        <v>25</v>
      </c>
      <c r="Q669" s="3" t="n">
        <f aca="false">_xlfn.IFS(O669="взв",11,O669="накл",24,O669="прокл",25,O669="пт",26,O669=90,10,O669=85,10,O669=80,9,O669=75,8,O669=70,8,O669=65,7,O669=60,7,O669=55,6,O669=50,6,O669=45,6,O669=40,5,O669=35,4,O669=30,4,O669=25,3,O669=20,2,O669=15,1,O669=10,1,O669=0,0)</f>
        <v>0</v>
      </c>
      <c r="R669" s="3" t="n">
        <f aca="false">IF(P669&lt;=1,0,IF(P669&lt;=10,11,IF(P669&lt;=14,12,IF(P669&lt;=17,13,IF(P669&lt;=20,14,IF(P669&lt;=22,15,IF(P669&lt;=25,16,IF(P669&lt;=27,17,IF(P669&lt;=29,18,IF(P669&lt;=32,19,IF(P669&lt;=34,20,IF(P669&lt;=36,21,IF(P669&lt;=40,22,24)))))))))))))</f>
        <v>16</v>
      </c>
      <c r="S669" s="14" t="n">
        <f aca="false">ROUND((Q669+R669+I669+J669+M669+N669)/3,0)</f>
        <v>16</v>
      </c>
      <c r="T669" s="15" t="n">
        <f aca="false">F669*LOG10(S669+2)</f>
        <v>7.53163503061984</v>
      </c>
    </row>
    <row r="670" customFormat="false" ht="14.65" hidden="false" customHeight="true" outlineLevel="0" collapsed="false">
      <c r="A670" s="12" t="s">
        <v>738</v>
      </c>
      <c r="B670" s="16" t="n">
        <v>38885</v>
      </c>
      <c r="C670" s="17" t="s">
        <v>228</v>
      </c>
      <c r="D670" s="18" t="s">
        <v>735</v>
      </c>
      <c r="E670" s="3" t="n">
        <v>3</v>
      </c>
      <c r="F670" s="3" t="n">
        <v>17</v>
      </c>
      <c r="G670" s="3" t="n">
        <v>0</v>
      </c>
      <c r="I670" s="3" t="n">
        <f aca="false">_xlfn.IFS(G670="взв",11,G670="накл",24,G670="прокл",25,G670="пт",26,G670=90,10,G670=85,10,G670=80,9,G670=75,8,G670=70,8,G670=65,7,G670=60,7,G670=55,6,G670=50,6,G670=45,6,G670=40,5,G670=35,4,G670=30,4,G670=25,3,G670=20,2,G670=15,1,G670=10,1,G670=0,0)</f>
        <v>0</v>
      </c>
      <c r="J670" s="3" t="n">
        <f aca="false">IF(H670&lt;=1,0,IF(H670&lt;=10,11,IF(H670&lt;=14,12,IF(H670&lt;=17,13,IF(H670&lt;=20,14,IF(H670&lt;=22,15,IF(H670&lt;=25,16,IF(H670&lt;=27,17,IF(H670&lt;=29,18,IF(H670&lt;=32,19,IF(H670&lt;=34,20,IF(H670&lt;=36,21,IF(H670&lt;=40,22,24)))))))))))))</f>
        <v>0</v>
      </c>
      <c r="K670" s="3" t="n">
        <v>0</v>
      </c>
      <c r="M670" s="3" t="n">
        <f aca="false">_xlfn.IFS(K670="взв",11,K670="накл",24,K670="прокл",25,K670="пт",26,K670=90,10,K670=85,10,K670=80,9,K670=75,8,K670=70,8,K670=65,7,K670=60,7,K670=55,6,K670=50,6,K670=45,6,K670=40,5,K670=35,4,K670=30,4,K670=25,3,K670=20,2,K670=15,1,K670=10,1,K670=0,0)</f>
        <v>0</v>
      </c>
      <c r="N670" s="3" t="n">
        <f aca="false">IF(L670&lt;=1,0,IF(L670&lt;=10,11,IF(L670&lt;=14,12,IF(L670&lt;=17,13,IF(L670&lt;=20,14,IF(L670&lt;=22,15,IF(L670&lt;=25,16,IF(L670&lt;=27,17,IF(L670&lt;=29,18,IF(L670&lt;=32,19,IF(L670&lt;=34,20,IF(L670&lt;=36,21,IF(L670&lt;=40,22,24)))))))))))))</f>
        <v>0</v>
      </c>
      <c r="O670" s="3" t="n">
        <v>0</v>
      </c>
      <c r="Q670" s="3" t="n">
        <f aca="false">_xlfn.IFS(O670="взв",11,O670="накл",24,O670="прокл",25,O670="пт",26,O670=90,10,O670=85,10,O670=80,9,O670=75,8,O670=70,8,O670=65,7,O670=60,7,O670=55,6,O670=50,6,O670=45,6,O670=40,5,O670=35,4,O670=30,4,O670=25,3,O670=20,2,O670=15,1,O670=10,1,O670=0,0)</f>
        <v>0</v>
      </c>
      <c r="R670" s="3" t="n">
        <f aca="false">IF(P670&lt;=1,0,IF(P670&lt;=10,11,IF(P670&lt;=14,12,IF(P670&lt;=17,13,IF(P670&lt;=20,14,IF(P670&lt;=22,15,IF(P670&lt;=25,16,IF(P670&lt;=27,17,IF(P670&lt;=29,18,IF(P670&lt;=32,19,IF(P670&lt;=34,20,IF(P670&lt;=36,21,IF(P670&lt;=40,22,24)))))))))))))</f>
        <v>0</v>
      </c>
      <c r="S670" s="14" t="n">
        <f aca="false">ROUND((Q670+R670+I670+J670+M670+N670)/3,0)</f>
        <v>0</v>
      </c>
      <c r="T670" s="15" t="n">
        <f aca="false">F670*LOG10(S670+2)</f>
        <v>5.11750992628768</v>
      </c>
    </row>
    <row r="671" customFormat="false" ht="14.65" hidden="false" customHeight="true" outlineLevel="0" collapsed="false">
      <c r="A671" s="12" t="s">
        <v>739</v>
      </c>
      <c r="B671" s="16" t="n">
        <v>38887</v>
      </c>
      <c r="C671" s="17" t="s">
        <v>228</v>
      </c>
      <c r="D671" s="18" t="s">
        <v>740</v>
      </c>
      <c r="E671" s="3" t="n">
        <v>5</v>
      </c>
      <c r="F671" s="3" t="n">
        <v>6</v>
      </c>
      <c r="G671" s="3" t="n">
        <v>75</v>
      </c>
      <c r="I671" s="3" t="n">
        <f aca="false">_xlfn.IFS(G671="взв",11,G671="накл",24,G671="прокл",25,G671="пт",26,G671=90,10,G671=85,10,G671=80,9,G671=75,8,G671=70,8,G671=65,7,G671=60,7,G671=55,6,G671=50,6,G671=45,6,G671=40,5,G671=35,4,G671=30,4,G671=25,3,G671=20,2,G671=15,1,G671=10,1,G671=0,0)</f>
        <v>8</v>
      </c>
      <c r="J671" s="3" t="n">
        <f aca="false">IF(H671&lt;=1,0,IF(H671&lt;=10,11,IF(H671&lt;=14,12,IF(H671&lt;=17,13,IF(H671&lt;=20,14,IF(H671&lt;=22,15,IF(H671&lt;=25,16,IF(H671&lt;=27,17,IF(H671&lt;=29,18,IF(H671&lt;=32,19,IF(H671&lt;=34,20,IF(H671&lt;=36,21,IF(H671&lt;=40,22,24)))))))))))))</f>
        <v>0</v>
      </c>
      <c r="K671" s="3" t="n">
        <v>75</v>
      </c>
      <c r="M671" s="3" t="n">
        <f aca="false">_xlfn.IFS(K671="взв",11,K671="накл",24,K671="прокл",25,K671="пт",26,K671=90,10,K671=85,10,K671=80,9,K671=75,8,K671=70,8,K671=65,7,K671=60,7,K671=55,6,K671=50,6,K671=45,6,K671=40,5,K671=35,4,K671=30,4,K671=25,3,K671=20,2,K671=15,1,K671=10,1,K671=0,0)</f>
        <v>8</v>
      </c>
      <c r="N671" s="3" t="n">
        <f aca="false">IF(L671&lt;=1,0,IF(L671&lt;=10,11,IF(L671&lt;=14,12,IF(L671&lt;=17,13,IF(L671&lt;=20,14,IF(L671&lt;=22,15,IF(L671&lt;=25,16,IF(L671&lt;=27,17,IF(L671&lt;=29,18,IF(L671&lt;=32,19,IF(L671&lt;=34,20,IF(L671&lt;=36,21,IF(L671&lt;=40,22,24)))))))))))))</f>
        <v>0</v>
      </c>
      <c r="O671" s="3" t="n">
        <v>60</v>
      </c>
      <c r="Q671" s="3" t="n">
        <f aca="false">_xlfn.IFS(O671="взв",11,O671="накл",24,O671="прокл",25,O671="пт",26,O671=90,10,O671=85,10,O671=80,9,O671=75,8,O671=70,8,O671=65,7,O671=60,7,O671=55,6,O671=50,6,O671=45,6,O671=40,5,O671=35,4,O671=30,4,O671=25,3,O671=20,2,O671=15,1,O671=10,1,O671=0,0)</f>
        <v>7</v>
      </c>
      <c r="R671" s="3" t="n">
        <f aca="false">IF(P671&lt;=1,0,IF(P671&lt;=10,11,IF(P671&lt;=14,12,IF(P671&lt;=17,13,IF(P671&lt;=20,14,IF(P671&lt;=22,15,IF(P671&lt;=25,16,IF(P671&lt;=27,17,IF(P671&lt;=29,18,IF(P671&lt;=32,19,IF(P671&lt;=34,20,IF(P671&lt;=36,21,IF(P671&lt;=40,22,24)))))))))))))</f>
        <v>0</v>
      </c>
      <c r="S671" s="14" t="n">
        <f aca="false">ROUND((Q671+R671+I671+J671+M671+N671)/3,0)</f>
        <v>8</v>
      </c>
      <c r="T671" s="15" t="n">
        <f aca="false">F671*LOG10(S671+2)</f>
        <v>6</v>
      </c>
    </row>
    <row r="672" customFormat="false" ht="14.65" hidden="false" customHeight="true" outlineLevel="0" collapsed="false">
      <c r="A672" s="12" t="s">
        <v>741</v>
      </c>
      <c r="B672" s="16" t="n">
        <v>38880</v>
      </c>
      <c r="C672" s="3" t="s">
        <v>24</v>
      </c>
      <c r="D672" s="4" t="s">
        <v>742</v>
      </c>
      <c r="E672" s="3" t="n">
        <v>4</v>
      </c>
      <c r="F672" s="3" t="n">
        <v>0</v>
      </c>
      <c r="G672" s="3" t="s">
        <v>27</v>
      </c>
      <c r="I672" s="3" t="n">
        <f aca="false">_xlfn.IFS(G672="взв",11,G672="накл",24,G672="прокл",25,G672="пт",26,G672=90,10,G672=85,10,G672=80,9,G672=75,8,G672=70,8,G672=65,7,G672=60,7,G672=55,6,G672=50,6,G672=45,6,G672=40,5,G672=35,4,G672=30,4,G672=25,3,G672=20,2,G672=15,1,G672=10,1,G672=0,0)</f>
        <v>24</v>
      </c>
      <c r="J672" s="3" t="n">
        <f aca="false">IF(H672&lt;=1,0,IF(H672&lt;=10,11,IF(H672&lt;=14,12,IF(H672&lt;=17,13,IF(H672&lt;=20,14,IF(H672&lt;=22,15,IF(H672&lt;=25,16,IF(H672&lt;=27,17,IF(H672&lt;=29,18,IF(H672&lt;=32,19,IF(H672&lt;=34,20,IF(H672&lt;=36,21,IF(H672&lt;=40,22,24)))))))))))))</f>
        <v>0</v>
      </c>
      <c r="K672" s="3" t="s">
        <v>27</v>
      </c>
      <c r="L672" s="0"/>
      <c r="M672" s="3" t="n">
        <f aca="false">_xlfn.IFS(K672="взв",11,K672="накл",24,K672="прокл",25,K672="пт",26,K672=90,10,K672=85,10,K672=80,9,K672=75,8,K672=70,8,K672=65,7,K672=60,7,K672=55,6,K672=50,6,K672=45,6,K672=40,5,K672=35,4,K672=30,4,K672=25,3,K672=20,2,K672=15,1,K672=10,1,K672=0,0)</f>
        <v>24</v>
      </c>
      <c r="N672" s="3" t="n">
        <f aca="false">IF(L672&lt;=1,0,IF(L672&lt;=10,11,IF(L672&lt;=14,12,IF(L672&lt;=17,13,IF(L672&lt;=20,14,IF(L672&lt;=22,15,IF(L672&lt;=25,16,IF(L672&lt;=27,17,IF(L672&lt;=29,18,IF(L672&lt;=32,19,IF(L672&lt;=34,20,IF(L672&lt;=36,21,IF(L672&lt;=40,22,24)))))))))))))</f>
        <v>0</v>
      </c>
      <c r="O672" s="3" t="s">
        <v>38</v>
      </c>
      <c r="Q672" s="3" t="n">
        <f aca="false">_xlfn.IFS(O672="взв",11,O672="накл",24,O672="прокл",25,O672="пт",26,O672=90,10,O672=85,10,O672=80,9,O672=75,8,O672=70,8,O672=65,7,O672=60,7,O672=55,6,O672=50,6,O672=45,6,O672=40,5,O672=35,4,O672=30,4,O672=25,3,O672=20,2,O672=15,1,O672=10,1,O672=0,0)</f>
        <v>26</v>
      </c>
      <c r="R672" s="3" t="n">
        <f aca="false">IF(P672&lt;=1,0,IF(P672&lt;=10,11,IF(P672&lt;=14,12,IF(P672&lt;=17,13,IF(P672&lt;=20,14,IF(P672&lt;=22,15,IF(P672&lt;=25,16,IF(P672&lt;=27,17,IF(P672&lt;=29,18,IF(P672&lt;=32,19,IF(P672&lt;=34,20,IF(P672&lt;=36,21,IF(P672&lt;=40,22,24)))))))))))))</f>
        <v>0</v>
      </c>
      <c r="S672" s="14" t="n">
        <f aca="false">ROUND((Q672+R672+I672+J672+M672+N672)/3,0)</f>
        <v>25</v>
      </c>
      <c r="T672" s="15" t="n">
        <f aca="false">F672*LOG10(S672+2)</f>
        <v>0</v>
      </c>
    </row>
    <row r="673" customFormat="false" ht="14.65" hidden="false" customHeight="true" outlineLevel="0" collapsed="false">
      <c r="A673" s="12" t="s">
        <v>743</v>
      </c>
      <c r="B673" s="13" t="n">
        <v>38880</v>
      </c>
      <c r="C673" s="3" t="s">
        <v>24</v>
      </c>
      <c r="D673" s="4" t="s">
        <v>742</v>
      </c>
      <c r="E673" s="3" t="n">
        <v>4</v>
      </c>
      <c r="F673" s="3" t="n">
        <v>2</v>
      </c>
      <c r="H673" s="3" t="n">
        <v>28</v>
      </c>
      <c r="I673" s="3" t="n">
        <f aca="false">_xlfn.IFS(G673="взв",11,G673="накл",24,G673="прокл",25,G673="пт",26,G673=90,10,G673=85,10,G673=80,9,G673=75,8,G673=70,8,G673=65,7,G673=60,7,G673=55,6,G673=50,6,G673=45,6,G673=40,5,G673=35,4,G673=30,4,G673=25,3,G673=20,2,G673=15,1,G673=10,1,G673=0,0)</f>
        <v>0</v>
      </c>
      <c r="J673" s="3" t="n">
        <f aca="false">IF(H673&lt;=1,0,IF(H673&lt;=10,11,IF(H673&lt;=14,12,IF(H673&lt;=17,13,IF(H673&lt;=20,14,IF(H673&lt;=22,15,IF(H673&lt;=25,16,IF(H673&lt;=27,17,IF(H673&lt;=29,18,IF(H673&lt;=32,19,IF(H673&lt;=34,20,IF(H673&lt;=36,21,IF(H673&lt;=40,22,24)))))))))))))</f>
        <v>18</v>
      </c>
      <c r="L673" s="3" t="n">
        <v>30</v>
      </c>
      <c r="M673" s="3" t="n">
        <f aca="false">_xlfn.IFS(K673="взв",11,K673="накл",24,K673="прокл",25,K673="пт",26,K673=90,10,K673=85,10,K673=80,9,K673=75,8,K673=70,8,K673=65,7,K673=60,7,K673=55,6,K673=50,6,K673=45,6,K673=40,5,K673=35,4,K673=30,4,K673=25,3,K673=20,2,K673=15,1,K673=10,1,K673=0,0)</f>
        <v>0</v>
      </c>
      <c r="N673" s="3" t="n">
        <f aca="false">IF(L673&lt;=1,0,IF(L673&lt;=10,11,IF(L673&lt;=14,12,IF(L673&lt;=17,13,IF(L673&lt;=20,14,IF(L673&lt;=22,15,IF(L673&lt;=25,16,IF(L673&lt;=27,17,IF(L673&lt;=29,18,IF(L673&lt;=32,19,IF(L673&lt;=34,20,IF(L673&lt;=36,21,IF(L673&lt;=40,22,24)))))))))))))</f>
        <v>19</v>
      </c>
      <c r="P673" s="3" t="n">
        <v>28</v>
      </c>
      <c r="Q673" s="3" t="n">
        <f aca="false">_xlfn.IFS(O673="взв",11,O673="накл",24,O673="прокл",25,O673="пт",26,O673=90,10,O673=85,10,O673=80,9,O673=75,8,O673=70,8,O673=65,7,O673=60,7,O673=55,6,O673=50,6,O673=45,6,O673=40,5,O673=35,4,O673=30,4,O673=25,3,O673=20,2,O673=15,1,O673=10,1,O673=0,0)</f>
        <v>0</v>
      </c>
      <c r="R673" s="3" t="n">
        <f aca="false">IF(P673&lt;=1,0,IF(P673&lt;=10,11,IF(P673&lt;=14,12,IF(P673&lt;=17,13,IF(P673&lt;=20,14,IF(P673&lt;=22,15,IF(P673&lt;=25,16,IF(P673&lt;=27,17,IF(P673&lt;=29,18,IF(P673&lt;=32,19,IF(P673&lt;=34,20,IF(P673&lt;=36,21,IF(P673&lt;=40,22,24)))))))))))))</f>
        <v>18</v>
      </c>
      <c r="S673" s="14" t="n">
        <f aca="false">ROUND((Q673+R673+I673+J673+M673+N673)/3,0)</f>
        <v>18</v>
      </c>
      <c r="T673" s="15" t="n">
        <f aca="false">F673*LOG10(S673+2)</f>
        <v>2.60205999132796</v>
      </c>
    </row>
    <row r="674" customFormat="false" ht="14.65" hidden="false" customHeight="true" outlineLevel="0" collapsed="false">
      <c r="A674" s="12" t="s">
        <v>744</v>
      </c>
      <c r="B674" s="13" t="n">
        <v>38880</v>
      </c>
      <c r="C674" s="3" t="s">
        <v>24</v>
      </c>
      <c r="D674" s="4" t="s">
        <v>742</v>
      </c>
      <c r="E674" s="3" t="n">
        <v>2</v>
      </c>
      <c r="F674" s="3" t="n">
        <v>2</v>
      </c>
      <c r="H674" s="3" t="n">
        <v>37</v>
      </c>
      <c r="I674" s="3" t="n">
        <f aca="false">_xlfn.IFS(G674="взв",11,G674="накл",24,G674="прокл",25,G674="пт",26,G674=90,10,G674=85,10,G674=80,9,G674=75,8,G674=70,8,G674=65,7,G674=60,7,G674=55,6,G674=50,6,G674=45,6,G674=40,5,G674=35,4,G674=30,4,G674=25,3,G674=20,2,G674=15,1,G674=10,1,G674=0,0)</f>
        <v>0</v>
      </c>
      <c r="J674" s="3" t="n">
        <f aca="false">IF(H674&lt;=1,0,IF(H674&lt;=10,11,IF(H674&lt;=14,12,IF(H674&lt;=17,13,IF(H674&lt;=20,14,IF(H674&lt;=22,15,IF(H674&lt;=25,16,IF(H674&lt;=27,17,IF(H674&lt;=29,18,IF(H674&lt;=32,19,IF(H674&lt;=34,20,IF(H674&lt;=36,21,IF(H674&lt;=40,22,24)))))))))))))</f>
        <v>22</v>
      </c>
      <c r="L674" s="3" t="n">
        <v>33</v>
      </c>
      <c r="M674" s="3" t="n">
        <f aca="false">_xlfn.IFS(K674="взв",11,K674="накл",24,K674="прокл",25,K674="пт",26,K674=90,10,K674=85,10,K674=80,9,K674=75,8,K674=70,8,K674=65,7,K674=60,7,K674=55,6,K674=50,6,K674=45,6,K674=40,5,K674=35,4,K674=30,4,K674=25,3,K674=20,2,K674=15,1,K674=10,1,K674=0,0)</f>
        <v>0</v>
      </c>
      <c r="N674" s="3" t="n">
        <f aca="false">IF(L674&lt;=1,0,IF(L674&lt;=10,11,IF(L674&lt;=14,12,IF(L674&lt;=17,13,IF(L674&lt;=20,14,IF(L674&lt;=22,15,IF(L674&lt;=25,16,IF(L674&lt;=27,17,IF(L674&lt;=29,18,IF(L674&lt;=32,19,IF(L674&lt;=34,20,IF(L674&lt;=36,21,IF(L674&lt;=40,22,24)))))))))))))</f>
        <v>20</v>
      </c>
      <c r="Q674" s="3" t="n">
        <f aca="false">_xlfn.IFS(O674="взв",11,O674="накл",24,O674="прокл",25,O674="пт",26,O674=90,10,O674=85,10,O674=80,9,O674=75,8,O674=70,8,O674=65,7,O674=60,7,O674=55,6,O674=50,6,O674=45,6,O674=40,5,O674=35,4,O674=30,4,O674=25,3,O674=20,2,O674=15,1,O674=10,1,O674=0,0)</f>
        <v>0</v>
      </c>
      <c r="R674" s="3" t="n">
        <f aca="false">IF(P674&lt;=1,0,IF(P674&lt;=10,11,IF(P674&lt;=14,12,IF(P674&lt;=17,13,IF(P674&lt;=20,14,IF(P674&lt;=22,15,IF(P674&lt;=25,16,IF(P674&lt;=27,17,IF(P674&lt;=29,18,IF(P674&lt;=32,19,IF(P674&lt;=34,20,IF(P674&lt;=36,21,IF(P674&lt;=40,22,24)))))))))))))</f>
        <v>0</v>
      </c>
      <c r="S674" s="14" t="n">
        <f aca="false">ROUND((Q674+R674+I674+J674+M674+N674)/2,0)</f>
        <v>21</v>
      </c>
      <c r="T674" s="15" t="n">
        <f aca="false">F674*LOG10(S674+2)</f>
        <v>2.72345567203519</v>
      </c>
    </row>
    <row r="675" customFormat="false" ht="14.65" hidden="false" customHeight="true" outlineLevel="0" collapsed="false">
      <c r="A675" s="12" t="s">
        <v>745</v>
      </c>
      <c r="B675" s="13" t="n">
        <v>38880</v>
      </c>
      <c r="C675" s="3" t="s">
        <v>24</v>
      </c>
      <c r="D675" s="4" t="s">
        <v>742</v>
      </c>
      <c r="E675" s="3" t="n">
        <v>4</v>
      </c>
      <c r="F675" s="3" t="n">
        <v>2</v>
      </c>
      <c r="H675" s="3" t="n">
        <v>37</v>
      </c>
      <c r="I675" s="3" t="n">
        <f aca="false">_xlfn.IFS(G675="взв",11,G675="накл",24,G675="прокл",25,G675="пт",26,G675=90,10,G675=85,10,G675=80,9,G675=75,8,G675=70,8,G675=65,7,G675=60,7,G675=55,6,G675=50,6,G675=45,6,G675=40,5,G675=35,4,G675=30,4,G675=25,3,G675=20,2,G675=15,1,G675=10,1,G675=0,0)</f>
        <v>0</v>
      </c>
      <c r="J675" s="3" t="n">
        <f aca="false">IF(H675&lt;=1,0,IF(H675&lt;=10,11,IF(H675&lt;=14,12,IF(H675&lt;=17,13,IF(H675&lt;=20,14,IF(H675&lt;=22,15,IF(H675&lt;=25,16,IF(H675&lt;=27,17,IF(H675&lt;=29,18,IF(H675&lt;=32,19,IF(H675&lt;=34,20,IF(H675&lt;=36,21,IF(H675&lt;=40,22,24)))))))))))))</f>
        <v>22</v>
      </c>
      <c r="L675" s="3" t="n">
        <v>35</v>
      </c>
      <c r="M675" s="3" t="n">
        <f aca="false">_xlfn.IFS(K675="взв",11,K675="накл",24,K675="прокл",25,K675="пт",26,K675=90,10,K675=85,10,K675=80,9,K675=75,8,K675=70,8,K675=65,7,K675=60,7,K675=55,6,K675=50,6,K675=45,6,K675=40,5,K675=35,4,K675=30,4,K675=25,3,K675=20,2,K675=15,1,K675=10,1,K675=0,0)</f>
        <v>0</v>
      </c>
      <c r="N675" s="3" t="n">
        <f aca="false">IF(L675&lt;=1,0,IF(L675&lt;=10,11,IF(L675&lt;=14,12,IF(L675&lt;=17,13,IF(L675&lt;=20,14,IF(L675&lt;=22,15,IF(L675&lt;=25,16,IF(L675&lt;=27,17,IF(L675&lt;=29,18,IF(L675&lt;=32,19,IF(L675&lt;=34,20,IF(L675&lt;=36,21,IF(L675&lt;=40,22,24)))))))))))))</f>
        <v>21</v>
      </c>
      <c r="P675" s="3" t="n">
        <v>38</v>
      </c>
      <c r="Q675" s="3" t="n">
        <f aca="false">_xlfn.IFS(O675="взв",11,O675="накл",24,O675="прокл",25,O675="пт",26,O675=90,10,O675=85,10,O675=80,9,O675=75,8,O675=70,8,O675=65,7,O675=60,7,O675=55,6,O675=50,6,O675=45,6,O675=40,5,O675=35,4,O675=30,4,O675=25,3,O675=20,2,O675=15,1,O675=10,1,O675=0,0)</f>
        <v>0</v>
      </c>
      <c r="R675" s="3" t="n">
        <f aca="false">IF(P675&lt;=1,0,IF(P675&lt;=10,11,IF(P675&lt;=14,12,IF(P675&lt;=17,13,IF(P675&lt;=20,14,IF(P675&lt;=22,15,IF(P675&lt;=25,16,IF(P675&lt;=27,17,IF(P675&lt;=29,18,IF(P675&lt;=32,19,IF(P675&lt;=34,20,IF(P675&lt;=36,21,IF(P675&lt;=40,22,24)))))))))))))</f>
        <v>22</v>
      </c>
      <c r="S675" s="14" t="n">
        <f aca="false">ROUND((Q675+R675+I675+J675+M675+N675)/3,0)</f>
        <v>22</v>
      </c>
      <c r="T675" s="15" t="n">
        <f aca="false">F675*LOG10(S675+2)</f>
        <v>2.76042248342321</v>
      </c>
    </row>
    <row r="676" customFormat="false" ht="14.65" hidden="false" customHeight="true" outlineLevel="0" collapsed="false">
      <c r="A676" s="12" t="s">
        <v>746</v>
      </c>
      <c r="B676" s="13" t="n">
        <v>38880</v>
      </c>
      <c r="C676" s="3" t="s">
        <v>24</v>
      </c>
      <c r="D676" s="4" t="s">
        <v>742</v>
      </c>
      <c r="E676" s="3" t="n">
        <v>4</v>
      </c>
      <c r="F676" s="3" t="n">
        <v>2</v>
      </c>
      <c r="H676" s="3" t="n">
        <v>30</v>
      </c>
      <c r="I676" s="3" t="n">
        <f aca="false">_xlfn.IFS(G676="взв",11,G676="накл",24,G676="прокл",25,G676="пт",26,G676=90,10,G676=85,10,G676=80,9,G676=75,8,G676=70,8,G676=65,7,G676=60,7,G676=55,6,G676=50,6,G676=45,6,G676=40,5,G676=35,4,G676=30,4,G676=25,3,G676=20,2,G676=15,1,G676=10,1,G676=0,0)</f>
        <v>0</v>
      </c>
      <c r="J676" s="3" t="n">
        <f aca="false">IF(H676&lt;=1,0,IF(H676&lt;=10,11,IF(H676&lt;=14,12,IF(H676&lt;=17,13,IF(H676&lt;=20,14,IF(H676&lt;=22,15,IF(H676&lt;=25,16,IF(H676&lt;=27,17,IF(H676&lt;=29,18,IF(H676&lt;=32,19,IF(H676&lt;=34,20,IF(H676&lt;=36,21,IF(H676&lt;=40,22,24)))))))))))))</f>
        <v>19</v>
      </c>
      <c r="L676" s="3" t="n">
        <v>29</v>
      </c>
      <c r="M676" s="3" t="n">
        <f aca="false">_xlfn.IFS(K676="взв",11,K676="накл",24,K676="прокл",25,K676="пт",26,K676=90,10,K676=85,10,K676=80,9,K676=75,8,K676=70,8,K676=65,7,K676=60,7,K676=55,6,K676=50,6,K676=45,6,K676=40,5,K676=35,4,K676=30,4,K676=25,3,K676=20,2,K676=15,1,K676=10,1,K676=0,0)</f>
        <v>0</v>
      </c>
      <c r="N676" s="3" t="n">
        <f aca="false">IF(L676&lt;=1,0,IF(L676&lt;=10,11,IF(L676&lt;=14,12,IF(L676&lt;=17,13,IF(L676&lt;=20,14,IF(L676&lt;=22,15,IF(L676&lt;=25,16,IF(L676&lt;=27,17,IF(L676&lt;=29,18,IF(L676&lt;=32,19,IF(L676&lt;=34,20,IF(L676&lt;=36,21,IF(L676&lt;=40,22,24)))))))))))))</f>
        <v>18</v>
      </c>
      <c r="P676" s="3" t="n">
        <v>28</v>
      </c>
      <c r="Q676" s="3" t="n">
        <f aca="false">_xlfn.IFS(O676="взв",11,O676="накл",24,O676="прокл",25,O676="пт",26,O676=90,10,O676=85,10,O676=80,9,O676=75,8,O676=70,8,O676=65,7,O676=60,7,O676=55,6,O676=50,6,O676=45,6,O676=40,5,O676=35,4,O676=30,4,O676=25,3,O676=20,2,O676=15,1,O676=10,1,O676=0,0)</f>
        <v>0</v>
      </c>
      <c r="R676" s="3" t="n">
        <f aca="false">IF(P676&lt;=1,0,IF(P676&lt;=10,11,IF(P676&lt;=14,12,IF(P676&lt;=17,13,IF(P676&lt;=20,14,IF(P676&lt;=22,15,IF(P676&lt;=25,16,IF(P676&lt;=27,17,IF(P676&lt;=29,18,IF(P676&lt;=32,19,IF(P676&lt;=34,20,IF(P676&lt;=36,21,IF(P676&lt;=40,22,24)))))))))))))</f>
        <v>18</v>
      </c>
      <c r="S676" s="14" t="n">
        <f aca="false">ROUND((Q676+R676+I676+J676+M676+N676)/3,0)</f>
        <v>18</v>
      </c>
      <c r="T676" s="15" t="n">
        <f aca="false">F676*LOG10(S676+2)</f>
        <v>2.60205999132796</v>
      </c>
    </row>
    <row r="677" customFormat="false" ht="14.65" hidden="false" customHeight="true" outlineLevel="0" collapsed="false">
      <c r="A677" s="12" t="s">
        <v>747</v>
      </c>
      <c r="B677" s="13" t="n">
        <v>38880</v>
      </c>
      <c r="C677" s="3" t="s">
        <v>24</v>
      </c>
      <c r="D677" s="4" t="s">
        <v>742</v>
      </c>
      <c r="E677" s="3" t="n">
        <v>5</v>
      </c>
      <c r="F677" s="3" t="n">
        <v>3</v>
      </c>
      <c r="H677" s="3" t="n">
        <v>19</v>
      </c>
      <c r="I677" s="3" t="n">
        <f aca="false">_xlfn.IFS(G677="взв",11,G677="накл",24,G677="прокл",25,G677="пт",26,G677=90,10,G677=85,10,G677=80,9,G677=75,8,G677=70,8,G677=65,7,G677=60,7,G677=55,6,G677=50,6,G677=45,6,G677=40,5,G677=35,4,G677=30,4,G677=25,3,G677=20,2,G677=15,1,G677=10,1,G677=0,0)</f>
        <v>0</v>
      </c>
      <c r="J677" s="3" t="n">
        <f aca="false">IF(H677&lt;=1,0,IF(H677&lt;=10,11,IF(H677&lt;=14,12,IF(H677&lt;=17,13,IF(H677&lt;=20,14,IF(H677&lt;=22,15,IF(H677&lt;=25,16,IF(H677&lt;=27,17,IF(H677&lt;=29,18,IF(H677&lt;=32,19,IF(H677&lt;=34,20,IF(H677&lt;=36,21,IF(H677&lt;=40,22,24)))))))))))))</f>
        <v>14</v>
      </c>
      <c r="L677" s="3" t="n">
        <v>17</v>
      </c>
      <c r="M677" s="3" t="n">
        <f aca="false">_xlfn.IFS(K677="взв",11,K677="накл",24,K677="прокл",25,K677="пт",26,K677=90,10,K677=85,10,K677=80,9,K677=75,8,K677=70,8,K677=65,7,K677=60,7,K677=55,6,K677=50,6,K677=45,6,K677=40,5,K677=35,4,K677=30,4,K677=25,3,K677=20,2,K677=15,1,K677=10,1,K677=0,0)</f>
        <v>0</v>
      </c>
      <c r="N677" s="3" t="n">
        <f aca="false">IF(L677&lt;=1,0,IF(L677&lt;=10,11,IF(L677&lt;=14,12,IF(L677&lt;=17,13,IF(L677&lt;=20,14,IF(L677&lt;=22,15,IF(L677&lt;=25,16,IF(L677&lt;=27,17,IF(L677&lt;=29,18,IF(L677&lt;=32,19,IF(L677&lt;=34,20,IF(L677&lt;=36,21,IF(L677&lt;=40,22,24)))))))))))))</f>
        <v>13</v>
      </c>
      <c r="O677" s="3" t="n">
        <v>90</v>
      </c>
      <c r="Q677" s="3" t="n">
        <f aca="false">_xlfn.IFS(O677="взв",11,O677="накл",24,O677="прокл",25,O677="пт",26,O677=90,10,O677=85,10,O677=80,9,O677=75,8,O677=70,8,O677=65,7,O677=60,7,O677=55,6,O677=50,6,O677=45,6,O677=40,5,O677=35,4,O677=30,4,O677=25,3,O677=20,2,O677=15,1,O677=10,1,O677=0,0)</f>
        <v>10</v>
      </c>
      <c r="R677" s="3" t="n">
        <f aca="false">IF(P677&lt;=1,0,IF(P677&lt;=10,11,IF(P677&lt;=14,12,IF(P677&lt;=17,13,IF(P677&lt;=20,14,IF(P677&lt;=22,15,IF(P677&lt;=25,16,IF(P677&lt;=27,17,IF(P677&lt;=29,18,IF(P677&lt;=32,19,IF(P677&lt;=34,20,IF(P677&lt;=36,21,IF(P677&lt;=40,22,24)))))))))))))</f>
        <v>0</v>
      </c>
      <c r="S677" s="14" t="n">
        <f aca="false">ROUND((Q677+R677+I677+J677+M677+N677)/3,0)</f>
        <v>12</v>
      </c>
      <c r="T677" s="15" t="n">
        <f aca="false">F677*LOG10(S677+2)</f>
        <v>3.43838410703471</v>
      </c>
    </row>
    <row r="678" customFormat="false" ht="14.65" hidden="false" customHeight="true" outlineLevel="0" collapsed="false">
      <c r="A678" s="12" t="s">
        <v>748</v>
      </c>
      <c r="B678" s="13" t="n">
        <v>38880</v>
      </c>
      <c r="C678" s="3" t="s">
        <v>24</v>
      </c>
      <c r="D678" s="4" t="s">
        <v>742</v>
      </c>
      <c r="E678" s="3" t="n">
        <v>5</v>
      </c>
      <c r="F678" s="3" t="n">
        <v>3</v>
      </c>
      <c r="H678" s="3" t="n">
        <v>32</v>
      </c>
      <c r="I678" s="3" t="n">
        <f aca="false">_xlfn.IFS(G678="взв",11,G678="накл",24,G678="прокл",25,G678="пт",26,G678=90,10,G678=85,10,G678=80,9,G678=75,8,G678=70,8,G678=65,7,G678=60,7,G678=55,6,G678=50,6,G678=45,6,G678=40,5,G678=35,4,G678=30,4,G678=25,3,G678=20,2,G678=15,1,G678=10,1,G678=0,0)</f>
        <v>0</v>
      </c>
      <c r="J678" s="3" t="n">
        <f aca="false">IF(H678&lt;=1,0,IF(H678&lt;=10,11,IF(H678&lt;=14,12,IF(H678&lt;=17,13,IF(H678&lt;=20,14,IF(H678&lt;=22,15,IF(H678&lt;=25,16,IF(H678&lt;=27,17,IF(H678&lt;=29,18,IF(H678&lt;=32,19,IF(H678&lt;=34,20,IF(H678&lt;=36,21,IF(H678&lt;=40,22,24)))))))))))))</f>
        <v>19</v>
      </c>
      <c r="L678" s="3" t="n">
        <v>33</v>
      </c>
      <c r="M678" s="3" t="n">
        <f aca="false">_xlfn.IFS(K678="взв",11,K678="накл",24,K678="прокл",25,K678="пт",26,K678=90,10,K678=85,10,K678=80,9,K678=75,8,K678=70,8,K678=65,7,K678=60,7,K678=55,6,K678=50,6,K678=45,6,K678=40,5,K678=35,4,K678=30,4,K678=25,3,K678=20,2,K678=15,1,K678=10,1,K678=0,0)</f>
        <v>0</v>
      </c>
      <c r="N678" s="3" t="n">
        <f aca="false">IF(L678&lt;=1,0,IF(L678&lt;=10,11,IF(L678&lt;=14,12,IF(L678&lt;=17,13,IF(L678&lt;=20,14,IF(L678&lt;=22,15,IF(L678&lt;=25,16,IF(L678&lt;=27,17,IF(L678&lt;=29,18,IF(L678&lt;=32,19,IF(L678&lt;=34,20,IF(L678&lt;=36,21,IF(L678&lt;=40,22,24)))))))))))))</f>
        <v>20</v>
      </c>
      <c r="P678" s="3" t="n">
        <v>37</v>
      </c>
      <c r="Q678" s="3" t="n">
        <f aca="false">_xlfn.IFS(O678="взв",11,O678="накл",24,O678="прокл",25,O678="пт",26,O678=90,10,O678=85,10,O678=80,9,O678=75,8,O678=70,8,O678=65,7,O678=60,7,O678=55,6,O678=50,6,O678=45,6,O678=40,5,O678=35,4,O678=30,4,O678=25,3,O678=20,2,O678=15,1,O678=10,1,O678=0,0)</f>
        <v>0</v>
      </c>
      <c r="R678" s="3" t="n">
        <f aca="false">IF(P678&lt;=1,0,IF(P678&lt;=10,11,IF(P678&lt;=14,12,IF(P678&lt;=17,13,IF(P678&lt;=20,14,IF(P678&lt;=22,15,IF(P678&lt;=25,16,IF(P678&lt;=27,17,IF(P678&lt;=29,18,IF(P678&lt;=32,19,IF(P678&lt;=34,20,IF(P678&lt;=36,21,IF(P678&lt;=40,22,24)))))))))))))</f>
        <v>22</v>
      </c>
      <c r="S678" s="14" t="n">
        <f aca="false">ROUND((Q678+R678+I678+J678+M678+N678)/3,0)</f>
        <v>20</v>
      </c>
      <c r="T678" s="15" t="n">
        <f aca="false">F678*LOG10(S678+2)</f>
        <v>4.02726804246662</v>
      </c>
    </row>
    <row r="679" customFormat="false" ht="14.65" hidden="false" customHeight="true" outlineLevel="0" collapsed="false">
      <c r="A679" s="12" t="s">
        <v>749</v>
      </c>
      <c r="B679" s="13" t="n">
        <v>38880</v>
      </c>
      <c r="C679" s="3" t="s">
        <v>24</v>
      </c>
      <c r="D679" s="4" t="s">
        <v>742</v>
      </c>
      <c r="E679" s="3" t="n">
        <v>3</v>
      </c>
      <c r="F679" s="3" t="n">
        <v>3</v>
      </c>
      <c r="H679" s="3" t="n">
        <v>37</v>
      </c>
      <c r="I679" s="3" t="n">
        <f aca="false">_xlfn.IFS(G679="взв",11,G679="накл",24,G679="прокл",25,G679="пт",26,G679=90,10,G679=85,10,G679=80,9,G679=75,8,G679=70,8,G679=65,7,G679=60,7,G679=55,6,G679=50,6,G679=45,6,G679=40,5,G679=35,4,G679=30,4,G679=25,3,G679=20,2,G679=15,1,G679=10,1,G679=0,0)</f>
        <v>0</v>
      </c>
      <c r="J679" s="3" t="n">
        <f aca="false">IF(H679&lt;=1,0,IF(H679&lt;=10,11,IF(H679&lt;=14,12,IF(H679&lt;=17,13,IF(H679&lt;=20,14,IF(H679&lt;=22,15,IF(H679&lt;=25,16,IF(H679&lt;=27,17,IF(H679&lt;=29,18,IF(H679&lt;=32,19,IF(H679&lt;=34,20,IF(H679&lt;=36,21,IF(H679&lt;=40,22,24)))))))))))))</f>
        <v>22</v>
      </c>
      <c r="L679" s="3" t="n">
        <v>32</v>
      </c>
      <c r="M679" s="3" t="n">
        <f aca="false">_xlfn.IFS(K679="взв",11,K679="накл",24,K679="прокл",25,K679="пт",26,K679=90,10,K679=85,10,K679=80,9,K679=75,8,K679=70,8,K679=65,7,K679=60,7,K679=55,6,K679=50,6,K679=45,6,K679=40,5,K679=35,4,K679=30,4,K679=25,3,K679=20,2,K679=15,1,K679=10,1,K679=0,0)</f>
        <v>0</v>
      </c>
      <c r="N679" s="3" t="n">
        <f aca="false">IF(L679&lt;=1,0,IF(L679&lt;=10,11,IF(L679&lt;=14,12,IF(L679&lt;=17,13,IF(L679&lt;=20,14,IF(L679&lt;=22,15,IF(L679&lt;=25,16,IF(L679&lt;=27,17,IF(L679&lt;=29,18,IF(L679&lt;=32,19,IF(L679&lt;=34,20,IF(L679&lt;=36,21,IF(L679&lt;=40,22,24)))))))))))))</f>
        <v>19</v>
      </c>
      <c r="P679" s="3" t="n">
        <v>38</v>
      </c>
      <c r="Q679" s="3" t="n">
        <f aca="false">_xlfn.IFS(O679="взв",11,O679="накл",24,O679="прокл",25,O679="пт",26,O679=90,10,O679=85,10,O679=80,9,O679=75,8,O679=70,8,O679=65,7,O679=60,7,O679=55,6,O679=50,6,O679=45,6,O679=40,5,O679=35,4,O679=30,4,O679=25,3,O679=20,2,O679=15,1,O679=10,1,O679=0,0)</f>
        <v>0</v>
      </c>
      <c r="R679" s="3" t="n">
        <f aca="false">IF(P679&lt;=1,0,IF(P679&lt;=10,11,IF(P679&lt;=14,12,IF(P679&lt;=17,13,IF(P679&lt;=20,14,IF(P679&lt;=22,15,IF(P679&lt;=25,16,IF(P679&lt;=27,17,IF(P679&lt;=29,18,IF(P679&lt;=32,19,IF(P679&lt;=34,20,IF(P679&lt;=36,21,IF(P679&lt;=40,22,24)))))))))))))</f>
        <v>22</v>
      </c>
      <c r="S679" s="14" t="n">
        <f aca="false">ROUND((Q679+R679+I679+J679+M679+N679)/3,0)</f>
        <v>21</v>
      </c>
      <c r="T679" s="15" t="n">
        <f aca="false">F679*LOG10(S679+2)</f>
        <v>4.08518350805278</v>
      </c>
    </row>
    <row r="680" customFormat="false" ht="14.65" hidden="false" customHeight="true" outlineLevel="0" collapsed="false">
      <c r="A680" s="12" t="s">
        <v>750</v>
      </c>
      <c r="B680" s="13" t="n">
        <v>38880</v>
      </c>
      <c r="C680" s="3" t="s">
        <v>24</v>
      </c>
      <c r="D680" s="4" t="s">
        <v>742</v>
      </c>
      <c r="E680" s="3" t="n">
        <v>5</v>
      </c>
      <c r="F680" s="3" t="n">
        <v>5</v>
      </c>
      <c r="H680" s="3" t="n">
        <v>38</v>
      </c>
      <c r="I680" s="3" t="n">
        <f aca="false">_xlfn.IFS(G680="взв",11,G680="накл",24,G680="прокл",25,G680="пт",26,G680=90,10,G680=85,10,G680=80,9,G680=75,8,G680=70,8,G680=65,7,G680=60,7,G680=55,6,G680=50,6,G680=45,6,G680=40,5,G680=35,4,G680=30,4,G680=25,3,G680=20,2,G680=15,1,G680=10,1,G680=0,0)</f>
        <v>0</v>
      </c>
      <c r="J680" s="3" t="n">
        <f aca="false">IF(H680&lt;=1,0,IF(H680&lt;=10,11,IF(H680&lt;=14,12,IF(H680&lt;=17,13,IF(H680&lt;=20,14,IF(H680&lt;=22,15,IF(H680&lt;=25,16,IF(H680&lt;=27,17,IF(H680&lt;=29,18,IF(H680&lt;=32,19,IF(H680&lt;=34,20,IF(H680&lt;=36,21,IF(H680&lt;=40,22,24)))))))))))))</f>
        <v>22</v>
      </c>
      <c r="L680" s="3" t="n">
        <v>36</v>
      </c>
      <c r="M680" s="3" t="n">
        <f aca="false">_xlfn.IFS(K680="взв",11,K680="накл",24,K680="прокл",25,K680="пт",26,K680=90,10,K680=85,10,K680=80,9,K680=75,8,K680=70,8,K680=65,7,K680=60,7,K680=55,6,K680=50,6,K680=45,6,K680=40,5,K680=35,4,K680=30,4,K680=25,3,K680=20,2,K680=15,1,K680=10,1,K680=0,0)</f>
        <v>0</v>
      </c>
      <c r="N680" s="3" t="n">
        <f aca="false">IF(L680&lt;=1,0,IF(L680&lt;=10,11,IF(L680&lt;=14,12,IF(L680&lt;=17,13,IF(L680&lt;=20,14,IF(L680&lt;=22,15,IF(L680&lt;=25,16,IF(L680&lt;=27,17,IF(L680&lt;=29,18,IF(L680&lt;=32,19,IF(L680&lt;=34,20,IF(L680&lt;=36,21,IF(L680&lt;=40,22,24)))))))))))))</f>
        <v>21</v>
      </c>
      <c r="P680" s="3" t="n">
        <v>35</v>
      </c>
      <c r="Q680" s="3" t="n">
        <f aca="false">_xlfn.IFS(O680="взв",11,O680="накл",24,O680="прокл",25,O680="пт",26,O680=90,10,O680=85,10,O680=80,9,O680=75,8,O680=70,8,O680=65,7,O680=60,7,O680=55,6,O680=50,6,O680=45,6,O680=40,5,O680=35,4,O680=30,4,O680=25,3,O680=20,2,O680=15,1,O680=10,1,O680=0,0)</f>
        <v>0</v>
      </c>
      <c r="R680" s="3" t="n">
        <f aca="false">IF(P680&lt;=1,0,IF(P680&lt;=10,11,IF(P680&lt;=14,12,IF(P680&lt;=17,13,IF(P680&lt;=20,14,IF(P680&lt;=22,15,IF(P680&lt;=25,16,IF(P680&lt;=27,17,IF(P680&lt;=29,18,IF(P680&lt;=32,19,IF(P680&lt;=34,20,IF(P680&lt;=36,21,IF(P680&lt;=40,22,24)))))))))))))</f>
        <v>21</v>
      </c>
      <c r="S680" s="14" t="n">
        <f aca="false">ROUND((Q680+R680+I680+J680+M680+N680)/3,0)</f>
        <v>21</v>
      </c>
      <c r="T680" s="15" t="n">
        <f aca="false">F680*LOG10(S680+2)</f>
        <v>6.80863918008796</v>
      </c>
    </row>
    <row r="681" customFormat="false" ht="14.65" hidden="false" customHeight="true" outlineLevel="0" collapsed="false">
      <c r="A681" s="12" t="s">
        <v>751</v>
      </c>
      <c r="B681" s="13" t="n">
        <v>38880</v>
      </c>
      <c r="C681" s="3" t="s">
        <v>24</v>
      </c>
      <c r="D681" s="4" t="s">
        <v>742</v>
      </c>
      <c r="E681" s="3" t="n">
        <v>3</v>
      </c>
      <c r="F681" s="3" t="n">
        <v>5</v>
      </c>
      <c r="H681" s="3" t="n">
        <v>36</v>
      </c>
      <c r="I681" s="3" t="n">
        <f aca="false">_xlfn.IFS(G681="взв",11,G681="накл",24,G681="прокл",25,G681="пт",26,G681=90,10,G681=85,10,G681=80,9,G681=75,8,G681=70,8,G681=65,7,G681=60,7,G681=55,6,G681=50,6,G681=45,6,G681=40,5,G681=35,4,G681=30,4,G681=25,3,G681=20,2,G681=15,1,G681=10,1,G681=0,0)</f>
        <v>0</v>
      </c>
      <c r="J681" s="3" t="n">
        <f aca="false">IF(H681&lt;=1,0,IF(H681&lt;=10,11,IF(H681&lt;=14,12,IF(H681&lt;=17,13,IF(H681&lt;=20,14,IF(H681&lt;=22,15,IF(H681&lt;=25,16,IF(H681&lt;=27,17,IF(H681&lt;=29,18,IF(H681&lt;=32,19,IF(H681&lt;=34,20,IF(H681&lt;=36,21,IF(H681&lt;=40,22,24)))))))))))))</f>
        <v>21</v>
      </c>
      <c r="L681" s="3" t="n">
        <v>37</v>
      </c>
      <c r="M681" s="3" t="n">
        <f aca="false">_xlfn.IFS(K681="взв",11,K681="накл",24,K681="прокл",25,K681="пт",26,K681=90,10,K681=85,10,K681=80,9,K681=75,8,K681=70,8,K681=65,7,K681=60,7,K681=55,6,K681=50,6,K681=45,6,K681=40,5,K681=35,4,K681=30,4,K681=25,3,K681=20,2,K681=15,1,K681=10,1,K681=0,0)</f>
        <v>0</v>
      </c>
      <c r="N681" s="3" t="n">
        <f aca="false">IF(L681&lt;=1,0,IF(L681&lt;=10,11,IF(L681&lt;=14,12,IF(L681&lt;=17,13,IF(L681&lt;=20,14,IF(L681&lt;=22,15,IF(L681&lt;=25,16,IF(L681&lt;=27,17,IF(L681&lt;=29,18,IF(L681&lt;=32,19,IF(L681&lt;=34,20,IF(L681&lt;=36,21,IF(L681&lt;=40,22,24)))))))))))))</f>
        <v>22</v>
      </c>
      <c r="P681" s="3" t="n">
        <v>38</v>
      </c>
      <c r="Q681" s="3" t="n">
        <f aca="false">_xlfn.IFS(O681="взв",11,O681="накл",24,O681="прокл",25,O681="пт",26,O681=90,10,O681=85,10,O681=80,9,O681=75,8,O681=70,8,O681=65,7,O681=60,7,O681=55,6,O681=50,6,O681=45,6,O681=40,5,O681=35,4,O681=30,4,O681=25,3,O681=20,2,O681=15,1,O681=10,1,O681=0,0)</f>
        <v>0</v>
      </c>
      <c r="R681" s="3" t="n">
        <f aca="false">IF(P681&lt;=1,0,IF(P681&lt;=10,11,IF(P681&lt;=14,12,IF(P681&lt;=17,13,IF(P681&lt;=20,14,IF(P681&lt;=22,15,IF(P681&lt;=25,16,IF(P681&lt;=27,17,IF(P681&lt;=29,18,IF(P681&lt;=32,19,IF(P681&lt;=34,20,IF(P681&lt;=36,21,IF(P681&lt;=40,22,24)))))))))))))</f>
        <v>22</v>
      </c>
      <c r="S681" s="14" t="n">
        <f aca="false">ROUND((Q681+R681+I681+J681+M681+N681)/3,0)</f>
        <v>22</v>
      </c>
      <c r="T681" s="15" t="n">
        <f aca="false">F681*LOG10(S681+2)</f>
        <v>6.90105620855803</v>
      </c>
    </row>
    <row r="682" customFormat="false" ht="14.65" hidden="false" customHeight="true" outlineLevel="0" collapsed="false">
      <c r="A682" s="12" t="s">
        <v>752</v>
      </c>
      <c r="B682" s="13" t="n">
        <v>38880</v>
      </c>
      <c r="C682" s="3" t="s">
        <v>24</v>
      </c>
      <c r="D682" s="4" t="s">
        <v>742</v>
      </c>
      <c r="E682" s="3" t="n">
        <v>4</v>
      </c>
      <c r="F682" s="3" t="n">
        <v>6</v>
      </c>
      <c r="H682" s="3" t="n">
        <v>26</v>
      </c>
      <c r="I682" s="3" t="n">
        <f aca="false">_xlfn.IFS(G682="взв",11,G682="накл",24,G682="прокл",25,G682="пт",26,G682=90,10,G682=85,10,G682=80,9,G682=75,8,G682=70,8,G682=65,7,G682=60,7,G682=55,6,G682=50,6,G682=45,6,G682=40,5,G682=35,4,G682=30,4,G682=25,3,G682=20,2,G682=15,1,G682=10,1,G682=0,0)</f>
        <v>0</v>
      </c>
      <c r="J682" s="3" t="n">
        <f aca="false">IF(H682&lt;=1,0,IF(H682&lt;=10,11,IF(H682&lt;=14,12,IF(H682&lt;=17,13,IF(H682&lt;=20,14,IF(H682&lt;=22,15,IF(H682&lt;=25,16,IF(H682&lt;=27,17,IF(H682&lt;=29,18,IF(H682&lt;=32,19,IF(H682&lt;=34,20,IF(H682&lt;=36,21,IF(H682&lt;=40,22,24)))))))))))))</f>
        <v>17</v>
      </c>
      <c r="L682" s="3" t="n">
        <v>27</v>
      </c>
      <c r="M682" s="3" t="n">
        <f aca="false">_xlfn.IFS(K682="взв",11,K682="накл",24,K682="прокл",25,K682="пт",26,K682=90,10,K682=85,10,K682=80,9,K682=75,8,K682=70,8,K682=65,7,K682=60,7,K682=55,6,K682=50,6,K682=45,6,K682=40,5,K682=35,4,K682=30,4,K682=25,3,K682=20,2,K682=15,1,K682=10,1,K682=0,0)</f>
        <v>0</v>
      </c>
      <c r="N682" s="3" t="n">
        <f aca="false">IF(L682&lt;=1,0,IF(L682&lt;=10,11,IF(L682&lt;=14,12,IF(L682&lt;=17,13,IF(L682&lt;=20,14,IF(L682&lt;=22,15,IF(L682&lt;=25,16,IF(L682&lt;=27,17,IF(L682&lt;=29,18,IF(L682&lt;=32,19,IF(L682&lt;=34,20,IF(L682&lt;=36,21,IF(L682&lt;=40,22,24)))))))))))))</f>
        <v>17</v>
      </c>
      <c r="P682" s="3" t="n">
        <v>28</v>
      </c>
      <c r="Q682" s="3" t="n">
        <f aca="false">_xlfn.IFS(O682="взв",11,O682="накл",24,O682="прокл",25,O682="пт",26,O682=90,10,O682=85,10,O682=80,9,O682=75,8,O682=70,8,O682=65,7,O682=60,7,O682=55,6,O682=50,6,O682=45,6,O682=40,5,O682=35,4,O682=30,4,O682=25,3,O682=20,2,O682=15,1,O682=10,1,O682=0,0)</f>
        <v>0</v>
      </c>
      <c r="R682" s="3" t="n">
        <f aca="false">IF(P682&lt;=1,0,IF(P682&lt;=10,11,IF(P682&lt;=14,12,IF(P682&lt;=17,13,IF(P682&lt;=20,14,IF(P682&lt;=22,15,IF(P682&lt;=25,16,IF(P682&lt;=27,17,IF(P682&lt;=29,18,IF(P682&lt;=32,19,IF(P682&lt;=34,20,IF(P682&lt;=36,21,IF(P682&lt;=40,22,24)))))))))))))</f>
        <v>18</v>
      </c>
      <c r="S682" s="14" t="n">
        <f aca="false">ROUND((Q682+R682+I682+J682+M682+N682)/3,0)</f>
        <v>17</v>
      </c>
      <c r="T682" s="15" t="n">
        <f aca="false">F682*LOG10(S682+2)</f>
        <v>7.67252160571697</v>
      </c>
    </row>
    <row r="683" customFormat="false" ht="14.65" hidden="false" customHeight="true" outlineLevel="0" collapsed="false">
      <c r="A683" s="12" t="s">
        <v>753</v>
      </c>
      <c r="B683" s="13" t="n">
        <v>38880</v>
      </c>
      <c r="C683" s="3" t="s">
        <v>24</v>
      </c>
      <c r="D683" s="4" t="s">
        <v>742</v>
      </c>
      <c r="E683" s="3" t="n">
        <v>3</v>
      </c>
      <c r="F683" s="3" t="n">
        <v>7</v>
      </c>
      <c r="G683" s="3" t="n">
        <v>45</v>
      </c>
      <c r="I683" s="3" t="n">
        <f aca="false">_xlfn.IFS(G683="взв",11,G683="накл",24,G683="прокл",25,G683="пт",26,G683=90,10,G683=85,10,G683=80,9,G683=75,8,G683=70,8,G683=65,7,G683=60,7,G683=55,6,G683=50,6,G683=45,6,G683=40,5,G683=35,4,G683=30,4,G683=25,3,G683=20,2,G683=15,1,G683=10,1,G683=0,0)</f>
        <v>6</v>
      </c>
      <c r="J683" s="3" t="n">
        <f aca="false">IF(H683&lt;=1,0,IF(H683&lt;=10,11,IF(H683&lt;=14,12,IF(H683&lt;=17,13,IF(H683&lt;=20,14,IF(H683&lt;=22,15,IF(H683&lt;=25,16,IF(H683&lt;=27,17,IF(H683&lt;=29,18,IF(H683&lt;=32,19,IF(H683&lt;=34,20,IF(H683&lt;=36,21,IF(H683&lt;=40,22,24)))))))))))))</f>
        <v>0</v>
      </c>
      <c r="K683" s="3" t="n">
        <v>30</v>
      </c>
      <c r="M683" s="3" t="n">
        <f aca="false">_xlfn.IFS(K683="взв",11,K683="накл",24,K683="прокл",25,K683="пт",26,K683=90,10,K683=85,10,K683=80,9,K683=75,8,K683=70,8,K683=65,7,K683=60,7,K683=55,6,K683=50,6,K683=45,6,K683=40,5,K683=35,4,K683=30,4,K683=25,3,K683=20,2,K683=15,1,K683=10,1,K683=0,0)</f>
        <v>4</v>
      </c>
      <c r="N683" s="3" t="n">
        <f aca="false">IF(L683&lt;=1,0,IF(L683&lt;=10,11,IF(L683&lt;=14,12,IF(L683&lt;=17,13,IF(L683&lt;=20,14,IF(L683&lt;=22,15,IF(L683&lt;=25,16,IF(L683&lt;=27,17,IF(L683&lt;=29,18,IF(L683&lt;=32,19,IF(L683&lt;=34,20,IF(L683&lt;=36,21,IF(L683&lt;=40,22,24)))))))))))))</f>
        <v>0</v>
      </c>
      <c r="O683" s="3" t="n">
        <v>15</v>
      </c>
      <c r="Q683" s="3" t="n">
        <f aca="false">_xlfn.IFS(O683="взв",11,O683="накл",24,O683="прокл",25,O683="пт",26,O683=90,10,O683=85,10,O683=80,9,O683=75,8,O683=70,8,O683=65,7,O683=60,7,O683=55,6,O683=50,6,O683=45,6,O683=40,5,O683=35,4,O683=30,4,O683=25,3,O683=20,2,O683=15,1,O683=10,1,O683=0,0)</f>
        <v>1</v>
      </c>
      <c r="R683" s="3" t="n">
        <f aca="false">IF(P683&lt;=1,0,IF(P683&lt;=10,11,IF(P683&lt;=14,12,IF(P683&lt;=17,13,IF(P683&lt;=20,14,IF(P683&lt;=22,15,IF(P683&lt;=25,16,IF(P683&lt;=27,17,IF(P683&lt;=29,18,IF(P683&lt;=32,19,IF(P683&lt;=34,20,IF(P683&lt;=36,21,IF(P683&lt;=40,22,24)))))))))))))</f>
        <v>0</v>
      </c>
      <c r="S683" s="14" t="n">
        <f aca="false">ROUND((Q683+R683+I683+J683+M683+N683)/3,0)</f>
        <v>4</v>
      </c>
      <c r="T683" s="15" t="n">
        <f aca="false">F683*LOG10(S683+2)</f>
        <v>5.44705875268551</v>
      </c>
    </row>
    <row r="684" customFormat="false" ht="14.65" hidden="false" customHeight="true" outlineLevel="0" collapsed="false">
      <c r="A684" s="12" t="s">
        <v>754</v>
      </c>
      <c r="B684" s="13" t="n">
        <v>38880</v>
      </c>
      <c r="C684" s="3" t="s">
        <v>24</v>
      </c>
      <c r="D684" s="4" t="s">
        <v>742</v>
      </c>
      <c r="E684" s="3" t="n">
        <v>5</v>
      </c>
      <c r="F684" s="3" t="n">
        <v>8</v>
      </c>
      <c r="H684" s="3" t="n">
        <v>33</v>
      </c>
      <c r="I684" s="3" t="n">
        <f aca="false">_xlfn.IFS(G684="взв",11,G684="накл",24,G684="прокл",25,G684="пт",26,G684=90,10,G684=85,10,G684=80,9,G684=75,8,G684=70,8,G684=65,7,G684=60,7,G684=55,6,G684=50,6,G684=45,6,G684=40,5,G684=35,4,G684=30,4,G684=25,3,G684=20,2,G684=15,1,G684=10,1,G684=0,0)</f>
        <v>0</v>
      </c>
      <c r="J684" s="3" t="n">
        <f aca="false">IF(H684&lt;=1,0,IF(H684&lt;=10,11,IF(H684&lt;=14,12,IF(H684&lt;=17,13,IF(H684&lt;=20,14,IF(H684&lt;=22,15,IF(H684&lt;=25,16,IF(H684&lt;=27,17,IF(H684&lt;=29,18,IF(H684&lt;=32,19,IF(H684&lt;=34,20,IF(H684&lt;=36,21,IF(H684&lt;=40,22,24)))))))))))))</f>
        <v>20</v>
      </c>
      <c r="L684" s="3" t="n">
        <v>34</v>
      </c>
      <c r="M684" s="3" t="n">
        <f aca="false">_xlfn.IFS(K684="взв",11,K684="накл",24,K684="прокл",25,K684="пт",26,K684=90,10,K684=85,10,K684=80,9,K684=75,8,K684=70,8,K684=65,7,K684=60,7,K684=55,6,K684=50,6,K684=45,6,K684=40,5,K684=35,4,K684=30,4,K684=25,3,K684=20,2,K684=15,1,K684=10,1,K684=0,0)</f>
        <v>0</v>
      </c>
      <c r="N684" s="3" t="n">
        <f aca="false">IF(L684&lt;=1,0,IF(L684&lt;=10,11,IF(L684&lt;=14,12,IF(L684&lt;=17,13,IF(L684&lt;=20,14,IF(L684&lt;=22,15,IF(L684&lt;=25,16,IF(L684&lt;=27,17,IF(L684&lt;=29,18,IF(L684&lt;=32,19,IF(L684&lt;=34,20,IF(L684&lt;=36,21,IF(L684&lt;=40,22,24)))))))))))))</f>
        <v>20</v>
      </c>
      <c r="P684" s="3" t="n">
        <v>34</v>
      </c>
      <c r="Q684" s="3" t="n">
        <f aca="false">_xlfn.IFS(O684="взв",11,O684="накл",24,O684="прокл",25,O684="пт",26,O684=90,10,O684=85,10,O684=80,9,O684=75,8,O684=70,8,O684=65,7,O684=60,7,O684=55,6,O684=50,6,O684=45,6,O684=40,5,O684=35,4,O684=30,4,O684=25,3,O684=20,2,O684=15,1,O684=10,1,O684=0,0)</f>
        <v>0</v>
      </c>
      <c r="R684" s="3" t="n">
        <f aca="false">IF(P684&lt;=1,0,IF(P684&lt;=10,11,IF(P684&lt;=14,12,IF(P684&lt;=17,13,IF(P684&lt;=20,14,IF(P684&lt;=22,15,IF(P684&lt;=25,16,IF(P684&lt;=27,17,IF(P684&lt;=29,18,IF(P684&lt;=32,19,IF(P684&lt;=34,20,IF(P684&lt;=36,21,IF(P684&lt;=40,22,24)))))))))))))</f>
        <v>20</v>
      </c>
      <c r="S684" s="14" t="n">
        <f aca="false">ROUND((Q684+R684+I684+J684+M684+N684)/3,0)</f>
        <v>20</v>
      </c>
      <c r="T684" s="15" t="n">
        <f aca="false">F684*LOG10(S684+2)</f>
        <v>10.7393814465777</v>
      </c>
    </row>
    <row r="685" customFormat="false" ht="14.65" hidden="false" customHeight="true" outlineLevel="0" collapsed="false">
      <c r="A685" s="12" t="s">
        <v>755</v>
      </c>
      <c r="B685" s="13" t="n">
        <v>38880</v>
      </c>
      <c r="C685" s="3" t="s">
        <v>24</v>
      </c>
      <c r="D685" s="4" t="s">
        <v>742</v>
      </c>
      <c r="E685" s="3" t="n">
        <v>5</v>
      </c>
      <c r="F685" s="3" t="n">
        <v>8</v>
      </c>
      <c r="H685" s="3" t="n">
        <v>33</v>
      </c>
      <c r="I685" s="3" t="n">
        <f aca="false">_xlfn.IFS(G685="взв",11,G685="накл",24,G685="прокл",25,G685="пт",26,G685=90,10,G685=85,10,G685=80,9,G685=75,8,G685=70,8,G685=65,7,G685=60,7,G685=55,6,G685=50,6,G685=45,6,G685=40,5,G685=35,4,G685=30,4,G685=25,3,G685=20,2,G685=15,1,G685=10,1,G685=0,0)</f>
        <v>0</v>
      </c>
      <c r="J685" s="3" t="n">
        <f aca="false">IF(H685&lt;=1,0,IF(H685&lt;=10,11,IF(H685&lt;=14,12,IF(H685&lt;=17,13,IF(H685&lt;=20,14,IF(H685&lt;=22,15,IF(H685&lt;=25,16,IF(H685&lt;=27,17,IF(H685&lt;=29,18,IF(H685&lt;=32,19,IF(H685&lt;=34,20,IF(H685&lt;=36,21,IF(H685&lt;=40,22,24)))))))))))))</f>
        <v>20</v>
      </c>
      <c r="L685" s="3" t="n">
        <v>35</v>
      </c>
      <c r="M685" s="3" t="n">
        <f aca="false">_xlfn.IFS(K685="взв",11,K685="накл",24,K685="прокл",25,K685="пт",26,K685=90,10,K685=85,10,K685=80,9,K685=75,8,K685=70,8,K685=65,7,K685=60,7,K685=55,6,K685=50,6,K685=45,6,K685=40,5,K685=35,4,K685=30,4,K685=25,3,K685=20,2,K685=15,1,K685=10,1,K685=0,0)</f>
        <v>0</v>
      </c>
      <c r="N685" s="3" t="n">
        <f aca="false">IF(L685&lt;=1,0,IF(L685&lt;=10,11,IF(L685&lt;=14,12,IF(L685&lt;=17,13,IF(L685&lt;=20,14,IF(L685&lt;=22,15,IF(L685&lt;=25,16,IF(L685&lt;=27,17,IF(L685&lt;=29,18,IF(L685&lt;=32,19,IF(L685&lt;=34,20,IF(L685&lt;=36,21,IF(L685&lt;=40,22,24)))))))))))))</f>
        <v>21</v>
      </c>
      <c r="P685" s="3" t="n">
        <v>37</v>
      </c>
      <c r="Q685" s="3" t="n">
        <f aca="false">_xlfn.IFS(O685="взв",11,O685="накл",24,O685="прокл",25,O685="пт",26,O685=90,10,O685=85,10,O685=80,9,O685=75,8,O685=70,8,O685=65,7,O685=60,7,O685=55,6,O685=50,6,O685=45,6,O685=40,5,O685=35,4,O685=30,4,O685=25,3,O685=20,2,O685=15,1,O685=10,1,O685=0,0)</f>
        <v>0</v>
      </c>
      <c r="R685" s="3" t="n">
        <f aca="false">IF(P685&lt;=1,0,IF(P685&lt;=10,11,IF(P685&lt;=14,12,IF(P685&lt;=17,13,IF(P685&lt;=20,14,IF(P685&lt;=22,15,IF(P685&lt;=25,16,IF(P685&lt;=27,17,IF(P685&lt;=29,18,IF(P685&lt;=32,19,IF(P685&lt;=34,20,IF(P685&lt;=36,21,IF(P685&lt;=40,22,24)))))))))))))</f>
        <v>22</v>
      </c>
      <c r="S685" s="14" t="n">
        <f aca="false">ROUND((Q685+R685+I685+J685+M685+N685)/3,0)</f>
        <v>21</v>
      </c>
      <c r="T685" s="15" t="n">
        <f aca="false">F685*LOG10(S685+2)</f>
        <v>10.8938226881407</v>
      </c>
    </row>
    <row r="686" customFormat="false" ht="14.65" hidden="false" customHeight="true" outlineLevel="0" collapsed="false">
      <c r="A686" s="12" t="s">
        <v>756</v>
      </c>
      <c r="B686" s="13" t="n">
        <v>38880</v>
      </c>
      <c r="C686" s="3" t="s">
        <v>24</v>
      </c>
      <c r="D686" s="4" t="s">
        <v>742</v>
      </c>
      <c r="E686" s="3" t="n">
        <v>7</v>
      </c>
      <c r="F686" s="3" t="n">
        <v>10</v>
      </c>
      <c r="H686" s="3" t="n">
        <v>34</v>
      </c>
      <c r="I686" s="3" t="n">
        <f aca="false">_xlfn.IFS(G686="взв",11,G686="накл",24,G686="прокл",25,G686="пт",26,G686=90,10,G686=85,10,G686=80,9,G686=75,8,G686=70,8,G686=65,7,G686=60,7,G686=55,6,G686=50,6,G686=45,6,G686=40,5,G686=35,4,G686=30,4,G686=25,3,G686=20,2,G686=15,1,G686=10,1,G686=0,0)</f>
        <v>0</v>
      </c>
      <c r="J686" s="3" t="n">
        <f aca="false">IF(H686&lt;=1,0,IF(H686&lt;=10,11,IF(H686&lt;=14,12,IF(H686&lt;=17,13,IF(H686&lt;=20,14,IF(H686&lt;=22,15,IF(H686&lt;=25,16,IF(H686&lt;=27,17,IF(H686&lt;=29,18,IF(H686&lt;=32,19,IF(H686&lt;=34,20,IF(H686&lt;=36,21,IF(H686&lt;=40,22,24)))))))))))))</f>
        <v>20</v>
      </c>
      <c r="L686" s="3" t="n">
        <v>38</v>
      </c>
      <c r="M686" s="3" t="n">
        <f aca="false">_xlfn.IFS(K686="взв",11,K686="накл",24,K686="прокл",25,K686="пт",26,K686=90,10,K686=85,10,K686=80,9,K686=75,8,K686=70,8,K686=65,7,K686=60,7,K686=55,6,K686=50,6,K686=45,6,K686=40,5,K686=35,4,K686=30,4,K686=25,3,K686=20,2,K686=15,1,K686=10,1,K686=0,0)</f>
        <v>0</v>
      </c>
      <c r="N686" s="3" t="n">
        <f aca="false">IF(L686&lt;=1,0,IF(L686&lt;=10,11,IF(L686&lt;=14,12,IF(L686&lt;=17,13,IF(L686&lt;=20,14,IF(L686&lt;=22,15,IF(L686&lt;=25,16,IF(L686&lt;=27,17,IF(L686&lt;=29,18,IF(L686&lt;=32,19,IF(L686&lt;=34,20,IF(L686&lt;=36,21,IF(L686&lt;=40,22,24)))))))))))))</f>
        <v>22</v>
      </c>
      <c r="P686" s="3" t="n">
        <v>35</v>
      </c>
      <c r="Q686" s="3" t="n">
        <f aca="false">_xlfn.IFS(O686="взв",11,O686="накл",24,O686="прокл",25,O686="пт",26,O686=90,10,O686=85,10,O686=80,9,O686=75,8,O686=70,8,O686=65,7,O686=60,7,O686=55,6,O686=50,6,O686=45,6,O686=40,5,O686=35,4,O686=30,4,O686=25,3,O686=20,2,O686=15,1,O686=10,1,O686=0,0)</f>
        <v>0</v>
      </c>
      <c r="R686" s="3" t="n">
        <f aca="false">IF(P686&lt;=1,0,IF(P686&lt;=10,11,IF(P686&lt;=14,12,IF(P686&lt;=17,13,IF(P686&lt;=20,14,IF(P686&lt;=22,15,IF(P686&lt;=25,16,IF(P686&lt;=27,17,IF(P686&lt;=29,18,IF(P686&lt;=32,19,IF(P686&lt;=34,20,IF(P686&lt;=36,21,IF(P686&lt;=40,22,24)))))))))))))</f>
        <v>21</v>
      </c>
      <c r="S686" s="14" t="n">
        <f aca="false">ROUND((Q686+R686+I686+J686+M686+N686)/3,0)</f>
        <v>21</v>
      </c>
      <c r="T686" s="15" t="n">
        <f aca="false">F686*LOG10(S686+2)</f>
        <v>13.6172783601759</v>
      </c>
    </row>
    <row r="687" customFormat="false" ht="14.65" hidden="false" customHeight="true" outlineLevel="0" collapsed="false">
      <c r="A687" s="12" t="s">
        <v>757</v>
      </c>
      <c r="B687" s="13" t="n">
        <v>38880</v>
      </c>
      <c r="C687" s="3" t="s">
        <v>24</v>
      </c>
      <c r="D687" s="4" t="s">
        <v>742</v>
      </c>
      <c r="E687" s="3" t="n">
        <v>4</v>
      </c>
      <c r="F687" s="3" t="n">
        <v>10</v>
      </c>
      <c r="G687" s="3" t="s">
        <v>38</v>
      </c>
      <c r="I687" s="3" t="n">
        <f aca="false">_xlfn.IFS(G687="взв",11,G687="накл",24,G687="прокл",25,G687="пт",26,G687=90,10,G687=85,10,G687=80,9,G687=75,8,G687=70,8,G687=65,7,G687=60,7,G687=55,6,G687=50,6,G687=45,6,G687=40,5,G687=35,4,G687=30,4,G687=25,3,G687=20,2,G687=15,1,G687=10,1,G687=0,0)</f>
        <v>26</v>
      </c>
      <c r="J687" s="3" t="n">
        <f aca="false">IF(H687&lt;=1,0,IF(H687&lt;=10,11,IF(H687&lt;=14,12,IF(H687&lt;=17,13,IF(H687&lt;=20,14,IF(H687&lt;=22,15,IF(H687&lt;=25,16,IF(H687&lt;=27,17,IF(H687&lt;=29,18,IF(H687&lt;=32,19,IF(H687&lt;=34,20,IF(H687&lt;=36,21,IF(H687&lt;=40,22,24)))))))))))))</f>
        <v>0</v>
      </c>
      <c r="K687" s="3" t="s">
        <v>38</v>
      </c>
      <c r="M687" s="3" t="n">
        <f aca="false">_xlfn.IFS(K687="взв",11,K687="накл",24,K687="прокл",25,K687="пт",26,K687=90,10,K687=85,10,K687=80,9,K687=75,8,K687=70,8,K687=65,7,K687=60,7,K687=55,6,K687=50,6,K687=45,6,K687=40,5,K687=35,4,K687=30,4,K687=25,3,K687=20,2,K687=15,1,K687=10,1,K687=0,0)</f>
        <v>26</v>
      </c>
      <c r="N687" s="3" t="n">
        <f aca="false">IF(L687&lt;=1,0,IF(L687&lt;=10,11,IF(L687&lt;=14,12,IF(L687&lt;=17,13,IF(L687&lt;=20,14,IF(L687&lt;=22,15,IF(L687&lt;=25,16,IF(L687&lt;=27,17,IF(L687&lt;=29,18,IF(L687&lt;=32,19,IF(L687&lt;=34,20,IF(L687&lt;=36,21,IF(L687&lt;=40,22,24)))))))))))))</f>
        <v>0</v>
      </c>
      <c r="O687" s="3" t="s">
        <v>38</v>
      </c>
      <c r="Q687" s="3" t="n">
        <f aca="false">_xlfn.IFS(O687="взв",11,O687="накл",24,O687="прокл",25,O687="пт",26,O687=90,10,O687=85,10,O687=80,9,O687=75,8,O687=70,8,O687=65,7,O687=60,7,O687=55,6,O687=50,6,O687=45,6,O687=40,5,O687=35,4,O687=30,4,O687=25,3,O687=20,2,O687=15,1,O687=10,1,O687=0,0)</f>
        <v>26</v>
      </c>
      <c r="R687" s="3" t="n">
        <f aca="false">IF(P687&lt;=1,0,IF(P687&lt;=10,11,IF(P687&lt;=14,12,IF(P687&lt;=17,13,IF(P687&lt;=20,14,IF(P687&lt;=22,15,IF(P687&lt;=25,16,IF(P687&lt;=27,17,IF(P687&lt;=29,18,IF(P687&lt;=32,19,IF(P687&lt;=34,20,IF(P687&lt;=36,21,IF(P687&lt;=40,22,24)))))))))))))</f>
        <v>0</v>
      </c>
      <c r="S687" s="14" t="n">
        <f aca="false">ROUND((Q687+R687+I687+J687+M687+N687)/3,0)</f>
        <v>26</v>
      </c>
      <c r="T687" s="15" t="n">
        <f aca="false">F687*LOG10(S687+2)</f>
        <v>14.4715803134222</v>
      </c>
    </row>
    <row r="688" customFormat="false" ht="14.65" hidden="false" customHeight="true" outlineLevel="0" collapsed="false">
      <c r="A688" s="12" t="s">
        <v>758</v>
      </c>
      <c r="B688" s="13" t="n">
        <v>38880</v>
      </c>
      <c r="C688" s="3" t="s">
        <v>24</v>
      </c>
      <c r="D688" s="4" t="s">
        <v>742</v>
      </c>
      <c r="E688" s="3" t="n">
        <v>5</v>
      </c>
      <c r="F688" s="3" t="n">
        <v>10</v>
      </c>
      <c r="H688" s="3" t="n">
        <v>39</v>
      </c>
      <c r="I688" s="3" t="n">
        <f aca="false">_xlfn.IFS(G688="взв",11,G688="накл",24,G688="прокл",25,G688="пт",26,G688=90,10,G688=85,10,G688=80,9,G688=75,8,G688=70,8,G688=65,7,G688=60,7,G688=55,6,G688=50,6,G688=45,6,G688=40,5,G688=35,4,G688=30,4,G688=25,3,G688=20,2,G688=15,1,G688=10,1,G688=0,0)</f>
        <v>0</v>
      </c>
      <c r="J688" s="3" t="n">
        <f aca="false">IF(H688&lt;=1,0,IF(H688&lt;=10,11,IF(H688&lt;=14,12,IF(H688&lt;=17,13,IF(H688&lt;=20,14,IF(H688&lt;=22,15,IF(H688&lt;=25,16,IF(H688&lt;=27,17,IF(H688&lt;=29,18,IF(H688&lt;=32,19,IF(H688&lt;=34,20,IF(H688&lt;=36,21,IF(H688&lt;=40,22,24)))))))))))))</f>
        <v>22</v>
      </c>
      <c r="L688" s="3" t="n">
        <v>39</v>
      </c>
      <c r="M688" s="3" t="n">
        <f aca="false">_xlfn.IFS(K688="взв",11,K688="накл",24,K688="прокл",25,K688="пт",26,K688=90,10,K688=85,10,K688=80,9,K688=75,8,K688=70,8,K688=65,7,K688=60,7,K688=55,6,K688=50,6,K688=45,6,K688=40,5,K688=35,4,K688=30,4,K688=25,3,K688=20,2,K688=15,1,K688=10,1,K688=0,0)</f>
        <v>0</v>
      </c>
      <c r="N688" s="3" t="n">
        <f aca="false">IF(L688&lt;=1,0,IF(L688&lt;=10,11,IF(L688&lt;=14,12,IF(L688&lt;=17,13,IF(L688&lt;=20,14,IF(L688&lt;=22,15,IF(L688&lt;=25,16,IF(L688&lt;=27,17,IF(L688&lt;=29,18,IF(L688&lt;=32,19,IF(L688&lt;=34,20,IF(L688&lt;=36,21,IF(L688&lt;=40,22,24)))))))))))))</f>
        <v>22</v>
      </c>
      <c r="P688" s="3" t="n">
        <v>42</v>
      </c>
      <c r="Q688" s="3" t="n">
        <f aca="false">_xlfn.IFS(O688="взв",11,O688="накл",24,O688="прокл",25,O688="пт",26,O688=90,10,O688=85,10,O688=80,9,O688=75,8,O688=70,8,O688=65,7,O688=60,7,O688=55,6,O688=50,6,O688=45,6,O688=40,5,O688=35,4,O688=30,4,O688=25,3,O688=20,2,O688=15,1,O688=10,1,O688=0,0)</f>
        <v>0</v>
      </c>
      <c r="R688" s="3" t="n">
        <f aca="false">IF(P688&lt;=1,0,IF(P688&lt;=10,11,IF(P688&lt;=14,12,IF(P688&lt;=17,13,IF(P688&lt;=20,14,IF(P688&lt;=22,15,IF(P688&lt;=25,16,IF(P688&lt;=27,17,IF(P688&lt;=29,18,IF(P688&lt;=32,19,IF(P688&lt;=34,20,IF(P688&lt;=36,21,IF(P688&lt;=40,22,24)))))))))))))</f>
        <v>24</v>
      </c>
      <c r="S688" s="14" t="n">
        <f aca="false">ROUND((Q688+R688+I688+J688+M688+N688)/3,0)</f>
        <v>23</v>
      </c>
      <c r="T688" s="15" t="n">
        <f aca="false">F688*LOG10(S688+2)</f>
        <v>13.9794000867204</v>
      </c>
    </row>
    <row r="689" customFormat="false" ht="14.65" hidden="false" customHeight="true" outlineLevel="0" collapsed="false">
      <c r="A689" s="12" t="s">
        <v>759</v>
      </c>
      <c r="B689" s="13" t="n">
        <v>38880</v>
      </c>
      <c r="C689" s="3" t="s">
        <v>24</v>
      </c>
      <c r="D689" s="4" t="s">
        <v>742</v>
      </c>
      <c r="E689" s="3" t="n">
        <v>4</v>
      </c>
      <c r="F689" s="3" t="n">
        <v>0</v>
      </c>
      <c r="G689" s="3" t="s">
        <v>27</v>
      </c>
      <c r="I689" s="3" t="n">
        <f aca="false">_xlfn.IFS(G689="взв",11,G689="накл",24,G689="прокл",25,G689="пт",26,G689=90,10,G689=85,10,G689=80,9,G689=75,8,G689=70,8,G689=65,7,G689=60,7,G689=55,6,G689=50,6,G689=45,6,G689=40,5,G689=35,4,G689=30,4,G689=25,3,G689=20,2,G689=15,1,G689=10,1,G689=0,0)</f>
        <v>24</v>
      </c>
      <c r="J689" s="3" t="n">
        <f aca="false">IF(H689&lt;=1,0,IF(H689&lt;=10,11,IF(H689&lt;=14,12,IF(H689&lt;=17,13,IF(H689&lt;=20,14,IF(H689&lt;=22,15,IF(H689&lt;=25,16,IF(H689&lt;=27,17,IF(H689&lt;=29,18,IF(H689&lt;=32,19,IF(H689&lt;=34,20,IF(H689&lt;=36,21,IF(H689&lt;=40,22,24)))))))))))))</f>
        <v>0</v>
      </c>
      <c r="K689" s="3" t="s">
        <v>47</v>
      </c>
      <c r="M689" s="3" t="n">
        <f aca="false">_xlfn.IFS(K689="взв",11,K689="накл",24,K689="прокл",25,K689="пт",26,K689=90,10,K689=85,10,K689=80,9,K689=75,8,K689=70,8,K689=65,7,K689=60,7,K689=55,6,K689=50,6,K689=45,6,K689=40,5,K689=35,4,K689=30,4,K689=25,3,K689=20,2,K689=15,1,K689=10,1,K689=0,0)</f>
        <v>25</v>
      </c>
      <c r="N689" s="3" t="n">
        <f aca="false">IF(L689&lt;=1,0,IF(L689&lt;=10,11,IF(L689&lt;=14,12,IF(L689&lt;=17,13,IF(L689&lt;=20,14,IF(L689&lt;=22,15,IF(L689&lt;=25,16,IF(L689&lt;=27,17,IF(L689&lt;=29,18,IF(L689&lt;=32,19,IF(L689&lt;=34,20,IF(L689&lt;=36,21,IF(L689&lt;=40,22,24)))))))))))))</f>
        <v>0</v>
      </c>
      <c r="O689" s="3" t="s">
        <v>47</v>
      </c>
      <c r="P689" s="0"/>
      <c r="Q689" s="3" t="n">
        <f aca="false">_xlfn.IFS(O689="взв",11,O689="накл",24,O689="прокл",25,O689="пт",26,O689=90,10,O689=85,10,O689=80,9,O689=75,8,O689=70,8,O689=65,7,O689=60,7,O689=55,6,O689=50,6,O689=45,6,O689=40,5,O689=35,4,O689=30,4,O689=25,3,O689=20,2,O689=15,1,O689=10,1,O689=0,0)</f>
        <v>25</v>
      </c>
      <c r="R689" s="3" t="n">
        <f aca="false">IF(P689&lt;=1,0,IF(P689&lt;=10,11,IF(P689&lt;=14,12,IF(P689&lt;=17,13,IF(P689&lt;=20,14,IF(P689&lt;=22,15,IF(P689&lt;=25,16,IF(P689&lt;=27,17,IF(P689&lt;=29,18,IF(P689&lt;=32,19,IF(P689&lt;=34,20,IF(P689&lt;=36,21,IF(P689&lt;=40,22,24)))))))))))))</f>
        <v>0</v>
      </c>
      <c r="S689" s="14" t="n">
        <f aca="false">ROUND((Q689+R689+I689+J689+M689+N689)/3,0)</f>
        <v>25</v>
      </c>
      <c r="T689" s="15" t="n">
        <f aca="false">F689*LOG10(S689+2)</f>
        <v>0</v>
      </c>
    </row>
    <row r="690" customFormat="false" ht="14.65" hidden="false" customHeight="true" outlineLevel="0" collapsed="false">
      <c r="A690" s="12" t="s">
        <v>760</v>
      </c>
      <c r="B690" s="13" t="n">
        <v>38881</v>
      </c>
      <c r="C690" s="3" t="s">
        <v>24</v>
      </c>
      <c r="D690" s="4" t="s">
        <v>761</v>
      </c>
      <c r="E690" s="3" t="n">
        <v>9</v>
      </c>
      <c r="F690" s="3" t="n">
        <v>4</v>
      </c>
      <c r="H690" s="3" t="n">
        <v>26</v>
      </c>
      <c r="I690" s="3" t="n">
        <f aca="false">_xlfn.IFS(G690="взв",11,G690="накл",24,G690="прокл",25,G690="пт",26,G690=90,10,G690=85,10,G690=80,9,G690=75,8,G690=70,8,G690=65,7,G690=60,7,G690=55,6,G690=50,6,G690=45,6,G690=40,5,G690=35,4,G690=30,4,G690=25,3,G690=20,2,G690=15,1,G690=10,1,G690=0,0)</f>
        <v>0</v>
      </c>
      <c r="J690" s="3" t="n">
        <f aca="false">IF(H690&lt;=1,0,IF(H690&lt;=10,11,IF(H690&lt;=14,12,IF(H690&lt;=17,13,IF(H690&lt;=20,14,IF(H690&lt;=22,15,IF(H690&lt;=25,16,IF(H690&lt;=27,17,IF(H690&lt;=29,18,IF(H690&lt;=32,19,IF(H690&lt;=34,20,IF(H690&lt;=36,21,IF(H690&lt;=40,22,24)))))))))))))</f>
        <v>17</v>
      </c>
      <c r="L690" s="3" t="n">
        <v>20</v>
      </c>
      <c r="M690" s="3" t="n">
        <f aca="false">_xlfn.IFS(K690="взв",11,K690="накл",24,K690="прокл",25,K690="пт",26,K690=90,10,K690=85,10,K690=80,9,K690=75,8,K690=70,8,K690=65,7,K690=60,7,K690=55,6,K690=50,6,K690=45,6,K690=40,5,K690=35,4,K690=30,4,K690=25,3,K690=20,2,K690=15,1,K690=10,1,K690=0,0)</f>
        <v>0</v>
      </c>
      <c r="N690" s="3" t="n">
        <f aca="false">IF(L690&lt;=1,0,IF(L690&lt;=10,11,IF(L690&lt;=14,12,IF(L690&lt;=17,13,IF(L690&lt;=20,14,IF(L690&lt;=22,15,IF(L690&lt;=25,16,IF(L690&lt;=27,17,IF(L690&lt;=29,18,IF(L690&lt;=32,19,IF(L690&lt;=34,20,IF(L690&lt;=36,21,IF(L690&lt;=40,22,24)))))))))))))</f>
        <v>14</v>
      </c>
      <c r="P690" s="3" t="n">
        <v>28</v>
      </c>
      <c r="Q690" s="3" t="n">
        <f aca="false">_xlfn.IFS(O690="взв",11,O690="накл",24,O690="прокл",25,O690="пт",26,O690=90,10,O690=85,10,O690=80,9,O690=75,8,O690=70,8,O690=65,7,O690=60,7,O690=55,6,O690=50,6,O690=45,6,O690=40,5,O690=35,4,O690=30,4,O690=25,3,O690=20,2,O690=15,1,O690=10,1,O690=0,0)</f>
        <v>0</v>
      </c>
      <c r="R690" s="3" t="n">
        <f aca="false">IF(P690&lt;=1,0,IF(P690&lt;=10,11,IF(P690&lt;=14,12,IF(P690&lt;=17,13,IF(P690&lt;=20,14,IF(P690&lt;=22,15,IF(P690&lt;=25,16,IF(P690&lt;=27,17,IF(P690&lt;=29,18,IF(P690&lt;=32,19,IF(P690&lt;=34,20,IF(P690&lt;=36,21,IF(P690&lt;=40,22,24)))))))))))))</f>
        <v>18</v>
      </c>
      <c r="S690" s="14" t="n">
        <f aca="false">ROUND((Q690+R690+I690+J690+M690+N690)/3,0)</f>
        <v>16</v>
      </c>
      <c r="T690" s="15" t="n">
        <f aca="false">F690*LOG10(S690+2)</f>
        <v>5.02109002041322</v>
      </c>
    </row>
    <row r="691" customFormat="false" ht="14.65" hidden="false" customHeight="true" outlineLevel="0" collapsed="false">
      <c r="A691" s="12" t="s">
        <v>762</v>
      </c>
      <c r="B691" s="13" t="n">
        <v>38881</v>
      </c>
      <c r="C691" s="3" t="s">
        <v>24</v>
      </c>
      <c r="D691" s="4" t="s">
        <v>761</v>
      </c>
      <c r="E691" s="3" t="n">
        <v>5</v>
      </c>
      <c r="F691" s="3" t="n">
        <v>6</v>
      </c>
      <c r="G691" s="3" t="n">
        <v>75</v>
      </c>
      <c r="I691" s="3" t="n">
        <f aca="false">_xlfn.IFS(G691="взв",11,G691="накл",24,G691="прокл",25,G691="пт",26,G691=90,10,G691=85,10,G691=80,9,G691=75,8,G691=70,8,G691=65,7,G691=60,7,G691=55,6,G691=50,6,G691=45,6,G691=40,5,G691=35,4,G691=30,4,G691=25,3,G691=20,2,G691=15,1,G691=10,1,G691=0,0)</f>
        <v>8</v>
      </c>
      <c r="J691" s="3" t="n">
        <f aca="false">IF(H691&lt;=1,0,IF(H691&lt;=10,11,IF(H691&lt;=14,12,IF(H691&lt;=17,13,IF(H691&lt;=20,14,IF(H691&lt;=22,15,IF(H691&lt;=25,16,IF(H691&lt;=27,17,IF(H691&lt;=29,18,IF(H691&lt;=32,19,IF(H691&lt;=34,20,IF(H691&lt;=36,21,IF(H691&lt;=40,22,24)))))))))))))</f>
        <v>0</v>
      </c>
      <c r="K691" s="3" t="n">
        <v>75</v>
      </c>
      <c r="M691" s="3" t="n">
        <f aca="false">_xlfn.IFS(K691="взв",11,K691="накл",24,K691="прокл",25,K691="пт",26,K691=90,10,K691=85,10,K691=80,9,K691=75,8,K691=70,8,K691=65,7,K691=60,7,K691=55,6,K691=50,6,K691=45,6,K691=40,5,K691=35,4,K691=30,4,K691=25,3,K691=20,2,K691=15,1,K691=10,1,K691=0,0)</f>
        <v>8</v>
      </c>
      <c r="N691" s="3" t="n">
        <f aca="false">IF(L691&lt;=1,0,IF(L691&lt;=10,11,IF(L691&lt;=14,12,IF(L691&lt;=17,13,IF(L691&lt;=20,14,IF(L691&lt;=22,15,IF(L691&lt;=25,16,IF(L691&lt;=27,17,IF(L691&lt;=29,18,IF(L691&lt;=32,19,IF(L691&lt;=34,20,IF(L691&lt;=36,21,IF(L691&lt;=40,22,24)))))))))))))</f>
        <v>0</v>
      </c>
      <c r="O691" s="3" t="n">
        <v>60</v>
      </c>
      <c r="Q691" s="3" t="n">
        <f aca="false">_xlfn.IFS(O691="взв",11,O691="накл",24,O691="прокл",25,O691="пт",26,O691=90,10,O691=85,10,O691=80,9,O691=75,8,O691=70,8,O691=65,7,O691=60,7,O691=55,6,O691=50,6,O691=45,6,O691=40,5,O691=35,4,O691=30,4,O691=25,3,O691=20,2,O691=15,1,O691=10,1,O691=0,0)</f>
        <v>7</v>
      </c>
      <c r="R691" s="3" t="n">
        <f aca="false">IF(P691&lt;=1,0,IF(P691&lt;=10,11,IF(P691&lt;=14,12,IF(P691&lt;=17,13,IF(P691&lt;=20,14,IF(P691&lt;=22,15,IF(P691&lt;=25,16,IF(P691&lt;=27,17,IF(P691&lt;=29,18,IF(P691&lt;=32,19,IF(P691&lt;=34,20,IF(P691&lt;=36,21,IF(P691&lt;=40,22,24)))))))))))))</f>
        <v>0</v>
      </c>
      <c r="S691" s="14" t="n">
        <f aca="false">ROUND((Q691+R691+I691+J691+M691+N691)/3,0)</f>
        <v>8</v>
      </c>
      <c r="T691" s="15" t="n">
        <f aca="false">F691*LOG10(S691+2)</f>
        <v>6</v>
      </c>
    </row>
    <row r="692" customFormat="false" ht="14.65" hidden="false" customHeight="true" outlineLevel="0" collapsed="false">
      <c r="A692" s="12" t="s">
        <v>763</v>
      </c>
      <c r="B692" s="13" t="n">
        <v>38881</v>
      </c>
      <c r="C692" s="3" t="s">
        <v>24</v>
      </c>
      <c r="D692" s="4" t="s">
        <v>761</v>
      </c>
      <c r="E692" s="3" t="n">
        <v>3</v>
      </c>
      <c r="F692" s="3" t="n">
        <v>25</v>
      </c>
      <c r="G692" s="3" t="n">
        <v>15</v>
      </c>
      <c r="I692" s="3" t="n">
        <f aca="false">_xlfn.IFS(G692="взв",11,G692="накл",24,G692="прокл",25,G692="пт",26,G692=90,10,G692=85,10,G692=80,9,G692=75,8,G692=70,8,G692=65,7,G692=60,7,G692=55,6,G692=50,6,G692=45,6,G692=40,5,G692=35,4,G692=30,4,G692=25,3,G692=20,2,G692=15,1,G692=10,1,G692=0,0)</f>
        <v>1</v>
      </c>
      <c r="J692" s="3" t="n">
        <f aca="false">IF(H692&lt;=1,0,IF(H692&lt;=10,11,IF(H692&lt;=14,12,IF(H692&lt;=17,13,IF(H692&lt;=20,14,IF(H692&lt;=22,15,IF(H692&lt;=25,16,IF(H692&lt;=27,17,IF(H692&lt;=29,18,IF(H692&lt;=32,19,IF(H692&lt;=34,20,IF(H692&lt;=36,21,IF(H692&lt;=40,22,24)))))))))))))</f>
        <v>0</v>
      </c>
      <c r="K692" s="3" t="n">
        <v>15</v>
      </c>
      <c r="M692" s="3" t="n">
        <f aca="false">_xlfn.IFS(K692="взв",11,K692="накл",24,K692="прокл",25,K692="пт",26,K692=90,10,K692=85,10,K692=80,9,K692=75,8,K692=70,8,K692=65,7,K692=60,7,K692=55,6,K692=50,6,K692=45,6,K692=40,5,K692=35,4,K692=30,4,K692=25,3,K692=20,2,K692=15,1,K692=10,1,K692=0,0)</f>
        <v>1</v>
      </c>
      <c r="N692" s="3" t="n">
        <f aca="false">IF(L692&lt;=1,0,IF(L692&lt;=10,11,IF(L692&lt;=14,12,IF(L692&lt;=17,13,IF(L692&lt;=20,14,IF(L692&lt;=22,15,IF(L692&lt;=25,16,IF(L692&lt;=27,17,IF(L692&lt;=29,18,IF(L692&lt;=32,19,IF(L692&lt;=34,20,IF(L692&lt;=36,21,IF(L692&lt;=40,22,24)))))))))))))</f>
        <v>0</v>
      </c>
      <c r="O692" s="3" t="n">
        <v>15</v>
      </c>
      <c r="Q692" s="3" t="n">
        <f aca="false">_xlfn.IFS(O692="взв",11,O692="накл",24,O692="прокл",25,O692="пт",26,O692=90,10,O692=85,10,O692=80,9,O692=75,8,O692=70,8,O692=65,7,O692=60,7,O692=55,6,O692=50,6,O692=45,6,O692=40,5,O692=35,4,O692=30,4,O692=25,3,O692=20,2,O692=15,1,O692=10,1,O692=0,0)</f>
        <v>1</v>
      </c>
      <c r="R692" s="3" t="n">
        <f aca="false">IF(P692&lt;=1,0,IF(P692&lt;=10,11,IF(P692&lt;=14,12,IF(P692&lt;=17,13,IF(P692&lt;=20,14,IF(P692&lt;=22,15,IF(P692&lt;=25,16,IF(P692&lt;=27,17,IF(P692&lt;=29,18,IF(P692&lt;=32,19,IF(P692&lt;=34,20,IF(P692&lt;=36,21,IF(P692&lt;=40,22,24)))))))))))))</f>
        <v>0</v>
      </c>
      <c r="S692" s="14" t="n">
        <f aca="false">ROUND((Q692+R692+I692+J692+M692+N692)/3,0)</f>
        <v>1</v>
      </c>
      <c r="T692" s="15" t="n">
        <f aca="false">F692*LOG10(S692+2)</f>
        <v>11.9280313679916</v>
      </c>
    </row>
    <row r="693" customFormat="false" ht="14.65" hidden="false" customHeight="true" outlineLevel="0" collapsed="false">
      <c r="A693" s="12" t="s">
        <v>764</v>
      </c>
      <c r="B693" s="13" t="n">
        <v>38887</v>
      </c>
      <c r="C693" s="3" t="s">
        <v>24</v>
      </c>
      <c r="D693" s="4" t="s">
        <v>765</v>
      </c>
      <c r="E693" s="3" t="n">
        <v>4</v>
      </c>
      <c r="F693" s="3" t="n">
        <v>1</v>
      </c>
      <c r="H693" s="3" t="n">
        <v>39</v>
      </c>
      <c r="I693" s="3" t="n">
        <f aca="false">_xlfn.IFS(G693="взв",11,G693="накл",24,G693="прокл",25,G693="пт",26,G693=90,10,G693=85,10,G693=80,9,G693=75,8,G693=70,8,G693=65,7,G693=60,7,G693=55,6,G693=50,6,G693=45,6,G693=40,5,G693=35,4,G693=30,4,G693=25,3,G693=20,2,G693=15,1,G693=10,1,G693=0,0)</f>
        <v>0</v>
      </c>
      <c r="J693" s="3" t="n">
        <f aca="false">IF(H693&lt;=1,0,IF(H693&lt;=10,11,IF(H693&lt;=14,12,IF(H693&lt;=17,13,IF(H693&lt;=20,14,IF(H693&lt;=22,15,IF(H693&lt;=25,16,IF(H693&lt;=27,17,IF(H693&lt;=29,18,IF(H693&lt;=32,19,IF(H693&lt;=34,20,IF(H693&lt;=36,21,IF(H693&lt;=40,22,24)))))))))))))</f>
        <v>22</v>
      </c>
      <c r="L693" s="3" t="n">
        <v>34</v>
      </c>
      <c r="M693" s="3" t="n">
        <f aca="false">_xlfn.IFS(K693="взв",11,K693="накл",24,K693="прокл",25,K693="пт",26,K693=90,10,K693=85,10,K693=80,9,K693=75,8,K693=70,8,K693=65,7,K693=60,7,K693=55,6,K693=50,6,K693=45,6,K693=40,5,K693=35,4,K693=30,4,K693=25,3,K693=20,2,K693=15,1,K693=10,1,K693=0,0)</f>
        <v>0</v>
      </c>
      <c r="N693" s="3" t="n">
        <f aca="false">IF(L693&lt;=1,0,IF(L693&lt;=10,11,IF(L693&lt;=14,12,IF(L693&lt;=17,13,IF(L693&lt;=20,14,IF(L693&lt;=22,15,IF(L693&lt;=25,16,IF(L693&lt;=27,17,IF(L693&lt;=29,18,IF(L693&lt;=32,19,IF(L693&lt;=34,20,IF(L693&lt;=36,21,IF(L693&lt;=40,22,24)))))))))))))</f>
        <v>20</v>
      </c>
      <c r="P693" s="3" t="n">
        <v>36</v>
      </c>
      <c r="Q693" s="3" t="n">
        <f aca="false">_xlfn.IFS(O693="взв",11,O693="накл",24,O693="прокл",25,O693="пт",26,O693=90,10,O693=85,10,O693=80,9,O693=75,8,O693=70,8,O693=65,7,O693=60,7,O693=55,6,O693=50,6,O693=45,6,O693=40,5,O693=35,4,O693=30,4,O693=25,3,O693=20,2,O693=15,1,O693=10,1,O693=0,0)</f>
        <v>0</v>
      </c>
      <c r="R693" s="3" t="n">
        <f aca="false">IF(P693&lt;=1,0,IF(P693&lt;=10,11,IF(P693&lt;=14,12,IF(P693&lt;=17,13,IF(P693&lt;=20,14,IF(P693&lt;=22,15,IF(P693&lt;=25,16,IF(P693&lt;=27,17,IF(P693&lt;=29,18,IF(P693&lt;=32,19,IF(P693&lt;=34,20,IF(P693&lt;=36,21,IF(P693&lt;=40,22,24)))))))))))))</f>
        <v>21</v>
      </c>
      <c r="S693" s="14" t="n">
        <f aca="false">ROUND((Q693+R693+I693+J693+M693+N693)/3,0)</f>
        <v>21</v>
      </c>
      <c r="T693" s="15" t="n">
        <f aca="false">F693*LOG10(S693+2)</f>
        <v>1.36172783601759</v>
      </c>
    </row>
    <row r="694" customFormat="false" ht="14.65" hidden="false" customHeight="true" outlineLevel="0" collapsed="false">
      <c r="A694" s="12" t="s">
        <v>766</v>
      </c>
      <c r="B694" s="13" t="n">
        <v>38887</v>
      </c>
      <c r="C694" s="3" t="s">
        <v>24</v>
      </c>
      <c r="D694" s="4" t="s">
        <v>765</v>
      </c>
      <c r="E694" s="3" t="n">
        <v>2</v>
      </c>
      <c r="F694" s="3" t="n">
        <v>2</v>
      </c>
      <c r="G694" s="3" t="s">
        <v>27</v>
      </c>
      <c r="I694" s="3" t="n">
        <f aca="false">_xlfn.IFS(G694="взв",11,G694="накл",24,G694="прокл",25,G694="пт",26,G694=90,10,G694=85,10,G694=80,9,G694=75,8,G694=70,8,G694=65,7,G694=60,7,G694=55,6,G694=50,6,G694=45,6,G694=40,5,G694=35,4,G694=30,4,G694=25,3,G694=20,2,G694=15,1,G694=10,1,G694=0,0)</f>
        <v>24</v>
      </c>
      <c r="J694" s="3" t="n">
        <f aca="false">IF(H694&lt;=1,0,IF(H694&lt;=10,11,IF(H694&lt;=14,12,IF(H694&lt;=17,13,IF(H694&lt;=20,14,IF(H694&lt;=22,15,IF(H694&lt;=25,16,IF(H694&lt;=27,17,IF(H694&lt;=29,18,IF(H694&lt;=32,19,IF(H694&lt;=34,20,IF(H694&lt;=36,21,IF(H694&lt;=40,22,24)))))))))))))</f>
        <v>0</v>
      </c>
      <c r="K694" s="3" t="s">
        <v>27</v>
      </c>
      <c r="L694" s="0"/>
      <c r="M694" s="3" t="n">
        <f aca="false">_xlfn.IFS(K694="взв",11,K694="накл",24,K694="прокл",25,K694="пт",26,K694=90,10,K694=85,10,K694=80,9,K694=75,8,K694=70,8,K694=65,7,K694=60,7,K694=55,6,K694=50,6,K694=45,6,K694=40,5,K694=35,4,K694=30,4,K694=25,3,K694=20,2,K694=15,1,K694=10,1,K694=0,0)</f>
        <v>24</v>
      </c>
      <c r="N694" s="3" t="n">
        <f aca="false">IF(L694&lt;=1,0,IF(L694&lt;=10,11,IF(L694&lt;=14,12,IF(L694&lt;=17,13,IF(L694&lt;=20,14,IF(L694&lt;=22,15,IF(L694&lt;=25,16,IF(L694&lt;=27,17,IF(L694&lt;=29,18,IF(L694&lt;=32,19,IF(L694&lt;=34,20,IF(L694&lt;=36,21,IF(L694&lt;=40,22,24)))))))))))))</f>
        <v>0</v>
      </c>
      <c r="Q694" s="3" t="n">
        <f aca="false">_xlfn.IFS(O694="взв",11,O694="накл",24,O694="прокл",25,O694="пт",26,O694=90,10,O694=85,10,O694=80,9,O694=75,8,O694=70,8,O694=65,7,O694=60,7,O694=55,6,O694=50,6,O694=45,6,O694=40,5,O694=35,4,O694=30,4,O694=25,3,O694=20,2,O694=15,1,O694=10,1,O694=0,0)</f>
        <v>0</v>
      </c>
      <c r="R694" s="3" t="n">
        <f aca="false">IF(P694&lt;=1,0,IF(P694&lt;=10,11,IF(P694&lt;=14,12,IF(P694&lt;=17,13,IF(P694&lt;=20,14,IF(P694&lt;=22,15,IF(P694&lt;=25,16,IF(P694&lt;=27,17,IF(P694&lt;=29,18,IF(P694&lt;=32,19,IF(P694&lt;=34,20,IF(P694&lt;=36,21,IF(P694&lt;=40,22,24)))))))))))))</f>
        <v>0</v>
      </c>
      <c r="S694" s="14" t="n">
        <v>24</v>
      </c>
      <c r="T694" s="15" t="n">
        <f aca="false">F694*LOG10(S694+2)</f>
        <v>2.82994669594164</v>
      </c>
    </row>
    <row r="695" customFormat="false" ht="14.65" hidden="false" customHeight="true" outlineLevel="0" collapsed="false">
      <c r="A695" s="12" t="s">
        <v>767</v>
      </c>
      <c r="B695" s="13" t="n">
        <v>38887</v>
      </c>
      <c r="C695" s="3" t="s">
        <v>24</v>
      </c>
      <c r="D695" s="4" t="s">
        <v>765</v>
      </c>
      <c r="E695" s="3" t="n">
        <v>4</v>
      </c>
      <c r="F695" s="3" t="n">
        <v>4</v>
      </c>
      <c r="H695" s="3" t="n">
        <v>34</v>
      </c>
      <c r="I695" s="3" t="n">
        <f aca="false">_xlfn.IFS(G695="взв",11,G695="накл",24,G695="прокл",25,G695="пт",26,G695=90,10,G695=85,10,G695=80,9,G695=75,8,G695=70,8,G695=65,7,G695=60,7,G695=55,6,G695=50,6,G695=45,6,G695=40,5,G695=35,4,G695=30,4,G695=25,3,G695=20,2,G695=15,1,G695=10,1,G695=0,0)</f>
        <v>0</v>
      </c>
      <c r="J695" s="3" t="n">
        <f aca="false">IF(H695&lt;=1,0,IF(H695&lt;=10,11,IF(H695&lt;=14,12,IF(H695&lt;=17,13,IF(H695&lt;=20,14,IF(H695&lt;=22,15,IF(H695&lt;=25,16,IF(H695&lt;=27,17,IF(H695&lt;=29,18,IF(H695&lt;=32,19,IF(H695&lt;=34,20,IF(H695&lt;=36,21,IF(H695&lt;=40,22,24)))))))))))))</f>
        <v>20</v>
      </c>
      <c r="L695" s="3" t="n">
        <v>35</v>
      </c>
      <c r="M695" s="3" t="n">
        <f aca="false">_xlfn.IFS(K695="взв",11,K695="накл",24,K695="прокл",25,K695="пт",26,K695=90,10,K695=85,10,K695=80,9,K695=75,8,K695=70,8,K695=65,7,K695=60,7,K695=55,6,K695=50,6,K695=45,6,K695=40,5,K695=35,4,K695=30,4,K695=25,3,K695=20,2,K695=15,1,K695=10,1,K695=0,0)</f>
        <v>0</v>
      </c>
      <c r="N695" s="3" t="n">
        <f aca="false">IF(L695&lt;=1,0,IF(L695&lt;=10,11,IF(L695&lt;=14,12,IF(L695&lt;=17,13,IF(L695&lt;=20,14,IF(L695&lt;=22,15,IF(L695&lt;=25,16,IF(L695&lt;=27,17,IF(L695&lt;=29,18,IF(L695&lt;=32,19,IF(L695&lt;=34,20,IF(L695&lt;=36,21,IF(L695&lt;=40,22,24)))))))))))))</f>
        <v>21</v>
      </c>
      <c r="P695" s="3" t="n">
        <v>36</v>
      </c>
      <c r="Q695" s="3" t="n">
        <f aca="false">_xlfn.IFS(O695="взв",11,O695="накл",24,O695="прокл",25,O695="пт",26,O695=90,10,O695=85,10,O695=80,9,O695=75,8,O695=70,8,O695=65,7,O695=60,7,O695=55,6,O695=50,6,O695=45,6,O695=40,5,O695=35,4,O695=30,4,O695=25,3,O695=20,2,O695=15,1,O695=10,1,O695=0,0)</f>
        <v>0</v>
      </c>
      <c r="R695" s="3" t="n">
        <f aca="false">IF(P695&lt;=1,0,IF(P695&lt;=10,11,IF(P695&lt;=14,12,IF(P695&lt;=17,13,IF(P695&lt;=20,14,IF(P695&lt;=22,15,IF(P695&lt;=25,16,IF(P695&lt;=27,17,IF(P695&lt;=29,18,IF(P695&lt;=32,19,IF(P695&lt;=34,20,IF(P695&lt;=36,21,IF(P695&lt;=40,22,24)))))))))))))</f>
        <v>21</v>
      </c>
      <c r="S695" s="14" t="n">
        <f aca="false">ROUND((Q695+R695+I695+J695+M695+N695)/3,0)</f>
        <v>21</v>
      </c>
      <c r="T695" s="15" t="n">
        <f aca="false">F695*LOG10(S695+2)</f>
        <v>5.44691134407037</v>
      </c>
    </row>
    <row r="696" customFormat="false" ht="14.65" hidden="false" customHeight="true" outlineLevel="0" collapsed="false">
      <c r="A696" s="12" t="s">
        <v>768</v>
      </c>
      <c r="B696" s="13" t="n">
        <v>38887</v>
      </c>
      <c r="C696" s="3" t="s">
        <v>24</v>
      </c>
      <c r="D696" s="4" t="s">
        <v>765</v>
      </c>
      <c r="E696" s="3" t="n">
        <v>5</v>
      </c>
      <c r="F696" s="3" t="n">
        <v>7</v>
      </c>
      <c r="H696" s="3" t="n">
        <v>21</v>
      </c>
      <c r="I696" s="3" t="n">
        <f aca="false">_xlfn.IFS(G696="взв",11,G696="накл",24,G696="прокл",25,G696="пт",26,G696=90,10,G696=85,10,G696=80,9,G696=75,8,G696=70,8,G696=65,7,G696=60,7,G696=55,6,G696=50,6,G696=45,6,G696=40,5,G696=35,4,G696=30,4,G696=25,3,G696=20,2,G696=15,1,G696=10,1,G696=0,0)</f>
        <v>0</v>
      </c>
      <c r="J696" s="3" t="n">
        <f aca="false">IF(H696&lt;=1,0,IF(H696&lt;=10,11,IF(H696&lt;=14,12,IF(H696&lt;=17,13,IF(H696&lt;=20,14,IF(H696&lt;=22,15,IF(H696&lt;=25,16,IF(H696&lt;=27,17,IF(H696&lt;=29,18,IF(H696&lt;=32,19,IF(H696&lt;=34,20,IF(H696&lt;=36,21,IF(H696&lt;=40,22,24)))))))))))))</f>
        <v>15</v>
      </c>
      <c r="L696" s="3" t="n">
        <v>30</v>
      </c>
      <c r="M696" s="3" t="n">
        <f aca="false">_xlfn.IFS(K696="взв",11,K696="накл",24,K696="прокл",25,K696="пт",26,K696=90,10,K696=85,10,K696=80,9,K696=75,8,K696=70,8,K696=65,7,K696=60,7,K696=55,6,K696=50,6,K696=45,6,K696=40,5,K696=35,4,K696=30,4,K696=25,3,K696=20,2,K696=15,1,K696=10,1,K696=0,0)</f>
        <v>0</v>
      </c>
      <c r="N696" s="3" t="n">
        <f aca="false">IF(L696&lt;=1,0,IF(L696&lt;=10,11,IF(L696&lt;=14,12,IF(L696&lt;=17,13,IF(L696&lt;=20,14,IF(L696&lt;=22,15,IF(L696&lt;=25,16,IF(L696&lt;=27,17,IF(L696&lt;=29,18,IF(L696&lt;=32,19,IF(L696&lt;=34,20,IF(L696&lt;=36,21,IF(L696&lt;=40,22,24)))))))))))))</f>
        <v>19</v>
      </c>
      <c r="P696" s="3" t="n">
        <v>28</v>
      </c>
      <c r="Q696" s="3" t="n">
        <f aca="false">_xlfn.IFS(O696="взв",11,O696="накл",24,O696="прокл",25,O696="пт",26,O696=90,10,O696=85,10,O696=80,9,O696=75,8,O696=70,8,O696=65,7,O696=60,7,O696=55,6,O696=50,6,O696=45,6,O696=40,5,O696=35,4,O696=30,4,O696=25,3,O696=20,2,O696=15,1,O696=10,1,O696=0,0)</f>
        <v>0</v>
      </c>
      <c r="R696" s="3" t="n">
        <f aca="false">IF(P696&lt;=1,0,IF(P696&lt;=10,11,IF(P696&lt;=14,12,IF(P696&lt;=17,13,IF(P696&lt;=20,14,IF(P696&lt;=22,15,IF(P696&lt;=25,16,IF(P696&lt;=27,17,IF(P696&lt;=29,18,IF(P696&lt;=32,19,IF(P696&lt;=34,20,IF(P696&lt;=36,21,IF(P696&lt;=40,22,24)))))))))))))</f>
        <v>18</v>
      </c>
      <c r="S696" s="14" t="n">
        <f aca="false">ROUND((Q696+R696+I696+J696+M696+N696)/3,0)</f>
        <v>17</v>
      </c>
      <c r="T696" s="15" t="n">
        <f aca="false">F696*LOG10(S696+2)</f>
        <v>8.9512752066698</v>
      </c>
    </row>
    <row r="697" customFormat="false" ht="14.65" hidden="false" customHeight="true" outlineLevel="0" collapsed="false">
      <c r="A697" s="12" t="s">
        <v>769</v>
      </c>
      <c r="B697" s="13" t="n">
        <v>38887</v>
      </c>
      <c r="C697" s="3" t="s">
        <v>24</v>
      </c>
      <c r="D697" s="4" t="s">
        <v>765</v>
      </c>
      <c r="E697" s="3" t="n">
        <v>4</v>
      </c>
      <c r="F697" s="3" t="n">
        <v>7</v>
      </c>
      <c r="H697" s="3" t="n">
        <v>37</v>
      </c>
      <c r="I697" s="3" t="n">
        <f aca="false">_xlfn.IFS(G697="взв",11,G697="накл",24,G697="прокл",25,G697="пт",26,G697=90,10,G697=85,10,G697=80,9,G697=75,8,G697=70,8,G697=65,7,G697=60,7,G697=55,6,G697=50,6,G697=45,6,G697=40,5,G697=35,4,G697=30,4,G697=25,3,G697=20,2,G697=15,1,G697=10,1,G697=0,0)</f>
        <v>0</v>
      </c>
      <c r="J697" s="3" t="n">
        <f aca="false">IF(H697&lt;=1,0,IF(H697&lt;=10,11,IF(H697&lt;=14,12,IF(H697&lt;=17,13,IF(H697&lt;=20,14,IF(H697&lt;=22,15,IF(H697&lt;=25,16,IF(H697&lt;=27,17,IF(H697&lt;=29,18,IF(H697&lt;=32,19,IF(H697&lt;=34,20,IF(H697&lt;=36,21,IF(H697&lt;=40,22,24)))))))))))))</f>
        <v>22</v>
      </c>
      <c r="L697" s="3" t="n">
        <v>36</v>
      </c>
      <c r="M697" s="3" t="n">
        <f aca="false">_xlfn.IFS(K697="взв",11,K697="накл",24,K697="прокл",25,K697="пт",26,K697=90,10,K697=85,10,K697=80,9,K697=75,8,K697=70,8,K697=65,7,K697=60,7,K697=55,6,K697=50,6,K697=45,6,K697=40,5,K697=35,4,K697=30,4,K697=25,3,K697=20,2,K697=15,1,K697=10,1,K697=0,0)</f>
        <v>0</v>
      </c>
      <c r="N697" s="3" t="n">
        <f aca="false">IF(L697&lt;=1,0,IF(L697&lt;=10,11,IF(L697&lt;=14,12,IF(L697&lt;=17,13,IF(L697&lt;=20,14,IF(L697&lt;=22,15,IF(L697&lt;=25,16,IF(L697&lt;=27,17,IF(L697&lt;=29,18,IF(L697&lt;=32,19,IF(L697&lt;=34,20,IF(L697&lt;=36,21,IF(L697&lt;=40,22,24)))))))))))))</f>
        <v>21</v>
      </c>
      <c r="P697" s="3" t="n">
        <v>37</v>
      </c>
      <c r="Q697" s="3" t="n">
        <f aca="false">_xlfn.IFS(O697="взв",11,O697="накл",24,O697="прокл",25,O697="пт",26,O697=90,10,O697=85,10,O697=80,9,O697=75,8,O697=70,8,O697=65,7,O697=60,7,O697=55,6,O697=50,6,O697=45,6,O697=40,5,O697=35,4,O697=30,4,O697=25,3,O697=20,2,O697=15,1,O697=10,1,O697=0,0)</f>
        <v>0</v>
      </c>
      <c r="R697" s="3" t="n">
        <f aca="false">IF(P697&lt;=1,0,IF(P697&lt;=10,11,IF(P697&lt;=14,12,IF(P697&lt;=17,13,IF(P697&lt;=20,14,IF(P697&lt;=22,15,IF(P697&lt;=25,16,IF(P697&lt;=27,17,IF(P697&lt;=29,18,IF(P697&lt;=32,19,IF(P697&lt;=34,20,IF(P697&lt;=36,21,IF(P697&lt;=40,22,24)))))))))))))</f>
        <v>22</v>
      </c>
      <c r="S697" s="14" t="n">
        <f aca="false">ROUND((Q697+R697+I697+J697+M697+N697)/3,0)</f>
        <v>22</v>
      </c>
      <c r="T697" s="15" t="n">
        <f aca="false">F697*LOG10(S697+2)</f>
        <v>9.66147869198124</v>
      </c>
    </row>
    <row r="698" customFormat="false" ht="14.65" hidden="false" customHeight="true" outlineLevel="0" collapsed="false">
      <c r="A698" s="12" t="s">
        <v>770</v>
      </c>
      <c r="B698" s="13" t="n">
        <v>38887</v>
      </c>
      <c r="C698" s="3" t="s">
        <v>24</v>
      </c>
      <c r="D698" s="4" t="s">
        <v>765</v>
      </c>
      <c r="E698" s="3" t="n">
        <v>3</v>
      </c>
      <c r="F698" s="3" t="n">
        <v>10</v>
      </c>
      <c r="G698" s="3" t="s">
        <v>47</v>
      </c>
      <c r="I698" s="3" t="n">
        <f aca="false">_xlfn.IFS(G698="взв",11,G698="накл",24,G698="прокл",25,G698="пт",26,G698=90,10,G698=85,10,G698=80,9,G698=75,8,G698=70,8,G698=65,7,G698=60,7,G698=55,6,G698=50,6,G698=45,6,G698=40,5,G698=35,4,G698=30,4,G698=25,3,G698=20,2,G698=15,1,G698=10,1,G698=0,0)</f>
        <v>25</v>
      </c>
      <c r="J698" s="3" t="n">
        <f aca="false">IF(H698&lt;=1,0,IF(H698&lt;=10,11,IF(H698&lt;=14,12,IF(H698&lt;=17,13,IF(H698&lt;=20,14,IF(H698&lt;=22,15,IF(H698&lt;=25,16,IF(H698&lt;=27,17,IF(H698&lt;=29,18,IF(H698&lt;=32,19,IF(H698&lt;=34,20,IF(H698&lt;=36,21,IF(H698&lt;=40,22,24)))))))))))))</f>
        <v>0</v>
      </c>
      <c r="K698" s="3" t="s">
        <v>27</v>
      </c>
      <c r="L698" s="0"/>
      <c r="M698" s="3" t="n">
        <f aca="false">_xlfn.IFS(K698="взв",11,K698="накл",24,K698="прокл",25,K698="пт",26,K698=90,10,K698=85,10,K698=80,9,K698=75,8,K698=70,8,K698=65,7,K698=60,7,K698=55,6,K698=50,6,K698=45,6,K698=40,5,K698=35,4,K698=30,4,K698=25,3,K698=20,2,K698=15,1,K698=10,1,K698=0,0)</f>
        <v>24</v>
      </c>
      <c r="N698" s="3" t="n">
        <f aca="false">IF(L698&lt;=1,0,IF(L698&lt;=10,11,IF(L698&lt;=14,12,IF(L698&lt;=17,13,IF(L698&lt;=20,14,IF(L698&lt;=22,15,IF(L698&lt;=25,16,IF(L698&lt;=27,17,IF(L698&lt;=29,18,IF(L698&lt;=32,19,IF(L698&lt;=34,20,IF(L698&lt;=36,21,IF(L698&lt;=40,22,24)))))))))))))</f>
        <v>0</v>
      </c>
      <c r="Q698" s="3" t="n">
        <f aca="false">_xlfn.IFS(O698="взв",11,O698="накл",24,O698="прокл",25,O698="пт",26,O698=90,10,O698=85,10,O698=80,9,O698=75,8,O698=70,8,O698=65,7,O698=60,7,O698=55,6,O698=50,6,O698=45,6,O698=40,5,O698=35,4,O698=30,4,O698=25,3,O698=20,2,O698=15,1,O698=10,1,O698=0,0)</f>
        <v>0</v>
      </c>
      <c r="R698" s="3" t="n">
        <f aca="false">IF(P698&lt;=1,0,IF(P698&lt;=10,11,IF(P698&lt;=14,12,IF(P698&lt;=17,13,IF(P698&lt;=20,14,IF(P698&lt;=22,15,IF(P698&lt;=25,16,IF(P698&lt;=27,17,IF(P698&lt;=29,18,IF(P698&lt;=32,19,IF(P698&lt;=34,20,IF(P698&lt;=36,21,IF(P698&lt;=40,22,24)))))))))))))</f>
        <v>0</v>
      </c>
      <c r="S698" s="14" t="n">
        <f aca="false">ROUND((Q698+R698+I698+J698+M698+N698)/3,0)</f>
        <v>16</v>
      </c>
      <c r="T698" s="15" t="n">
        <f aca="false">F698*LOG10(S698+2)</f>
        <v>12.5527250510331</v>
      </c>
    </row>
    <row r="699" customFormat="false" ht="14.65" hidden="false" customHeight="true" outlineLevel="0" collapsed="false">
      <c r="A699" s="12" t="s">
        <v>771</v>
      </c>
      <c r="B699" s="13" t="n">
        <v>38887</v>
      </c>
      <c r="C699" s="3" t="s">
        <v>24</v>
      </c>
      <c r="D699" s="4" t="s">
        <v>765</v>
      </c>
      <c r="E699" s="3" t="n">
        <v>5</v>
      </c>
      <c r="F699" s="3" t="n">
        <v>0</v>
      </c>
      <c r="H699" s="3" t="n">
        <v>39</v>
      </c>
      <c r="I699" s="3" t="n">
        <f aca="false">_xlfn.IFS(G699="взв",11,G699="накл",24,G699="прокл",25,G699="пт",26,G699=90,10,G699=85,10,G699=80,9,G699=75,8,G699=70,8,G699=65,7,G699=60,7,G699=55,6,G699=50,6,G699=45,6,G699=40,5,G699=35,4,G699=30,4,G699=25,3,G699=20,2,G699=15,1,G699=10,1,G699=0,0)</f>
        <v>0</v>
      </c>
      <c r="J699" s="3" t="n">
        <f aca="false">IF(H699&lt;=1,0,IF(H699&lt;=10,11,IF(H699&lt;=14,12,IF(H699&lt;=17,13,IF(H699&lt;=20,14,IF(H699&lt;=22,15,IF(H699&lt;=25,16,IF(H699&lt;=27,17,IF(H699&lt;=29,18,IF(H699&lt;=32,19,IF(H699&lt;=34,20,IF(H699&lt;=36,21,IF(H699&lt;=40,22,24)))))))))))))</f>
        <v>22</v>
      </c>
      <c r="L699" s="3" t="n">
        <v>38</v>
      </c>
      <c r="M699" s="3" t="n">
        <f aca="false">_xlfn.IFS(K699="взв",11,K699="накл",24,K699="прокл",25,K699="пт",26,K699=90,10,K699=85,10,K699=80,9,K699=75,8,K699=70,8,K699=65,7,K699=60,7,K699=55,6,K699=50,6,K699=45,6,K699=40,5,K699=35,4,K699=30,4,K699=25,3,K699=20,2,K699=15,1,K699=10,1,K699=0,0)</f>
        <v>0</v>
      </c>
      <c r="N699" s="3" t="n">
        <f aca="false">IF(L699&lt;=1,0,IF(L699&lt;=10,11,IF(L699&lt;=14,12,IF(L699&lt;=17,13,IF(L699&lt;=20,14,IF(L699&lt;=22,15,IF(L699&lt;=25,16,IF(L699&lt;=27,17,IF(L699&lt;=29,18,IF(L699&lt;=32,19,IF(L699&lt;=34,20,IF(L699&lt;=36,21,IF(L699&lt;=40,22,24)))))))))))))</f>
        <v>22</v>
      </c>
      <c r="P699" s="3" t="n">
        <v>39</v>
      </c>
      <c r="Q699" s="3" t="n">
        <f aca="false">_xlfn.IFS(O699="взв",11,O699="накл",24,O699="прокл",25,O699="пт",26,O699=90,10,O699=85,10,O699=80,9,O699=75,8,O699=70,8,O699=65,7,O699=60,7,O699=55,6,O699=50,6,O699=45,6,O699=40,5,O699=35,4,O699=30,4,O699=25,3,O699=20,2,O699=15,1,O699=10,1,O699=0,0)</f>
        <v>0</v>
      </c>
      <c r="R699" s="3" t="n">
        <f aca="false">IF(P699&lt;=1,0,IF(P699&lt;=10,11,IF(P699&lt;=14,12,IF(P699&lt;=17,13,IF(P699&lt;=20,14,IF(P699&lt;=22,15,IF(P699&lt;=25,16,IF(P699&lt;=27,17,IF(P699&lt;=29,18,IF(P699&lt;=32,19,IF(P699&lt;=34,20,IF(P699&lt;=36,21,IF(P699&lt;=40,22,24)))))))))))))</f>
        <v>22</v>
      </c>
      <c r="S699" s="14" t="n">
        <f aca="false">ROUND((Q699+R699+I699+J699+M699+N699)/3,0)</f>
        <v>22</v>
      </c>
      <c r="T699" s="15" t="n">
        <f aca="false">F699*LOG10(S699+2)</f>
        <v>0</v>
      </c>
    </row>
    <row r="700" customFormat="false" ht="14.65" hidden="false" customHeight="true" outlineLevel="0" collapsed="false">
      <c r="A700" s="12" t="s">
        <v>772</v>
      </c>
      <c r="B700" s="13" t="n">
        <v>38887</v>
      </c>
      <c r="C700" s="3" t="s">
        <v>24</v>
      </c>
      <c r="D700" s="4" t="s">
        <v>773</v>
      </c>
      <c r="E700" s="3" t="n">
        <v>4</v>
      </c>
      <c r="F700" s="3" t="n">
        <v>1</v>
      </c>
      <c r="G700" s="3" t="n">
        <v>90</v>
      </c>
      <c r="I700" s="3" t="n">
        <f aca="false">_xlfn.IFS(G700="взв",11,G700="накл",24,G700="прокл",25,G700="пт",26,G700=90,10,G700=85,10,G700=80,9,G700=75,8,G700=70,8,G700=65,7,G700=60,7,G700=55,6,G700=50,6,G700=45,6,G700=40,5,G700=35,4,G700=30,4,G700=25,3,G700=20,2,G700=15,1,G700=10,1,G700=0,0)</f>
        <v>10</v>
      </c>
      <c r="J700" s="3" t="n">
        <f aca="false">IF(H700&lt;=1,0,IF(H700&lt;=10,11,IF(H700&lt;=14,12,IF(H700&lt;=17,13,IF(H700&lt;=20,14,IF(H700&lt;=22,15,IF(H700&lt;=25,16,IF(H700&lt;=27,17,IF(H700&lt;=29,18,IF(H700&lt;=32,19,IF(H700&lt;=34,20,IF(H700&lt;=36,21,IF(H700&lt;=40,22,24)))))))))))))</f>
        <v>0</v>
      </c>
      <c r="L700" s="3" t="n">
        <v>24</v>
      </c>
      <c r="M700" s="3" t="n">
        <f aca="false">_xlfn.IFS(K700="взв",11,K700="накл",24,K700="прокл",25,K700="пт",26,K700=90,10,K700=85,10,K700=80,9,K700=75,8,K700=70,8,K700=65,7,K700=60,7,K700=55,6,K700=50,6,K700=45,6,K700=40,5,K700=35,4,K700=30,4,K700=25,3,K700=20,2,K700=15,1,K700=10,1,K700=0,0)</f>
        <v>0</v>
      </c>
      <c r="N700" s="3" t="n">
        <f aca="false">IF(L700&lt;=1,0,IF(L700&lt;=10,11,IF(L700&lt;=14,12,IF(L700&lt;=17,13,IF(L700&lt;=20,14,IF(L700&lt;=22,15,IF(L700&lt;=25,16,IF(L700&lt;=27,17,IF(L700&lt;=29,18,IF(L700&lt;=32,19,IF(L700&lt;=34,20,IF(L700&lt;=36,21,IF(L700&lt;=40,22,24)))))))))))))</f>
        <v>16</v>
      </c>
      <c r="P700" s="3" t="n">
        <v>27</v>
      </c>
      <c r="Q700" s="3" t="n">
        <f aca="false">_xlfn.IFS(O700="взв",11,O700="накл",24,O700="прокл",25,O700="пт",26,O700=90,10,O700=85,10,O700=80,9,O700=75,8,O700=70,8,O700=65,7,O700=60,7,O700=55,6,O700=50,6,O700=45,6,O700=40,5,O700=35,4,O700=30,4,O700=25,3,O700=20,2,O700=15,1,O700=10,1,O700=0,0)</f>
        <v>0</v>
      </c>
      <c r="R700" s="3" t="n">
        <f aca="false">IF(P700&lt;=1,0,IF(P700&lt;=10,11,IF(P700&lt;=14,12,IF(P700&lt;=17,13,IF(P700&lt;=20,14,IF(P700&lt;=22,15,IF(P700&lt;=25,16,IF(P700&lt;=27,17,IF(P700&lt;=29,18,IF(P700&lt;=32,19,IF(P700&lt;=34,20,IF(P700&lt;=36,21,IF(P700&lt;=40,22,24)))))))))))))</f>
        <v>17</v>
      </c>
      <c r="S700" s="14" t="n">
        <f aca="false">ROUND((Q700+R700+I700+J700+M700+N700)/3,0)</f>
        <v>14</v>
      </c>
      <c r="T700" s="15" t="n">
        <f aca="false">F700*LOG10(S700+2)</f>
        <v>1.20411998265592</v>
      </c>
    </row>
    <row r="701" customFormat="false" ht="14.65" hidden="false" customHeight="true" outlineLevel="0" collapsed="false">
      <c r="A701" s="12" t="s">
        <v>774</v>
      </c>
      <c r="B701" s="13" t="n">
        <v>38887</v>
      </c>
      <c r="C701" s="3" t="s">
        <v>24</v>
      </c>
      <c r="D701" s="4" t="s">
        <v>773</v>
      </c>
      <c r="E701" s="3" t="n">
        <v>3</v>
      </c>
      <c r="F701" s="3" t="n">
        <v>3</v>
      </c>
      <c r="H701" s="3" t="n">
        <v>34</v>
      </c>
      <c r="I701" s="3" t="n">
        <f aca="false">_xlfn.IFS(G701="взв",11,G701="накл",24,G701="прокл",25,G701="пт",26,G701=90,10,G701=85,10,G701=80,9,G701=75,8,G701=70,8,G701=65,7,G701=60,7,G701=55,6,G701=50,6,G701=45,6,G701=40,5,G701=35,4,G701=30,4,G701=25,3,G701=20,2,G701=15,1,G701=10,1,G701=0,0)</f>
        <v>0</v>
      </c>
      <c r="J701" s="3" t="n">
        <f aca="false">IF(H701&lt;=1,0,IF(H701&lt;=10,11,IF(H701&lt;=14,12,IF(H701&lt;=17,13,IF(H701&lt;=20,14,IF(H701&lt;=22,15,IF(H701&lt;=25,16,IF(H701&lt;=27,17,IF(H701&lt;=29,18,IF(H701&lt;=32,19,IF(H701&lt;=34,20,IF(H701&lt;=36,21,IF(H701&lt;=40,22,24)))))))))))))</f>
        <v>20</v>
      </c>
      <c r="L701" s="3" t="n">
        <v>33</v>
      </c>
      <c r="M701" s="3" t="n">
        <f aca="false">_xlfn.IFS(K701="взв",11,K701="накл",24,K701="прокл",25,K701="пт",26,K701=90,10,K701=85,10,K701=80,9,K701=75,8,K701=70,8,K701=65,7,K701=60,7,K701=55,6,K701=50,6,K701=45,6,K701=40,5,K701=35,4,K701=30,4,K701=25,3,K701=20,2,K701=15,1,K701=10,1,K701=0,0)</f>
        <v>0</v>
      </c>
      <c r="N701" s="3" t="n">
        <f aca="false">IF(L701&lt;=1,0,IF(L701&lt;=10,11,IF(L701&lt;=14,12,IF(L701&lt;=17,13,IF(L701&lt;=20,14,IF(L701&lt;=22,15,IF(L701&lt;=25,16,IF(L701&lt;=27,17,IF(L701&lt;=29,18,IF(L701&lt;=32,19,IF(L701&lt;=34,20,IF(L701&lt;=36,21,IF(L701&lt;=40,22,24)))))))))))))</f>
        <v>20</v>
      </c>
      <c r="Q701" s="3" t="n">
        <f aca="false">_xlfn.IFS(O701="взв",11,O701="накл",24,O701="прокл",25,O701="пт",26,O701=90,10,O701=85,10,O701=80,9,O701=75,8,O701=70,8,O701=65,7,O701=60,7,O701=55,6,O701=50,6,O701=45,6,O701=40,5,O701=35,4,O701=30,4,O701=25,3,O701=20,2,O701=15,1,O701=10,1,O701=0,0)</f>
        <v>0</v>
      </c>
      <c r="R701" s="3" t="n">
        <f aca="false">IF(P701&lt;=1,0,IF(P701&lt;=10,11,IF(P701&lt;=14,12,IF(P701&lt;=17,13,IF(P701&lt;=20,14,IF(P701&lt;=22,15,IF(P701&lt;=25,16,IF(P701&lt;=27,17,IF(P701&lt;=29,18,IF(P701&lt;=32,19,IF(P701&lt;=34,20,IF(P701&lt;=36,21,IF(P701&lt;=40,22,24)))))))))))))</f>
        <v>0</v>
      </c>
      <c r="S701" s="14" t="n">
        <f aca="false">ROUND((Q701+R701+I701+J701+M701+N701)/3,0)</f>
        <v>13</v>
      </c>
      <c r="T701" s="15" t="n">
        <f aca="false">F701*LOG10(S701+2)</f>
        <v>3.52827377716704</v>
      </c>
    </row>
    <row r="702" customFormat="false" ht="14.65" hidden="false" customHeight="true" outlineLevel="0" collapsed="false">
      <c r="A702" s="12" t="s">
        <v>775</v>
      </c>
      <c r="B702" s="13" t="n">
        <v>38887</v>
      </c>
      <c r="C702" s="3" t="s">
        <v>24</v>
      </c>
      <c r="D702" s="4" t="s">
        <v>773</v>
      </c>
      <c r="E702" s="3" t="n">
        <v>3</v>
      </c>
      <c r="F702" s="3" t="n">
        <v>7</v>
      </c>
      <c r="H702" s="3" t="n">
        <v>36</v>
      </c>
      <c r="I702" s="3" t="n">
        <f aca="false">_xlfn.IFS(G702="взв",11,G702="накл",24,G702="прокл",25,G702="пт",26,G702=90,10,G702=85,10,G702=80,9,G702=75,8,G702=70,8,G702=65,7,G702=60,7,G702=55,6,G702=50,6,G702=45,6,G702=40,5,G702=35,4,G702=30,4,G702=25,3,G702=20,2,G702=15,1,G702=10,1,G702=0,0)</f>
        <v>0</v>
      </c>
      <c r="J702" s="3" t="n">
        <f aca="false">IF(H702&lt;=1,0,IF(H702&lt;=10,11,IF(H702&lt;=14,12,IF(H702&lt;=17,13,IF(H702&lt;=20,14,IF(H702&lt;=22,15,IF(H702&lt;=25,16,IF(H702&lt;=27,17,IF(H702&lt;=29,18,IF(H702&lt;=32,19,IF(H702&lt;=34,20,IF(H702&lt;=36,21,IF(H702&lt;=40,22,24)))))))))))))</f>
        <v>21</v>
      </c>
      <c r="L702" s="3" t="n">
        <v>42</v>
      </c>
      <c r="M702" s="3" t="n">
        <f aca="false">_xlfn.IFS(K702="взв",11,K702="накл",24,K702="прокл",25,K702="пт",26,K702=90,10,K702=85,10,K702=80,9,K702=75,8,K702=70,8,K702=65,7,K702=60,7,K702=55,6,K702=50,6,K702=45,6,K702=40,5,K702=35,4,K702=30,4,K702=25,3,K702=20,2,K702=15,1,K702=10,1,K702=0,0)</f>
        <v>0</v>
      </c>
      <c r="N702" s="3" t="n">
        <f aca="false">IF(L702&lt;=1,0,IF(L702&lt;=10,11,IF(L702&lt;=14,12,IF(L702&lt;=17,13,IF(L702&lt;=20,14,IF(L702&lt;=22,15,IF(L702&lt;=25,16,IF(L702&lt;=27,17,IF(L702&lt;=29,18,IF(L702&lt;=32,19,IF(L702&lt;=34,20,IF(L702&lt;=36,21,IF(L702&lt;=40,22,24)))))))))))))</f>
        <v>24</v>
      </c>
      <c r="P702" s="3" t="n">
        <v>39</v>
      </c>
      <c r="Q702" s="3" t="n">
        <f aca="false">_xlfn.IFS(O702="взв",11,O702="накл",24,O702="прокл",25,O702="пт",26,O702=90,10,O702=85,10,O702=80,9,O702=75,8,O702=70,8,O702=65,7,O702=60,7,O702=55,6,O702=50,6,O702=45,6,O702=40,5,O702=35,4,O702=30,4,O702=25,3,O702=20,2,O702=15,1,O702=10,1,O702=0,0)</f>
        <v>0</v>
      </c>
      <c r="R702" s="3" t="n">
        <f aca="false">IF(P702&lt;=1,0,IF(P702&lt;=10,11,IF(P702&lt;=14,12,IF(P702&lt;=17,13,IF(P702&lt;=20,14,IF(P702&lt;=22,15,IF(P702&lt;=25,16,IF(P702&lt;=27,17,IF(P702&lt;=29,18,IF(P702&lt;=32,19,IF(P702&lt;=34,20,IF(P702&lt;=36,21,IF(P702&lt;=40,22,24)))))))))))))</f>
        <v>22</v>
      </c>
      <c r="S702" s="14" t="n">
        <f aca="false">ROUND((Q702+R702+I702+J702+M702+N702)/3,0)</f>
        <v>22</v>
      </c>
      <c r="T702" s="15" t="n">
        <f aca="false">F702*LOG10(S702+2)</f>
        <v>9.66147869198124</v>
      </c>
    </row>
    <row r="703" customFormat="false" ht="14.65" hidden="false" customHeight="true" outlineLevel="0" collapsed="false">
      <c r="A703" s="12" t="s">
        <v>776</v>
      </c>
      <c r="B703" s="13" t="n">
        <v>38887</v>
      </c>
      <c r="C703" s="3" t="s">
        <v>24</v>
      </c>
      <c r="D703" s="4" t="s">
        <v>773</v>
      </c>
      <c r="E703" s="3" t="n">
        <v>5</v>
      </c>
      <c r="F703" s="3" t="n">
        <v>0</v>
      </c>
      <c r="G703" s="3" t="s">
        <v>38</v>
      </c>
      <c r="I703" s="3" t="n">
        <f aca="false">_xlfn.IFS(G703="взв",11,G703="накл",24,G703="прокл",25,G703="пт",26,G703=90,10,G703=85,10,G703=80,9,G703=75,8,G703=70,8,G703=65,7,G703=60,7,G703=55,6,G703=50,6,G703=45,6,G703=40,5,G703=35,4,G703=30,4,G703=25,3,G703=20,2,G703=15,1,G703=10,1,G703=0,0)</f>
        <v>26</v>
      </c>
      <c r="J703" s="3" t="n">
        <f aca="false">IF(H703&lt;=1,0,IF(H703&lt;=10,11,IF(H703&lt;=14,12,IF(H703&lt;=17,13,IF(H703&lt;=20,14,IF(H703&lt;=22,15,IF(H703&lt;=25,16,IF(H703&lt;=27,17,IF(H703&lt;=29,18,IF(H703&lt;=32,19,IF(H703&lt;=34,20,IF(H703&lt;=36,21,IF(H703&lt;=40,22,24)))))))))))))</f>
        <v>0</v>
      </c>
      <c r="K703" s="3" t="s">
        <v>38</v>
      </c>
      <c r="M703" s="3" t="n">
        <f aca="false">_xlfn.IFS(K703="взв",11,K703="накл",24,K703="прокл",25,K703="пт",26,K703=90,10,K703=85,10,K703=80,9,K703=75,8,K703=70,8,K703=65,7,K703=60,7,K703=55,6,K703=50,6,K703=45,6,K703=40,5,K703=35,4,K703=30,4,K703=25,3,K703=20,2,K703=15,1,K703=10,1,K703=0,0)</f>
        <v>26</v>
      </c>
      <c r="N703" s="3" t="n">
        <f aca="false">IF(L703&lt;=1,0,IF(L703&lt;=10,11,IF(L703&lt;=14,12,IF(L703&lt;=17,13,IF(L703&lt;=20,14,IF(L703&lt;=22,15,IF(L703&lt;=25,16,IF(L703&lt;=27,17,IF(L703&lt;=29,18,IF(L703&lt;=32,19,IF(L703&lt;=34,20,IF(L703&lt;=36,21,IF(L703&lt;=40,22,24)))))))))))))</f>
        <v>0</v>
      </c>
      <c r="O703" s="3" t="s">
        <v>38</v>
      </c>
      <c r="Q703" s="3" t="n">
        <f aca="false">_xlfn.IFS(O703="взв",11,O703="накл",24,O703="прокл",25,O703="пт",26,O703=90,10,O703=85,10,O703=80,9,O703=75,8,O703=70,8,O703=65,7,O703=60,7,O703=55,6,O703=50,6,O703=45,6,O703=40,5,O703=35,4,O703=30,4,O703=25,3,O703=20,2,O703=15,1,O703=10,1,O703=0,0)</f>
        <v>26</v>
      </c>
      <c r="R703" s="3" t="n">
        <f aca="false">IF(P703&lt;=1,0,IF(P703&lt;=10,11,IF(P703&lt;=14,12,IF(P703&lt;=17,13,IF(P703&lt;=20,14,IF(P703&lt;=22,15,IF(P703&lt;=25,16,IF(P703&lt;=27,17,IF(P703&lt;=29,18,IF(P703&lt;=32,19,IF(P703&lt;=34,20,IF(P703&lt;=36,21,IF(P703&lt;=40,22,24)))))))))))))</f>
        <v>0</v>
      </c>
      <c r="S703" s="14" t="n">
        <f aca="false">ROUND((Q703+R703+I703+J703+M703+N703)/3,0)</f>
        <v>26</v>
      </c>
      <c r="T703" s="15" t="n">
        <f aca="false">F703*LOG10(S703+2)</f>
        <v>0</v>
      </c>
    </row>
    <row r="704" customFormat="false" ht="14.65" hidden="false" customHeight="true" outlineLevel="0" collapsed="false">
      <c r="A704" s="12" t="s">
        <v>777</v>
      </c>
      <c r="B704" s="13" t="n">
        <v>38887</v>
      </c>
      <c r="C704" s="3" t="s">
        <v>24</v>
      </c>
      <c r="D704" s="4" t="s">
        <v>773</v>
      </c>
      <c r="E704" s="3" t="n">
        <v>2</v>
      </c>
      <c r="F704" s="3" t="n">
        <v>0</v>
      </c>
      <c r="H704" s="3" t="n">
        <v>38</v>
      </c>
      <c r="I704" s="3" t="n">
        <f aca="false">_xlfn.IFS(G704="взв",11,G704="накл",24,G704="прокл",25,G704="пт",26,G704=90,10,G704=85,10,G704=80,9,G704=75,8,G704=70,8,G704=65,7,G704=60,7,G704=55,6,G704=50,6,G704=45,6,G704=40,5,G704=35,4,G704=30,4,G704=25,3,G704=20,2,G704=15,1,G704=10,1,G704=0,0)</f>
        <v>0</v>
      </c>
      <c r="J704" s="3" t="n">
        <f aca="false">IF(H704&lt;=1,0,IF(H704&lt;=10,11,IF(H704&lt;=14,12,IF(H704&lt;=17,13,IF(H704&lt;=20,14,IF(H704&lt;=22,15,IF(H704&lt;=25,16,IF(H704&lt;=27,17,IF(H704&lt;=29,18,IF(H704&lt;=32,19,IF(H704&lt;=34,20,IF(H704&lt;=36,21,IF(H704&lt;=40,22,24)))))))))))))</f>
        <v>22</v>
      </c>
      <c r="M704" s="3" t="n">
        <f aca="false">_xlfn.IFS(K704="взв",11,K704="накл",24,K704="прокл",25,K704="пт",26,K704=90,10,K704=85,10,K704=80,9,K704=75,8,K704=70,8,K704=65,7,K704=60,7,K704=55,6,K704=50,6,K704=45,6,K704=40,5,K704=35,4,K704=30,4,K704=25,3,K704=20,2,K704=15,1,K704=10,1,K704=0,0)</f>
        <v>0</v>
      </c>
      <c r="N704" s="3" t="n">
        <f aca="false">IF(L704&lt;=1,0,IF(L704&lt;=10,11,IF(L704&lt;=14,12,IF(L704&lt;=17,13,IF(L704&lt;=20,14,IF(L704&lt;=22,15,IF(L704&lt;=25,16,IF(L704&lt;=27,17,IF(L704&lt;=29,18,IF(L704&lt;=32,19,IF(L704&lt;=34,20,IF(L704&lt;=36,21,IF(L704&lt;=40,22,24)))))))))))))</f>
        <v>0</v>
      </c>
      <c r="Q704" s="3" t="n">
        <f aca="false">_xlfn.IFS(O704="взв",11,O704="накл",24,O704="прокл",25,O704="пт",26,O704=90,10,O704=85,10,O704=80,9,O704=75,8,O704=70,8,O704=65,7,O704=60,7,O704=55,6,O704=50,6,O704=45,6,O704=40,5,O704=35,4,O704=30,4,O704=25,3,O704=20,2,O704=15,1,O704=10,1,O704=0,0)</f>
        <v>0</v>
      </c>
      <c r="R704" s="3" t="n">
        <f aca="false">IF(P704&lt;=1,0,IF(P704&lt;=10,11,IF(P704&lt;=14,12,IF(P704&lt;=17,13,IF(P704&lt;=20,14,IF(P704&lt;=22,15,IF(P704&lt;=25,16,IF(P704&lt;=27,17,IF(P704&lt;=29,18,IF(P704&lt;=32,19,IF(P704&lt;=34,20,IF(P704&lt;=36,21,IF(P704&lt;=40,22,24)))))))))))))</f>
        <v>0</v>
      </c>
      <c r="S704" s="14" t="n">
        <v>22</v>
      </c>
      <c r="T704" s="15" t="n">
        <f aca="false">F704*LOG10(S704+2)</f>
        <v>0</v>
      </c>
    </row>
    <row r="705" customFormat="false" ht="14.65" hidden="false" customHeight="true" outlineLevel="0" collapsed="false">
      <c r="A705" s="12" t="s">
        <v>778</v>
      </c>
      <c r="B705" s="16" t="n">
        <v>38887</v>
      </c>
      <c r="C705" s="17" t="s">
        <v>228</v>
      </c>
      <c r="D705" s="18" t="s">
        <v>779</v>
      </c>
      <c r="E705" s="3" t="n">
        <v>2</v>
      </c>
      <c r="F705" s="3" t="n">
        <v>3</v>
      </c>
      <c r="G705" s="3" t="n">
        <v>75</v>
      </c>
      <c r="I705" s="3" t="n">
        <f aca="false">_xlfn.IFS(G705="взв",11,G705="накл",24,G705="прокл",25,G705="пт",26,G705=90,10,G705=85,10,G705=80,9,G705=75,8,G705=70,8,G705=65,7,G705=60,7,G705=55,6,G705=50,6,G705=45,6,G705=40,5,G705=35,4,G705=30,4,G705=25,3,G705=20,2,G705=15,1,G705=10,1,G705=0,0)</f>
        <v>8</v>
      </c>
      <c r="J705" s="3" t="n">
        <f aca="false">IF(H705&lt;=1,0,IF(H705&lt;=10,11,IF(H705&lt;=14,12,IF(H705&lt;=17,13,IF(H705&lt;=20,14,IF(H705&lt;=22,15,IF(H705&lt;=25,16,IF(H705&lt;=27,17,IF(H705&lt;=29,18,IF(H705&lt;=32,19,IF(H705&lt;=34,20,IF(H705&lt;=36,21,IF(H705&lt;=40,22,24)))))))))))))</f>
        <v>0</v>
      </c>
      <c r="L705" s="3" t="n">
        <v>30</v>
      </c>
      <c r="M705" s="3" t="n">
        <f aca="false">_xlfn.IFS(K705="взв",11,K705="накл",24,K705="прокл",25,K705="пт",26,K705=90,10,K705=85,10,K705=80,9,K705=75,8,K705=70,8,K705=65,7,K705=60,7,K705=55,6,K705=50,6,K705=45,6,K705=40,5,K705=35,4,K705=30,4,K705=25,3,K705=20,2,K705=15,1,K705=10,1,K705=0,0)</f>
        <v>0</v>
      </c>
      <c r="N705" s="3" t="n">
        <f aca="false">IF(L705&lt;=1,0,IF(L705&lt;=10,11,IF(L705&lt;=14,12,IF(L705&lt;=17,13,IF(L705&lt;=20,14,IF(L705&lt;=22,15,IF(L705&lt;=25,16,IF(L705&lt;=27,17,IF(L705&lt;=29,18,IF(L705&lt;=32,19,IF(L705&lt;=34,20,IF(L705&lt;=36,21,IF(L705&lt;=40,22,24)))))))))))))</f>
        <v>19</v>
      </c>
      <c r="Q705" s="3" t="n">
        <f aca="false">_xlfn.IFS(O705="взв",11,O705="накл",24,O705="прокл",25,O705="пт",26,O705=90,10,O705=85,10,O705=80,9,O705=75,8,O705=70,8,O705=65,7,O705=60,7,O705=55,6,O705=50,6,O705=45,6,O705=40,5,O705=35,4,O705=30,4,O705=25,3,O705=20,2,O705=15,1,O705=10,1,O705=0,0)</f>
        <v>0</v>
      </c>
      <c r="R705" s="3" t="n">
        <f aca="false">IF(P705&lt;=1,0,IF(P705&lt;=10,11,IF(P705&lt;=14,12,IF(P705&lt;=17,13,IF(P705&lt;=20,14,IF(P705&lt;=22,15,IF(P705&lt;=25,16,IF(P705&lt;=27,17,IF(P705&lt;=29,18,IF(P705&lt;=32,19,IF(P705&lt;=34,20,IF(P705&lt;=36,21,IF(P705&lt;=40,22,24)))))))))))))</f>
        <v>0</v>
      </c>
      <c r="S705" s="14" t="n">
        <f aca="false">ROUND((Q705+R705+I705+J705+M705+N705)/3,0)</f>
        <v>9</v>
      </c>
      <c r="T705" s="15" t="n">
        <f aca="false">F705*LOG10(S705+2)</f>
        <v>3.12417805547468</v>
      </c>
    </row>
    <row r="706" customFormat="false" ht="14.65" hidden="false" customHeight="true" outlineLevel="0" collapsed="false">
      <c r="A706" s="12" t="s">
        <v>780</v>
      </c>
      <c r="B706" s="16" t="n">
        <v>38887</v>
      </c>
      <c r="C706" s="17" t="s">
        <v>228</v>
      </c>
      <c r="D706" s="18" t="s">
        <v>779</v>
      </c>
      <c r="E706" s="3" t="n">
        <v>5</v>
      </c>
      <c r="F706" s="3" t="n">
        <v>6</v>
      </c>
      <c r="H706" s="3" t="n">
        <v>27</v>
      </c>
      <c r="I706" s="3" t="n">
        <f aca="false">_xlfn.IFS(G706="взв",11,G706="накл",24,G706="прокл",25,G706="пт",26,G706=90,10,G706=85,10,G706=80,9,G706=75,8,G706=70,8,G706=65,7,G706=60,7,G706=55,6,G706=50,6,G706=45,6,G706=40,5,G706=35,4,G706=30,4,G706=25,3,G706=20,2,G706=15,1,G706=10,1,G706=0,0)</f>
        <v>0</v>
      </c>
      <c r="J706" s="3" t="n">
        <f aca="false">IF(H706&lt;=1,0,IF(H706&lt;=10,11,IF(H706&lt;=14,12,IF(H706&lt;=17,13,IF(H706&lt;=20,14,IF(H706&lt;=22,15,IF(H706&lt;=25,16,IF(H706&lt;=27,17,IF(H706&lt;=29,18,IF(H706&lt;=32,19,IF(H706&lt;=34,20,IF(H706&lt;=36,21,IF(H706&lt;=40,22,24)))))))))))))</f>
        <v>17</v>
      </c>
      <c r="L706" s="3" t="n">
        <v>29</v>
      </c>
      <c r="M706" s="3" t="n">
        <f aca="false">_xlfn.IFS(K706="взв",11,K706="накл",24,K706="прокл",25,K706="пт",26,K706=90,10,K706=85,10,K706=80,9,K706=75,8,K706=70,8,K706=65,7,K706=60,7,K706=55,6,K706=50,6,K706=45,6,K706=40,5,K706=35,4,K706=30,4,K706=25,3,K706=20,2,K706=15,1,K706=10,1,K706=0,0)</f>
        <v>0</v>
      </c>
      <c r="N706" s="3" t="n">
        <f aca="false">IF(L706&lt;=1,0,IF(L706&lt;=10,11,IF(L706&lt;=14,12,IF(L706&lt;=17,13,IF(L706&lt;=20,14,IF(L706&lt;=22,15,IF(L706&lt;=25,16,IF(L706&lt;=27,17,IF(L706&lt;=29,18,IF(L706&lt;=32,19,IF(L706&lt;=34,20,IF(L706&lt;=36,21,IF(L706&lt;=40,22,24)))))))))))))</f>
        <v>18</v>
      </c>
      <c r="P706" s="3" t="n">
        <v>29</v>
      </c>
      <c r="Q706" s="3" t="n">
        <f aca="false">_xlfn.IFS(O706="взв",11,O706="накл",24,O706="прокл",25,O706="пт",26,O706=90,10,O706=85,10,O706=80,9,O706=75,8,O706=70,8,O706=65,7,O706=60,7,O706=55,6,O706=50,6,O706=45,6,O706=40,5,O706=35,4,O706=30,4,O706=25,3,O706=20,2,O706=15,1,O706=10,1,O706=0,0)</f>
        <v>0</v>
      </c>
      <c r="R706" s="3" t="n">
        <f aca="false">IF(P706&lt;=1,0,IF(P706&lt;=10,11,IF(P706&lt;=14,12,IF(P706&lt;=17,13,IF(P706&lt;=20,14,IF(P706&lt;=22,15,IF(P706&lt;=25,16,IF(P706&lt;=27,17,IF(P706&lt;=29,18,IF(P706&lt;=32,19,IF(P706&lt;=34,20,IF(P706&lt;=36,21,IF(P706&lt;=40,22,24)))))))))))))</f>
        <v>18</v>
      </c>
      <c r="S706" s="14" t="n">
        <f aca="false">ROUND((Q706+R706+I706+J706+M706+N706)/3,0)</f>
        <v>18</v>
      </c>
      <c r="T706" s="15" t="n">
        <f aca="false">F706*LOG10(S706+2)</f>
        <v>7.80617997398389</v>
      </c>
    </row>
    <row r="707" customFormat="false" ht="14.65" hidden="false" customHeight="true" outlineLevel="0" collapsed="false">
      <c r="A707" s="12" t="s">
        <v>781</v>
      </c>
      <c r="B707" s="16" t="n">
        <v>38887</v>
      </c>
      <c r="C707" s="17" t="s">
        <v>228</v>
      </c>
      <c r="D707" s="18" t="s">
        <v>782</v>
      </c>
      <c r="E707" s="3" t="n">
        <v>4</v>
      </c>
      <c r="F707" s="3" t="n">
        <v>1.5</v>
      </c>
      <c r="G707" s="3" t="n">
        <v>75</v>
      </c>
      <c r="I707" s="3" t="n">
        <f aca="false">_xlfn.IFS(G707="взв",11,G707="накл",24,G707="прокл",25,G707="пт",26,G707=90,10,G707=85,10,G707=80,9,G707=75,8,G707=70,8,G707=65,7,G707=60,7,G707=55,6,G707=50,6,G707=45,6,G707=40,5,G707=35,4,G707=30,4,G707=25,3,G707=20,2,G707=15,1,G707=10,1,G707=0,0)</f>
        <v>8</v>
      </c>
      <c r="J707" s="3" t="n">
        <f aca="false">IF(H707&lt;=1,0,IF(H707&lt;=10,11,IF(H707&lt;=14,12,IF(H707&lt;=17,13,IF(H707&lt;=20,14,IF(H707&lt;=22,15,IF(H707&lt;=25,16,IF(H707&lt;=27,17,IF(H707&lt;=29,18,IF(H707&lt;=32,19,IF(H707&lt;=34,20,IF(H707&lt;=36,21,IF(H707&lt;=40,22,24)))))))))))))</f>
        <v>0</v>
      </c>
      <c r="K707" s="3" t="n">
        <v>75</v>
      </c>
      <c r="M707" s="3" t="n">
        <f aca="false">_xlfn.IFS(K707="взв",11,K707="накл",24,K707="прокл",25,K707="пт",26,K707=90,10,K707=85,10,K707=80,9,K707=75,8,K707=70,8,K707=65,7,K707=60,7,K707=55,6,K707=50,6,K707=45,6,K707=40,5,K707=35,4,K707=30,4,K707=25,3,K707=20,2,K707=15,1,K707=10,1,K707=0,0)</f>
        <v>8</v>
      </c>
      <c r="N707" s="3" t="n">
        <f aca="false">IF(L707&lt;=1,0,IF(L707&lt;=10,11,IF(L707&lt;=14,12,IF(L707&lt;=17,13,IF(L707&lt;=20,14,IF(L707&lt;=22,15,IF(L707&lt;=25,16,IF(L707&lt;=27,17,IF(L707&lt;=29,18,IF(L707&lt;=32,19,IF(L707&lt;=34,20,IF(L707&lt;=36,21,IF(L707&lt;=40,22,24)))))))))))))</f>
        <v>0</v>
      </c>
      <c r="O707" s="3" t="n">
        <v>60</v>
      </c>
      <c r="Q707" s="3" t="n">
        <f aca="false">_xlfn.IFS(O707="взв",11,O707="накл",24,O707="прокл",25,O707="пт",26,O707=90,10,O707=85,10,O707=80,9,O707=75,8,O707=70,8,O707=65,7,O707=60,7,O707=55,6,O707=50,6,O707=45,6,O707=40,5,O707=35,4,O707=30,4,O707=25,3,O707=20,2,O707=15,1,O707=10,1,O707=0,0)</f>
        <v>7</v>
      </c>
      <c r="R707" s="3" t="n">
        <f aca="false">IF(P707&lt;=1,0,IF(P707&lt;=10,11,IF(P707&lt;=14,12,IF(P707&lt;=17,13,IF(P707&lt;=20,14,IF(P707&lt;=22,15,IF(P707&lt;=25,16,IF(P707&lt;=27,17,IF(P707&lt;=29,18,IF(P707&lt;=32,19,IF(P707&lt;=34,20,IF(P707&lt;=36,21,IF(P707&lt;=40,22,24)))))))))))))</f>
        <v>0</v>
      </c>
      <c r="S707" s="14" t="n">
        <f aca="false">ROUND((Q707+R707+I707+J707+M707+N707)/3,0)</f>
        <v>8</v>
      </c>
      <c r="T707" s="15" t="n">
        <f aca="false">F707*LOG10(S707+2)</f>
        <v>1.5</v>
      </c>
    </row>
    <row r="708" customFormat="false" ht="14.65" hidden="false" customHeight="true" outlineLevel="0" collapsed="false">
      <c r="A708" s="12" t="s">
        <v>783</v>
      </c>
      <c r="B708" s="16" t="n">
        <v>38887</v>
      </c>
      <c r="C708" s="17" t="s">
        <v>228</v>
      </c>
      <c r="D708" s="18" t="s">
        <v>782</v>
      </c>
      <c r="E708" s="3" t="n">
        <v>3</v>
      </c>
      <c r="F708" s="3" t="n">
        <v>4</v>
      </c>
      <c r="G708" s="3" t="n">
        <v>30</v>
      </c>
      <c r="I708" s="3" t="n">
        <f aca="false">_xlfn.IFS(G708="взв",11,G708="накл",24,G708="прокл",25,G708="пт",26,G708=90,10,G708=85,10,G708=80,9,G708=75,8,G708=70,8,G708=65,7,G708=60,7,G708=55,6,G708=50,6,G708=45,6,G708=40,5,G708=35,4,G708=30,4,G708=25,3,G708=20,2,G708=15,1,G708=10,1,G708=0,0)</f>
        <v>4</v>
      </c>
      <c r="J708" s="3" t="n">
        <f aca="false">IF(H708&lt;=1,0,IF(H708&lt;=10,11,IF(H708&lt;=14,12,IF(H708&lt;=17,13,IF(H708&lt;=20,14,IF(H708&lt;=22,15,IF(H708&lt;=25,16,IF(H708&lt;=27,17,IF(H708&lt;=29,18,IF(H708&lt;=32,19,IF(H708&lt;=34,20,IF(H708&lt;=36,21,IF(H708&lt;=40,22,24)))))))))))))</f>
        <v>0</v>
      </c>
      <c r="K708" s="3" t="n">
        <v>30</v>
      </c>
      <c r="M708" s="3" t="n">
        <f aca="false">_xlfn.IFS(K708="взв",11,K708="накл",24,K708="прокл",25,K708="пт",26,K708=90,10,K708=85,10,K708=80,9,K708=75,8,K708=70,8,K708=65,7,K708=60,7,K708=55,6,K708=50,6,K708=45,6,K708=40,5,K708=35,4,K708=30,4,K708=25,3,K708=20,2,K708=15,1,K708=10,1,K708=0,0)</f>
        <v>4</v>
      </c>
      <c r="N708" s="3" t="n">
        <f aca="false">IF(L708&lt;=1,0,IF(L708&lt;=10,11,IF(L708&lt;=14,12,IF(L708&lt;=17,13,IF(L708&lt;=20,14,IF(L708&lt;=22,15,IF(L708&lt;=25,16,IF(L708&lt;=27,17,IF(L708&lt;=29,18,IF(L708&lt;=32,19,IF(L708&lt;=34,20,IF(L708&lt;=36,21,IF(L708&lt;=40,22,24)))))))))))))</f>
        <v>0</v>
      </c>
      <c r="O708" s="3" t="n">
        <v>30</v>
      </c>
      <c r="Q708" s="3" t="n">
        <f aca="false">_xlfn.IFS(O708="взв",11,O708="накл",24,O708="прокл",25,O708="пт",26,O708=90,10,O708=85,10,O708=80,9,O708=75,8,O708=70,8,O708=65,7,O708=60,7,O708=55,6,O708=50,6,O708=45,6,O708=40,5,O708=35,4,O708=30,4,O708=25,3,O708=20,2,O708=15,1,O708=10,1,O708=0,0)</f>
        <v>4</v>
      </c>
      <c r="R708" s="3" t="n">
        <f aca="false">IF(P708&lt;=1,0,IF(P708&lt;=10,11,IF(P708&lt;=14,12,IF(P708&lt;=17,13,IF(P708&lt;=20,14,IF(P708&lt;=22,15,IF(P708&lt;=25,16,IF(P708&lt;=27,17,IF(P708&lt;=29,18,IF(P708&lt;=32,19,IF(P708&lt;=34,20,IF(P708&lt;=36,21,IF(P708&lt;=40,22,24)))))))))))))</f>
        <v>0</v>
      </c>
      <c r="S708" s="14" t="n">
        <f aca="false">ROUND((Q708+R708+I708+J708+M708+N708)/3,0)</f>
        <v>4</v>
      </c>
      <c r="T708" s="15" t="n">
        <f aca="false">F708*LOG10(S708+2)</f>
        <v>3.11260500153457</v>
      </c>
    </row>
    <row r="709" customFormat="false" ht="14.65" hidden="false" customHeight="true" outlineLevel="0" collapsed="false">
      <c r="A709" s="12" t="s">
        <v>784</v>
      </c>
      <c r="B709" s="16" t="n">
        <v>38887</v>
      </c>
      <c r="C709" s="17" t="s">
        <v>228</v>
      </c>
      <c r="D709" s="18" t="s">
        <v>782</v>
      </c>
      <c r="E709" s="3" t="n">
        <v>5</v>
      </c>
      <c r="F709" s="3" t="n">
        <v>5</v>
      </c>
      <c r="G709" s="3" t="n">
        <v>30</v>
      </c>
      <c r="I709" s="3" t="n">
        <f aca="false">_xlfn.IFS(G709="взв",11,G709="накл",24,G709="прокл",25,G709="пт",26,G709=90,10,G709=85,10,G709=80,9,G709=75,8,G709=70,8,G709=65,7,G709=60,7,G709=55,6,G709=50,6,G709=45,6,G709=40,5,G709=35,4,G709=30,4,G709=25,3,G709=20,2,G709=15,1,G709=10,1,G709=0,0)</f>
        <v>4</v>
      </c>
      <c r="J709" s="3" t="n">
        <f aca="false">IF(H709&lt;=1,0,IF(H709&lt;=10,11,IF(H709&lt;=14,12,IF(H709&lt;=17,13,IF(H709&lt;=20,14,IF(H709&lt;=22,15,IF(H709&lt;=25,16,IF(H709&lt;=27,17,IF(H709&lt;=29,18,IF(H709&lt;=32,19,IF(H709&lt;=34,20,IF(H709&lt;=36,21,IF(H709&lt;=40,22,24)))))))))))))</f>
        <v>0</v>
      </c>
      <c r="K709" s="3" t="n">
        <v>60</v>
      </c>
      <c r="M709" s="3" t="n">
        <f aca="false">_xlfn.IFS(K709="взв",11,K709="накл",24,K709="прокл",25,K709="пт",26,K709=90,10,K709=85,10,K709=80,9,K709=75,8,K709=70,8,K709=65,7,K709=60,7,K709=55,6,K709=50,6,K709=45,6,K709=40,5,K709=35,4,K709=30,4,K709=25,3,K709=20,2,K709=15,1,K709=10,1,K709=0,0)</f>
        <v>7</v>
      </c>
      <c r="N709" s="3" t="n">
        <f aca="false">IF(L709&lt;=1,0,IF(L709&lt;=10,11,IF(L709&lt;=14,12,IF(L709&lt;=17,13,IF(L709&lt;=20,14,IF(L709&lt;=22,15,IF(L709&lt;=25,16,IF(L709&lt;=27,17,IF(L709&lt;=29,18,IF(L709&lt;=32,19,IF(L709&lt;=34,20,IF(L709&lt;=36,21,IF(L709&lt;=40,22,24)))))))))))))</f>
        <v>0</v>
      </c>
      <c r="O709" s="3" t="n">
        <v>60</v>
      </c>
      <c r="Q709" s="3" t="n">
        <f aca="false">_xlfn.IFS(O709="взв",11,O709="накл",24,O709="прокл",25,O709="пт",26,O709=90,10,O709=85,10,O709=80,9,O709=75,8,O709=70,8,O709=65,7,O709=60,7,O709=55,6,O709=50,6,O709=45,6,O709=40,5,O709=35,4,O709=30,4,O709=25,3,O709=20,2,O709=15,1,O709=10,1,O709=0,0)</f>
        <v>7</v>
      </c>
      <c r="R709" s="3" t="n">
        <f aca="false">IF(P709&lt;=1,0,IF(P709&lt;=10,11,IF(P709&lt;=14,12,IF(P709&lt;=17,13,IF(P709&lt;=20,14,IF(P709&lt;=22,15,IF(P709&lt;=25,16,IF(P709&lt;=27,17,IF(P709&lt;=29,18,IF(P709&lt;=32,19,IF(P709&lt;=34,20,IF(P709&lt;=36,21,IF(P709&lt;=40,22,24)))))))))))))</f>
        <v>0</v>
      </c>
      <c r="S709" s="14" t="n">
        <f aca="false">ROUND((Q709+R709+I709+J709+M709+N709)/3,0)</f>
        <v>6</v>
      </c>
      <c r="T709" s="15" t="n">
        <f aca="false">F709*LOG10(S709+2)</f>
        <v>4.51544993495972</v>
      </c>
    </row>
    <row r="710" customFormat="false" ht="14.65" hidden="false" customHeight="true" outlineLevel="0" collapsed="false">
      <c r="A710" s="12" t="s">
        <v>785</v>
      </c>
      <c r="B710" s="16" t="n">
        <v>38887</v>
      </c>
      <c r="C710" s="17" t="s">
        <v>228</v>
      </c>
      <c r="D710" s="18" t="s">
        <v>782</v>
      </c>
      <c r="E710" s="3" t="n">
        <v>5</v>
      </c>
      <c r="F710" s="3" t="n">
        <v>5</v>
      </c>
      <c r="G710" s="3" t="n">
        <v>60</v>
      </c>
      <c r="I710" s="3" t="n">
        <f aca="false">_xlfn.IFS(G710="взв",11,G710="накл",24,G710="прокл",25,G710="пт",26,G710=90,10,G710=85,10,G710=80,9,G710=75,8,G710=70,8,G710=65,7,G710=60,7,G710=55,6,G710=50,6,G710=45,6,G710=40,5,G710=35,4,G710=30,4,G710=25,3,G710=20,2,G710=15,1,G710=10,1,G710=0,0)</f>
        <v>7</v>
      </c>
      <c r="J710" s="3" t="n">
        <f aca="false">IF(H710&lt;=1,0,IF(H710&lt;=10,11,IF(H710&lt;=14,12,IF(H710&lt;=17,13,IF(H710&lt;=20,14,IF(H710&lt;=22,15,IF(H710&lt;=25,16,IF(H710&lt;=27,17,IF(H710&lt;=29,18,IF(H710&lt;=32,19,IF(H710&lt;=34,20,IF(H710&lt;=36,21,IF(H710&lt;=40,22,24)))))))))))))</f>
        <v>0</v>
      </c>
      <c r="K710" s="3" t="n">
        <v>45</v>
      </c>
      <c r="M710" s="3" t="n">
        <f aca="false">_xlfn.IFS(K710="взв",11,K710="накл",24,K710="прокл",25,K710="пт",26,K710=90,10,K710=85,10,K710=80,9,K710=75,8,K710=70,8,K710=65,7,K710=60,7,K710=55,6,K710=50,6,K710=45,6,K710=40,5,K710=35,4,K710=30,4,K710=25,3,K710=20,2,K710=15,1,K710=10,1,K710=0,0)</f>
        <v>6</v>
      </c>
      <c r="N710" s="3" t="n">
        <f aca="false">IF(L710&lt;=1,0,IF(L710&lt;=10,11,IF(L710&lt;=14,12,IF(L710&lt;=17,13,IF(L710&lt;=20,14,IF(L710&lt;=22,15,IF(L710&lt;=25,16,IF(L710&lt;=27,17,IF(L710&lt;=29,18,IF(L710&lt;=32,19,IF(L710&lt;=34,20,IF(L710&lt;=36,21,IF(L710&lt;=40,22,24)))))))))))))</f>
        <v>0</v>
      </c>
      <c r="O710" s="3" t="n">
        <v>75</v>
      </c>
      <c r="Q710" s="3" t="n">
        <f aca="false">_xlfn.IFS(O710="взв",11,O710="накл",24,O710="прокл",25,O710="пт",26,O710=90,10,O710=85,10,O710=80,9,O710=75,8,O710=70,8,O710=65,7,O710=60,7,O710=55,6,O710=50,6,O710=45,6,O710=40,5,O710=35,4,O710=30,4,O710=25,3,O710=20,2,O710=15,1,O710=10,1,O710=0,0)</f>
        <v>8</v>
      </c>
      <c r="R710" s="3" t="n">
        <f aca="false">IF(P710&lt;=1,0,IF(P710&lt;=10,11,IF(P710&lt;=14,12,IF(P710&lt;=17,13,IF(P710&lt;=20,14,IF(P710&lt;=22,15,IF(P710&lt;=25,16,IF(P710&lt;=27,17,IF(P710&lt;=29,18,IF(P710&lt;=32,19,IF(P710&lt;=34,20,IF(P710&lt;=36,21,IF(P710&lt;=40,22,24)))))))))))))</f>
        <v>0</v>
      </c>
      <c r="S710" s="14" t="n">
        <f aca="false">ROUND((Q710+R710+I710+J710+M710+N710)/3,0)</f>
        <v>7</v>
      </c>
      <c r="T710" s="15" t="n">
        <f aca="false">F710*LOG10(S710+2)</f>
        <v>4.77121254719662</v>
      </c>
    </row>
    <row r="711" customFormat="false" ht="14.65" hidden="false" customHeight="true" outlineLevel="0" collapsed="false">
      <c r="A711" s="12" t="s">
        <v>786</v>
      </c>
      <c r="B711" s="16" t="n">
        <v>38887</v>
      </c>
      <c r="C711" s="17" t="s">
        <v>228</v>
      </c>
      <c r="D711" s="18" t="s">
        <v>782</v>
      </c>
      <c r="E711" s="3" t="n">
        <v>2</v>
      </c>
      <c r="F711" s="3" t="n">
        <v>5</v>
      </c>
      <c r="H711" s="3" t="n">
        <v>27</v>
      </c>
      <c r="I711" s="3" t="n">
        <f aca="false">_xlfn.IFS(G711="взв",11,G711="накл",24,G711="прокл",25,G711="пт",26,G711=90,10,G711=85,10,G711=80,9,G711=75,8,G711=70,8,G711=65,7,G711=60,7,G711=55,6,G711=50,6,G711=45,6,G711=40,5,G711=35,4,G711=30,4,G711=25,3,G711=20,2,G711=15,1,G711=10,1,G711=0,0)</f>
        <v>0</v>
      </c>
      <c r="J711" s="3" t="n">
        <f aca="false">IF(H711&lt;=1,0,IF(H711&lt;=10,11,IF(H711&lt;=14,12,IF(H711&lt;=17,13,IF(H711&lt;=20,14,IF(H711&lt;=22,15,IF(H711&lt;=25,16,IF(H711&lt;=27,17,IF(H711&lt;=29,18,IF(H711&lt;=32,19,IF(H711&lt;=34,20,IF(H711&lt;=36,21,IF(H711&lt;=40,22,24)))))))))))))</f>
        <v>17</v>
      </c>
      <c r="L711" s="3" t="n">
        <v>21</v>
      </c>
      <c r="M711" s="3" t="n">
        <f aca="false">_xlfn.IFS(K711="взв",11,K711="накл",24,K711="прокл",25,K711="пт",26,K711=90,10,K711=85,10,K711=80,9,K711=75,8,K711=70,8,K711=65,7,K711=60,7,K711=55,6,K711=50,6,K711=45,6,K711=40,5,K711=35,4,K711=30,4,K711=25,3,K711=20,2,K711=15,1,K711=10,1,K711=0,0)</f>
        <v>0</v>
      </c>
      <c r="N711" s="3" t="n">
        <f aca="false">IF(L711&lt;=1,0,IF(L711&lt;=10,11,IF(L711&lt;=14,12,IF(L711&lt;=17,13,IF(L711&lt;=20,14,IF(L711&lt;=22,15,IF(L711&lt;=25,16,IF(L711&lt;=27,17,IF(L711&lt;=29,18,IF(L711&lt;=32,19,IF(L711&lt;=34,20,IF(L711&lt;=36,21,IF(L711&lt;=40,22,24)))))))))))))</f>
        <v>15</v>
      </c>
      <c r="Q711" s="3" t="n">
        <f aca="false">_xlfn.IFS(O711="взв",11,O711="накл",24,O711="прокл",25,O711="пт",26,O711=90,10,O711=85,10,O711=80,9,O711=75,8,O711=70,8,O711=65,7,O711=60,7,O711=55,6,O711=50,6,O711=45,6,O711=40,5,O711=35,4,O711=30,4,O711=25,3,O711=20,2,O711=15,1,O711=10,1,O711=0,0)</f>
        <v>0</v>
      </c>
      <c r="R711" s="3" t="n">
        <f aca="false">IF(P711&lt;=1,0,IF(P711&lt;=10,11,IF(P711&lt;=14,12,IF(P711&lt;=17,13,IF(P711&lt;=20,14,IF(P711&lt;=22,15,IF(P711&lt;=25,16,IF(P711&lt;=27,17,IF(P711&lt;=29,18,IF(P711&lt;=32,19,IF(P711&lt;=34,20,IF(P711&lt;=36,21,IF(P711&lt;=40,22,24)))))))))))))</f>
        <v>0</v>
      </c>
      <c r="S711" s="14" t="n">
        <f aca="false">ROUND((Q711+R711+I711+J711+M711+N711)/2,0)</f>
        <v>16</v>
      </c>
      <c r="T711" s="15" t="n">
        <f aca="false">F711*LOG10(S711+2)</f>
        <v>6.27636252551653</v>
      </c>
    </row>
    <row r="712" customFormat="false" ht="14.65" hidden="false" customHeight="true" outlineLevel="0" collapsed="false">
      <c r="A712" s="12" t="s">
        <v>787</v>
      </c>
      <c r="B712" s="16" t="n">
        <v>38887</v>
      </c>
      <c r="C712" s="17" t="s">
        <v>228</v>
      </c>
      <c r="D712" s="18" t="s">
        <v>788</v>
      </c>
      <c r="E712" s="3" t="n">
        <v>4</v>
      </c>
      <c r="F712" s="3" t="n">
        <v>4</v>
      </c>
      <c r="H712" s="3" t="n">
        <v>32</v>
      </c>
      <c r="I712" s="3" t="n">
        <f aca="false">_xlfn.IFS(G712="взв",11,G712="накл",24,G712="прокл",25,G712="пт",26,G712=90,10,G712=85,10,G712=80,9,G712=75,8,G712=70,8,G712=65,7,G712=60,7,G712=55,6,G712=50,6,G712=45,6,G712=40,5,G712=35,4,G712=30,4,G712=25,3,G712=20,2,G712=15,1,G712=10,1,G712=0,0)</f>
        <v>0</v>
      </c>
      <c r="J712" s="3" t="n">
        <f aca="false">IF(H712&lt;=1,0,IF(H712&lt;=10,11,IF(H712&lt;=14,12,IF(H712&lt;=17,13,IF(H712&lt;=20,14,IF(H712&lt;=22,15,IF(H712&lt;=25,16,IF(H712&lt;=27,17,IF(H712&lt;=29,18,IF(H712&lt;=32,19,IF(H712&lt;=34,20,IF(H712&lt;=36,21,IF(H712&lt;=40,22,24)))))))))))))</f>
        <v>19</v>
      </c>
      <c r="L712" s="3" t="n">
        <v>32</v>
      </c>
      <c r="M712" s="3" t="n">
        <f aca="false">_xlfn.IFS(K712="взв",11,K712="накл",24,K712="прокл",25,K712="пт",26,K712=90,10,K712=85,10,K712=80,9,K712=75,8,K712=70,8,K712=65,7,K712=60,7,K712=55,6,K712=50,6,K712=45,6,K712=40,5,K712=35,4,K712=30,4,K712=25,3,K712=20,2,K712=15,1,K712=10,1,K712=0,0)</f>
        <v>0</v>
      </c>
      <c r="N712" s="3" t="n">
        <f aca="false">IF(L712&lt;=1,0,IF(L712&lt;=10,11,IF(L712&lt;=14,12,IF(L712&lt;=17,13,IF(L712&lt;=20,14,IF(L712&lt;=22,15,IF(L712&lt;=25,16,IF(L712&lt;=27,17,IF(L712&lt;=29,18,IF(L712&lt;=32,19,IF(L712&lt;=34,20,IF(L712&lt;=36,21,IF(L712&lt;=40,22,24)))))))))))))</f>
        <v>19</v>
      </c>
      <c r="P712" s="3" t="n">
        <v>31</v>
      </c>
      <c r="Q712" s="3" t="n">
        <f aca="false">_xlfn.IFS(O712="взв",11,O712="накл",24,O712="прокл",25,O712="пт",26,O712=90,10,O712=85,10,O712=80,9,O712=75,8,O712=70,8,O712=65,7,O712=60,7,O712=55,6,O712=50,6,O712=45,6,O712=40,5,O712=35,4,O712=30,4,O712=25,3,O712=20,2,O712=15,1,O712=10,1,O712=0,0)</f>
        <v>0</v>
      </c>
      <c r="R712" s="3" t="n">
        <f aca="false">IF(P712&lt;=1,0,IF(P712&lt;=10,11,IF(P712&lt;=14,12,IF(P712&lt;=17,13,IF(P712&lt;=20,14,IF(P712&lt;=22,15,IF(P712&lt;=25,16,IF(P712&lt;=27,17,IF(P712&lt;=29,18,IF(P712&lt;=32,19,IF(P712&lt;=34,20,IF(P712&lt;=36,21,IF(P712&lt;=40,22,24)))))))))))))</f>
        <v>19</v>
      </c>
      <c r="S712" s="14" t="n">
        <f aca="false">ROUND((Q712+R712+I712+J712+M712+N712)/3,0)</f>
        <v>19</v>
      </c>
      <c r="T712" s="15" t="n">
        <f aca="false">F712*LOG10(S712+2)</f>
        <v>5.28887717893568</v>
      </c>
    </row>
    <row r="713" customFormat="false" ht="14.65" hidden="false" customHeight="true" outlineLevel="0" collapsed="false">
      <c r="A713" s="12" t="s">
        <v>789</v>
      </c>
      <c r="B713" s="16" t="n">
        <v>38887</v>
      </c>
      <c r="C713" s="17" t="s">
        <v>228</v>
      </c>
      <c r="D713" s="18" t="s">
        <v>790</v>
      </c>
      <c r="E713" s="3" t="n">
        <v>3</v>
      </c>
      <c r="F713" s="3" t="n">
        <v>7</v>
      </c>
      <c r="G713" s="3" t="n">
        <v>30</v>
      </c>
      <c r="I713" s="3" t="n">
        <f aca="false">_xlfn.IFS(G713="взв",11,G713="накл",24,G713="прокл",25,G713="пт",26,G713=90,10,G713=85,10,G713=80,9,G713=75,8,G713=70,8,G713=65,7,G713=60,7,G713=55,6,G713=50,6,G713=45,6,G713=40,5,G713=35,4,G713=30,4,G713=25,3,G713=20,2,G713=15,1,G713=10,1,G713=0,0)</f>
        <v>4</v>
      </c>
      <c r="J713" s="3" t="n">
        <f aca="false">IF(H713&lt;=1,0,IF(H713&lt;=10,11,IF(H713&lt;=14,12,IF(H713&lt;=17,13,IF(H713&lt;=20,14,IF(H713&lt;=22,15,IF(H713&lt;=25,16,IF(H713&lt;=27,17,IF(H713&lt;=29,18,IF(H713&lt;=32,19,IF(H713&lt;=34,20,IF(H713&lt;=36,21,IF(H713&lt;=40,22,24)))))))))))))</f>
        <v>0</v>
      </c>
      <c r="K713" s="3" t="n">
        <v>30</v>
      </c>
      <c r="M713" s="3" t="n">
        <f aca="false">_xlfn.IFS(K713="взв",11,K713="накл",24,K713="прокл",25,K713="пт",26,K713=90,10,K713=85,10,K713=80,9,K713=75,8,K713=70,8,K713=65,7,K713=60,7,K713=55,6,K713=50,6,K713=45,6,K713=40,5,K713=35,4,K713=30,4,K713=25,3,K713=20,2,K713=15,1,K713=10,1,K713=0,0)</f>
        <v>4</v>
      </c>
      <c r="N713" s="3" t="n">
        <f aca="false">IF(L713&lt;=1,0,IF(L713&lt;=10,11,IF(L713&lt;=14,12,IF(L713&lt;=17,13,IF(L713&lt;=20,14,IF(L713&lt;=22,15,IF(L713&lt;=25,16,IF(L713&lt;=27,17,IF(L713&lt;=29,18,IF(L713&lt;=32,19,IF(L713&lt;=34,20,IF(L713&lt;=36,21,IF(L713&lt;=40,22,24)))))))))))))</f>
        <v>0</v>
      </c>
      <c r="O713" s="3" t="n">
        <v>30</v>
      </c>
      <c r="Q713" s="3" t="n">
        <f aca="false">_xlfn.IFS(O713="взв",11,O713="накл",24,O713="прокл",25,O713="пт",26,O713=90,10,O713=85,10,O713=80,9,O713=75,8,O713=70,8,O713=65,7,O713=60,7,O713=55,6,O713=50,6,O713=45,6,O713=40,5,O713=35,4,O713=30,4,O713=25,3,O713=20,2,O713=15,1,O713=10,1,O713=0,0)</f>
        <v>4</v>
      </c>
      <c r="R713" s="3" t="n">
        <f aca="false">IF(P713&lt;=1,0,IF(P713&lt;=10,11,IF(P713&lt;=14,12,IF(P713&lt;=17,13,IF(P713&lt;=20,14,IF(P713&lt;=22,15,IF(P713&lt;=25,16,IF(P713&lt;=27,17,IF(P713&lt;=29,18,IF(P713&lt;=32,19,IF(P713&lt;=34,20,IF(P713&lt;=36,21,IF(P713&lt;=40,22,24)))))))))))))</f>
        <v>0</v>
      </c>
      <c r="S713" s="14" t="n">
        <f aca="false">ROUND((Q713+R713+I713+J713+M713+N713)/3,0)</f>
        <v>4</v>
      </c>
      <c r="T713" s="15" t="n">
        <f aca="false">F713*LOG10(S713+2)</f>
        <v>5.44705875268551</v>
      </c>
    </row>
    <row r="714" customFormat="false" ht="14.65" hidden="false" customHeight="true" outlineLevel="0" collapsed="false">
      <c r="A714" s="12" t="s">
        <v>791</v>
      </c>
      <c r="B714" s="16" t="n">
        <v>38887</v>
      </c>
      <c r="C714" s="17" t="s">
        <v>228</v>
      </c>
      <c r="D714" s="18" t="s">
        <v>792</v>
      </c>
      <c r="E714" s="3" t="n">
        <v>3</v>
      </c>
      <c r="F714" s="3" t="n">
        <v>3</v>
      </c>
      <c r="G714" s="3" t="s">
        <v>50</v>
      </c>
      <c r="I714" s="3" t="n">
        <f aca="false">_xlfn.IFS(G714="взв",11,G714="накл",24,G714="прокл",25,G714="пт",26,G714=90,10,G714=85,10,G714=80,9,G714=75,8,G714=70,8,G714=65,7,G714=60,7,G714=55,6,G714=50,6,G714=45,6,G714=40,5,G714=35,4,G714=30,4,G714=25,3,G714=20,2,G714=15,1,G714=10,1,G714=0,0)</f>
        <v>11</v>
      </c>
      <c r="J714" s="3" t="n">
        <f aca="false">IF(H714&lt;=1,0,IF(H714&lt;=10,11,IF(H714&lt;=14,12,IF(H714&lt;=17,13,IF(H714&lt;=20,14,IF(H714&lt;=22,15,IF(H714&lt;=25,16,IF(H714&lt;=27,17,IF(H714&lt;=29,18,IF(H714&lt;=32,19,IF(H714&lt;=34,20,IF(H714&lt;=36,21,IF(H714&lt;=40,22,24)))))))))))))</f>
        <v>0</v>
      </c>
      <c r="L714" s="3" t="n">
        <v>18</v>
      </c>
      <c r="M714" s="3" t="n">
        <f aca="false">_xlfn.IFS(K714="взв",11,K714="накл",24,K714="прокл",25,K714="пт",26,K714=90,10,K714=85,10,K714=80,9,K714=75,8,K714=70,8,K714=65,7,K714=60,7,K714=55,6,K714=50,6,K714=45,6,K714=40,5,K714=35,4,K714=30,4,K714=25,3,K714=20,2,K714=15,1,K714=10,1,K714=0,0)</f>
        <v>0</v>
      </c>
      <c r="N714" s="3" t="n">
        <f aca="false">IF(L714&lt;=1,0,IF(L714&lt;=10,11,IF(L714&lt;=14,12,IF(L714&lt;=17,13,IF(L714&lt;=20,14,IF(L714&lt;=22,15,IF(L714&lt;=25,16,IF(L714&lt;=27,17,IF(L714&lt;=29,18,IF(L714&lt;=32,19,IF(L714&lt;=34,20,IF(L714&lt;=36,21,IF(L714&lt;=40,22,24)))))))))))))</f>
        <v>14</v>
      </c>
      <c r="P714" s="3" t="n">
        <v>16</v>
      </c>
      <c r="Q714" s="3" t="n">
        <f aca="false">_xlfn.IFS(O714="взв",11,O714="накл",24,O714="прокл",25,O714="пт",26,O714=90,10,O714=85,10,O714=80,9,O714=75,8,O714=70,8,O714=65,7,O714=60,7,O714=55,6,O714=50,6,O714=45,6,O714=40,5,O714=35,4,O714=30,4,O714=25,3,O714=20,2,O714=15,1,O714=10,1,O714=0,0)</f>
        <v>0</v>
      </c>
      <c r="R714" s="3" t="n">
        <f aca="false">IF(P714&lt;=1,0,IF(P714&lt;=10,11,IF(P714&lt;=14,12,IF(P714&lt;=17,13,IF(P714&lt;=20,14,IF(P714&lt;=22,15,IF(P714&lt;=25,16,IF(P714&lt;=27,17,IF(P714&lt;=29,18,IF(P714&lt;=32,19,IF(P714&lt;=34,20,IF(P714&lt;=36,21,IF(P714&lt;=40,22,24)))))))))))))</f>
        <v>13</v>
      </c>
      <c r="S714" s="14" t="n">
        <f aca="false">ROUND((Q714+R714+I714+J714+M714+N714)/3,0)</f>
        <v>13</v>
      </c>
      <c r="T714" s="15" t="n">
        <f aca="false">F714*LOG10(S714+2)</f>
        <v>3.52827377716704</v>
      </c>
    </row>
    <row r="715" customFormat="false" ht="14.65" hidden="false" customHeight="true" outlineLevel="0" collapsed="false">
      <c r="A715" s="12" t="s">
        <v>793</v>
      </c>
      <c r="B715" s="16" t="n">
        <v>38888</v>
      </c>
      <c r="C715" s="17" t="s">
        <v>228</v>
      </c>
      <c r="D715" s="18" t="s">
        <v>794</v>
      </c>
      <c r="E715" s="3" t="n">
        <v>5</v>
      </c>
      <c r="F715" s="3" t="n">
        <v>4</v>
      </c>
      <c r="H715" s="3" t="n">
        <v>25</v>
      </c>
      <c r="I715" s="3" t="n">
        <f aca="false">_xlfn.IFS(G715="взв",11,G715="накл",24,G715="прокл",25,G715="пт",26,G715=90,10,G715=85,10,G715=80,9,G715=75,8,G715=70,8,G715=65,7,G715=60,7,G715=55,6,G715=50,6,G715=45,6,G715=40,5,G715=35,4,G715=30,4,G715=25,3,G715=20,2,G715=15,1,G715=10,1,G715=0,0)</f>
        <v>0</v>
      </c>
      <c r="J715" s="3" t="n">
        <f aca="false">IF(H715&lt;=1,0,IF(H715&lt;=10,11,IF(H715&lt;=14,12,IF(H715&lt;=17,13,IF(H715&lt;=20,14,IF(H715&lt;=22,15,IF(H715&lt;=25,16,IF(H715&lt;=27,17,IF(H715&lt;=29,18,IF(H715&lt;=32,19,IF(H715&lt;=34,20,IF(H715&lt;=36,21,IF(H715&lt;=40,22,24)))))))))))))</f>
        <v>16</v>
      </c>
      <c r="L715" s="3" t="n">
        <v>21</v>
      </c>
      <c r="M715" s="3" t="n">
        <f aca="false">_xlfn.IFS(K715="взв",11,K715="накл",24,K715="прокл",25,K715="пт",26,K715=90,10,K715=85,10,K715=80,9,K715=75,8,K715=70,8,K715=65,7,K715=60,7,K715=55,6,K715=50,6,K715=45,6,K715=40,5,K715=35,4,K715=30,4,K715=25,3,K715=20,2,K715=15,1,K715=10,1,K715=0,0)</f>
        <v>0</v>
      </c>
      <c r="N715" s="3" t="n">
        <f aca="false">IF(L715&lt;=1,0,IF(L715&lt;=10,11,IF(L715&lt;=14,12,IF(L715&lt;=17,13,IF(L715&lt;=20,14,IF(L715&lt;=22,15,IF(L715&lt;=25,16,IF(L715&lt;=27,17,IF(L715&lt;=29,18,IF(L715&lt;=32,19,IF(L715&lt;=34,20,IF(L715&lt;=36,21,IF(L715&lt;=40,22,24)))))))))))))</f>
        <v>15</v>
      </c>
      <c r="P715" s="3" t="n">
        <v>24</v>
      </c>
      <c r="Q715" s="3" t="n">
        <f aca="false">_xlfn.IFS(O715="взв",11,O715="накл",24,O715="прокл",25,O715="пт",26,O715=90,10,O715=85,10,O715=80,9,O715=75,8,O715=70,8,O715=65,7,O715=60,7,O715=55,6,O715=50,6,O715=45,6,O715=40,5,O715=35,4,O715=30,4,O715=25,3,O715=20,2,O715=15,1,O715=10,1,O715=0,0)</f>
        <v>0</v>
      </c>
      <c r="R715" s="3" t="n">
        <f aca="false">IF(P715&lt;=1,0,IF(P715&lt;=10,11,IF(P715&lt;=14,12,IF(P715&lt;=17,13,IF(P715&lt;=20,14,IF(P715&lt;=22,15,IF(P715&lt;=25,16,IF(P715&lt;=27,17,IF(P715&lt;=29,18,IF(P715&lt;=32,19,IF(P715&lt;=34,20,IF(P715&lt;=36,21,IF(P715&lt;=40,22,24)))))))))))))</f>
        <v>16</v>
      </c>
      <c r="S715" s="14" t="n">
        <f aca="false">ROUND((Q715+R715+I715+J715+M715+N715)/3,0)</f>
        <v>16</v>
      </c>
      <c r="T715" s="15" t="n">
        <f aca="false">F715*LOG10(S715+2)</f>
        <v>5.02109002041322</v>
      </c>
    </row>
    <row r="716" customFormat="false" ht="14.65" hidden="false" customHeight="true" outlineLevel="0" collapsed="false">
      <c r="A716" s="12" t="s">
        <v>795</v>
      </c>
      <c r="B716" s="16" t="n">
        <v>38888</v>
      </c>
      <c r="C716" s="17" t="s">
        <v>228</v>
      </c>
      <c r="D716" s="18" t="s">
        <v>794</v>
      </c>
      <c r="E716" s="3" t="n">
        <v>5</v>
      </c>
      <c r="F716" s="3" t="n">
        <v>13</v>
      </c>
      <c r="G716" s="3" t="n">
        <v>15</v>
      </c>
      <c r="I716" s="3" t="n">
        <f aca="false">_xlfn.IFS(G716="взв",11,G716="накл",24,G716="прокл",25,G716="пт",26,G716=90,10,G716=85,10,G716=80,9,G716=75,8,G716=70,8,G716=65,7,G716=60,7,G716=55,6,G716=50,6,G716=45,6,G716=40,5,G716=35,4,G716=30,4,G716=25,3,G716=20,2,G716=15,1,G716=10,1,G716=0,0)</f>
        <v>1</v>
      </c>
      <c r="J716" s="3" t="n">
        <f aca="false">IF(H716&lt;=1,0,IF(H716&lt;=10,11,IF(H716&lt;=14,12,IF(H716&lt;=17,13,IF(H716&lt;=20,14,IF(H716&lt;=22,15,IF(H716&lt;=25,16,IF(H716&lt;=27,17,IF(H716&lt;=29,18,IF(H716&lt;=32,19,IF(H716&lt;=34,20,IF(H716&lt;=36,21,IF(H716&lt;=40,22,24)))))))))))))</f>
        <v>0</v>
      </c>
      <c r="K716" s="3" t="n">
        <v>15</v>
      </c>
      <c r="M716" s="3" t="n">
        <f aca="false">_xlfn.IFS(K716="взв",11,K716="накл",24,K716="прокл",25,K716="пт",26,K716=90,10,K716=85,10,K716=80,9,K716=75,8,K716=70,8,K716=65,7,K716=60,7,K716=55,6,K716=50,6,K716=45,6,K716=40,5,K716=35,4,K716=30,4,K716=25,3,K716=20,2,K716=15,1,K716=10,1,K716=0,0)</f>
        <v>1</v>
      </c>
      <c r="N716" s="3" t="n">
        <f aca="false">IF(L716&lt;=1,0,IF(L716&lt;=10,11,IF(L716&lt;=14,12,IF(L716&lt;=17,13,IF(L716&lt;=20,14,IF(L716&lt;=22,15,IF(L716&lt;=25,16,IF(L716&lt;=27,17,IF(L716&lt;=29,18,IF(L716&lt;=32,19,IF(L716&lt;=34,20,IF(L716&lt;=36,21,IF(L716&lt;=40,22,24)))))))))))))</f>
        <v>0</v>
      </c>
      <c r="O716" s="3" t="n">
        <v>15</v>
      </c>
      <c r="Q716" s="3" t="n">
        <f aca="false">_xlfn.IFS(O716="взв",11,O716="накл",24,O716="прокл",25,O716="пт",26,O716=90,10,O716=85,10,O716=80,9,O716=75,8,O716=70,8,O716=65,7,O716=60,7,O716=55,6,O716=50,6,O716=45,6,O716=40,5,O716=35,4,O716=30,4,O716=25,3,O716=20,2,O716=15,1,O716=10,1,O716=0,0)</f>
        <v>1</v>
      </c>
      <c r="R716" s="3" t="n">
        <f aca="false">IF(P716&lt;=1,0,IF(P716&lt;=10,11,IF(P716&lt;=14,12,IF(P716&lt;=17,13,IF(P716&lt;=20,14,IF(P716&lt;=22,15,IF(P716&lt;=25,16,IF(P716&lt;=27,17,IF(P716&lt;=29,18,IF(P716&lt;=32,19,IF(P716&lt;=34,20,IF(P716&lt;=36,21,IF(P716&lt;=40,22,24)))))))))))))</f>
        <v>0</v>
      </c>
      <c r="S716" s="14" t="n">
        <f aca="false">ROUND((Q716+R716+I716+J716+M716+N716)/3,0)</f>
        <v>1</v>
      </c>
      <c r="T716" s="15" t="n">
        <f aca="false">F716*LOG10(S716+2)</f>
        <v>6.20257631135561</v>
      </c>
    </row>
    <row r="717" customFormat="false" ht="14.65" hidden="false" customHeight="true" outlineLevel="0" collapsed="false">
      <c r="A717" s="12" t="s">
        <v>796</v>
      </c>
      <c r="B717" s="13" t="n">
        <v>38879</v>
      </c>
      <c r="C717" s="3" t="s">
        <v>21</v>
      </c>
      <c r="D717" s="4" t="s">
        <v>797</v>
      </c>
      <c r="E717" s="3" t="n">
        <v>4</v>
      </c>
      <c r="F717" s="3" t="n">
        <v>1</v>
      </c>
      <c r="G717" s="3" t="n">
        <v>30</v>
      </c>
      <c r="I717" s="3" t="n">
        <f aca="false">_xlfn.IFS(G717="взв",11,G717="накл",24,G717="прокл",25,G717="пт",26,G717=90,10,G717=85,10,G717=80,9,G717=75,8,G717=70,8,G717=65,7,G717=60,7,G717=55,6,G717=50,6,G717=45,6,G717=40,5,G717=35,4,G717=30,4,G717=25,3,G717=20,2,G717=15,1,G717=10,1,G717=0,0)</f>
        <v>4</v>
      </c>
      <c r="J717" s="3" t="n">
        <f aca="false">IF(H717&lt;=1,0,IF(H717&lt;=10,11,IF(H717&lt;=14,12,IF(H717&lt;=17,13,IF(H717&lt;=20,14,IF(H717&lt;=22,15,IF(H717&lt;=25,16,IF(H717&lt;=27,17,IF(H717&lt;=29,18,IF(H717&lt;=32,19,IF(H717&lt;=34,20,IF(H717&lt;=36,21,IF(H717&lt;=40,22,24)))))))))))))</f>
        <v>0</v>
      </c>
      <c r="K717" s="3" t="n">
        <v>30</v>
      </c>
      <c r="M717" s="3" t="n">
        <f aca="false">_xlfn.IFS(K717="взв",11,K717="накл",24,K717="прокл",25,K717="пт",26,K717=90,10,K717=85,10,K717=80,9,K717=75,8,K717=70,8,K717=65,7,K717=60,7,K717=55,6,K717=50,6,K717=45,6,K717=40,5,K717=35,4,K717=30,4,K717=25,3,K717=20,2,K717=15,1,K717=10,1,K717=0,0)</f>
        <v>4</v>
      </c>
      <c r="N717" s="3" t="n">
        <f aca="false">IF(L717&lt;=1,0,IF(L717&lt;=10,11,IF(L717&lt;=14,12,IF(L717&lt;=17,13,IF(L717&lt;=20,14,IF(L717&lt;=22,15,IF(L717&lt;=25,16,IF(L717&lt;=27,17,IF(L717&lt;=29,18,IF(L717&lt;=32,19,IF(L717&lt;=34,20,IF(L717&lt;=36,21,IF(L717&lt;=40,22,24)))))))))))))</f>
        <v>0</v>
      </c>
      <c r="O717" s="3" t="n">
        <v>75</v>
      </c>
      <c r="Q717" s="3" t="n">
        <f aca="false">_xlfn.IFS(O717="взв",11,O717="накл",24,O717="прокл",25,O717="пт",26,O717=90,10,O717=85,10,O717=80,9,O717=75,8,O717=70,8,O717=65,7,O717=60,7,O717=55,6,O717=50,6,O717=45,6,O717=40,5,O717=35,4,O717=30,4,O717=25,3,O717=20,2,O717=15,1,O717=10,1,O717=0,0)</f>
        <v>8</v>
      </c>
      <c r="R717" s="3" t="n">
        <f aca="false">IF(P717&lt;=1,0,IF(P717&lt;=10,11,IF(P717&lt;=14,12,IF(P717&lt;=17,13,IF(P717&lt;=20,14,IF(P717&lt;=22,15,IF(P717&lt;=25,16,IF(P717&lt;=27,17,IF(P717&lt;=29,18,IF(P717&lt;=32,19,IF(P717&lt;=34,20,IF(P717&lt;=36,21,IF(P717&lt;=40,22,24)))))))))))))</f>
        <v>0</v>
      </c>
      <c r="S717" s="14" t="n">
        <f aca="false">ROUND((Q717+R717+I717+J717+M717+N717)/3,0)</f>
        <v>5</v>
      </c>
      <c r="T717" s="15" t="n">
        <f aca="false">F717*LOG10(S717+2)</f>
        <v>0.845098040014257</v>
      </c>
    </row>
    <row r="718" customFormat="false" ht="14.65" hidden="false" customHeight="true" outlineLevel="0" collapsed="false">
      <c r="A718" s="12" t="s">
        <v>798</v>
      </c>
      <c r="B718" s="13" t="n">
        <v>38879</v>
      </c>
      <c r="C718" s="3" t="s">
        <v>21</v>
      </c>
      <c r="D718" s="4" t="s">
        <v>797</v>
      </c>
      <c r="E718" s="3" t="n">
        <v>6</v>
      </c>
      <c r="F718" s="3" t="n">
        <v>4</v>
      </c>
      <c r="G718" s="3" t="n">
        <v>15</v>
      </c>
      <c r="I718" s="3" t="n">
        <f aca="false">_xlfn.IFS(G718="взв",11,G718="накл",24,G718="прокл",25,G718="пт",26,G718=90,10,G718=85,10,G718=80,9,G718=75,8,G718=70,8,G718=65,7,G718=60,7,G718=55,6,G718=50,6,G718=45,6,G718=40,5,G718=35,4,G718=30,4,G718=25,3,G718=20,2,G718=15,1,G718=10,1,G718=0,0)</f>
        <v>1</v>
      </c>
      <c r="J718" s="3" t="n">
        <f aca="false">IF(H718&lt;=1,0,IF(H718&lt;=10,11,IF(H718&lt;=14,12,IF(H718&lt;=17,13,IF(H718&lt;=20,14,IF(H718&lt;=22,15,IF(H718&lt;=25,16,IF(H718&lt;=27,17,IF(H718&lt;=29,18,IF(H718&lt;=32,19,IF(H718&lt;=34,20,IF(H718&lt;=36,21,IF(H718&lt;=40,22,24)))))))))))))</f>
        <v>0</v>
      </c>
      <c r="K718" s="3" t="n">
        <v>30</v>
      </c>
      <c r="M718" s="3" t="n">
        <f aca="false">_xlfn.IFS(K718="взв",11,K718="накл",24,K718="прокл",25,K718="пт",26,K718=90,10,K718=85,10,K718=80,9,K718=75,8,K718=70,8,K718=65,7,K718=60,7,K718=55,6,K718=50,6,K718=45,6,K718=40,5,K718=35,4,K718=30,4,K718=25,3,K718=20,2,K718=15,1,K718=10,1,K718=0,0)</f>
        <v>4</v>
      </c>
      <c r="N718" s="3" t="n">
        <f aca="false">IF(L718&lt;=1,0,IF(L718&lt;=10,11,IF(L718&lt;=14,12,IF(L718&lt;=17,13,IF(L718&lt;=20,14,IF(L718&lt;=22,15,IF(L718&lt;=25,16,IF(L718&lt;=27,17,IF(L718&lt;=29,18,IF(L718&lt;=32,19,IF(L718&lt;=34,20,IF(L718&lt;=36,21,IF(L718&lt;=40,22,24)))))))))))))</f>
        <v>0</v>
      </c>
      <c r="O718" s="3" t="n">
        <v>30</v>
      </c>
      <c r="Q718" s="3" t="n">
        <f aca="false">_xlfn.IFS(O718="взв",11,O718="накл",24,O718="прокл",25,O718="пт",26,O718=90,10,O718=85,10,O718=80,9,O718=75,8,O718=70,8,O718=65,7,O718=60,7,O718=55,6,O718=50,6,O718=45,6,O718=40,5,O718=35,4,O718=30,4,O718=25,3,O718=20,2,O718=15,1,O718=10,1,O718=0,0)</f>
        <v>4</v>
      </c>
      <c r="R718" s="3" t="n">
        <f aca="false">IF(P718&lt;=1,0,IF(P718&lt;=10,11,IF(P718&lt;=14,12,IF(P718&lt;=17,13,IF(P718&lt;=20,14,IF(P718&lt;=22,15,IF(P718&lt;=25,16,IF(P718&lt;=27,17,IF(P718&lt;=29,18,IF(P718&lt;=32,19,IF(P718&lt;=34,20,IF(P718&lt;=36,21,IF(P718&lt;=40,22,24)))))))))))))</f>
        <v>0</v>
      </c>
      <c r="S718" s="14" t="n">
        <f aca="false">ROUND((Q718+R718+I718+J718+M718+N718)/3,0)</f>
        <v>3</v>
      </c>
      <c r="T718" s="15" t="n">
        <f aca="false">F718*LOG10(S718+2)</f>
        <v>2.79588001734408</v>
      </c>
    </row>
    <row r="719" customFormat="false" ht="14.65" hidden="false" customHeight="true" outlineLevel="0" collapsed="false">
      <c r="A719" s="12" t="s">
        <v>799</v>
      </c>
      <c r="B719" s="13" t="n">
        <v>38879</v>
      </c>
      <c r="C719" s="3" t="s">
        <v>21</v>
      </c>
      <c r="D719" s="4" t="s">
        <v>797</v>
      </c>
      <c r="E719" s="3" t="n">
        <v>7</v>
      </c>
      <c r="F719" s="3" t="n">
        <v>6</v>
      </c>
      <c r="H719" s="3" t="n">
        <v>26</v>
      </c>
      <c r="I719" s="3" t="n">
        <f aca="false">_xlfn.IFS(G719="взв",11,G719="накл",24,G719="прокл",25,G719="пт",26,G719=90,10,G719=85,10,G719=80,9,G719=75,8,G719=70,8,G719=65,7,G719=60,7,G719=55,6,G719=50,6,G719=45,6,G719=40,5,G719=35,4,G719=30,4,G719=25,3,G719=20,2,G719=15,1,G719=10,1,G719=0,0)</f>
        <v>0</v>
      </c>
      <c r="J719" s="3" t="n">
        <f aca="false">IF(H719&lt;=1,0,IF(H719&lt;=10,11,IF(H719&lt;=14,12,IF(H719&lt;=17,13,IF(H719&lt;=20,14,IF(H719&lt;=22,15,IF(H719&lt;=25,16,IF(H719&lt;=27,17,IF(H719&lt;=29,18,IF(H719&lt;=32,19,IF(H719&lt;=34,20,IF(H719&lt;=36,21,IF(H719&lt;=40,22,24)))))))))))))</f>
        <v>17</v>
      </c>
      <c r="L719" s="3" t="n">
        <v>28</v>
      </c>
      <c r="M719" s="3" t="n">
        <f aca="false">_xlfn.IFS(K719="взв",11,K719="накл",24,K719="прокл",25,K719="пт",26,K719=90,10,K719=85,10,K719=80,9,K719=75,8,K719=70,8,K719=65,7,K719=60,7,K719=55,6,K719=50,6,K719=45,6,K719=40,5,K719=35,4,K719=30,4,K719=25,3,K719=20,2,K719=15,1,K719=10,1,K719=0,0)</f>
        <v>0</v>
      </c>
      <c r="N719" s="3" t="n">
        <f aca="false">IF(L719&lt;=1,0,IF(L719&lt;=10,11,IF(L719&lt;=14,12,IF(L719&lt;=17,13,IF(L719&lt;=20,14,IF(L719&lt;=22,15,IF(L719&lt;=25,16,IF(L719&lt;=27,17,IF(L719&lt;=29,18,IF(L719&lt;=32,19,IF(L719&lt;=34,20,IF(L719&lt;=36,21,IF(L719&lt;=40,22,24)))))))))))))</f>
        <v>18</v>
      </c>
      <c r="P719" s="3" t="n">
        <v>29</v>
      </c>
      <c r="Q719" s="3" t="n">
        <f aca="false">_xlfn.IFS(O719="взв",11,O719="накл",24,O719="прокл",25,O719="пт",26,O719=90,10,O719=85,10,O719=80,9,O719=75,8,O719=70,8,O719=65,7,O719=60,7,O719=55,6,O719=50,6,O719=45,6,O719=40,5,O719=35,4,O719=30,4,O719=25,3,O719=20,2,O719=15,1,O719=10,1,O719=0,0)</f>
        <v>0</v>
      </c>
      <c r="R719" s="3" t="n">
        <f aca="false">IF(P719&lt;=1,0,IF(P719&lt;=10,11,IF(P719&lt;=14,12,IF(P719&lt;=17,13,IF(P719&lt;=20,14,IF(P719&lt;=22,15,IF(P719&lt;=25,16,IF(P719&lt;=27,17,IF(P719&lt;=29,18,IF(P719&lt;=32,19,IF(P719&lt;=34,20,IF(P719&lt;=36,21,IF(P719&lt;=40,22,24)))))))))))))</f>
        <v>18</v>
      </c>
      <c r="S719" s="14" t="n">
        <f aca="false">ROUND((Q719+R719+I719+J719+M719+N719)/3,0)</f>
        <v>18</v>
      </c>
      <c r="T719" s="15" t="n">
        <f aca="false">F719*LOG10(S719+2)</f>
        <v>7.80617997398389</v>
      </c>
    </row>
    <row r="720" customFormat="false" ht="14.65" hidden="false" customHeight="true" outlineLevel="0" collapsed="false">
      <c r="A720" s="12" t="s">
        <v>800</v>
      </c>
      <c r="B720" s="13" t="n">
        <v>38879</v>
      </c>
      <c r="C720" s="3" t="s">
        <v>21</v>
      </c>
      <c r="D720" s="4" t="s">
        <v>797</v>
      </c>
      <c r="E720" s="3" t="n">
        <v>4</v>
      </c>
      <c r="F720" s="3" t="n">
        <v>7</v>
      </c>
      <c r="G720" s="3" t="n">
        <v>90</v>
      </c>
      <c r="I720" s="3" t="n">
        <f aca="false">_xlfn.IFS(G720="взв",11,G720="накл",24,G720="прокл",25,G720="пт",26,G720=90,10,G720=85,10,G720=80,9,G720=75,8,G720=70,8,G720=65,7,G720=60,7,G720=55,6,G720=50,6,G720=45,6,G720=40,5,G720=35,4,G720=30,4,G720=25,3,G720=20,2,G720=15,1,G720=10,1,G720=0,0)</f>
        <v>10</v>
      </c>
      <c r="J720" s="3" t="n">
        <f aca="false">IF(H720&lt;=1,0,IF(H720&lt;=10,11,IF(H720&lt;=14,12,IF(H720&lt;=17,13,IF(H720&lt;=20,14,IF(H720&lt;=22,15,IF(H720&lt;=25,16,IF(H720&lt;=27,17,IF(H720&lt;=29,18,IF(H720&lt;=32,19,IF(H720&lt;=34,20,IF(H720&lt;=36,21,IF(H720&lt;=40,22,24)))))))))))))</f>
        <v>0</v>
      </c>
      <c r="K720" s="3" t="n">
        <v>90</v>
      </c>
      <c r="M720" s="3" t="n">
        <f aca="false">_xlfn.IFS(K720="взв",11,K720="накл",24,K720="прокл",25,K720="пт",26,K720=90,10,K720=85,10,K720=80,9,K720=75,8,K720=70,8,K720=65,7,K720=60,7,K720=55,6,K720=50,6,K720=45,6,K720=40,5,K720=35,4,K720=30,4,K720=25,3,K720=20,2,K720=15,1,K720=10,1,K720=0,0)</f>
        <v>10</v>
      </c>
      <c r="N720" s="3" t="n">
        <f aca="false">IF(L720&lt;=1,0,IF(L720&lt;=10,11,IF(L720&lt;=14,12,IF(L720&lt;=17,13,IF(L720&lt;=20,14,IF(L720&lt;=22,15,IF(L720&lt;=25,16,IF(L720&lt;=27,17,IF(L720&lt;=29,18,IF(L720&lt;=32,19,IF(L720&lt;=34,20,IF(L720&lt;=36,21,IF(L720&lt;=40,22,24)))))))))))))</f>
        <v>0</v>
      </c>
      <c r="O720" s="3" t="n">
        <v>90</v>
      </c>
      <c r="Q720" s="3" t="n">
        <f aca="false">_xlfn.IFS(O720="взв",11,O720="накл",24,O720="прокл",25,O720="пт",26,O720=90,10,O720=85,10,O720=80,9,O720=75,8,O720=70,8,O720=65,7,O720=60,7,O720=55,6,O720=50,6,O720=45,6,O720=40,5,O720=35,4,O720=30,4,O720=25,3,O720=20,2,O720=15,1,O720=10,1,O720=0,0)</f>
        <v>10</v>
      </c>
      <c r="R720" s="3" t="n">
        <f aca="false">IF(P720&lt;=1,0,IF(P720&lt;=10,11,IF(P720&lt;=14,12,IF(P720&lt;=17,13,IF(P720&lt;=20,14,IF(P720&lt;=22,15,IF(P720&lt;=25,16,IF(P720&lt;=27,17,IF(P720&lt;=29,18,IF(P720&lt;=32,19,IF(P720&lt;=34,20,IF(P720&lt;=36,21,IF(P720&lt;=40,22,24)))))))))))))</f>
        <v>0</v>
      </c>
      <c r="S720" s="14" t="n">
        <f aca="false">ROUND((Q720+R720+I720+J720+M720+N720)/3,0)</f>
        <v>10</v>
      </c>
      <c r="T720" s="15" t="n">
        <f aca="false">F720*LOG10(S720+2)</f>
        <v>7.55426872233337</v>
      </c>
    </row>
    <row r="721" customFormat="false" ht="14.65" hidden="false" customHeight="true" outlineLevel="0" collapsed="false">
      <c r="A721" s="12" t="s">
        <v>801</v>
      </c>
      <c r="B721" s="13" t="n">
        <v>38879</v>
      </c>
      <c r="C721" s="3" t="s">
        <v>21</v>
      </c>
      <c r="D721" s="4" t="s">
        <v>797</v>
      </c>
      <c r="E721" s="3" t="n">
        <v>5</v>
      </c>
      <c r="F721" s="3" t="n">
        <v>9</v>
      </c>
      <c r="G721" s="3" t="n">
        <v>45</v>
      </c>
      <c r="I721" s="3" t="n">
        <f aca="false">_xlfn.IFS(G721="взв",11,G721="накл",24,G721="прокл",25,G721="пт",26,G721=90,10,G721=85,10,G721=80,9,G721=75,8,G721=70,8,G721=65,7,G721=60,7,G721=55,6,G721=50,6,G721=45,6,G721=40,5,G721=35,4,G721=30,4,G721=25,3,G721=20,2,G721=15,1,G721=10,1,G721=0,0)</f>
        <v>6</v>
      </c>
      <c r="J721" s="3" t="n">
        <f aca="false">IF(H721&lt;=1,0,IF(H721&lt;=10,11,IF(H721&lt;=14,12,IF(H721&lt;=17,13,IF(H721&lt;=20,14,IF(H721&lt;=22,15,IF(H721&lt;=25,16,IF(H721&lt;=27,17,IF(H721&lt;=29,18,IF(H721&lt;=32,19,IF(H721&lt;=34,20,IF(H721&lt;=36,21,IF(H721&lt;=40,22,24)))))))))))))</f>
        <v>0</v>
      </c>
      <c r="K721" s="3" t="n">
        <v>30</v>
      </c>
      <c r="M721" s="3" t="n">
        <f aca="false">_xlfn.IFS(K721="взв",11,K721="накл",24,K721="прокл",25,K721="пт",26,K721=90,10,K721=85,10,K721=80,9,K721=75,8,K721=70,8,K721=65,7,K721=60,7,K721=55,6,K721=50,6,K721=45,6,K721=40,5,K721=35,4,K721=30,4,K721=25,3,K721=20,2,K721=15,1,K721=10,1,K721=0,0)</f>
        <v>4</v>
      </c>
      <c r="N721" s="3" t="n">
        <f aca="false">IF(L721&lt;=1,0,IF(L721&lt;=10,11,IF(L721&lt;=14,12,IF(L721&lt;=17,13,IF(L721&lt;=20,14,IF(L721&lt;=22,15,IF(L721&lt;=25,16,IF(L721&lt;=27,17,IF(L721&lt;=29,18,IF(L721&lt;=32,19,IF(L721&lt;=34,20,IF(L721&lt;=36,21,IF(L721&lt;=40,22,24)))))))))))))</f>
        <v>0</v>
      </c>
      <c r="O721" s="3" t="n">
        <v>60</v>
      </c>
      <c r="Q721" s="3" t="n">
        <f aca="false">_xlfn.IFS(O721="взв",11,O721="накл",24,O721="прокл",25,O721="пт",26,O721=90,10,O721=85,10,O721=80,9,O721=75,8,O721=70,8,O721=65,7,O721=60,7,O721=55,6,O721=50,6,O721=45,6,O721=40,5,O721=35,4,O721=30,4,O721=25,3,O721=20,2,O721=15,1,O721=10,1,O721=0,0)</f>
        <v>7</v>
      </c>
      <c r="R721" s="3" t="n">
        <f aca="false">IF(P721&lt;=1,0,IF(P721&lt;=10,11,IF(P721&lt;=14,12,IF(P721&lt;=17,13,IF(P721&lt;=20,14,IF(P721&lt;=22,15,IF(P721&lt;=25,16,IF(P721&lt;=27,17,IF(P721&lt;=29,18,IF(P721&lt;=32,19,IF(P721&lt;=34,20,IF(P721&lt;=36,21,IF(P721&lt;=40,22,24)))))))))))))</f>
        <v>0</v>
      </c>
      <c r="S721" s="14" t="n">
        <f aca="false">ROUND((Q721+R721+I721+J721+M721+N721)/3,0)</f>
        <v>6</v>
      </c>
      <c r="T721" s="15" t="n">
        <f aca="false">F721*LOG10(S721+2)</f>
        <v>8.12780988292749</v>
      </c>
    </row>
    <row r="722" customFormat="false" ht="14.65" hidden="false" customHeight="true" outlineLevel="0" collapsed="false">
      <c r="A722" s="12" t="s">
        <v>802</v>
      </c>
      <c r="B722" s="13" t="n">
        <v>38879</v>
      </c>
      <c r="C722" s="3" t="s">
        <v>21</v>
      </c>
      <c r="D722" s="4" t="s">
        <v>797</v>
      </c>
      <c r="E722" s="3" t="n">
        <v>5</v>
      </c>
      <c r="F722" s="3" t="n">
        <v>10</v>
      </c>
      <c r="G722" s="3" t="n">
        <v>0</v>
      </c>
      <c r="I722" s="3" t="n">
        <f aca="false">_xlfn.IFS(G722="взв",11,G722="накл",24,G722="прокл",25,G722="пт",26,G722=90,10,G722=85,10,G722=80,9,G722=75,8,G722=70,8,G722=65,7,G722=60,7,G722=55,6,G722=50,6,G722=45,6,G722=40,5,G722=35,4,G722=30,4,G722=25,3,G722=20,2,G722=15,1,G722=10,1,G722=0,0)</f>
        <v>0</v>
      </c>
      <c r="J722" s="3" t="n">
        <f aca="false">IF(H722&lt;=1,0,IF(H722&lt;=10,11,IF(H722&lt;=14,12,IF(H722&lt;=17,13,IF(H722&lt;=20,14,IF(H722&lt;=22,15,IF(H722&lt;=25,16,IF(H722&lt;=27,17,IF(H722&lt;=29,18,IF(H722&lt;=32,19,IF(H722&lt;=34,20,IF(H722&lt;=36,21,IF(H722&lt;=40,22,24)))))))))))))</f>
        <v>0</v>
      </c>
      <c r="K722" s="3" t="n">
        <v>15</v>
      </c>
      <c r="M722" s="3" t="n">
        <f aca="false">_xlfn.IFS(K722="взв",11,K722="накл",24,K722="прокл",25,K722="пт",26,K722=90,10,K722=85,10,K722=80,9,K722=75,8,K722=70,8,K722=65,7,K722=60,7,K722=55,6,K722=50,6,K722=45,6,K722=40,5,K722=35,4,K722=30,4,K722=25,3,K722=20,2,K722=15,1,K722=10,1,K722=0,0)</f>
        <v>1</v>
      </c>
      <c r="N722" s="3" t="n">
        <f aca="false">IF(L722&lt;=1,0,IF(L722&lt;=10,11,IF(L722&lt;=14,12,IF(L722&lt;=17,13,IF(L722&lt;=20,14,IF(L722&lt;=22,15,IF(L722&lt;=25,16,IF(L722&lt;=27,17,IF(L722&lt;=29,18,IF(L722&lt;=32,19,IF(L722&lt;=34,20,IF(L722&lt;=36,21,IF(L722&lt;=40,22,24)))))))))))))</f>
        <v>0</v>
      </c>
      <c r="O722" s="3" t="n">
        <v>15</v>
      </c>
      <c r="Q722" s="3" t="n">
        <f aca="false">_xlfn.IFS(O722="взв",11,O722="накл",24,O722="прокл",25,O722="пт",26,O722=90,10,O722=85,10,O722=80,9,O722=75,8,O722=70,8,O722=65,7,O722=60,7,O722=55,6,O722=50,6,O722=45,6,O722=40,5,O722=35,4,O722=30,4,O722=25,3,O722=20,2,O722=15,1,O722=10,1,O722=0,0)</f>
        <v>1</v>
      </c>
      <c r="R722" s="3" t="n">
        <f aca="false">IF(P722&lt;=1,0,IF(P722&lt;=10,11,IF(P722&lt;=14,12,IF(P722&lt;=17,13,IF(P722&lt;=20,14,IF(P722&lt;=22,15,IF(P722&lt;=25,16,IF(P722&lt;=27,17,IF(P722&lt;=29,18,IF(P722&lt;=32,19,IF(P722&lt;=34,20,IF(P722&lt;=36,21,IF(P722&lt;=40,22,24)))))))))))))</f>
        <v>0</v>
      </c>
      <c r="S722" s="14" t="n">
        <f aca="false">ROUND((Q722+R722+I722+J722+M722+N722)/3,0)</f>
        <v>1</v>
      </c>
      <c r="T722" s="15" t="n">
        <f aca="false">F722*LOG10(S722+2)</f>
        <v>4.77121254719662</v>
      </c>
    </row>
    <row r="723" customFormat="false" ht="14.65" hidden="false" customHeight="true" outlineLevel="0" collapsed="false">
      <c r="A723" s="12" t="s">
        <v>803</v>
      </c>
      <c r="B723" s="13" t="n">
        <v>38879</v>
      </c>
      <c r="C723" s="3" t="s">
        <v>21</v>
      </c>
      <c r="D723" s="4" t="s">
        <v>804</v>
      </c>
      <c r="E723" s="3" t="n">
        <v>3</v>
      </c>
      <c r="F723" s="3" t="n">
        <v>15</v>
      </c>
      <c r="G723" s="3" t="n">
        <v>0</v>
      </c>
      <c r="I723" s="3" t="n">
        <f aca="false">_xlfn.IFS(G723="взв",11,G723="накл",24,G723="прокл",25,G723="пт",26,G723=90,10,G723=85,10,G723=80,9,G723=75,8,G723=70,8,G723=65,7,G723=60,7,G723=55,6,G723=50,6,G723=45,6,G723=40,5,G723=35,4,G723=30,4,G723=25,3,G723=20,2,G723=15,1,G723=10,1,G723=0,0)</f>
        <v>0</v>
      </c>
      <c r="J723" s="3" t="n">
        <f aca="false">IF(H723&lt;=1,0,IF(H723&lt;=10,11,IF(H723&lt;=14,12,IF(H723&lt;=17,13,IF(H723&lt;=20,14,IF(H723&lt;=22,15,IF(H723&lt;=25,16,IF(H723&lt;=27,17,IF(H723&lt;=29,18,IF(H723&lt;=32,19,IF(H723&lt;=34,20,IF(H723&lt;=36,21,IF(H723&lt;=40,22,24)))))))))))))</f>
        <v>0</v>
      </c>
      <c r="K723" s="3" t="n">
        <v>0</v>
      </c>
      <c r="M723" s="3" t="n">
        <f aca="false">_xlfn.IFS(K723="взв",11,K723="накл",24,K723="прокл",25,K723="пт",26,K723=90,10,K723=85,10,K723=80,9,K723=75,8,K723=70,8,K723=65,7,K723=60,7,K723=55,6,K723=50,6,K723=45,6,K723=40,5,K723=35,4,K723=30,4,K723=25,3,K723=20,2,K723=15,1,K723=10,1,K723=0,0)</f>
        <v>0</v>
      </c>
      <c r="N723" s="3" t="n">
        <f aca="false">IF(L723&lt;=1,0,IF(L723&lt;=10,11,IF(L723&lt;=14,12,IF(L723&lt;=17,13,IF(L723&lt;=20,14,IF(L723&lt;=22,15,IF(L723&lt;=25,16,IF(L723&lt;=27,17,IF(L723&lt;=29,18,IF(L723&lt;=32,19,IF(L723&lt;=34,20,IF(L723&lt;=36,21,IF(L723&lt;=40,22,24)))))))))))))</f>
        <v>0</v>
      </c>
      <c r="O723" s="3" t="n">
        <v>15</v>
      </c>
      <c r="Q723" s="3" t="n">
        <f aca="false">_xlfn.IFS(O723="взв",11,O723="накл",24,O723="прокл",25,O723="пт",26,O723=90,10,O723=85,10,O723=80,9,O723=75,8,O723=70,8,O723=65,7,O723=60,7,O723=55,6,O723=50,6,O723=45,6,O723=40,5,O723=35,4,O723=30,4,O723=25,3,O723=20,2,O723=15,1,O723=10,1,O723=0,0)</f>
        <v>1</v>
      </c>
      <c r="R723" s="3" t="n">
        <f aca="false">IF(P723&lt;=1,0,IF(P723&lt;=10,11,IF(P723&lt;=14,12,IF(P723&lt;=17,13,IF(P723&lt;=20,14,IF(P723&lt;=22,15,IF(P723&lt;=25,16,IF(P723&lt;=27,17,IF(P723&lt;=29,18,IF(P723&lt;=32,19,IF(P723&lt;=34,20,IF(P723&lt;=36,21,IF(P723&lt;=40,22,24)))))))))))))</f>
        <v>0</v>
      </c>
      <c r="S723" s="14" t="n">
        <f aca="false">ROUND((Q723+R723+I723+J723+M723+N723)/3,0)</f>
        <v>0</v>
      </c>
      <c r="T723" s="15" t="n">
        <f aca="false">F723*LOG10(S723+2)</f>
        <v>4.51544993495972</v>
      </c>
    </row>
    <row r="724" customFormat="false" ht="14.65" hidden="false" customHeight="true" outlineLevel="0" collapsed="false">
      <c r="A724" s="12" t="s">
        <v>805</v>
      </c>
      <c r="B724" s="13" t="n">
        <v>38877</v>
      </c>
      <c r="C724" s="3" t="s">
        <v>21</v>
      </c>
      <c r="D724" s="4" t="s">
        <v>806</v>
      </c>
      <c r="E724" s="3" t="n">
        <v>4</v>
      </c>
      <c r="F724" s="3" t="n">
        <v>2</v>
      </c>
      <c r="G724" s="3" t="n">
        <v>0</v>
      </c>
      <c r="I724" s="3" t="n">
        <f aca="false">_xlfn.IFS(G724="взв",11,G724="накл",24,G724="прокл",25,G724="пт",26,G724=90,10,G724=85,10,G724=80,9,G724=75,8,G724=70,8,G724=65,7,G724=60,7,G724=55,6,G724=50,6,G724=45,6,G724=40,5,G724=35,4,G724=30,4,G724=25,3,G724=20,2,G724=15,1,G724=10,1,G724=0,0)</f>
        <v>0</v>
      </c>
      <c r="J724" s="3" t="n">
        <f aca="false">IF(H724&lt;=1,0,IF(H724&lt;=10,11,IF(H724&lt;=14,12,IF(H724&lt;=17,13,IF(H724&lt;=20,14,IF(H724&lt;=22,15,IF(H724&lt;=25,16,IF(H724&lt;=27,17,IF(H724&lt;=29,18,IF(H724&lt;=32,19,IF(H724&lt;=34,20,IF(H724&lt;=36,21,IF(H724&lt;=40,22,24)))))))))))))</f>
        <v>0</v>
      </c>
      <c r="K724" s="3" t="n">
        <v>0</v>
      </c>
      <c r="M724" s="3" t="n">
        <f aca="false">_xlfn.IFS(K724="взв",11,K724="накл",24,K724="прокл",25,K724="пт",26,K724=90,10,K724=85,10,K724=80,9,K724=75,8,K724=70,8,K724=65,7,K724=60,7,K724=55,6,K724=50,6,K724=45,6,K724=40,5,K724=35,4,K724=30,4,K724=25,3,K724=20,2,K724=15,1,K724=10,1,K724=0,0)</f>
        <v>0</v>
      </c>
      <c r="N724" s="3" t="n">
        <f aca="false">IF(L724&lt;=1,0,IF(L724&lt;=10,11,IF(L724&lt;=14,12,IF(L724&lt;=17,13,IF(L724&lt;=20,14,IF(L724&lt;=22,15,IF(L724&lt;=25,16,IF(L724&lt;=27,17,IF(L724&lt;=29,18,IF(L724&lt;=32,19,IF(L724&lt;=34,20,IF(L724&lt;=36,21,IF(L724&lt;=40,22,24)))))))))))))</f>
        <v>0</v>
      </c>
      <c r="O724" s="3" t="n">
        <v>0</v>
      </c>
      <c r="Q724" s="3" t="n">
        <f aca="false">_xlfn.IFS(O724="взв",11,O724="накл",24,O724="прокл",25,O724="пт",26,O724=90,10,O724=85,10,O724=80,9,O724=75,8,O724=70,8,O724=65,7,O724=60,7,O724=55,6,O724=50,6,O724=45,6,O724=40,5,O724=35,4,O724=30,4,O724=25,3,O724=20,2,O724=15,1,O724=10,1,O724=0,0)</f>
        <v>0</v>
      </c>
      <c r="R724" s="3" t="n">
        <f aca="false">IF(P724&lt;=1,0,IF(P724&lt;=10,11,IF(P724&lt;=14,12,IF(P724&lt;=17,13,IF(P724&lt;=20,14,IF(P724&lt;=22,15,IF(P724&lt;=25,16,IF(P724&lt;=27,17,IF(P724&lt;=29,18,IF(P724&lt;=32,19,IF(P724&lt;=34,20,IF(P724&lt;=36,21,IF(P724&lt;=40,22,24)))))))))))))</f>
        <v>0</v>
      </c>
      <c r="S724" s="14" t="n">
        <f aca="false">ROUND((Q724+R724+I724+J724+M724+N724)/3,0)</f>
        <v>0</v>
      </c>
      <c r="T724" s="15" t="n">
        <f aca="false">F724*LOG10(S724+2)</f>
        <v>0.602059991327962</v>
      </c>
    </row>
    <row r="725" customFormat="false" ht="14.65" hidden="false" customHeight="true" outlineLevel="0" collapsed="false">
      <c r="A725" s="12" t="s">
        <v>807</v>
      </c>
      <c r="B725" s="13" t="n">
        <v>38877</v>
      </c>
      <c r="C725" s="3" t="s">
        <v>21</v>
      </c>
      <c r="D725" s="4" t="s">
        <v>806</v>
      </c>
      <c r="E725" s="3" t="n">
        <v>6</v>
      </c>
      <c r="F725" s="3" t="n">
        <v>2</v>
      </c>
      <c r="G725" s="3" t="n">
        <v>30</v>
      </c>
      <c r="I725" s="3" t="n">
        <f aca="false">_xlfn.IFS(G725="взв",11,G725="накл",24,G725="прокл",25,G725="пт",26,G725=90,10,G725=85,10,G725=80,9,G725=75,8,G725=70,8,G725=65,7,G725=60,7,G725=55,6,G725=50,6,G725=45,6,G725=40,5,G725=35,4,G725=30,4,G725=25,3,G725=20,2,G725=15,1,G725=10,1,G725=0,0)</f>
        <v>4</v>
      </c>
      <c r="J725" s="3" t="n">
        <f aca="false">IF(H725&lt;=1,0,IF(H725&lt;=10,11,IF(H725&lt;=14,12,IF(H725&lt;=17,13,IF(H725&lt;=20,14,IF(H725&lt;=22,15,IF(H725&lt;=25,16,IF(H725&lt;=27,17,IF(H725&lt;=29,18,IF(H725&lt;=32,19,IF(H725&lt;=34,20,IF(H725&lt;=36,21,IF(H725&lt;=40,22,24)))))))))))))</f>
        <v>0</v>
      </c>
      <c r="K725" s="3" t="n">
        <v>60</v>
      </c>
      <c r="M725" s="3" t="n">
        <f aca="false">_xlfn.IFS(K725="взв",11,K725="накл",24,K725="прокл",25,K725="пт",26,K725=90,10,K725=85,10,K725=80,9,K725=75,8,K725=70,8,K725=65,7,K725=60,7,K725=55,6,K725=50,6,K725=45,6,K725=40,5,K725=35,4,K725=30,4,K725=25,3,K725=20,2,K725=15,1,K725=10,1,K725=0,0)</f>
        <v>7</v>
      </c>
      <c r="N725" s="3" t="n">
        <f aca="false">IF(L725&lt;=1,0,IF(L725&lt;=10,11,IF(L725&lt;=14,12,IF(L725&lt;=17,13,IF(L725&lt;=20,14,IF(L725&lt;=22,15,IF(L725&lt;=25,16,IF(L725&lt;=27,17,IF(L725&lt;=29,18,IF(L725&lt;=32,19,IF(L725&lt;=34,20,IF(L725&lt;=36,21,IF(L725&lt;=40,22,24)))))))))))))</f>
        <v>0</v>
      </c>
      <c r="O725" s="3" t="n">
        <v>90</v>
      </c>
      <c r="Q725" s="3" t="n">
        <f aca="false">_xlfn.IFS(O725="взв",11,O725="накл",24,O725="прокл",25,O725="пт",26,O725=90,10,O725=85,10,O725=80,9,O725=75,8,O725=70,8,O725=65,7,O725=60,7,O725=55,6,O725=50,6,O725=45,6,O725=40,5,O725=35,4,O725=30,4,O725=25,3,O725=20,2,O725=15,1,O725=10,1,O725=0,0)</f>
        <v>10</v>
      </c>
      <c r="R725" s="3" t="n">
        <f aca="false">IF(P725&lt;=1,0,IF(P725&lt;=10,11,IF(P725&lt;=14,12,IF(P725&lt;=17,13,IF(P725&lt;=20,14,IF(P725&lt;=22,15,IF(P725&lt;=25,16,IF(P725&lt;=27,17,IF(P725&lt;=29,18,IF(P725&lt;=32,19,IF(P725&lt;=34,20,IF(P725&lt;=36,21,IF(P725&lt;=40,22,24)))))))))))))</f>
        <v>0</v>
      </c>
      <c r="S725" s="14" t="n">
        <f aca="false">ROUND((Q725+R725+I725+J725+M725+N725)/3,0)</f>
        <v>7</v>
      </c>
      <c r="T725" s="15" t="n">
        <f aca="false">F725*LOG10(S725+2)</f>
        <v>1.90848501887865</v>
      </c>
    </row>
    <row r="726" customFormat="false" ht="14.65" hidden="false" customHeight="true" outlineLevel="0" collapsed="false">
      <c r="A726" s="12" t="s">
        <v>808</v>
      </c>
      <c r="B726" s="13" t="n">
        <v>38877</v>
      </c>
      <c r="C726" s="3" t="s">
        <v>21</v>
      </c>
      <c r="D726" s="4" t="s">
        <v>806</v>
      </c>
      <c r="E726" s="3" t="n">
        <v>1</v>
      </c>
      <c r="F726" s="3" t="n">
        <v>4</v>
      </c>
      <c r="H726" s="3" t="n">
        <v>31</v>
      </c>
      <c r="I726" s="3" t="n">
        <f aca="false">_xlfn.IFS(G726="взв",11,G726="накл",24,G726="прокл",25,G726="пт",26,G726=90,10,G726=85,10,G726=80,9,G726=75,8,G726=70,8,G726=65,7,G726=60,7,G726=55,6,G726=50,6,G726=45,6,G726=40,5,G726=35,4,G726=30,4,G726=25,3,G726=20,2,G726=15,1,G726=10,1,G726=0,0)</f>
        <v>0</v>
      </c>
      <c r="J726" s="3" t="n">
        <f aca="false">IF(H726&lt;=1,0,IF(H726&lt;=10,11,IF(H726&lt;=14,12,IF(H726&lt;=17,13,IF(H726&lt;=20,14,IF(H726&lt;=22,15,IF(H726&lt;=25,16,IF(H726&lt;=27,17,IF(H726&lt;=29,18,IF(H726&lt;=32,19,IF(H726&lt;=34,20,IF(H726&lt;=36,21,IF(H726&lt;=40,22,24)))))))))))))</f>
        <v>19</v>
      </c>
      <c r="M726" s="3" t="n">
        <f aca="false">_xlfn.IFS(K726="взв",11,K726="накл",24,K726="прокл",25,K726="пт",26,K726=90,10,K726=85,10,K726=80,9,K726=75,8,K726=70,8,K726=65,7,K726=60,7,K726=55,6,K726=50,6,K726=45,6,K726=40,5,K726=35,4,K726=30,4,K726=25,3,K726=20,2,K726=15,1,K726=10,1,K726=0,0)</f>
        <v>0</v>
      </c>
      <c r="N726" s="3" t="n">
        <f aca="false">IF(L726&lt;=1,0,IF(L726&lt;=10,11,IF(L726&lt;=14,12,IF(L726&lt;=17,13,IF(L726&lt;=20,14,IF(L726&lt;=22,15,IF(L726&lt;=25,16,IF(L726&lt;=27,17,IF(L726&lt;=29,18,IF(L726&lt;=32,19,IF(L726&lt;=34,20,IF(L726&lt;=36,21,IF(L726&lt;=40,22,24)))))))))))))</f>
        <v>0</v>
      </c>
      <c r="Q726" s="3" t="n">
        <f aca="false">_xlfn.IFS(O726="взв",11,O726="накл",24,O726="прокл",25,O726="пт",26,O726=90,10,O726=85,10,O726=80,9,O726=75,8,O726=70,8,O726=65,7,O726=60,7,O726=55,6,O726=50,6,O726=45,6,O726=40,5,O726=35,4,O726=30,4,O726=25,3,O726=20,2,O726=15,1,O726=10,1,O726=0,0)</f>
        <v>0</v>
      </c>
      <c r="R726" s="3" t="n">
        <f aca="false">IF(P726&lt;=1,0,IF(P726&lt;=10,11,IF(P726&lt;=14,12,IF(P726&lt;=17,13,IF(P726&lt;=20,14,IF(P726&lt;=22,15,IF(P726&lt;=25,16,IF(P726&lt;=27,17,IF(P726&lt;=29,18,IF(P726&lt;=32,19,IF(P726&lt;=34,20,IF(P726&lt;=36,21,IF(P726&lt;=40,22,24)))))))))))))</f>
        <v>0</v>
      </c>
      <c r="S726" s="14" t="n">
        <v>19</v>
      </c>
      <c r="T726" s="15" t="n">
        <f aca="false">F726*LOG10(S726+2)</f>
        <v>5.28887717893568</v>
      </c>
    </row>
    <row r="727" customFormat="false" ht="14.65" hidden="false" customHeight="true" outlineLevel="0" collapsed="false">
      <c r="A727" s="12" t="s">
        <v>809</v>
      </c>
      <c r="B727" s="13" t="n">
        <v>38877</v>
      </c>
      <c r="C727" s="3" t="s">
        <v>21</v>
      </c>
      <c r="D727" s="4" t="s">
        <v>806</v>
      </c>
      <c r="E727" s="3" t="n">
        <v>2</v>
      </c>
      <c r="F727" s="3" t="n">
        <v>4</v>
      </c>
      <c r="G727" s="3" t="n">
        <v>90</v>
      </c>
      <c r="I727" s="3" t="n">
        <f aca="false">_xlfn.IFS(G727="взв",11,G727="накл",24,G727="прокл",25,G727="пт",26,G727=90,10,G727=85,10,G727=80,9,G727=75,8,G727=70,8,G727=65,7,G727=60,7,G727=55,6,G727=50,6,G727=45,6,G727=40,5,G727=35,4,G727=30,4,G727=25,3,G727=20,2,G727=15,1,G727=10,1,G727=0,0)</f>
        <v>10</v>
      </c>
      <c r="J727" s="3" t="n">
        <f aca="false">IF(H727&lt;=1,0,IF(H727&lt;=10,11,IF(H727&lt;=14,12,IF(H727&lt;=17,13,IF(H727&lt;=20,14,IF(H727&lt;=22,15,IF(H727&lt;=25,16,IF(H727&lt;=27,17,IF(H727&lt;=29,18,IF(H727&lt;=32,19,IF(H727&lt;=34,20,IF(H727&lt;=36,21,IF(H727&lt;=40,22,24)))))))))))))</f>
        <v>0</v>
      </c>
      <c r="K727" s="3" t="n">
        <v>90</v>
      </c>
      <c r="M727" s="3" t="n">
        <f aca="false">_xlfn.IFS(K727="взв",11,K727="накл",24,K727="прокл",25,K727="пт",26,K727=90,10,K727=85,10,K727=80,9,K727=75,8,K727=70,8,K727=65,7,K727=60,7,K727=55,6,K727=50,6,K727=45,6,K727=40,5,K727=35,4,K727=30,4,K727=25,3,K727=20,2,K727=15,1,K727=10,1,K727=0,0)</f>
        <v>10</v>
      </c>
      <c r="N727" s="3" t="n">
        <f aca="false">IF(L727&lt;=1,0,IF(L727&lt;=10,11,IF(L727&lt;=14,12,IF(L727&lt;=17,13,IF(L727&lt;=20,14,IF(L727&lt;=22,15,IF(L727&lt;=25,16,IF(L727&lt;=27,17,IF(L727&lt;=29,18,IF(L727&lt;=32,19,IF(L727&lt;=34,20,IF(L727&lt;=36,21,IF(L727&lt;=40,22,24)))))))))))))</f>
        <v>0</v>
      </c>
      <c r="Q727" s="3" t="n">
        <f aca="false">_xlfn.IFS(O727="взв",11,O727="накл",24,O727="прокл",25,O727="пт",26,O727=90,10,O727=85,10,O727=80,9,O727=75,8,O727=70,8,O727=65,7,O727=60,7,O727=55,6,O727=50,6,O727=45,6,O727=40,5,O727=35,4,O727=30,4,O727=25,3,O727=20,2,O727=15,1,O727=10,1,O727=0,0)</f>
        <v>0</v>
      </c>
      <c r="R727" s="3" t="n">
        <f aca="false">IF(P727&lt;=1,0,IF(P727&lt;=10,11,IF(P727&lt;=14,12,IF(P727&lt;=17,13,IF(P727&lt;=20,14,IF(P727&lt;=22,15,IF(P727&lt;=25,16,IF(P727&lt;=27,17,IF(P727&lt;=29,18,IF(P727&lt;=32,19,IF(P727&lt;=34,20,IF(P727&lt;=36,21,IF(P727&lt;=40,22,24)))))))))))))</f>
        <v>0</v>
      </c>
      <c r="S727" s="14" t="n">
        <f aca="false">ROUND((Q727+R727+I727+J727+M727+N727)/2,0)</f>
        <v>10</v>
      </c>
      <c r="T727" s="15" t="n">
        <f aca="false">F727*LOG10(S727+2)</f>
        <v>4.3167249841905</v>
      </c>
    </row>
    <row r="728" customFormat="false" ht="14.65" hidden="false" customHeight="true" outlineLevel="0" collapsed="false">
      <c r="A728" s="12" t="s">
        <v>810</v>
      </c>
      <c r="B728" s="13" t="n">
        <v>38877</v>
      </c>
      <c r="C728" s="3" t="s">
        <v>21</v>
      </c>
      <c r="D728" s="4" t="s">
        <v>806</v>
      </c>
      <c r="E728" s="3" t="n">
        <v>7</v>
      </c>
      <c r="F728" s="3" t="n">
        <v>5</v>
      </c>
      <c r="G728" s="3" t="n">
        <v>75</v>
      </c>
      <c r="I728" s="3" t="n">
        <f aca="false">_xlfn.IFS(G728="взв",11,G728="накл",24,G728="прокл",25,G728="пт",26,G728=90,10,G728=85,10,G728=80,9,G728=75,8,G728=70,8,G728=65,7,G728=60,7,G728=55,6,G728=50,6,G728=45,6,G728=40,5,G728=35,4,G728=30,4,G728=25,3,G728=20,2,G728=15,1,G728=10,1,G728=0,0)</f>
        <v>8</v>
      </c>
      <c r="J728" s="3" t="n">
        <f aca="false">IF(H728&lt;=1,0,IF(H728&lt;=10,11,IF(H728&lt;=14,12,IF(H728&lt;=17,13,IF(H728&lt;=20,14,IF(H728&lt;=22,15,IF(H728&lt;=25,16,IF(H728&lt;=27,17,IF(H728&lt;=29,18,IF(H728&lt;=32,19,IF(H728&lt;=34,20,IF(H728&lt;=36,21,IF(H728&lt;=40,22,24)))))))))))))</f>
        <v>0</v>
      </c>
      <c r="K728" s="3" t="n">
        <v>75</v>
      </c>
      <c r="M728" s="3" t="n">
        <f aca="false">_xlfn.IFS(K728="взв",11,K728="накл",24,K728="прокл",25,K728="пт",26,K728=90,10,K728=85,10,K728=80,9,K728=75,8,K728=70,8,K728=65,7,K728=60,7,K728=55,6,K728=50,6,K728=45,6,K728=40,5,K728=35,4,K728=30,4,K728=25,3,K728=20,2,K728=15,1,K728=10,1,K728=0,0)</f>
        <v>8</v>
      </c>
      <c r="N728" s="3" t="n">
        <f aca="false">IF(L728&lt;=1,0,IF(L728&lt;=10,11,IF(L728&lt;=14,12,IF(L728&lt;=17,13,IF(L728&lt;=20,14,IF(L728&lt;=22,15,IF(L728&lt;=25,16,IF(L728&lt;=27,17,IF(L728&lt;=29,18,IF(L728&lt;=32,19,IF(L728&lt;=34,20,IF(L728&lt;=36,21,IF(L728&lt;=40,22,24)))))))))))))</f>
        <v>0</v>
      </c>
      <c r="O728" s="3" t="n">
        <v>60</v>
      </c>
      <c r="Q728" s="3" t="n">
        <f aca="false">_xlfn.IFS(O728="взв",11,O728="накл",24,O728="прокл",25,O728="пт",26,O728=90,10,O728=85,10,O728=80,9,O728=75,8,O728=70,8,O728=65,7,O728=60,7,O728=55,6,O728=50,6,O728=45,6,O728=40,5,O728=35,4,O728=30,4,O728=25,3,O728=20,2,O728=15,1,O728=10,1,O728=0,0)</f>
        <v>7</v>
      </c>
      <c r="R728" s="3" t="n">
        <f aca="false">IF(P728&lt;=1,0,IF(P728&lt;=10,11,IF(P728&lt;=14,12,IF(P728&lt;=17,13,IF(P728&lt;=20,14,IF(P728&lt;=22,15,IF(P728&lt;=25,16,IF(P728&lt;=27,17,IF(P728&lt;=29,18,IF(P728&lt;=32,19,IF(P728&lt;=34,20,IF(P728&lt;=36,21,IF(P728&lt;=40,22,24)))))))))))))</f>
        <v>0</v>
      </c>
      <c r="S728" s="14" t="n">
        <f aca="false">ROUND((Q728+R728+I728+J728+M728+N728)/3,0)</f>
        <v>8</v>
      </c>
      <c r="T728" s="15" t="n">
        <f aca="false">F728*LOG10(S728+2)</f>
        <v>5</v>
      </c>
    </row>
    <row r="729" customFormat="false" ht="14.65" hidden="false" customHeight="true" outlineLevel="0" collapsed="false">
      <c r="A729" s="12" t="s">
        <v>811</v>
      </c>
      <c r="B729" s="13" t="n">
        <v>38877</v>
      </c>
      <c r="C729" s="3" t="s">
        <v>21</v>
      </c>
      <c r="D729" s="4" t="s">
        <v>806</v>
      </c>
      <c r="E729" s="3" t="n">
        <v>5</v>
      </c>
      <c r="F729" s="3" t="n">
        <v>7</v>
      </c>
      <c r="H729" s="3" t="n">
        <v>27</v>
      </c>
      <c r="I729" s="3" t="n">
        <f aca="false">_xlfn.IFS(G729="взв",11,G729="накл",24,G729="прокл",25,G729="пт",26,G729=90,10,G729=85,10,G729=80,9,G729=75,8,G729=70,8,G729=65,7,G729=60,7,G729=55,6,G729=50,6,G729=45,6,G729=40,5,G729=35,4,G729=30,4,G729=25,3,G729=20,2,G729=15,1,G729=10,1,G729=0,0)</f>
        <v>0</v>
      </c>
      <c r="J729" s="3" t="n">
        <f aca="false">IF(H729&lt;=1,0,IF(H729&lt;=10,11,IF(H729&lt;=14,12,IF(H729&lt;=17,13,IF(H729&lt;=20,14,IF(H729&lt;=22,15,IF(H729&lt;=25,16,IF(H729&lt;=27,17,IF(H729&lt;=29,18,IF(H729&lt;=32,19,IF(H729&lt;=34,20,IF(H729&lt;=36,21,IF(H729&lt;=40,22,24)))))))))))))</f>
        <v>17</v>
      </c>
      <c r="L729" s="3" t="n">
        <v>32</v>
      </c>
      <c r="M729" s="3" t="n">
        <f aca="false">_xlfn.IFS(K729="взв",11,K729="накл",24,K729="прокл",25,K729="пт",26,K729=90,10,K729=85,10,K729=80,9,K729=75,8,K729=70,8,K729=65,7,K729=60,7,K729=55,6,K729=50,6,K729=45,6,K729=40,5,K729=35,4,K729=30,4,K729=25,3,K729=20,2,K729=15,1,K729=10,1,K729=0,0)</f>
        <v>0</v>
      </c>
      <c r="N729" s="3" t="n">
        <f aca="false">IF(L729&lt;=1,0,IF(L729&lt;=10,11,IF(L729&lt;=14,12,IF(L729&lt;=17,13,IF(L729&lt;=20,14,IF(L729&lt;=22,15,IF(L729&lt;=25,16,IF(L729&lt;=27,17,IF(L729&lt;=29,18,IF(L729&lt;=32,19,IF(L729&lt;=34,20,IF(L729&lt;=36,21,IF(L729&lt;=40,22,24)))))))))))))</f>
        <v>19</v>
      </c>
      <c r="P729" s="3" t="n">
        <v>33</v>
      </c>
      <c r="Q729" s="3" t="n">
        <f aca="false">_xlfn.IFS(O729="взв",11,O729="накл",24,O729="прокл",25,O729="пт",26,O729=90,10,O729=85,10,O729=80,9,O729=75,8,O729=70,8,O729=65,7,O729=60,7,O729=55,6,O729=50,6,O729=45,6,O729=40,5,O729=35,4,O729=30,4,O729=25,3,O729=20,2,O729=15,1,O729=10,1,O729=0,0)</f>
        <v>0</v>
      </c>
      <c r="R729" s="3" t="n">
        <f aca="false">IF(P729&lt;=1,0,IF(P729&lt;=10,11,IF(P729&lt;=14,12,IF(P729&lt;=17,13,IF(P729&lt;=20,14,IF(P729&lt;=22,15,IF(P729&lt;=25,16,IF(P729&lt;=27,17,IF(P729&lt;=29,18,IF(P729&lt;=32,19,IF(P729&lt;=34,20,IF(P729&lt;=36,21,IF(P729&lt;=40,22,24)))))))))))))</f>
        <v>20</v>
      </c>
      <c r="S729" s="14" t="n">
        <f aca="false">ROUND((Q729+R729+I729+J729+M729+N729)/3,0)</f>
        <v>19</v>
      </c>
      <c r="T729" s="15" t="n">
        <f aca="false">F729*LOG10(S729+2)</f>
        <v>9.25553506313744</v>
      </c>
    </row>
    <row r="730" customFormat="false" ht="14.65" hidden="false" customHeight="true" outlineLevel="0" collapsed="false">
      <c r="A730" s="12" t="s">
        <v>812</v>
      </c>
      <c r="B730" s="13" t="n">
        <v>38877</v>
      </c>
      <c r="C730" s="3" t="s">
        <v>21</v>
      </c>
      <c r="D730" s="4" t="s">
        <v>806</v>
      </c>
      <c r="E730" s="3" t="n">
        <v>4</v>
      </c>
      <c r="F730" s="3" t="n">
        <v>10</v>
      </c>
      <c r="G730" s="3" t="n">
        <v>0</v>
      </c>
      <c r="I730" s="3" t="n">
        <f aca="false">_xlfn.IFS(G730="взв",11,G730="накл",24,G730="прокл",25,G730="пт",26,G730=90,10,G730=85,10,G730=80,9,G730=75,8,G730=70,8,G730=65,7,G730=60,7,G730=55,6,G730=50,6,G730=45,6,G730=40,5,G730=35,4,G730=30,4,G730=25,3,G730=20,2,G730=15,1,G730=10,1,G730=0,0)</f>
        <v>0</v>
      </c>
      <c r="J730" s="3" t="n">
        <f aca="false">IF(H730&lt;=1,0,IF(H730&lt;=10,11,IF(H730&lt;=14,12,IF(H730&lt;=17,13,IF(H730&lt;=20,14,IF(H730&lt;=22,15,IF(H730&lt;=25,16,IF(H730&lt;=27,17,IF(H730&lt;=29,18,IF(H730&lt;=32,19,IF(H730&lt;=34,20,IF(H730&lt;=36,21,IF(H730&lt;=40,22,24)))))))))))))</f>
        <v>0</v>
      </c>
      <c r="K730" s="3" t="n">
        <v>15</v>
      </c>
      <c r="M730" s="3" t="n">
        <f aca="false">_xlfn.IFS(K730="взв",11,K730="накл",24,K730="прокл",25,K730="пт",26,K730=90,10,K730=85,10,K730=80,9,K730=75,8,K730=70,8,K730=65,7,K730=60,7,K730=55,6,K730=50,6,K730=45,6,K730=40,5,K730=35,4,K730=30,4,K730=25,3,K730=20,2,K730=15,1,K730=10,1,K730=0,0)</f>
        <v>1</v>
      </c>
      <c r="N730" s="3" t="n">
        <f aca="false">IF(L730&lt;=1,0,IF(L730&lt;=10,11,IF(L730&lt;=14,12,IF(L730&lt;=17,13,IF(L730&lt;=20,14,IF(L730&lt;=22,15,IF(L730&lt;=25,16,IF(L730&lt;=27,17,IF(L730&lt;=29,18,IF(L730&lt;=32,19,IF(L730&lt;=34,20,IF(L730&lt;=36,21,IF(L730&lt;=40,22,24)))))))))))))</f>
        <v>0</v>
      </c>
      <c r="O730" s="3" t="n">
        <v>15</v>
      </c>
      <c r="Q730" s="3" t="n">
        <f aca="false">_xlfn.IFS(O730="взв",11,O730="накл",24,O730="прокл",25,O730="пт",26,O730=90,10,O730=85,10,O730=80,9,O730=75,8,O730=70,8,O730=65,7,O730=60,7,O730=55,6,O730=50,6,O730=45,6,O730=40,5,O730=35,4,O730=30,4,O730=25,3,O730=20,2,O730=15,1,O730=10,1,O730=0,0)</f>
        <v>1</v>
      </c>
      <c r="R730" s="3" t="n">
        <f aca="false">IF(P730&lt;=1,0,IF(P730&lt;=10,11,IF(P730&lt;=14,12,IF(P730&lt;=17,13,IF(P730&lt;=20,14,IF(P730&lt;=22,15,IF(P730&lt;=25,16,IF(P730&lt;=27,17,IF(P730&lt;=29,18,IF(P730&lt;=32,19,IF(P730&lt;=34,20,IF(P730&lt;=36,21,IF(P730&lt;=40,22,24)))))))))))))</f>
        <v>0</v>
      </c>
      <c r="S730" s="14" t="n">
        <f aca="false">ROUND((Q730+R730+I730+J730+M730+N730)/3,0)</f>
        <v>1</v>
      </c>
      <c r="T730" s="15" t="n">
        <f aca="false">F730*LOG10(S730+2)</f>
        <v>4.77121254719662</v>
      </c>
    </row>
    <row r="731" customFormat="false" ht="14.65" hidden="false" customHeight="true" outlineLevel="0" collapsed="false">
      <c r="A731" s="12" t="s">
        <v>813</v>
      </c>
      <c r="B731" s="13" t="n">
        <v>38877</v>
      </c>
      <c r="C731" s="3" t="s">
        <v>21</v>
      </c>
      <c r="D731" s="4" t="s">
        <v>806</v>
      </c>
      <c r="E731" s="3" t="n">
        <v>4</v>
      </c>
      <c r="F731" s="3" t="n">
        <v>13</v>
      </c>
      <c r="G731" s="3" t="n">
        <v>90</v>
      </c>
      <c r="I731" s="3" t="n">
        <f aca="false">_xlfn.IFS(G731="взв",11,G731="накл",24,G731="прокл",25,G731="пт",26,G731=90,10,G731=85,10,G731=80,9,G731=75,8,G731=70,8,G731=65,7,G731=60,7,G731=55,6,G731=50,6,G731=45,6,G731=40,5,G731=35,4,G731=30,4,G731=25,3,G731=20,2,G731=15,1,G731=10,1,G731=0,0)</f>
        <v>10</v>
      </c>
      <c r="J731" s="3" t="n">
        <f aca="false">IF(H731&lt;=1,0,IF(H731&lt;=10,11,IF(H731&lt;=14,12,IF(H731&lt;=17,13,IF(H731&lt;=20,14,IF(H731&lt;=22,15,IF(H731&lt;=25,16,IF(H731&lt;=27,17,IF(H731&lt;=29,18,IF(H731&lt;=32,19,IF(H731&lt;=34,20,IF(H731&lt;=36,21,IF(H731&lt;=40,22,24)))))))))))))</f>
        <v>0</v>
      </c>
      <c r="K731" s="3" t="n">
        <v>90</v>
      </c>
      <c r="M731" s="3" t="n">
        <f aca="false">_xlfn.IFS(K731="взв",11,K731="накл",24,K731="прокл",25,K731="пт",26,K731=90,10,K731=85,10,K731=80,9,K731=75,8,K731=70,8,K731=65,7,K731=60,7,K731=55,6,K731=50,6,K731=45,6,K731=40,5,K731=35,4,K731=30,4,K731=25,3,K731=20,2,K731=15,1,K731=10,1,K731=0,0)</f>
        <v>10</v>
      </c>
      <c r="N731" s="3" t="n">
        <f aca="false">IF(L731&lt;=1,0,IF(L731&lt;=10,11,IF(L731&lt;=14,12,IF(L731&lt;=17,13,IF(L731&lt;=20,14,IF(L731&lt;=22,15,IF(L731&lt;=25,16,IF(L731&lt;=27,17,IF(L731&lt;=29,18,IF(L731&lt;=32,19,IF(L731&lt;=34,20,IF(L731&lt;=36,21,IF(L731&lt;=40,22,24)))))))))))))</f>
        <v>0</v>
      </c>
      <c r="P731" s="3" t="n">
        <v>16</v>
      </c>
      <c r="Q731" s="3" t="n">
        <f aca="false">_xlfn.IFS(O731="взв",11,O731="накл",24,O731="прокл",25,O731="пт",26,O731=90,10,O731=85,10,O731=80,9,O731=75,8,O731=70,8,O731=65,7,O731=60,7,O731=55,6,O731=50,6,O731=45,6,O731=40,5,O731=35,4,O731=30,4,O731=25,3,O731=20,2,O731=15,1,O731=10,1,O731=0,0)</f>
        <v>0</v>
      </c>
      <c r="R731" s="3" t="n">
        <f aca="false">IF(P731&lt;=1,0,IF(P731&lt;=10,11,IF(P731&lt;=14,12,IF(P731&lt;=17,13,IF(P731&lt;=20,14,IF(P731&lt;=22,15,IF(P731&lt;=25,16,IF(P731&lt;=27,17,IF(P731&lt;=29,18,IF(P731&lt;=32,19,IF(P731&lt;=34,20,IF(P731&lt;=36,21,IF(P731&lt;=40,22,24)))))))))))))</f>
        <v>13</v>
      </c>
      <c r="S731" s="14" t="n">
        <f aca="false">ROUND((Q731+R731+I731+J731+M731+N731)/3,0)</f>
        <v>11</v>
      </c>
      <c r="T731" s="15" t="n">
        <f aca="false">F731*LOG10(S731+2)</f>
        <v>14.4812635799889</v>
      </c>
    </row>
    <row r="732" customFormat="false" ht="14.65" hidden="false" customHeight="true" outlineLevel="0" collapsed="false">
      <c r="A732" s="12" t="s">
        <v>814</v>
      </c>
      <c r="B732" s="13" t="n">
        <v>38877</v>
      </c>
      <c r="C732" s="3" t="s">
        <v>21</v>
      </c>
      <c r="D732" s="4" t="s">
        <v>806</v>
      </c>
      <c r="E732" s="3" t="n">
        <v>1</v>
      </c>
      <c r="F732" s="3" t="n">
        <v>20</v>
      </c>
      <c r="G732" s="3" t="n">
        <v>30</v>
      </c>
      <c r="I732" s="3" t="n">
        <f aca="false">_xlfn.IFS(G732="взв",11,G732="накл",24,G732="прокл",25,G732="пт",26,G732=90,10,G732=85,10,G732=80,9,G732=75,8,G732=70,8,G732=65,7,G732=60,7,G732=55,6,G732=50,6,G732=45,6,G732=40,5,G732=35,4,G732=30,4,G732=25,3,G732=20,2,G732=15,1,G732=10,1,G732=0,0)</f>
        <v>4</v>
      </c>
      <c r="J732" s="3" t="n">
        <f aca="false">IF(H732&lt;=1,0,IF(H732&lt;=10,11,IF(H732&lt;=14,12,IF(H732&lt;=17,13,IF(H732&lt;=20,14,IF(H732&lt;=22,15,IF(H732&lt;=25,16,IF(H732&lt;=27,17,IF(H732&lt;=29,18,IF(H732&lt;=32,19,IF(H732&lt;=34,20,IF(H732&lt;=36,21,IF(H732&lt;=40,22,24)))))))))))))</f>
        <v>0</v>
      </c>
      <c r="M732" s="3" t="n">
        <f aca="false">_xlfn.IFS(K732="взв",11,K732="накл",24,K732="прокл",25,K732="пт",26,K732=90,10,K732=85,10,K732=80,9,K732=75,8,K732=70,8,K732=65,7,K732=60,7,K732=55,6,K732=50,6,K732=45,6,K732=40,5,K732=35,4,K732=30,4,K732=25,3,K732=20,2,K732=15,1,K732=10,1,K732=0,0)</f>
        <v>0</v>
      </c>
      <c r="N732" s="3" t="n">
        <f aca="false">IF(L732&lt;=1,0,IF(L732&lt;=10,11,IF(L732&lt;=14,12,IF(L732&lt;=17,13,IF(L732&lt;=20,14,IF(L732&lt;=22,15,IF(L732&lt;=25,16,IF(L732&lt;=27,17,IF(L732&lt;=29,18,IF(L732&lt;=32,19,IF(L732&lt;=34,20,IF(L732&lt;=36,21,IF(L732&lt;=40,22,24)))))))))))))</f>
        <v>0</v>
      </c>
      <c r="Q732" s="3" t="n">
        <f aca="false">_xlfn.IFS(O732="взв",11,O732="накл",24,O732="прокл",25,O732="пт",26,O732=90,10,O732=85,10,O732=80,9,O732=75,8,O732=70,8,O732=65,7,O732=60,7,O732=55,6,O732=50,6,O732=45,6,O732=40,5,O732=35,4,O732=30,4,O732=25,3,O732=20,2,O732=15,1,O732=10,1,O732=0,0)</f>
        <v>0</v>
      </c>
      <c r="R732" s="3" t="n">
        <f aca="false">IF(P732&lt;=1,0,IF(P732&lt;=10,11,IF(P732&lt;=14,12,IF(P732&lt;=17,13,IF(P732&lt;=20,14,IF(P732&lt;=22,15,IF(P732&lt;=25,16,IF(P732&lt;=27,17,IF(P732&lt;=29,18,IF(P732&lt;=32,19,IF(P732&lt;=34,20,IF(P732&lt;=36,21,IF(P732&lt;=40,22,24)))))))))))))</f>
        <v>0</v>
      </c>
      <c r="S732" s="14" t="n">
        <f aca="false">ROUND((Q732+R732+I732+J732+M732+N732)/1,0)</f>
        <v>4</v>
      </c>
      <c r="T732" s="15" t="n">
        <f aca="false">F732*LOG10(S732+2)</f>
        <v>15.5630250076729</v>
      </c>
    </row>
    <row r="733" customFormat="false" ht="14.65" hidden="false" customHeight="true" outlineLevel="0" collapsed="false">
      <c r="A733" s="12" t="s">
        <v>815</v>
      </c>
      <c r="B733" s="13" t="n">
        <v>38877</v>
      </c>
      <c r="C733" s="3" t="s">
        <v>21</v>
      </c>
      <c r="D733" s="4" t="s">
        <v>806</v>
      </c>
      <c r="E733" s="3" t="n">
        <v>6</v>
      </c>
      <c r="F733" s="3" t="n">
        <v>0</v>
      </c>
      <c r="H733" s="3" t="n">
        <v>36</v>
      </c>
      <c r="I733" s="3" t="n">
        <f aca="false">_xlfn.IFS(G733="взв",11,G733="накл",24,G733="прокл",25,G733="пт",26,G733=90,10,G733=85,10,G733=80,9,G733=75,8,G733=70,8,G733=65,7,G733=60,7,G733=55,6,G733=50,6,G733=45,6,G733=40,5,G733=35,4,G733=30,4,G733=25,3,G733=20,2,G733=15,1,G733=10,1,G733=0,0)</f>
        <v>0</v>
      </c>
      <c r="J733" s="3" t="n">
        <f aca="false">IF(H733&lt;=1,0,IF(H733&lt;=10,11,IF(H733&lt;=14,12,IF(H733&lt;=17,13,IF(H733&lt;=20,14,IF(H733&lt;=22,15,IF(H733&lt;=25,16,IF(H733&lt;=27,17,IF(H733&lt;=29,18,IF(H733&lt;=32,19,IF(H733&lt;=34,20,IF(H733&lt;=36,21,IF(H733&lt;=40,22,24)))))))))))))</f>
        <v>21</v>
      </c>
      <c r="L733" s="3" t="n">
        <v>38</v>
      </c>
      <c r="M733" s="3" t="n">
        <f aca="false">_xlfn.IFS(K733="взв",11,K733="накл",24,K733="прокл",25,K733="пт",26,K733=90,10,K733=85,10,K733=80,9,K733=75,8,K733=70,8,K733=65,7,K733=60,7,K733=55,6,K733=50,6,K733=45,6,K733=40,5,K733=35,4,K733=30,4,K733=25,3,K733=20,2,K733=15,1,K733=10,1,K733=0,0)</f>
        <v>0</v>
      </c>
      <c r="N733" s="3" t="n">
        <f aca="false">IF(L733&lt;=1,0,IF(L733&lt;=10,11,IF(L733&lt;=14,12,IF(L733&lt;=17,13,IF(L733&lt;=20,14,IF(L733&lt;=22,15,IF(L733&lt;=25,16,IF(L733&lt;=27,17,IF(L733&lt;=29,18,IF(L733&lt;=32,19,IF(L733&lt;=34,20,IF(L733&lt;=36,21,IF(L733&lt;=40,22,24)))))))))))))</f>
        <v>22</v>
      </c>
      <c r="P733" s="3" t="n">
        <v>35</v>
      </c>
      <c r="Q733" s="3" t="n">
        <f aca="false">_xlfn.IFS(O733="взв",11,O733="накл",24,O733="прокл",25,O733="пт",26,O733=90,10,O733=85,10,O733=80,9,O733=75,8,O733=70,8,O733=65,7,O733=60,7,O733=55,6,O733=50,6,O733=45,6,O733=40,5,O733=35,4,O733=30,4,O733=25,3,O733=20,2,O733=15,1,O733=10,1,O733=0,0)</f>
        <v>0</v>
      </c>
      <c r="R733" s="3" t="n">
        <f aca="false">IF(P733&lt;=1,0,IF(P733&lt;=10,11,IF(P733&lt;=14,12,IF(P733&lt;=17,13,IF(P733&lt;=20,14,IF(P733&lt;=22,15,IF(P733&lt;=25,16,IF(P733&lt;=27,17,IF(P733&lt;=29,18,IF(P733&lt;=32,19,IF(P733&lt;=34,20,IF(P733&lt;=36,21,IF(P733&lt;=40,22,24)))))))))))))</f>
        <v>21</v>
      </c>
      <c r="S733" s="14" t="n">
        <f aca="false">ROUND((Q733+R733+I733+J733+M733+N733)/3,0)</f>
        <v>21</v>
      </c>
      <c r="T733" s="15" t="n">
        <f aca="false">F733*LOG10(S733+2)</f>
        <v>0</v>
      </c>
    </row>
    <row r="734" customFormat="false" ht="14.65" hidden="false" customHeight="true" outlineLevel="0" collapsed="false">
      <c r="A734" s="12" t="s">
        <v>816</v>
      </c>
      <c r="B734" s="13" t="n">
        <v>38878</v>
      </c>
      <c r="C734" s="3" t="s">
        <v>21</v>
      </c>
      <c r="D734" s="4" t="s">
        <v>817</v>
      </c>
      <c r="E734" s="3" t="n">
        <v>1</v>
      </c>
      <c r="F734" s="3" t="n">
        <v>3</v>
      </c>
      <c r="G734" s="3" t="s">
        <v>50</v>
      </c>
      <c r="H734" s="0"/>
      <c r="I734" s="3" t="n">
        <f aca="false">_xlfn.IFS(G734="взв",11,G734="накл",24,G734="прокл",25,G734="пт",26,G734=90,10,G734=85,10,G734=80,9,G734=75,8,G734=70,8,G734=65,7,G734=60,7,G734=55,6,G734=50,6,G734=45,6,G734=40,5,G734=35,4,G734=30,4,G734=25,3,G734=20,2,G734=15,1,G734=10,1,G734=0,0)</f>
        <v>11</v>
      </c>
      <c r="J734" s="3" t="n">
        <f aca="false">IF(H734&lt;=1,0,IF(H734&lt;=10,11,IF(H734&lt;=14,12,IF(H734&lt;=17,13,IF(H734&lt;=20,14,IF(H734&lt;=22,15,IF(H734&lt;=25,16,IF(H734&lt;=27,17,IF(H734&lt;=29,18,IF(H734&lt;=32,19,IF(H734&lt;=34,20,IF(H734&lt;=36,21,IF(H734&lt;=40,22,24)))))))))))))</f>
        <v>0</v>
      </c>
      <c r="M734" s="3" t="n">
        <f aca="false">_xlfn.IFS(K734="взв",11,K734="накл",24,K734="прокл",25,K734="пт",26,K734=90,10,K734=85,10,K734=80,9,K734=75,8,K734=70,8,K734=65,7,K734=60,7,K734=55,6,K734=50,6,K734=45,6,K734=40,5,K734=35,4,K734=30,4,K734=25,3,K734=20,2,K734=15,1,K734=10,1,K734=0,0)</f>
        <v>0</v>
      </c>
      <c r="N734" s="3" t="n">
        <f aca="false">IF(L734&lt;=1,0,IF(L734&lt;=10,11,IF(L734&lt;=14,12,IF(L734&lt;=17,13,IF(L734&lt;=20,14,IF(L734&lt;=22,15,IF(L734&lt;=25,16,IF(L734&lt;=27,17,IF(L734&lt;=29,18,IF(L734&lt;=32,19,IF(L734&lt;=34,20,IF(L734&lt;=36,21,IF(L734&lt;=40,22,24)))))))))))))</f>
        <v>0</v>
      </c>
      <c r="Q734" s="3" t="n">
        <f aca="false">_xlfn.IFS(O734="взв",11,O734="накл",24,O734="прокл",25,O734="пт",26,O734=90,10,O734=85,10,O734=80,9,O734=75,8,O734=70,8,O734=65,7,O734=60,7,O734=55,6,O734=50,6,O734=45,6,O734=40,5,O734=35,4,O734=30,4,O734=25,3,O734=20,2,O734=15,1,O734=10,1,O734=0,0)</f>
        <v>0</v>
      </c>
      <c r="R734" s="3" t="n">
        <f aca="false">IF(P734&lt;=1,0,IF(P734&lt;=10,11,IF(P734&lt;=14,12,IF(P734&lt;=17,13,IF(P734&lt;=20,14,IF(P734&lt;=22,15,IF(P734&lt;=25,16,IF(P734&lt;=27,17,IF(P734&lt;=29,18,IF(P734&lt;=32,19,IF(P734&lt;=34,20,IF(P734&lt;=36,21,IF(P734&lt;=40,22,24)))))))))))))</f>
        <v>0</v>
      </c>
      <c r="S734" s="14" t="n">
        <v>11</v>
      </c>
      <c r="T734" s="15" t="n">
        <f aca="false">F734*LOG10(S734+2)</f>
        <v>3.34183005692051</v>
      </c>
    </row>
    <row r="735" customFormat="false" ht="14.65" hidden="false" customHeight="true" outlineLevel="0" collapsed="false">
      <c r="A735" s="12" t="s">
        <v>818</v>
      </c>
      <c r="B735" s="13" t="n">
        <v>38878</v>
      </c>
      <c r="C735" s="3" t="s">
        <v>21</v>
      </c>
      <c r="D735" s="4" t="s">
        <v>817</v>
      </c>
      <c r="E735" s="3" t="n">
        <v>3</v>
      </c>
      <c r="F735" s="3" t="n">
        <v>4</v>
      </c>
      <c r="G735" s="3" t="n">
        <v>90</v>
      </c>
      <c r="I735" s="3" t="n">
        <f aca="false">_xlfn.IFS(G735="взв",11,G735="накл",24,G735="прокл",25,G735="пт",26,G735=90,10,G735=85,10,G735=80,9,G735=75,8,G735=70,8,G735=65,7,G735=60,7,G735=55,6,G735=50,6,G735=45,6,G735=40,5,G735=35,4,G735=30,4,G735=25,3,G735=20,2,G735=15,1,G735=10,1,G735=0,0)</f>
        <v>10</v>
      </c>
      <c r="J735" s="3" t="n">
        <f aca="false">IF(H735&lt;=1,0,IF(H735&lt;=10,11,IF(H735&lt;=14,12,IF(H735&lt;=17,13,IF(H735&lt;=20,14,IF(H735&lt;=22,15,IF(H735&lt;=25,16,IF(H735&lt;=27,17,IF(H735&lt;=29,18,IF(H735&lt;=32,19,IF(H735&lt;=34,20,IF(H735&lt;=36,21,IF(H735&lt;=40,22,24)))))))))))))</f>
        <v>0</v>
      </c>
      <c r="K735" s="3" t="n">
        <v>90</v>
      </c>
      <c r="M735" s="3" t="n">
        <f aca="false">_xlfn.IFS(K735="взв",11,K735="накл",24,K735="прокл",25,K735="пт",26,K735=90,10,K735=85,10,K735=80,9,K735=75,8,K735=70,8,K735=65,7,K735=60,7,K735=55,6,K735=50,6,K735=45,6,K735=40,5,K735=35,4,K735=30,4,K735=25,3,K735=20,2,K735=15,1,K735=10,1,K735=0,0)</f>
        <v>10</v>
      </c>
      <c r="N735" s="3" t="n">
        <f aca="false">IF(L735&lt;=1,0,IF(L735&lt;=10,11,IF(L735&lt;=14,12,IF(L735&lt;=17,13,IF(L735&lt;=20,14,IF(L735&lt;=22,15,IF(L735&lt;=25,16,IF(L735&lt;=27,17,IF(L735&lt;=29,18,IF(L735&lt;=32,19,IF(L735&lt;=34,20,IF(L735&lt;=36,21,IF(L735&lt;=40,22,24)))))))))))))</f>
        <v>0</v>
      </c>
      <c r="O735" s="3" t="n">
        <v>90</v>
      </c>
      <c r="Q735" s="3" t="n">
        <f aca="false">_xlfn.IFS(O735="взв",11,O735="накл",24,O735="прокл",25,O735="пт",26,O735=90,10,O735=85,10,O735=80,9,O735=75,8,O735=70,8,O735=65,7,O735=60,7,O735=55,6,O735=50,6,O735=45,6,O735=40,5,O735=35,4,O735=30,4,O735=25,3,O735=20,2,O735=15,1,O735=10,1,O735=0,0)</f>
        <v>10</v>
      </c>
      <c r="R735" s="3" t="n">
        <f aca="false">IF(P735&lt;=1,0,IF(P735&lt;=10,11,IF(P735&lt;=14,12,IF(P735&lt;=17,13,IF(P735&lt;=20,14,IF(P735&lt;=22,15,IF(P735&lt;=25,16,IF(P735&lt;=27,17,IF(P735&lt;=29,18,IF(P735&lt;=32,19,IF(P735&lt;=34,20,IF(P735&lt;=36,21,IF(P735&lt;=40,22,24)))))))))))))</f>
        <v>0</v>
      </c>
      <c r="S735" s="14" t="n">
        <f aca="false">ROUND((Q735+R735+I735+J735+M735+N735)/3,0)</f>
        <v>10</v>
      </c>
      <c r="T735" s="15" t="n">
        <f aca="false">F735*LOG10(S735+2)</f>
        <v>4.3167249841905</v>
      </c>
    </row>
    <row r="736" customFormat="false" ht="14.65" hidden="false" customHeight="true" outlineLevel="0" collapsed="false">
      <c r="A736" s="12" t="s">
        <v>819</v>
      </c>
      <c r="B736" s="13" t="n">
        <v>38878</v>
      </c>
      <c r="C736" s="3" t="s">
        <v>21</v>
      </c>
      <c r="D736" s="4" t="s">
        <v>817</v>
      </c>
      <c r="E736" s="3" t="n">
        <v>5</v>
      </c>
      <c r="F736" s="3" t="n">
        <v>10</v>
      </c>
      <c r="G736" s="3" t="n">
        <v>30</v>
      </c>
      <c r="I736" s="3" t="n">
        <f aca="false">_xlfn.IFS(G736="взв",11,G736="накл",24,G736="прокл",25,G736="пт",26,G736=90,10,G736=85,10,G736=80,9,G736=75,8,G736=70,8,G736=65,7,G736=60,7,G736=55,6,G736=50,6,G736=45,6,G736=40,5,G736=35,4,G736=30,4,G736=25,3,G736=20,2,G736=15,1,G736=10,1,G736=0,0)</f>
        <v>4</v>
      </c>
      <c r="J736" s="3" t="n">
        <f aca="false">IF(H736&lt;=1,0,IF(H736&lt;=10,11,IF(H736&lt;=14,12,IF(H736&lt;=17,13,IF(H736&lt;=20,14,IF(H736&lt;=22,15,IF(H736&lt;=25,16,IF(H736&lt;=27,17,IF(H736&lt;=29,18,IF(H736&lt;=32,19,IF(H736&lt;=34,20,IF(H736&lt;=36,21,IF(H736&lt;=40,22,24)))))))))))))</f>
        <v>0</v>
      </c>
      <c r="K736" s="3" t="n">
        <v>0</v>
      </c>
      <c r="M736" s="3" t="n">
        <f aca="false">_xlfn.IFS(K736="взв",11,K736="накл",24,K736="прокл",25,K736="пт",26,K736=90,10,K736=85,10,K736=80,9,K736=75,8,K736=70,8,K736=65,7,K736=60,7,K736=55,6,K736=50,6,K736=45,6,K736=40,5,K736=35,4,K736=30,4,K736=25,3,K736=20,2,K736=15,1,K736=10,1,K736=0,0)</f>
        <v>0</v>
      </c>
      <c r="N736" s="3" t="n">
        <f aca="false">IF(L736&lt;=1,0,IF(L736&lt;=10,11,IF(L736&lt;=14,12,IF(L736&lt;=17,13,IF(L736&lt;=20,14,IF(L736&lt;=22,15,IF(L736&lt;=25,16,IF(L736&lt;=27,17,IF(L736&lt;=29,18,IF(L736&lt;=32,19,IF(L736&lt;=34,20,IF(L736&lt;=36,21,IF(L736&lt;=40,22,24)))))))))))))</f>
        <v>0</v>
      </c>
      <c r="O736" s="3" t="n">
        <v>30</v>
      </c>
      <c r="Q736" s="3" t="n">
        <f aca="false">_xlfn.IFS(O736="взв",11,O736="накл",24,O736="прокл",25,O736="пт",26,O736=90,10,O736=85,10,O736=80,9,O736=75,8,O736=70,8,O736=65,7,O736=60,7,O736=55,6,O736=50,6,O736=45,6,O736=40,5,O736=35,4,O736=30,4,O736=25,3,O736=20,2,O736=15,1,O736=10,1,O736=0,0)</f>
        <v>4</v>
      </c>
      <c r="R736" s="3" t="n">
        <f aca="false">IF(P736&lt;=1,0,IF(P736&lt;=10,11,IF(P736&lt;=14,12,IF(P736&lt;=17,13,IF(P736&lt;=20,14,IF(P736&lt;=22,15,IF(P736&lt;=25,16,IF(P736&lt;=27,17,IF(P736&lt;=29,18,IF(P736&lt;=32,19,IF(P736&lt;=34,20,IF(P736&lt;=36,21,IF(P736&lt;=40,22,24)))))))))))))</f>
        <v>0</v>
      </c>
      <c r="S736" s="14" t="n">
        <f aca="false">ROUND((Q736+R736+I736+J736+M736+N736)/3,0)</f>
        <v>3</v>
      </c>
      <c r="T736" s="15" t="n">
        <f aca="false">F736*LOG10(S736+2)</f>
        <v>6.98970004336019</v>
      </c>
    </row>
    <row r="737" customFormat="false" ht="14.65" hidden="false" customHeight="true" outlineLevel="0" collapsed="false">
      <c r="A737" s="12" t="s">
        <v>820</v>
      </c>
      <c r="B737" s="13" t="n">
        <v>38896</v>
      </c>
      <c r="C737" s="3" t="s">
        <v>21</v>
      </c>
      <c r="D737" s="4" t="s">
        <v>821</v>
      </c>
      <c r="E737" s="3" t="n">
        <v>3</v>
      </c>
      <c r="F737" s="3" t="n">
        <v>30</v>
      </c>
      <c r="G737" s="3" t="n">
        <v>0</v>
      </c>
      <c r="I737" s="3" t="n">
        <f aca="false">_xlfn.IFS(G737="взв",11,G737="накл",24,G737="прокл",25,G737="пт",26,G737=90,10,G737=85,10,G737=80,9,G737=75,8,G737=70,8,G737=65,7,G737=60,7,G737=55,6,G737=50,6,G737=45,6,G737=40,5,G737=35,4,G737=30,4,G737=25,3,G737=20,2,G737=15,1,G737=10,1,G737=0,0)</f>
        <v>0</v>
      </c>
      <c r="J737" s="3" t="n">
        <f aca="false">IF(H737&lt;=1,0,IF(H737&lt;=10,11,IF(H737&lt;=14,12,IF(H737&lt;=17,13,IF(H737&lt;=20,14,IF(H737&lt;=22,15,IF(H737&lt;=25,16,IF(H737&lt;=27,17,IF(H737&lt;=29,18,IF(H737&lt;=32,19,IF(H737&lt;=34,20,IF(H737&lt;=36,21,IF(H737&lt;=40,22,24)))))))))))))</f>
        <v>0</v>
      </c>
      <c r="K737" s="3" t="n">
        <v>0</v>
      </c>
      <c r="M737" s="3" t="n">
        <f aca="false">_xlfn.IFS(K737="взв",11,K737="накл",24,K737="прокл",25,K737="пт",26,K737=90,10,K737=85,10,K737=80,9,K737=75,8,K737=70,8,K737=65,7,K737=60,7,K737=55,6,K737=50,6,K737=45,6,K737=40,5,K737=35,4,K737=30,4,K737=25,3,K737=20,2,K737=15,1,K737=10,1,K737=0,0)</f>
        <v>0</v>
      </c>
      <c r="N737" s="3" t="n">
        <f aca="false">IF(L737&lt;=1,0,IF(L737&lt;=10,11,IF(L737&lt;=14,12,IF(L737&lt;=17,13,IF(L737&lt;=20,14,IF(L737&lt;=22,15,IF(L737&lt;=25,16,IF(L737&lt;=27,17,IF(L737&lt;=29,18,IF(L737&lt;=32,19,IF(L737&lt;=34,20,IF(L737&lt;=36,21,IF(L737&lt;=40,22,24)))))))))))))</f>
        <v>0</v>
      </c>
      <c r="O737" s="3" t="n">
        <v>15</v>
      </c>
      <c r="Q737" s="3" t="n">
        <f aca="false">_xlfn.IFS(O737="взв",11,O737="накл",24,O737="прокл",25,O737="пт",26,O737=90,10,O737=85,10,O737=80,9,O737=75,8,O737=70,8,O737=65,7,O737=60,7,O737=55,6,O737=50,6,O737=45,6,O737=40,5,O737=35,4,O737=30,4,O737=25,3,O737=20,2,O737=15,1,O737=10,1,O737=0,0)</f>
        <v>1</v>
      </c>
      <c r="R737" s="3" t="n">
        <f aca="false">IF(P737&lt;=1,0,IF(P737&lt;=10,11,IF(P737&lt;=14,12,IF(P737&lt;=17,13,IF(P737&lt;=20,14,IF(P737&lt;=22,15,IF(P737&lt;=25,16,IF(P737&lt;=27,17,IF(P737&lt;=29,18,IF(P737&lt;=32,19,IF(P737&lt;=34,20,IF(P737&lt;=36,21,IF(P737&lt;=40,22,24)))))))))))))</f>
        <v>0</v>
      </c>
      <c r="S737" s="14" t="n">
        <f aca="false">ROUND((Q737+R737+I737+J737+M737+N737)/3,0)</f>
        <v>0</v>
      </c>
      <c r="T737" s="15" t="n">
        <f aca="false">F737*LOG10(S737+2)</f>
        <v>9.03089986991944</v>
      </c>
    </row>
    <row r="738" customFormat="false" ht="14.65" hidden="false" customHeight="true" outlineLevel="0" collapsed="false">
      <c r="A738" s="12" t="s">
        <v>822</v>
      </c>
      <c r="B738" s="13" t="n">
        <v>38887</v>
      </c>
      <c r="C738" s="3" t="s">
        <v>24</v>
      </c>
      <c r="D738" s="4" t="s">
        <v>823</v>
      </c>
      <c r="E738" s="3" t="n">
        <v>4</v>
      </c>
      <c r="F738" s="3" t="n">
        <v>1</v>
      </c>
      <c r="H738" s="3" t="n">
        <v>16</v>
      </c>
      <c r="I738" s="3" t="n">
        <f aca="false">_xlfn.IFS(G738="взв",11,G738="накл",24,G738="прокл",25,G738="пт",26,G738=90,10,G738=85,10,G738=80,9,G738=75,8,G738=70,8,G738=65,7,G738=60,7,G738=55,6,G738=50,6,G738=45,6,G738=40,5,G738=35,4,G738=30,4,G738=25,3,G738=20,2,G738=15,1,G738=10,1,G738=0,0)</f>
        <v>0</v>
      </c>
      <c r="J738" s="3" t="n">
        <f aca="false">IF(H738&lt;=1,0,IF(H738&lt;=10,11,IF(H738&lt;=14,12,IF(H738&lt;=17,13,IF(H738&lt;=20,14,IF(H738&lt;=22,15,IF(H738&lt;=25,16,IF(H738&lt;=27,17,IF(H738&lt;=29,18,IF(H738&lt;=32,19,IF(H738&lt;=34,20,IF(H738&lt;=36,21,IF(H738&lt;=40,22,24)))))))))))))</f>
        <v>13</v>
      </c>
      <c r="L738" s="3" t="n">
        <v>17</v>
      </c>
      <c r="M738" s="3" t="n">
        <f aca="false">_xlfn.IFS(K738="взв",11,K738="накл",24,K738="прокл",25,K738="пт",26,K738=90,10,K738=85,10,K738=80,9,K738=75,8,K738=70,8,K738=65,7,K738=60,7,K738=55,6,K738=50,6,K738=45,6,K738=40,5,K738=35,4,K738=30,4,K738=25,3,K738=20,2,K738=15,1,K738=10,1,K738=0,0)</f>
        <v>0</v>
      </c>
      <c r="N738" s="3" t="n">
        <f aca="false">IF(L738&lt;=1,0,IF(L738&lt;=10,11,IF(L738&lt;=14,12,IF(L738&lt;=17,13,IF(L738&lt;=20,14,IF(L738&lt;=22,15,IF(L738&lt;=25,16,IF(L738&lt;=27,17,IF(L738&lt;=29,18,IF(L738&lt;=32,19,IF(L738&lt;=34,20,IF(L738&lt;=36,21,IF(L738&lt;=40,22,24)))))))))))))</f>
        <v>13</v>
      </c>
      <c r="P738" s="3" t="n">
        <v>19</v>
      </c>
      <c r="Q738" s="3" t="n">
        <f aca="false">_xlfn.IFS(O738="взв",11,O738="накл",24,O738="прокл",25,O738="пт",26,O738=90,10,O738=85,10,O738=80,9,O738=75,8,O738=70,8,O738=65,7,O738=60,7,O738=55,6,O738=50,6,O738=45,6,O738=40,5,O738=35,4,O738=30,4,O738=25,3,O738=20,2,O738=15,1,O738=10,1,O738=0,0)</f>
        <v>0</v>
      </c>
      <c r="R738" s="3" t="n">
        <f aca="false">IF(P738&lt;=1,0,IF(P738&lt;=10,11,IF(P738&lt;=14,12,IF(P738&lt;=17,13,IF(P738&lt;=20,14,IF(P738&lt;=22,15,IF(P738&lt;=25,16,IF(P738&lt;=27,17,IF(P738&lt;=29,18,IF(P738&lt;=32,19,IF(P738&lt;=34,20,IF(P738&lt;=36,21,IF(P738&lt;=40,22,24)))))))))))))</f>
        <v>14</v>
      </c>
      <c r="S738" s="14" t="n">
        <f aca="false">ROUND((Q738+R738+I738+J738+M738+N738)/3,0)</f>
        <v>13</v>
      </c>
      <c r="T738" s="15" t="n">
        <f aca="false">F738*LOG10(S738+2)</f>
        <v>1.17609125905568</v>
      </c>
    </row>
    <row r="739" customFormat="false" ht="14.65" hidden="false" customHeight="true" outlineLevel="0" collapsed="false">
      <c r="A739" s="12" t="s">
        <v>824</v>
      </c>
      <c r="B739" s="13" t="n">
        <v>38887</v>
      </c>
      <c r="C739" s="3" t="s">
        <v>24</v>
      </c>
      <c r="D739" s="4" t="s">
        <v>823</v>
      </c>
      <c r="E739" s="3" t="n">
        <v>3</v>
      </c>
      <c r="F739" s="3" t="n">
        <v>1</v>
      </c>
      <c r="H739" s="3" t="n">
        <v>21</v>
      </c>
      <c r="I739" s="3" t="n">
        <f aca="false">_xlfn.IFS(G739="взв",11,G739="накл",24,G739="прокл",25,G739="пт",26,G739=90,10,G739=85,10,G739=80,9,G739=75,8,G739=70,8,G739=65,7,G739=60,7,G739=55,6,G739=50,6,G739=45,6,G739=40,5,G739=35,4,G739=30,4,G739=25,3,G739=20,2,G739=15,1,G739=10,1,G739=0,0)</f>
        <v>0</v>
      </c>
      <c r="J739" s="3" t="n">
        <f aca="false">IF(H739&lt;=1,0,IF(H739&lt;=10,11,IF(H739&lt;=14,12,IF(H739&lt;=17,13,IF(H739&lt;=20,14,IF(H739&lt;=22,15,IF(H739&lt;=25,16,IF(H739&lt;=27,17,IF(H739&lt;=29,18,IF(H739&lt;=32,19,IF(H739&lt;=34,20,IF(H739&lt;=36,21,IF(H739&lt;=40,22,24)))))))))))))</f>
        <v>15</v>
      </c>
      <c r="L739" s="3" t="n">
        <v>23</v>
      </c>
      <c r="M739" s="3" t="n">
        <f aca="false">_xlfn.IFS(K739="взв",11,K739="накл",24,K739="прокл",25,K739="пт",26,K739=90,10,K739=85,10,K739=80,9,K739=75,8,K739=70,8,K739=65,7,K739=60,7,K739=55,6,K739=50,6,K739=45,6,K739=40,5,K739=35,4,K739=30,4,K739=25,3,K739=20,2,K739=15,1,K739=10,1,K739=0,0)</f>
        <v>0</v>
      </c>
      <c r="N739" s="3" t="n">
        <f aca="false">IF(L739&lt;=1,0,IF(L739&lt;=10,11,IF(L739&lt;=14,12,IF(L739&lt;=17,13,IF(L739&lt;=20,14,IF(L739&lt;=22,15,IF(L739&lt;=25,16,IF(L739&lt;=27,17,IF(L739&lt;=29,18,IF(L739&lt;=32,19,IF(L739&lt;=34,20,IF(L739&lt;=36,21,IF(L739&lt;=40,22,24)))))))))))))</f>
        <v>16</v>
      </c>
      <c r="P739" s="3" t="n">
        <v>25</v>
      </c>
      <c r="Q739" s="3" t="n">
        <f aca="false">_xlfn.IFS(O739="взв",11,O739="накл",24,O739="прокл",25,O739="пт",26,O739=90,10,O739=85,10,O739=80,9,O739=75,8,O739=70,8,O739=65,7,O739=60,7,O739=55,6,O739=50,6,O739=45,6,O739=40,5,O739=35,4,O739=30,4,O739=25,3,O739=20,2,O739=15,1,O739=10,1,O739=0,0)</f>
        <v>0</v>
      </c>
      <c r="R739" s="3" t="n">
        <f aca="false">IF(P739&lt;=1,0,IF(P739&lt;=10,11,IF(P739&lt;=14,12,IF(P739&lt;=17,13,IF(P739&lt;=20,14,IF(P739&lt;=22,15,IF(P739&lt;=25,16,IF(P739&lt;=27,17,IF(P739&lt;=29,18,IF(P739&lt;=32,19,IF(P739&lt;=34,20,IF(P739&lt;=36,21,IF(P739&lt;=40,22,24)))))))))))))</f>
        <v>16</v>
      </c>
      <c r="S739" s="14" t="n">
        <f aca="false">ROUND((Q739+R739+I739+J739+M739+N739)/3,0)</f>
        <v>16</v>
      </c>
      <c r="T739" s="15" t="n">
        <f aca="false">F739*LOG10(S739+2)</f>
        <v>1.25527250510331</v>
      </c>
    </row>
    <row r="740" customFormat="false" ht="14.65" hidden="false" customHeight="true" outlineLevel="0" collapsed="false">
      <c r="A740" s="12" t="s">
        <v>825</v>
      </c>
      <c r="B740" s="13" t="n">
        <v>38887</v>
      </c>
      <c r="C740" s="3" t="s">
        <v>24</v>
      </c>
      <c r="D740" s="4" t="s">
        <v>823</v>
      </c>
      <c r="E740" s="3" t="n">
        <v>4</v>
      </c>
      <c r="F740" s="3" t="n">
        <v>1</v>
      </c>
      <c r="H740" s="3" t="n">
        <v>29</v>
      </c>
      <c r="I740" s="3" t="n">
        <f aca="false">_xlfn.IFS(G740="взв",11,G740="накл",24,G740="прокл",25,G740="пт",26,G740=90,10,G740=85,10,G740=80,9,G740=75,8,G740=70,8,G740=65,7,G740=60,7,G740=55,6,G740=50,6,G740=45,6,G740=40,5,G740=35,4,G740=30,4,G740=25,3,G740=20,2,G740=15,1,G740=10,1,G740=0,0)</f>
        <v>0</v>
      </c>
      <c r="J740" s="3" t="n">
        <f aca="false">IF(H740&lt;=1,0,IF(H740&lt;=10,11,IF(H740&lt;=14,12,IF(H740&lt;=17,13,IF(H740&lt;=20,14,IF(H740&lt;=22,15,IF(H740&lt;=25,16,IF(H740&lt;=27,17,IF(H740&lt;=29,18,IF(H740&lt;=32,19,IF(H740&lt;=34,20,IF(H740&lt;=36,21,IF(H740&lt;=40,22,24)))))))))))))</f>
        <v>18</v>
      </c>
      <c r="L740" s="3" t="n">
        <v>32</v>
      </c>
      <c r="M740" s="3" t="n">
        <f aca="false">_xlfn.IFS(K740="взв",11,K740="накл",24,K740="прокл",25,K740="пт",26,K740=90,10,K740=85,10,K740=80,9,K740=75,8,K740=70,8,K740=65,7,K740=60,7,K740=55,6,K740=50,6,K740=45,6,K740=40,5,K740=35,4,K740=30,4,K740=25,3,K740=20,2,K740=15,1,K740=10,1,K740=0,0)</f>
        <v>0</v>
      </c>
      <c r="N740" s="3" t="n">
        <f aca="false">IF(L740&lt;=1,0,IF(L740&lt;=10,11,IF(L740&lt;=14,12,IF(L740&lt;=17,13,IF(L740&lt;=20,14,IF(L740&lt;=22,15,IF(L740&lt;=25,16,IF(L740&lt;=27,17,IF(L740&lt;=29,18,IF(L740&lt;=32,19,IF(L740&lt;=34,20,IF(L740&lt;=36,21,IF(L740&lt;=40,22,24)))))))))))))</f>
        <v>19</v>
      </c>
      <c r="P740" s="3" t="n">
        <v>34</v>
      </c>
      <c r="Q740" s="3" t="n">
        <f aca="false">_xlfn.IFS(O740="взв",11,O740="накл",24,O740="прокл",25,O740="пт",26,O740=90,10,O740=85,10,O740=80,9,O740=75,8,O740=70,8,O740=65,7,O740=60,7,O740=55,6,O740=50,6,O740=45,6,O740=40,5,O740=35,4,O740=30,4,O740=25,3,O740=20,2,O740=15,1,O740=10,1,O740=0,0)</f>
        <v>0</v>
      </c>
      <c r="R740" s="3" t="n">
        <f aca="false">IF(P740&lt;=1,0,IF(P740&lt;=10,11,IF(P740&lt;=14,12,IF(P740&lt;=17,13,IF(P740&lt;=20,14,IF(P740&lt;=22,15,IF(P740&lt;=25,16,IF(P740&lt;=27,17,IF(P740&lt;=29,18,IF(P740&lt;=32,19,IF(P740&lt;=34,20,IF(P740&lt;=36,21,IF(P740&lt;=40,22,24)))))))))))))</f>
        <v>20</v>
      </c>
      <c r="S740" s="14" t="n">
        <f aca="false">ROUND((Q740+R740+I740+J740+M740+N740)/3,0)</f>
        <v>19</v>
      </c>
      <c r="T740" s="15" t="n">
        <f aca="false">F740*LOG10(S740+2)</f>
        <v>1.32221929473392</v>
      </c>
    </row>
    <row r="741" customFormat="false" ht="14.65" hidden="false" customHeight="true" outlineLevel="0" collapsed="false">
      <c r="A741" s="12" t="s">
        <v>826</v>
      </c>
      <c r="B741" s="13" t="n">
        <v>38887</v>
      </c>
      <c r="C741" s="3" t="s">
        <v>24</v>
      </c>
      <c r="D741" s="4" t="s">
        <v>823</v>
      </c>
      <c r="E741" s="3" t="n">
        <v>4</v>
      </c>
      <c r="F741" s="3" t="n">
        <v>2</v>
      </c>
      <c r="G741" s="3" t="n">
        <v>75</v>
      </c>
      <c r="I741" s="3" t="n">
        <f aca="false">_xlfn.IFS(G741="взв",11,G741="накл",24,G741="прокл",25,G741="пт",26,G741=90,10,G741=85,10,G741=80,9,G741=75,8,G741=70,8,G741=65,7,G741=60,7,G741=55,6,G741=50,6,G741=45,6,G741=40,5,G741=35,4,G741=30,4,G741=25,3,G741=20,2,G741=15,1,G741=10,1,G741=0,0)</f>
        <v>8</v>
      </c>
      <c r="J741" s="3" t="n">
        <f aca="false">IF(H741&lt;=1,0,IF(H741&lt;=10,11,IF(H741&lt;=14,12,IF(H741&lt;=17,13,IF(H741&lt;=20,14,IF(H741&lt;=22,15,IF(H741&lt;=25,16,IF(H741&lt;=27,17,IF(H741&lt;=29,18,IF(H741&lt;=32,19,IF(H741&lt;=34,20,IF(H741&lt;=36,21,IF(H741&lt;=40,22,24)))))))))))))</f>
        <v>0</v>
      </c>
      <c r="K741" s="3" t="n">
        <v>90</v>
      </c>
      <c r="M741" s="3" t="n">
        <f aca="false">_xlfn.IFS(K741="взв",11,K741="накл",24,K741="прокл",25,K741="пт",26,K741=90,10,K741=85,10,K741=80,9,K741=75,8,K741=70,8,K741=65,7,K741=60,7,K741=55,6,K741=50,6,K741=45,6,K741=40,5,K741=35,4,K741=30,4,K741=25,3,K741=20,2,K741=15,1,K741=10,1,K741=0,0)</f>
        <v>10</v>
      </c>
      <c r="N741" s="3" t="n">
        <f aca="false">IF(L741&lt;=1,0,IF(L741&lt;=10,11,IF(L741&lt;=14,12,IF(L741&lt;=17,13,IF(L741&lt;=20,14,IF(L741&lt;=22,15,IF(L741&lt;=25,16,IF(L741&lt;=27,17,IF(L741&lt;=29,18,IF(L741&lt;=32,19,IF(L741&lt;=34,20,IF(L741&lt;=36,21,IF(L741&lt;=40,22,24)))))))))))))</f>
        <v>0</v>
      </c>
      <c r="P741" s="3" t="s">
        <v>50</v>
      </c>
      <c r="Q741" s="3" t="n">
        <f aca="false">_xlfn.IFS(O741="взв",11,O741="накл",24,O741="прокл",25,O741="пт",26,O741=90,10,O741=85,10,O741=80,9,O741=75,8,O741=70,8,O741=65,7,O741=60,7,O741=55,6,O741=50,6,O741=45,6,O741=40,5,O741=35,4,O741=30,4,O741=25,3,O741=20,2,O741=15,1,O741=10,1,O741=0,0)</f>
        <v>0</v>
      </c>
      <c r="R741" s="3" t="n">
        <f aca="false">IF(P741&lt;=1,0,IF(P741&lt;=10,11,IF(P741&lt;=14,12,IF(P741&lt;=17,13,IF(P741&lt;=20,14,IF(P741&lt;=22,15,IF(P741&lt;=25,16,IF(P741&lt;=27,17,IF(P741&lt;=29,18,IF(P741&lt;=32,19,IF(P741&lt;=34,20,IF(P741&lt;=36,21,IF(P741&lt;=40,22,24)))))))))))))</f>
        <v>24</v>
      </c>
      <c r="S741" s="14" t="n">
        <f aca="false">ROUND((Q741+R741+I741+J741+M741+N741)/3,0)</f>
        <v>14</v>
      </c>
      <c r="T741" s="15" t="n">
        <f aca="false">F741*LOG10(S741+2)</f>
        <v>2.40823996531185</v>
      </c>
    </row>
    <row r="742" customFormat="false" ht="14.65" hidden="false" customHeight="true" outlineLevel="0" collapsed="false">
      <c r="A742" s="12" t="s">
        <v>827</v>
      </c>
      <c r="B742" s="13" t="n">
        <v>38887</v>
      </c>
      <c r="C742" s="3" t="s">
        <v>24</v>
      </c>
      <c r="D742" s="4" t="s">
        <v>823</v>
      </c>
      <c r="E742" s="3" t="n">
        <v>4</v>
      </c>
      <c r="F742" s="3" t="n">
        <v>2</v>
      </c>
      <c r="G742" s="3" t="s">
        <v>27</v>
      </c>
      <c r="I742" s="3" t="n">
        <f aca="false">_xlfn.IFS(G742="взв",11,G742="накл",24,G742="прокл",25,G742="пт",26,G742=90,10,G742=85,10,G742=80,9,G742=75,8,G742=70,8,G742=65,7,G742=60,7,G742=55,6,G742=50,6,G742=45,6,G742=40,5,G742=35,4,G742=30,4,G742=25,3,G742=20,2,G742=15,1,G742=10,1,G742=0,0)</f>
        <v>24</v>
      </c>
      <c r="J742" s="3" t="n">
        <f aca="false">IF(H742&lt;=1,0,IF(H742&lt;=10,11,IF(H742&lt;=14,12,IF(H742&lt;=17,13,IF(H742&lt;=20,14,IF(H742&lt;=22,15,IF(H742&lt;=25,16,IF(H742&lt;=27,17,IF(H742&lt;=29,18,IF(H742&lt;=32,19,IF(H742&lt;=34,20,IF(H742&lt;=36,21,IF(H742&lt;=40,22,24)))))))))))))</f>
        <v>0</v>
      </c>
      <c r="K742" s="3" t="s">
        <v>27</v>
      </c>
      <c r="L742" s="0"/>
      <c r="M742" s="3" t="n">
        <f aca="false">_xlfn.IFS(K742="взв",11,K742="накл",24,K742="прокл",25,K742="пт",26,K742=90,10,K742=85,10,K742=80,9,K742=75,8,K742=70,8,K742=65,7,K742=60,7,K742=55,6,K742=50,6,K742=45,6,K742=40,5,K742=35,4,K742=30,4,K742=25,3,K742=20,2,K742=15,1,K742=10,1,K742=0,0)</f>
        <v>24</v>
      </c>
      <c r="N742" s="3" t="n">
        <f aca="false">IF(L742&lt;=1,0,IF(L742&lt;=10,11,IF(L742&lt;=14,12,IF(L742&lt;=17,13,IF(L742&lt;=20,14,IF(L742&lt;=22,15,IF(L742&lt;=25,16,IF(L742&lt;=27,17,IF(L742&lt;=29,18,IF(L742&lt;=32,19,IF(L742&lt;=34,20,IF(L742&lt;=36,21,IF(L742&lt;=40,22,24)))))))))))))</f>
        <v>0</v>
      </c>
      <c r="Q742" s="3" t="n">
        <f aca="false">_xlfn.IFS(O742="взв",11,O742="накл",24,O742="прокл",25,O742="пт",26,O742=90,10,O742=85,10,O742=80,9,O742=75,8,O742=70,8,O742=65,7,O742=60,7,O742=55,6,O742=50,6,O742=45,6,O742=40,5,O742=35,4,O742=30,4,O742=25,3,O742=20,2,O742=15,1,O742=10,1,O742=0,0)</f>
        <v>0</v>
      </c>
      <c r="R742" s="3" t="n">
        <f aca="false">IF(P742&lt;=1,0,IF(P742&lt;=10,11,IF(P742&lt;=14,12,IF(P742&lt;=17,13,IF(P742&lt;=20,14,IF(P742&lt;=22,15,IF(P742&lt;=25,16,IF(P742&lt;=27,17,IF(P742&lt;=29,18,IF(P742&lt;=32,19,IF(P742&lt;=34,20,IF(P742&lt;=36,21,IF(P742&lt;=40,22,24)))))))))))))</f>
        <v>0</v>
      </c>
      <c r="S742" s="14" t="n">
        <f aca="false">ROUND((Q742+R742+I742+J742+M742+N742)/2,0)</f>
        <v>24</v>
      </c>
      <c r="T742" s="15" t="n">
        <f aca="false">F742*LOG10(S742+2)</f>
        <v>2.82994669594164</v>
      </c>
    </row>
    <row r="743" customFormat="false" ht="14.65" hidden="false" customHeight="true" outlineLevel="0" collapsed="false">
      <c r="A743" s="12" t="s">
        <v>828</v>
      </c>
      <c r="B743" s="13" t="n">
        <v>38887</v>
      </c>
      <c r="C743" s="3" t="s">
        <v>24</v>
      </c>
      <c r="D743" s="4" t="s">
        <v>823</v>
      </c>
      <c r="E743" s="3" t="n">
        <v>5</v>
      </c>
      <c r="F743" s="3" t="n">
        <v>3</v>
      </c>
      <c r="H743" s="3" t="n">
        <v>35</v>
      </c>
      <c r="I743" s="3" t="n">
        <f aca="false">_xlfn.IFS(G743="взв",11,G743="накл",24,G743="прокл",25,G743="пт",26,G743=90,10,G743=85,10,G743=80,9,G743=75,8,G743=70,8,G743=65,7,G743=60,7,G743=55,6,G743=50,6,G743=45,6,G743=40,5,G743=35,4,G743=30,4,G743=25,3,G743=20,2,G743=15,1,G743=10,1,G743=0,0)</f>
        <v>0</v>
      </c>
      <c r="J743" s="3" t="n">
        <f aca="false">IF(H743&lt;=1,0,IF(H743&lt;=10,11,IF(H743&lt;=14,12,IF(H743&lt;=17,13,IF(H743&lt;=20,14,IF(H743&lt;=22,15,IF(H743&lt;=25,16,IF(H743&lt;=27,17,IF(H743&lt;=29,18,IF(H743&lt;=32,19,IF(H743&lt;=34,20,IF(H743&lt;=36,21,IF(H743&lt;=40,22,24)))))))))))))</f>
        <v>21</v>
      </c>
      <c r="L743" s="3" t="n">
        <v>38</v>
      </c>
      <c r="M743" s="3" t="n">
        <f aca="false">_xlfn.IFS(K743="взв",11,K743="накл",24,K743="прокл",25,K743="пт",26,K743=90,10,K743=85,10,K743=80,9,K743=75,8,K743=70,8,K743=65,7,K743=60,7,K743=55,6,K743=50,6,K743=45,6,K743=40,5,K743=35,4,K743=30,4,K743=25,3,K743=20,2,K743=15,1,K743=10,1,K743=0,0)</f>
        <v>0</v>
      </c>
      <c r="N743" s="3" t="n">
        <f aca="false">IF(L743&lt;=1,0,IF(L743&lt;=10,11,IF(L743&lt;=14,12,IF(L743&lt;=17,13,IF(L743&lt;=20,14,IF(L743&lt;=22,15,IF(L743&lt;=25,16,IF(L743&lt;=27,17,IF(L743&lt;=29,18,IF(L743&lt;=32,19,IF(L743&lt;=34,20,IF(L743&lt;=36,21,IF(L743&lt;=40,22,24)))))))))))))</f>
        <v>22</v>
      </c>
      <c r="P743" s="3" t="n">
        <v>38</v>
      </c>
      <c r="Q743" s="3" t="n">
        <f aca="false">_xlfn.IFS(O743="взв",11,O743="накл",24,O743="прокл",25,O743="пт",26,O743=90,10,O743=85,10,O743=80,9,O743=75,8,O743=70,8,O743=65,7,O743=60,7,O743=55,6,O743=50,6,O743=45,6,O743=40,5,O743=35,4,O743=30,4,O743=25,3,O743=20,2,O743=15,1,O743=10,1,O743=0,0)</f>
        <v>0</v>
      </c>
      <c r="R743" s="3" t="n">
        <f aca="false">IF(P743&lt;=1,0,IF(P743&lt;=10,11,IF(P743&lt;=14,12,IF(P743&lt;=17,13,IF(P743&lt;=20,14,IF(P743&lt;=22,15,IF(P743&lt;=25,16,IF(P743&lt;=27,17,IF(P743&lt;=29,18,IF(P743&lt;=32,19,IF(P743&lt;=34,20,IF(P743&lt;=36,21,IF(P743&lt;=40,22,24)))))))))))))</f>
        <v>22</v>
      </c>
      <c r="S743" s="14" t="n">
        <f aca="false">ROUND((Q743+R743+I743+J743+M743+N743)/3,0)</f>
        <v>22</v>
      </c>
      <c r="T743" s="15" t="n">
        <f aca="false">F743*LOG10(S743+2)</f>
        <v>4.14063372513482</v>
      </c>
    </row>
    <row r="744" customFormat="false" ht="14.65" hidden="false" customHeight="true" outlineLevel="0" collapsed="false">
      <c r="A744" s="12" t="s">
        <v>829</v>
      </c>
      <c r="B744" s="13" t="n">
        <v>38887</v>
      </c>
      <c r="C744" s="3" t="s">
        <v>24</v>
      </c>
      <c r="D744" s="4" t="s">
        <v>823</v>
      </c>
      <c r="E744" s="3" t="n">
        <v>5</v>
      </c>
      <c r="F744" s="3" t="n">
        <v>3</v>
      </c>
      <c r="H744" s="3" t="n">
        <v>35</v>
      </c>
      <c r="I744" s="3" t="n">
        <f aca="false">_xlfn.IFS(G744="взв",11,G744="накл",24,G744="прокл",25,G744="пт",26,G744=90,10,G744=85,10,G744=80,9,G744=75,8,G744=70,8,G744=65,7,G744=60,7,G744=55,6,G744=50,6,G744=45,6,G744=40,5,G744=35,4,G744=30,4,G744=25,3,G744=20,2,G744=15,1,G744=10,1,G744=0,0)</f>
        <v>0</v>
      </c>
      <c r="J744" s="3" t="n">
        <f aca="false">IF(H744&lt;=1,0,IF(H744&lt;=10,11,IF(H744&lt;=14,12,IF(H744&lt;=17,13,IF(H744&lt;=20,14,IF(H744&lt;=22,15,IF(H744&lt;=25,16,IF(H744&lt;=27,17,IF(H744&lt;=29,18,IF(H744&lt;=32,19,IF(H744&lt;=34,20,IF(H744&lt;=36,21,IF(H744&lt;=40,22,24)))))))))))))</f>
        <v>21</v>
      </c>
      <c r="L744" s="3" t="n">
        <v>36</v>
      </c>
      <c r="M744" s="3" t="n">
        <f aca="false">_xlfn.IFS(K744="взв",11,K744="накл",24,K744="прокл",25,K744="пт",26,K744=90,10,K744=85,10,K744=80,9,K744=75,8,K744=70,8,K744=65,7,K744=60,7,K744=55,6,K744=50,6,K744=45,6,K744=40,5,K744=35,4,K744=30,4,K744=25,3,K744=20,2,K744=15,1,K744=10,1,K744=0,0)</f>
        <v>0</v>
      </c>
      <c r="N744" s="3" t="n">
        <f aca="false">IF(L744&lt;=1,0,IF(L744&lt;=10,11,IF(L744&lt;=14,12,IF(L744&lt;=17,13,IF(L744&lt;=20,14,IF(L744&lt;=22,15,IF(L744&lt;=25,16,IF(L744&lt;=27,17,IF(L744&lt;=29,18,IF(L744&lt;=32,19,IF(L744&lt;=34,20,IF(L744&lt;=36,21,IF(L744&lt;=40,22,24)))))))))))))</f>
        <v>21</v>
      </c>
      <c r="P744" s="3" t="n">
        <v>38</v>
      </c>
      <c r="Q744" s="3" t="n">
        <f aca="false">_xlfn.IFS(O744="взв",11,O744="накл",24,O744="прокл",25,O744="пт",26,O744=90,10,O744=85,10,O744=80,9,O744=75,8,O744=70,8,O744=65,7,O744=60,7,O744=55,6,O744=50,6,O744=45,6,O744=40,5,O744=35,4,O744=30,4,O744=25,3,O744=20,2,O744=15,1,O744=10,1,O744=0,0)</f>
        <v>0</v>
      </c>
      <c r="R744" s="3" t="n">
        <f aca="false">IF(P744&lt;=1,0,IF(P744&lt;=10,11,IF(P744&lt;=14,12,IF(P744&lt;=17,13,IF(P744&lt;=20,14,IF(P744&lt;=22,15,IF(P744&lt;=25,16,IF(P744&lt;=27,17,IF(P744&lt;=29,18,IF(P744&lt;=32,19,IF(P744&lt;=34,20,IF(P744&lt;=36,21,IF(P744&lt;=40,22,24)))))))))))))</f>
        <v>22</v>
      </c>
      <c r="S744" s="14" t="n">
        <f aca="false">ROUND((Q744+R744+I744+J744+M744+N744)/3,0)</f>
        <v>21</v>
      </c>
      <c r="T744" s="15" t="n">
        <f aca="false">F744*LOG10(S744+2)</f>
        <v>4.08518350805278</v>
      </c>
    </row>
    <row r="745" customFormat="false" ht="14.65" hidden="false" customHeight="true" outlineLevel="0" collapsed="false">
      <c r="A745" s="12" t="s">
        <v>830</v>
      </c>
      <c r="B745" s="13" t="n">
        <v>38887</v>
      </c>
      <c r="C745" s="3" t="s">
        <v>24</v>
      </c>
      <c r="D745" s="4" t="s">
        <v>823</v>
      </c>
      <c r="E745" s="3" t="n">
        <v>4</v>
      </c>
      <c r="F745" s="3" t="n">
        <v>3</v>
      </c>
      <c r="H745" s="3" t="n">
        <v>23</v>
      </c>
      <c r="I745" s="3" t="n">
        <f aca="false">_xlfn.IFS(G745="взв",11,G745="накл",24,G745="прокл",25,G745="пт",26,G745=90,10,G745=85,10,G745=80,9,G745=75,8,G745=70,8,G745=65,7,G745=60,7,G745=55,6,G745=50,6,G745=45,6,G745=40,5,G745=35,4,G745=30,4,G745=25,3,G745=20,2,G745=15,1,G745=10,1,G745=0,0)</f>
        <v>0</v>
      </c>
      <c r="J745" s="3" t="n">
        <f aca="false">IF(H745&lt;=1,0,IF(H745&lt;=10,11,IF(H745&lt;=14,12,IF(H745&lt;=17,13,IF(H745&lt;=20,14,IF(H745&lt;=22,15,IF(H745&lt;=25,16,IF(H745&lt;=27,17,IF(H745&lt;=29,18,IF(H745&lt;=32,19,IF(H745&lt;=34,20,IF(H745&lt;=36,21,IF(H745&lt;=40,22,24)))))))))))))</f>
        <v>16</v>
      </c>
      <c r="L745" s="3" t="n">
        <v>19</v>
      </c>
      <c r="M745" s="3" t="n">
        <f aca="false">_xlfn.IFS(K745="взв",11,K745="накл",24,K745="прокл",25,K745="пт",26,K745=90,10,K745=85,10,K745=80,9,K745=75,8,K745=70,8,K745=65,7,K745=60,7,K745=55,6,K745=50,6,K745=45,6,K745=40,5,K745=35,4,K745=30,4,K745=25,3,K745=20,2,K745=15,1,K745=10,1,K745=0,0)</f>
        <v>0</v>
      </c>
      <c r="N745" s="3" t="n">
        <f aca="false">IF(L745&lt;=1,0,IF(L745&lt;=10,11,IF(L745&lt;=14,12,IF(L745&lt;=17,13,IF(L745&lt;=20,14,IF(L745&lt;=22,15,IF(L745&lt;=25,16,IF(L745&lt;=27,17,IF(L745&lt;=29,18,IF(L745&lt;=32,19,IF(L745&lt;=34,20,IF(L745&lt;=36,21,IF(L745&lt;=40,22,24)))))))))))))</f>
        <v>14</v>
      </c>
      <c r="P745" s="3" t="n">
        <v>23</v>
      </c>
      <c r="Q745" s="3" t="n">
        <f aca="false">_xlfn.IFS(O745="взв",11,O745="накл",24,O745="прокл",25,O745="пт",26,O745=90,10,O745=85,10,O745=80,9,O745=75,8,O745=70,8,O745=65,7,O745=60,7,O745=55,6,O745=50,6,O745=45,6,O745=40,5,O745=35,4,O745=30,4,O745=25,3,O745=20,2,O745=15,1,O745=10,1,O745=0,0)</f>
        <v>0</v>
      </c>
      <c r="R745" s="3" t="n">
        <f aca="false">IF(P745&lt;=1,0,IF(P745&lt;=10,11,IF(P745&lt;=14,12,IF(P745&lt;=17,13,IF(P745&lt;=20,14,IF(P745&lt;=22,15,IF(P745&lt;=25,16,IF(P745&lt;=27,17,IF(P745&lt;=29,18,IF(P745&lt;=32,19,IF(P745&lt;=34,20,IF(P745&lt;=36,21,IF(P745&lt;=40,22,24)))))))))))))</f>
        <v>16</v>
      </c>
      <c r="S745" s="14" t="n">
        <f aca="false">ROUND((Q745+R745+I745+J745+M745+N745)/3,0)</f>
        <v>15</v>
      </c>
      <c r="T745" s="15" t="n">
        <f aca="false">F745*LOG10(S745+2)</f>
        <v>3.69134676413482</v>
      </c>
    </row>
    <row r="746" customFormat="false" ht="14.65" hidden="false" customHeight="true" outlineLevel="0" collapsed="false">
      <c r="A746" s="12" t="s">
        <v>831</v>
      </c>
      <c r="B746" s="13" t="n">
        <v>38887</v>
      </c>
      <c r="C746" s="3" t="s">
        <v>24</v>
      </c>
      <c r="D746" s="4" t="s">
        <v>823</v>
      </c>
      <c r="E746" s="3" t="n">
        <v>4</v>
      </c>
      <c r="F746" s="3" t="n">
        <v>3</v>
      </c>
      <c r="G746" s="3" t="s">
        <v>47</v>
      </c>
      <c r="I746" s="3" t="n">
        <f aca="false">_xlfn.IFS(G746="взв",11,G746="накл",24,G746="прокл",25,G746="пт",26,G746=90,10,G746=85,10,G746=80,9,G746=75,8,G746=70,8,G746=65,7,G746=60,7,G746=55,6,G746=50,6,G746=45,6,G746=40,5,G746=35,4,G746=30,4,G746=25,3,G746=20,2,G746=15,1,G746=10,1,G746=0,0)</f>
        <v>25</v>
      </c>
      <c r="J746" s="3" t="n">
        <f aca="false">IF(H746&lt;=1,0,IF(H746&lt;=10,11,IF(H746&lt;=14,12,IF(H746&lt;=17,13,IF(H746&lt;=20,14,IF(H746&lt;=22,15,IF(H746&lt;=25,16,IF(H746&lt;=27,17,IF(H746&lt;=29,18,IF(H746&lt;=32,19,IF(H746&lt;=34,20,IF(H746&lt;=36,21,IF(H746&lt;=40,22,24)))))))))))))</f>
        <v>0</v>
      </c>
      <c r="K746" s="3" t="s">
        <v>27</v>
      </c>
      <c r="L746" s="0"/>
      <c r="M746" s="3" t="n">
        <f aca="false">_xlfn.IFS(K746="взв",11,K746="накл",24,K746="прокл",25,K746="пт",26,K746=90,10,K746=85,10,K746=80,9,K746=75,8,K746=70,8,K746=65,7,K746=60,7,K746=55,6,K746=50,6,K746=45,6,K746=40,5,K746=35,4,K746=30,4,K746=25,3,K746=20,2,K746=15,1,K746=10,1,K746=0,0)</f>
        <v>24</v>
      </c>
      <c r="N746" s="3" t="n">
        <f aca="false">IF(L746&lt;=1,0,IF(L746&lt;=10,11,IF(L746&lt;=14,12,IF(L746&lt;=17,13,IF(L746&lt;=20,14,IF(L746&lt;=22,15,IF(L746&lt;=25,16,IF(L746&lt;=27,17,IF(L746&lt;=29,18,IF(L746&lt;=32,19,IF(L746&lt;=34,20,IF(L746&lt;=36,21,IF(L746&lt;=40,22,24)))))))))))))</f>
        <v>0</v>
      </c>
      <c r="Q746" s="3" t="n">
        <f aca="false">_xlfn.IFS(O746="взв",11,O746="накл",24,O746="прокл",25,O746="пт",26,O746=90,10,O746=85,10,O746=80,9,O746=75,8,O746=70,8,O746=65,7,O746=60,7,O746=55,6,O746=50,6,O746=45,6,O746=40,5,O746=35,4,O746=30,4,O746=25,3,O746=20,2,O746=15,1,O746=10,1,O746=0,0)</f>
        <v>0</v>
      </c>
      <c r="R746" s="3" t="n">
        <f aca="false">IF(P746&lt;=1,0,IF(P746&lt;=10,11,IF(P746&lt;=14,12,IF(P746&lt;=17,13,IF(P746&lt;=20,14,IF(P746&lt;=22,15,IF(P746&lt;=25,16,IF(P746&lt;=27,17,IF(P746&lt;=29,18,IF(P746&lt;=32,19,IF(P746&lt;=34,20,IF(P746&lt;=36,21,IF(P746&lt;=40,22,24)))))))))))))</f>
        <v>0</v>
      </c>
      <c r="S746" s="14" t="n">
        <f aca="false">ROUND((Q746+R746+I746+J746+M746+N746)/2,0)</f>
        <v>25</v>
      </c>
      <c r="T746" s="15" t="n">
        <f aca="false">F746*LOG10(S746+2)</f>
        <v>4.29409129247696</v>
      </c>
    </row>
    <row r="747" customFormat="false" ht="14.65" hidden="false" customHeight="true" outlineLevel="0" collapsed="false">
      <c r="A747" s="12" t="s">
        <v>832</v>
      </c>
      <c r="B747" s="13" t="n">
        <v>38887</v>
      </c>
      <c r="C747" s="3" t="s">
        <v>24</v>
      </c>
      <c r="D747" s="4" t="s">
        <v>823</v>
      </c>
      <c r="E747" s="3" t="n">
        <v>2</v>
      </c>
      <c r="F747" s="3" t="n">
        <v>3</v>
      </c>
      <c r="H747" s="3" t="n">
        <v>35</v>
      </c>
      <c r="I747" s="3" t="n">
        <f aca="false">_xlfn.IFS(G747="взв",11,G747="накл",24,G747="прокл",25,G747="пт",26,G747=90,10,G747=85,10,G747=80,9,G747=75,8,G747=70,8,G747=65,7,G747=60,7,G747=55,6,G747=50,6,G747=45,6,G747=40,5,G747=35,4,G747=30,4,G747=25,3,G747=20,2,G747=15,1,G747=10,1,G747=0,0)</f>
        <v>0</v>
      </c>
      <c r="J747" s="3" t="n">
        <f aca="false">IF(H747&lt;=1,0,IF(H747&lt;=10,11,IF(H747&lt;=14,12,IF(H747&lt;=17,13,IF(H747&lt;=20,14,IF(H747&lt;=22,15,IF(H747&lt;=25,16,IF(H747&lt;=27,17,IF(H747&lt;=29,18,IF(H747&lt;=32,19,IF(H747&lt;=34,20,IF(H747&lt;=36,21,IF(H747&lt;=40,22,24)))))))))))))</f>
        <v>21</v>
      </c>
      <c r="L747" s="3" t="n">
        <v>36</v>
      </c>
      <c r="M747" s="3" t="n">
        <f aca="false">_xlfn.IFS(K747="взв",11,K747="накл",24,K747="прокл",25,K747="пт",26,K747=90,10,K747=85,10,K747=80,9,K747=75,8,K747=70,8,K747=65,7,K747=60,7,K747=55,6,K747=50,6,K747=45,6,K747=40,5,K747=35,4,K747=30,4,K747=25,3,K747=20,2,K747=15,1,K747=10,1,K747=0,0)</f>
        <v>0</v>
      </c>
      <c r="N747" s="3" t="n">
        <f aca="false">IF(L747&lt;=1,0,IF(L747&lt;=10,11,IF(L747&lt;=14,12,IF(L747&lt;=17,13,IF(L747&lt;=20,14,IF(L747&lt;=22,15,IF(L747&lt;=25,16,IF(L747&lt;=27,17,IF(L747&lt;=29,18,IF(L747&lt;=32,19,IF(L747&lt;=34,20,IF(L747&lt;=36,21,IF(L747&lt;=40,22,24)))))))))))))</f>
        <v>21</v>
      </c>
      <c r="Q747" s="3" t="n">
        <f aca="false">_xlfn.IFS(O747="взв",11,O747="накл",24,O747="прокл",25,O747="пт",26,O747=90,10,O747=85,10,O747=80,9,O747=75,8,O747=70,8,O747=65,7,O747=60,7,O747=55,6,O747=50,6,O747=45,6,O747=40,5,O747=35,4,O747=30,4,O747=25,3,O747=20,2,O747=15,1,O747=10,1,O747=0,0)</f>
        <v>0</v>
      </c>
      <c r="R747" s="3" t="n">
        <f aca="false">IF(P747&lt;=1,0,IF(P747&lt;=10,11,IF(P747&lt;=14,12,IF(P747&lt;=17,13,IF(P747&lt;=20,14,IF(P747&lt;=22,15,IF(P747&lt;=25,16,IF(P747&lt;=27,17,IF(P747&lt;=29,18,IF(P747&lt;=32,19,IF(P747&lt;=34,20,IF(P747&lt;=36,21,IF(P747&lt;=40,22,24)))))))))))))</f>
        <v>0</v>
      </c>
      <c r="S747" s="14" t="n">
        <f aca="false">ROUND((Q747+R747+I747+J747+M747+N747)/3,0)</f>
        <v>14</v>
      </c>
      <c r="T747" s="15" t="n">
        <f aca="false">F747*LOG10(S747+2)</f>
        <v>3.61235994796777</v>
      </c>
    </row>
    <row r="748" customFormat="false" ht="14.65" hidden="false" customHeight="true" outlineLevel="0" collapsed="false">
      <c r="A748" s="12" t="s">
        <v>833</v>
      </c>
      <c r="B748" s="13" t="n">
        <v>38887</v>
      </c>
      <c r="C748" s="3" t="s">
        <v>24</v>
      </c>
      <c r="D748" s="4" t="s">
        <v>823</v>
      </c>
      <c r="E748" s="3" t="n">
        <v>3</v>
      </c>
      <c r="F748" s="3" t="n">
        <v>3</v>
      </c>
      <c r="G748" s="3" t="s">
        <v>27</v>
      </c>
      <c r="I748" s="3" t="n">
        <f aca="false">_xlfn.IFS(G748="взв",11,G748="накл",24,G748="прокл",25,G748="пт",26,G748=90,10,G748=85,10,G748=80,9,G748=75,8,G748=70,8,G748=65,7,G748=60,7,G748=55,6,G748=50,6,G748=45,6,G748=40,5,G748=35,4,G748=30,4,G748=25,3,G748=20,2,G748=15,1,G748=10,1,G748=0,0)</f>
        <v>24</v>
      </c>
      <c r="J748" s="3" t="n">
        <f aca="false">IF(H748&lt;=1,0,IF(H748&lt;=10,11,IF(H748&lt;=14,12,IF(H748&lt;=17,13,IF(H748&lt;=20,14,IF(H748&lt;=22,15,IF(H748&lt;=25,16,IF(H748&lt;=27,17,IF(H748&lt;=29,18,IF(H748&lt;=32,19,IF(H748&lt;=34,20,IF(H748&lt;=36,21,IF(H748&lt;=40,22,24)))))))))))))</f>
        <v>0</v>
      </c>
      <c r="K748" s="3" t="s">
        <v>27</v>
      </c>
      <c r="M748" s="3" t="n">
        <f aca="false">_xlfn.IFS(K748="взв",11,K748="накл",24,K748="прокл",25,K748="пт",26,K748=90,10,K748=85,10,K748=80,9,K748=75,8,K748=70,8,K748=65,7,K748=60,7,K748=55,6,K748=50,6,K748=45,6,K748=40,5,K748=35,4,K748=30,4,K748=25,3,K748=20,2,K748=15,1,K748=10,1,K748=0,0)</f>
        <v>24</v>
      </c>
      <c r="N748" s="3" t="n">
        <f aca="false">IF(L748&lt;=1,0,IF(L748&lt;=10,11,IF(L748&lt;=14,12,IF(L748&lt;=17,13,IF(L748&lt;=20,14,IF(L748&lt;=22,15,IF(L748&lt;=25,16,IF(L748&lt;=27,17,IF(L748&lt;=29,18,IF(L748&lt;=32,19,IF(L748&lt;=34,20,IF(L748&lt;=36,21,IF(L748&lt;=40,22,24)))))))))))))</f>
        <v>0</v>
      </c>
      <c r="O748" s="3" t="s">
        <v>47</v>
      </c>
      <c r="P748" s="0"/>
      <c r="Q748" s="3" t="n">
        <f aca="false">_xlfn.IFS(O748="взв",11,O748="накл",24,O748="прокл",25,O748="пт",26,O748=90,10,O748=85,10,O748=80,9,O748=75,8,O748=70,8,O748=65,7,O748=60,7,O748=55,6,O748=50,6,O748=45,6,O748=40,5,O748=35,4,O748=30,4,O748=25,3,O748=20,2,O748=15,1,O748=10,1,O748=0,0)</f>
        <v>25</v>
      </c>
      <c r="R748" s="3" t="n">
        <f aca="false">IF(P748&lt;=1,0,IF(P748&lt;=10,11,IF(P748&lt;=14,12,IF(P748&lt;=17,13,IF(P748&lt;=20,14,IF(P748&lt;=22,15,IF(P748&lt;=25,16,IF(P748&lt;=27,17,IF(P748&lt;=29,18,IF(P748&lt;=32,19,IF(P748&lt;=34,20,IF(P748&lt;=36,21,IF(P748&lt;=40,22,24)))))))))))))</f>
        <v>0</v>
      </c>
      <c r="S748" s="14" t="n">
        <f aca="false">ROUND((Q748+R748+I748+J748+M748+N748)/3,0)</f>
        <v>24</v>
      </c>
      <c r="T748" s="15" t="n">
        <f aca="false">F748*LOG10(S748+2)</f>
        <v>4.24492004391245</v>
      </c>
    </row>
    <row r="749" customFormat="false" ht="14.65" hidden="false" customHeight="true" outlineLevel="0" collapsed="false">
      <c r="A749" s="12" t="s">
        <v>834</v>
      </c>
      <c r="B749" s="13" t="n">
        <v>38887</v>
      </c>
      <c r="C749" s="3" t="s">
        <v>24</v>
      </c>
      <c r="D749" s="4" t="s">
        <v>823</v>
      </c>
      <c r="E749" s="3" t="s">
        <v>97</v>
      </c>
      <c r="F749" s="3" t="n">
        <v>3</v>
      </c>
      <c r="H749" s="3" t="n">
        <v>28</v>
      </c>
      <c r="I749" s="3" t="n">
        <f aca="false">_xlfn.IFS(G749="взв",11,G749="накл",24,G749="прокл",25,G749="пт",26,G749=90,10,G749=85,10,G749=80,9,G749=75,8,G749=70,8,G749=65,7,G749=60,7,G749=55,6,G749=50,6,G749=45,6,G749=40,5,G749=35,4,G749=30,4,G749=25,3,G749=20,2,G749=15,1,G749=10,1,G749=0,0)</f>
        <v>0</v>
      </c>
      <c r="J749" s="3" t="n">
        <f aca="false">IF(H749&lt;=1,0,IF(H749&lt;=10,11,IF(H749&lt;=14,12,IF(H749&lt;=17,13,IF(H749&lt;=20,14,IF(H749&lt;=22,15,IF(H749&lt;=25,16,IF(H749&lt;=27,17,IF(H749&lt;=29,18,IF(H749&lt;=32,19,IF(H749&lt;=34,20,IF(H749&lt;=36,21,IF(H749&lt;=40,22,24)))))))))))))</f>
        <v>18</v>
      </c>
      <c r="L749" s="3" t="n">
        <v>29</v>
      </c>
      <c r="M749" s="3" t="n">
        <f aca="false">_xlfn.IFS(K749="взв",11,K749="накл",24,K749="прокл",25,K749="пт",26,K749=90,10,K749=85,10,K749=80,9,K749=75,8,K749=70,8,K749=65,7,K749=60,7,K749=55,6,K749=50,6,K749=45,6,K749=40,5,K749=35,4,K749=30,4,K749=25,3,K749=20,2,K749=15,1,K749=10,1,K749=0,0)</f>
        <v>0</v>
      </c>
      <c r="N749" s="3" t="n">
        <f aca="false">IF(L749&lt;=1,0,IF(L749&lt;=10,11,IF(L749&lt;=14,12,IF(L749&lt;=17,13,IF(L749&lt;=20,14,IF(L749&lt;=22,15,IF(L749&lt;=25,16,IF(L749&lt;=27,17,IF(L749&lt;=29,18,IF(L749&lt;=32,19,IF(L749&lt;=34,20,IF(L749&lt;=36,21,IF(L749&lt;=40,22,24)))))))))))))</f>
        <v>18</v>
      </c>
      <c r="P749" s="3" t="n">
        <v>34</v>
      </c>
      <c r="Q749" s="3" t="n">
        <f aca="false">_xlfn.IFS(O749="взв",11,O749="накл",24,O749="прокл",25,O749="пт",26,O749=90,10,O749=85,10,O749=80,9,O749=75,8,O749=70,8,O749=65,7,O749=60,7,O749=55,6,O749=50,6,O749=45,6,O749=40,5,O749=35,4,O749=30,4,O749=25,3,O749=20,2,O749=15,1,O749=10,1,O749=0,0)</f>
        <v>0</v>
      </c>
      <c r="R749" s="3" t="n">
        <f aca="false">IF(P749&lt;=1,0,IF(P749&lt;=10,11,IF(P749&lt;=14,12,IF(P749&lt;=17,13,IF(P749&lt;=20,14,IF(P749&lt;=22,15,IF(P749&lt;=25,16,IF(P749&lt;=27,17,IF(P749&lt;=29,18,IF(P749&lt;=32,19,IF(P749&lt;=34,20,IF(P749&lt;=36,21,IF(P749&lt;=40,22,24)))))))))))))</f>
        <v>20</v>
      </c>
      <c r="S749" s="14" t="n">
        <f aca="false">ROUND((Q749+R749+I749+J749+M749+N749)/3,0)</f>
        <v>19</v>
      </c>
      <c r="T749" s="15" t="n">
        <f aca="false">F749*LOG10(S749+2)</f>
        <v>3.96665788420176</v>
      </c>
    </row>
    <row r="750" customFormat="false" ht="14.65" hidden="false" customHeight="true" outlineLevel="0" collapsed="false">
      <c r="A750" s="12" t="s">
        <v>835</v>
      </c>
      <c r="B750" s="13" t="n">
        <v>38887</v>
      </c>
      <c r="C750" s="3" t="s">
        <v>24</v>
      </c>
      <c r="D750" s="4" t="s">
        <v>823</v>
      </c>
      <c r="E750" s="3" t="n">
        <v>2</v>
      </c>
      <c r="F750" s="3" t="n">
        <v>5</v>
      </c>
      <c r="H750" s="3" t="n">
        <v>38</v>
      </c>
      <c r="I750" s="3" t="n">
        <f aca="false">_xlfn.IFS(G750="взв",11,G750="накл",24,G750="прокл",25,G750="пт",26,G750=90,10,G750=85,10,G750=80,9,G750=75,8,G750=70,8,G750=65,7,G750=60,7,G750=55,6,G750=50,6,G750=45,6,G750=40,5,G750=35,4,G750=30,4,G750=25,3,G750=20,2,G750=15,1,G750=10,1,G750=0,0)</f>
        <v>0</v>
      </c>
      <c r="J750" s="3" t="n">
        <f aca="false">IF(H750&lt;=1,0,IF(H750&lt;=10,11,IF(H750&lt;=14,12,IF(H750&lt;=17,13,IF(H750&lt;=20,14,IF(H750&lt;=22,15,IF(H750&lt;=25,16,IF(H750&lt;=27,17,IF(H750&lt;=29,18,IF(H750&lt;=32,19,IF(H750&lt;=34,20,IF(H750&lt;=36,21,IF(H750&lt;=40,22,24)))))))))))))</f>
        <v>22</v>
      </c>
      <c r="L750" s="3" t="n">
        <v>38</v>
      </c>
      <c r="M750" s="3" t="n">
        <f aca="false">_xlfn.IFS(K750="взв",11,K750="накл",24,K750="прокл",25,K750="пт",26,K750=90,10,K750=85,10,K750=80,9,K750=75,8,K750=70,8,K750=65,7,K750=60,7,K750=55,6,K750=50,6,K750=45,6,K750=40,5,K750=35,4,K750=30,4,K750=25,3,K750=20,2,K750=15,1,K750=10,1,K750=0,0)</f>
        <v>0</v>
      </c>
      <c r="N750" s="3" t="n">
        <f aca="false">IF(L750&lt;=1,0,IF(L750&lt;=10,11,IF(L750&lt;=14,12,IF(L750&lt;=17,13,IF(L750&lt;=20,14,IF(L750&lt;=22,15,IF(L750&lt;=25,16,IF(L750&lt;=27,17,IF(L750&lt;=29,18,IF(L750&lt;=32,19,IF(L750&lt;=34,20,IF(L750&lt;=36,21,IF(L750&lt;=40,22,24)))))))))))))</f>
        <v>22</v>
      </c>
      <c r="Q750" s="3" t="n">
        <f aca="false">_xlfn.IFS(O750="взв",11,O750="накл",24,O750="прокл",25,O750="пт",26,O750=90,10,O750=85,10,O750=80,9,O750=75,8,O750=70,8,O750=65,7,O750=60,7,O750=55,6,O750=50,6,O750=45,6,O750=40,5,O750=35,4,O750=30,4,O750=25,3,O750=20,2,O750=15,1,O750=10,1,O750=0,0)</f>
        <v>0</v>
      </c>
      <c r="R750" s="3" t="n">
        <f aca="false">IF(P750&lt;=1,0,IF(P750&lt;=10,11,IF(P750&lt;=14,12,IF(P750&lt;=17,13,IF(P750&lt;=20,14,IF(P750&lt;=22,15,IF(P750&lt;=25,16,IF(P750&lt;=27,17,IF(P750&lt;=29,18,IF(P750&lt;=32,19,IF(P750&lt;=34,20,IF(P750&lt;=36,21,IF(P750&lt;=40,22,24)))))))))))))</f>
        <v>0</v>
      </c>
      <c r="S750" s="14" t="n">
        <f aca="false">ROUND((Q750+R750+I750+J750+M750+N750)/2,0)</f>
        <v>22</v>
      </c>
      <c r="T750" s="15" t="n">
        <f aca="false">F750*LOG10(S750+2)</f>
        <v>6.90105620855803</v>
      </c>
    </row>
    <row r="751" customFormat="false" ht="14.65" hidden="false" customHeight="true" outlineLevel="0" collapsed="false">
      <c r="A751" s="12" t="s">
        <v>836</v>
      </c>
      <c r="B751" s="13" t="n">
        <v>38887</v>
      </c>
      <c r="C751" s="3" t="s">
        <v>24</v>
      </c>
      <c r="D751" s="4" t="s">
        <v>823</v>
      </c>
      <c r="E751" s="3" t="n">
        <v>3</v>
      </c>
      <c r="F751" s="3" t="n">
        <v>5</v>
      </c>
      <c r="H751" s="3" t="n">
        <v>36</v>
      </c>
      <c r="I751" s="3" t="n">
        <f aca="false">_xlfn.IFS(G751="взв",11,G751="накл",24,G751="прокл",25,G751="пт",26,G751=90,10,G751=85,10,G751=80,9,G751=75,8,G751=70,8,G751=65,7,G751=60,7,G751=55,6,G751=50,6,G751=45,6,G751=40,5,G751=35,4,G751=30,4,G751=25,3,G751=20,2,G751=15,1,G751=10,1,G751=0,0)</f>
        <v>0</v>
      </c>
      <c r="J751" s="3" t="n">
        <f aca="false">IF(H751&lt;=1,0,IF(H751&lt;=10,11,IF(H751&lt;=14,12,IF(H751&lt;=17,13,IF(H751&lt;=20,14,IF(H751&lt;=22,15,IF(H751&lt;=25,16,IF(H751&lt;=27,17,IF(H751&lt;=29,18,IF(H751&lt;=32,19,IF(H751&lt;=34,20,IF(H751&lt;=36,21,IF(H751&lt;=40,22,24)))))))))))))</f>
        <v>21</v>
      </c>
      <c r="L751" s="3" t="n">
        <v>37</v>
      </c>
      <c r="M751" s="3" t="n">
        <f aca="false">_xlfn.IFS(K751="взв",11,K751="накл",24,K751="прокл",25,K751="пт",26,K751=90,10,K751=85,10,K751=80,9,K751=75,8,K751=70,8,K751=65,7,K751=60,7,K751=55,6,K751=50,6,K751=45,6,K751=40,5,K751=35,4,K751=30,4,K751=25,3,K751=20,2,K751=15,1,K751=10,1,K751=0,0)</f>
        <v>0</v>
      </c>
      <c r="N751" s="3" t="n">
        <f aca="false">IF(L751&lt;=1,0,IF(L751&lt;=10,11,IF(L751&lt;=14,12,IF(L751&lt;=17,13,IF(L751&lt;=20,14,IF(L751&lt;=22,15,IF(L751&lt;=25,16,IF(L751&lt;=27,17,IF(L751&lt;=29,18,IF(L751&lt;=32,19,IF(L751&lt;=34,20,IF(L751&lt;=36,21,IF(L751&lt;=40,22,24)))))))))))))</f>
        <v>22</v>
      </c>
      <c r="P751" s="3" t="n">
        <v>39</v>
      </c>
      <c r="Q751" s="3" t="n">
        <f aca="false">_xlfn.IFS(O751="взв",11,O751="накл",24,O751="прокл",25,O751="пт",26,O751=90,10,O751=85,10,O751=80,9,O751=75,8,O751=70,8,O751=65,7,O751=60,7,O751=55,6,O751=50,6,O751=45,6,O751=40,5,O751=35,4,O751=30,4,O751=25,3,O751=20,2,O751=15,1,O751=10,1,O751=0,0)</f>
        <v>0</v>
      </c>
      <c r="R751" s="3" t="n">
        <f aca="false">IF(P751&lt;=1,0,IF(P751&lt;=10,11,IF(P751&lt;=14,12,IF(P751&lt;=17,13,IF(P751&lt;=20,14,IF(P751&lt;=22,15,IF(P751&lt;=25,16,IF(P751&lt;=27,17,IF(P751&lt;=29,18,IF(P751&lt;=32,19,IF(P751&lt;=34,20,IF(P751&lt;=36,21,IF(P751&lt;=40,22,24)))))))))))))</f>
        <v>22</v>
      </c>
      <c r="S751" s="14" t="n">
        <f aca="false">ROUND((Q751+R751+I751+J751+M751+N751)/3,0)</f>
        <v>22</v>
      </c>
      <c r="T751" s="15" t="n">
        <f aca="false">F751*LOG10(S751+2)</f>
        <v>6.90105620855803</v>
      </c>
    </row>
    <row r="752" customFormat="false" ht="14.65" hidden="false" customHeight="true" outlineLevel="0" collapsed="false">
      <c r="A752" s="12" t="s">
        <v>837</v>
      </c>
      <c r="B752" s="13" t="n">
        <v>38887</v>
      </c>
      <c r="C752" s="3" t="s">
        <v>24</v>
      </c>
      <c r="D752" s="4" t="s">
        <v>823</v>
      </c>
      <c r="E752" s="3" t="n">
        <v>5</v>
      </c>
      <c r="F752" s="3" t="n">
        <v>7</v>
      </c>
      <c r="G752" s="3" t="n">
        <v>30</v>
      </c>
      <c r="I752" s="3" t="n">
        <f aca="false">_xlfn.IFS(G752="взв",11,G752="накл",24,G752="прокл",25,G752="пт",26,G752=90,10,G752=85,10,G752=80,9,G752=75,8,G752=70,8,G752=65,7,G752=60,7,G752=55,6,G752=50,6,G752=45,6,G752=40,5,G752=35,4,G752=30,4,G752=25,3,G752=20,2,G752=15,1,G752=10,1,G752=0,0)</f>
        <v>4</v>
      </c>
      <c r="J752" s="3" t="n">
        <f aca="false">IF(H752&lt;=1,0,IF(H752&lt;=10,11,IF(H752&lt;=14,12,IF(H752&lt;=17,13,IF(H752&lt;=20,14,IF(H752&lt;=22,15,IF(H752&lt;=25,16,IF(H752&lt;=27,17,IF(H752&lt;=29,18,IF(H752&lt;=32,19,IF(H752&lt;=34,20,IF(H752&lt;=36,21,IF(H752&lt;=40,22,24)))))))))))))</f>
        <v>0</v>
      </c>
      <c r="K752" s="3" t="n">
        <v>30</v>
      </c>
      <c r="M752" s="3" t="n">
        <f aca="false">_xlfn.IFS(K752="взв",11,K752="накл",24,K752="прокл",25,K752="пт",26,K752=90,10,K752=85,10,K752=80,9,K752=75,8,K752=70,8,K752=65,7,K752=60,7,K752=55,6,K752=50,6,K752=45,6,K752=40,5,K752=35,4,K752=30,4,K752=25,3,K752=20,2,K752=15,1,K752=10,1,K752=0,0)</f>
        <v>4</v>
      </c>
      <c r="N752" s="3" t="n">
        <f aca="false">IF(L752&lt;=1,0,IF(L752&lt;=10,11,IF(L752&lt;=14,12,IF(L752&lt;=17,13,IF(L752&lt;=20,14,IF(L752&lt;=22,15,IF(L752&lt;=25,16,IF(L752&lt;=27,17,IF(L752&lt;=29,18,IF(L752&lt;=32,19,IF(L752&lt;=34,20,IF(L752&lt;=36,21,IF(L752&lt;=40,22,24)))))))))))))</f>
        <v>0</v>
      </c>
      <c r="O752" s="3" t="n">
        <v>15</v>
      </c>
      <c r="Q752" s="3" t="n">
        <f aca="false">_xlfn.IFS(O752="взв",11,O752="накл",24,O752="прокл",25,O752="пт",26,O752=90,10,O752=85,10,O752=80,9,O752=75,8,O752=70,8,O752=65,7,O752=60,7,O752=55,6,O752=50,6,O752=45,6,O752=40,5,O752=35,4,O752=30,4,O752=25,3,O752=20,2,O752=15,1,O752=10,1,O752=0,0)</f>
        <v>1</v>
      </c>
      <c r="R752" s="3" t="n">
        <f aca="false">IF(P752&lt;=1,0,IF(P752&lt;=10,11,IF(P752&lt;=14,12,IF(P752&lt;=17,13,IF(P752&lt;=20,14,IF(P752&lt;=22,15,IF(P752&lt;=25,16,IF(P752&lt;=27,17,IF(P752&lt;=29,18,IF(P752&lt;=32,19,IF(P752&lt;=34,20,IF(P752&lt;=36,21,IF(P752&lt;=40,22,24)))))))))))))</f>
        <v>0</v>
      </c>
      <c r="S752" s="14" t="n">
        <f aca="false">ROUND((Q752+R752+I752+J752+M752+N752)/3,0)</f>
        <v>3</v>
      </c>
      <c r="T752" s="15" t="n">
        <f aca="false">F752*LOG10(S752+2)</f>
        <v>4.89279003035213</v>
      </c>
    </row>
    <row r="753" customFormat="false" ht="14.65" hidden="false" customHeight="true" outlineLevel="0" collapsed="false">
      <c r="A753" s="12" t="s">
        <v>838</v>
      </c>
      <c r="B753" s="13" t="n">
        <v>38887</v>
      </c>
      <c r="C753" s="3" t="s">
        <v>24</v>
      </c>
      <c r="D753" s="4" t="s">
        <v>823</v>
      </c>
      <c r="E753" s="3" t="n">
        <v>3</v>
      </c>
      <c r="F753" s="3" t="n">
        <v>7</v>
      </c>
      <c r="G753" s="3" t="s">
        <v>27</v>
      </c>
      <c r="I753" s="3" t="n">
        <f aca="false">_xlfn.IFS(G753="взв",11,G753="накл",24,G753="прокл",25,G753="пт",26,G753=90,10,G753=85,10,G753=80,9,G753=75,8,G753=70,8,G753=65,7,G753=60,7,G753=55,6,G753=50,6,G753=45,6,G753=40,5,G753=35,4,G753=30,4,G753=25,3,G753=20,2,G753=15,1,G753=10,1,G753=0,0)</f>
        <v>24</v>
      </c>
      <c r="J753" s="3" t="n">
        <f aca="false">IF(H753&lt;=1,0,IF(H753&lt;=10,11,IF(H753&lt;=14,12,IF(H753&lt;=17,13,IF(H753&lt;=20,14,IF(H753&lt;=22,15,IF(H753&lt;=25,16,IF(H753&lt;=27,17,IF(H753&lt;=29,18,IF(H753&lt;=32,19,IF(H753&lt;=34,20,IF(H753&lt;=36,21,IF(H753&lt;=40,22,24)))))))))))))</f>
        <v>0</v>
      </c>
      <c r="K753" s="3" t="s">
        <v>27</v>
      </c>
      <c r="M753" s="3" t="n">
        <f aca="false">_xlfn.IFS(K753="взв",11,K753="накл",24,K753="прокл",25,K753="пт",26,K753=90,10,K753=85,10,K753=80,9,K753=75,8,K753=70,8,K753=65,7,K753=60,7,K753=55,6,K753=50,6,K753=45,6,K753=40,5,K753=35,4,K753=30,4,K753=25,3,K753=20,2,K753=15,1,K753=10,1,K753=0,0)</f>
        <v>24</v>
      </c>
      <c r="N753" s="3" t="n">
        <f aca="false">IF(L753&lt;=1,0,IF(L753&lt;=10,11,IF(L753&lt;=14,12,IF(L753&lt;=17,13,IF(L753&lt;=20,14,IF(L753&lt;=22,15,IF(L753&lt;=25,16,IF(L753&lt;=27,17,IF(L753&lt;=29,18,IF(L753&lt;=32,19,IF(L753&lt;=34,20,IF(L753&lt;=36,21,IF(L753&lt;=40,22,24)))))))))))))</f>
        <v>0</v>
      </c>
      <c r="O753" s="3" t="s">
        <v>27</v>
      </c>
      <c r="P753" s="0"/>
      <c r="Q753" s="3" t="n">
        <f aca="false">_xlfn.IFS(O753="взв",11,O753="накл",24,O753="прокл",25,O753="пт",26,O753=90,10,O753=85,10,O753=80,9,O753=75,8,O753=70,8,O753=65,7,O753=60,7,O753=55,6,O753=50,6,O753=45,6,O753=40,5,O753=35,4,O753=30,4,O753=25,3,O753=20,2,O753=15,1,O753=10,1,O753=0,0)</f>
        <v>24</v>
      </c>
      <c r="R753" s="3" t="n">
        <f aca="false">IF(P753&lt;=1,0,IF(P753&lt;=10,11,IF(P753&lt;=14,12,IF(P753&lt;=17,13,IF(P753&lt;=20,14,IF(P753&lt;=22,15,IF(P753&lt;=25,16,IF(P753&lt;=27,17,IF(P753&lt;=29,18,IF(P753&lt;=32,19,IF(P753&lt;=34,20,IF(P753&lt;=36,21,IF(P753&lt;=40,22,24)))))))))))))</f>
        <v>0</v>
      </c>
      <c r="S753" s="14" t="n">
        <f aca="false">ROUND((Q753+R753+I753+J753+M753+N753)/3,0)</f>
        <v>24</v>
      </c>
      <c r="T753" s="15" t="n">
        <f aca="false">F753*LOG10(S753+2)</f>
        <v>9.90481343579573</v>
      </c>
    </row>
    <row r="754" customFormat="false" ht="14.65" hidden="false" customHeight="true" outlineLevel="0" collapsed="false">
      <c r="A754" s="12" t="s">
        <v>839</v>
      </c>
      <c r="B754" s="13" t="n">
        <v>38887</v>
      </c>
      <c r="C754" s="3" t="s">
        <v>24</v>
      </c>
      <c r="D754" s="4" t="s">
        <v>823</v>
      </c>
      <c r="E754" s="3" t="n">
        <v>2</v>
      </c>
      <c r="F754" s="3" t="n">
        <v>8</v>
      </c>
      <c r="H754" s="3" t="n">
        <v>39</v>
      </c>
      <c r="I754" s="3" t="n">
        <f aca="false">_xlfn.IFS(G754="взв",11,G754="накл",24,G754="прокл",25,G754="пт",26,G754=90,10,G754=85,10,G754=80,9,G754=75,8,G754=70,8,G754=65,7,G754=60,7,G754=55,6,G754=50,6,G754=45,6,G754=40,5,G754=35,4,G754=30,4,G754=25,3,G754=20,2,G754=15,1,G754=10,1,G754=0,0)</f>
        <v>0</v>
      </c>
      <c r="J754" s="3" t="n">
        <f aca="false">IF(H754&lt;=1,0,IF(H754&lt;=10,11,IF(H754&lt;=14,12,IF(H754&lt;=17,13,IF(H754&lt;=20,14,IF(H754&lt;=22,15,IF(H754&lt;=25,16,IF(H754&lt;=27,17,IF(H754&lt;=29,18,IF(H754&lt;=32,19,IF(H754&lt;=34,20,IF(H754&lt;=36,21,IF(H754&lt;=40,22,24)))))))))))))</f>
        <v>22</v>
      </c>
      <c r="L754" s="3" t="n">
        <v>39</v>
      </c>
      <c r="M754" s="3" t="n">
        <f aca="false">_xlfn.IFS(K754="взв",11,K754="накл",24,K754="прокл",25,K754="пт",26,K754=90,10,K754=85,10,K754=80,9,K754=75,8,K754=70,8,K754=65,7,K754=60,7,K754=55,6,K754=50,6,K754=45,6,K754=40,5,K754=35,4,K754=30,4,K754=25,3,K754=20,2,K754=15,1,K754=10,1,K754=0,0)</f>
        <v>0</v>
      </c>
      <c r="N754" s="3" t="n">
        <f aca="false">IF(L754&lt;=1,0,IF(L754&lt;=10,11,IF(L754&lt;=14,12,IF(L754&lt;=17,13,IF(L754&lt;=20,14,IF(L754&lt;=22,15,IF(L754&lt;=25,16,IF(L754&lt;=27,17,IF(L754&lt;=29,18,IF(L754&lt;=32,19,IF(L754&lt;=34,20,IF(L754&lt;=36,21,IF(L754&lt;=40,22,24)))))))))))))</f>
        <v>22</v>
      </c>
      <c r="Q754" s="3" t="n">
        <f aca="false">_xlfn.IFS(O754="взв",11,O754="накл",24,O754="прокл",25,O754="пт",26,O754=90,10,O754=85,10,O754=80,9,O754=75,8,O754=70,8,O754=65,7,O754=60,7,O754=55,6,O754=50,6,O754=45,6,O754=40,5,O754=35,4,O754=30,4,O754=25,3,O754=20,2,O754=15,1,O754=10,1,O754=0,0)</f>
        <v>0</v>
      </c>
      <c r="R754" s="3" t="n">
        <f aca="false">IF(P754&lt;=1,0,IF(P754&lt;=10,11,IF(P754&lt;=14,12,IF(P754&lt;=17,13,IF(P754&lt;=20,14,IF(P754&lt;=22,15,IF(P754&lt;=25,16,IF(P754&lt;=27,17,IF(P754&lt;=29,18,IF(P754&lt;=32,19,IF(P754&lt;=34,20,IF(P754&lt;=36,21,IF(P754&lt;=40,22,24)))))))))))))</f>
        <v>0</v>
      </c>
      <c r="S754" s="14" t="n">
        <f aca="false">ROUND((Q754+R754+I754+J754+M754+N754)/2,0)</f>
        <v>22</v>
      </c>
      <c r="T754" s="15" t="n">
        <f aca="false">F754*LOG10(S754+2)</f>
        <v>11.0416899336928</v>
      </c>
    </row>
    <row r="755" customFormat="false" ht="14.65" hidden="false" customHeight="true" outlineLevel="0" collapsed="false">
      <c r="A755" s="12" t="s">
        <v>840</v>
      </c>
      <c r="B755" s="13" t="n">
        <v>38887</v>
      </c>
      <c r="C755" s="3" t="s">
        <v>24</v>
      </c>
      <c r="D755" s="4" t="s">
        <v>823</v>
      </c>
      <c r="E755" s="3" t="n">
        <v>5</v>
      </c>
      <c r="F755" s="3" t="n">
        <v>10</v>
      </c>
      <c r="H755" s="3" t="n">
        <v>34</v>
      </c>
      <c r="I755" s="3" t="n">
        <f aca="false">_xlfn.IFS(G755="взв",11,G755="накл",24,G755="прокл",25,G755="пт",26,G755=90,10,G755=85,10,G755=80,9,G755=75,8,G755=70,8,G755=65,7,G755=60,7,G755=55,6,G755=50,6,G755=45,6,G755=40,5,G755=35,4,G755=30,4,G755=25,3,G755=20,2,G755=15,1,G755=10,1,G755=0,0)</f>
        <v>0</v>
      </c>
      <c r="J755" s="3" t="n">
        <f aca="false">IF(H755&lt;=1,0,IF(H755&lt;=10,11,IF(H755&lt;=14,12,IF(H755&lt;=17,13,IF(H755&lt;=20,14,IF(H755&lt;=22,15,IF(H755&lt;=25,16,IF(H755&lt;=27,17,IF(H755&lt;=29,18,IF(H755&lt;=32,19,IF(H755&lt;=34,20,IF(H755&lt;=36,21,IF(H755&lt;=40,22,24)))))))))))))</f>
        <v>20</v>
      </c>
      <c r="L755" s="3" t="n">
        <v>35</v>
      </c>
      <c r="M755" s="3" t="n">
        <f aca="false">_xlfn.IFS(K755="взв",11,K755="накл",24,K755="прокл",25,K755="пт",26,K755=90,10,K755=85,10,K755=80,9,K755=75,8,K755=70,8,K755=65,7,K755=60,7,K755=55,6,K755=50,6,K755=45,6,K755=40,5,K755=35,4,K755=30,4,K755=25,3,K755=20,2,K755=15,1,K755=10,1,K755=0,0)</f>
        <v>0</v>
      </c>
      <c r="N755" s="3" t="n">
        <f aca="false">IF(L755&lt;=1,0,IF(L755&lt;=10,11,IF(L755&lt;=14,12,IF(L755&lt;=17,13,IF(L755&lt;=20,14,IF(L755&lt;=22,15,IF(L755&lt;=25,16,IF(L755&lt;=27,17,IF(L755&lt;=29,18,IF(L755&lt;=32,19,IF(L755&lt;=34,20,IF(L755&lt;=36,21,IF(L755&lt;=40,22,24)))))))))))))</f>
        <v>21</v>
      </c>
      <c r="P755" s="3" t="n">
        <v>37</v>
      </c>
      <c r="Q755" s="3" t="n">
        <f aca="false">_xlfn.IFS(O755="взв",11,O755="накл",24,O755="прокл",25,O755="пт",26,O755=90,10,O755=85,10,O755=80,9,O755=75,8,O755=70,8,O755=65,7,O755=60,7,O755=55,6,O755=50,6,O755=45,6,O755=40,5,O755=35,4,O755=30,4,O755=25,3,O755=20,2,O755=15,1,O755=10,1,O755=0,0)</f>
        <v>0</v>
      </c>
      <c r="R755" s="3" t="n">
        <f aca="false">IF(P755&lt;=1,0,IF(P755&lt;=10,11,IF(P755&lt;=14,12,IF(P755&lt;=17,13,IF(P755&lt;=20,14,IF(P755&lt;=22,15,IF(P755&lt;=25,16,IF(P755&lt;=27,17,IF(P755&lt;=29,18,IF(P755&lt;=32,19,IF(P755&lt;=34,20,IF(P755&lt;=36,21,IF(P755&lt;=40,22,24)))))))))))))</f>
        <v>22</v>
      </c>
      <c r="S755" s="14" t="n">
        <f aca="false">ROUND((Q755+R755+I755+J755+M755+N755)/3,0)</f>
        <v>21</v>
      </c>
      <c r="T755" s="15" t="n">
        <f aca="false">F755*LOG10(S755+2)</f>
        <v>13.6172783601759</v>
      </c>
    </row>
    <row r="756" customFormat="false" ht="14.65" hidden="false" customHeight="true" outlineLevel="0" collapsed="false">
      <c r="A756" s="12" t="s">
        <v>841</v>
      </c>
      <c r="B756" s="13" t="n">
        <v>38887</v>
      </c>
      <c r="C756" s="3" t="s">
        <v>24</v>
      </c>
      <c r="D756" s="4" t="s">
        <v>823</v>
      </c>
      <c r="E756" s="3" t="n">
        <v>4</v>
      </c>
      <c r="F756" s="3" t="n">
        <v>10</v>
      </c>
      <c r="G756" s="3" t="s">
        <v>38</v>
      </c>
      <c r="I756" s="3" t="n">
        <f aca="false">_xlfn.IFS(G756="взв",11,G756="накл",24,G756="прокл",25,G756="пт",26,G756=90,10,G756=85,10,G756=80,9,G756=75,8,G756=70,8,G756=65,7,G756=60,7,G756=55,6,G756=50,6,G756=45,6,G756=40,5,G756=35,4,G756=30,4,G756=25,3,G756=20,2,G756=15,1,G756=10,1,G756=0,0)</f>
        <v>26</v>
      </c>
      <c r="J756" s="3" t="n">
        <f aca="false">IF(H756&lt;=1,0,IF(H756&lt;=10,11,IF(H756&lt;=14,12,IF(H756&lt;=17,13,IF(H756&lt;=20,14,IF(H756&lt;=22,15,IF(H756&lt;=25,16,IF(H756&lt;=27,17,IF(H756&lt;=29,18,IF(H756&lt;=32,19,IF(H756&lt;=34,20,IF(H756&lt;=36,21,IF(H756&lt;=40,22,24)))))))))))))</f>
        <v>0</v>
      </c>
      <c r="K756" s="3" t="s">
        <v>27</v>
      </c>
      <c r="M756" s="3" t="n">
        <f aca="false">_xlfn.IFS(K756="взв",11,K756="накл",24,K756="прокл",25,K756="пт",26,K756=90,10,K756=85,10,K756=80,9,K756=75,8,K756=70,8,K756=65,7,K756=60,7,K756=55,6,K756=50,6,K756=45,6,K756=40,5,K756=35,4,K756=30,4,K756=25,3,K756=20,2,K756=15,1,K756=10,1,K756=0,0)</f>
        <v>24</v>
      </c>
      <c r="N756" s="3" t="n">
        <f aca="false">IF(L756&lt;=1,0,IF(L756&lt;=10,11,IF(L756&lt;=14,12,IF(L756&lt;=17,13,IF(L756&lt;=20,14,IF(L756&lt;=22,15,IF(L756&lt;=25,16,IF(L756&lt;=27,17,IF(L756&lt;=29,18,IF(L756&lt;=32,19,IF(L756&lt;=34,20,IF(L756&lt;=36,21,IF(L756&lt;=40,22,24)))))))))))))</f>
        <v>0</v>
      </c>
      <c r="O756" s="3" t="s">
        <v>27</v>
      </c>
      <c r="P756" s="0"/>
      <c r="Q756" s="3" t="n">
        <f aca="false">_xlfn.IFS(O756="взв",11,O756="накл",24,O756="прокл",25,O756="пт",26,O756=90,10,O756=85,10,O756=80,9,O756=75,8,O756=70,8,O756=65,7,O756=60,7,O756=55,6,O756=50,6,O756=45,6,O756=40,5,O756=35,4,O756=30,4,O756=25,3,O756=20,2,O756=15,1,O756=10,1,O756=0,0)</f>
        <v>24</v>
      </c>
      <c r="R756" s="3" t="n">
        <f aca="false">IF(P756&lt;=1,0,IF(P756&lt;=10,11,IF(P756&lt;=14,12,IF(P756&lt;=17,13,IF(P756&lt;=20,14,IF(P756&lt;=22,15,IF(P756&lt;=25,16,IF(P756&lt;=27,17,IF(P756&lt;=29,18,IF(P756&lt;=32,19,IF(P756&lt;=34,20,IF(P756&lt;=36,21,IF(P756&lt;=40,22,24)))))))))))))</f>
        <v>0</v>
      </c>
      <c r="S756" s="14" t="n">
        <f aca="false">ROUND((Q756+R756+I756+J756+M756+N756)/3,0)</f>
        <v>25</v>
      </c>
      <c r="T756" s="15" t="n">
        <f aca="false">F756*LOG10(S756+2)</f>
        <v>14.3136376415899</v>
      </c>
    </row>
    <row r="757" customFormat="false" ht="14.65" hidden="false" customHeight="true" outlineLevel="0" collapsed="false">
      <c r="A757" s="12" t="s">
        <v>842</v>
      </c>
      <c r="B757" s="13" t="n">
        <v>38887</v>
      </c>
      <c r="C757" s="3" t="s">
        <v>24</v>
      </c>
      <c r="D757" s="4" t="s">
        <v>823</v>
      </c>
      <c r="E757" s="3" t="n">
        <v>3</v>
      </c>
      <c r="F757" s="3" t="n">
        <v>0</v>
      </c>
      <c r="H757" s="3" t="n">
        <v>34</v>
      </c>
      <c r="I757" s="3" t="n">
        <f aca="false">_xlfn.IFS(G757="взв",11,G757="накл",24,G757="прокл",25,G757="пт",26,G757=90,10,G757=85,10,G757=80,9,G757=75,8,G757=70,8,G757=65,7,G757=60,7,G757=55,6,G757=50,6,G757=45,6,G757=40,5,G757=35,4,G757=30,4,G757=25,3,G757=20,2,G757=15,1,G757=10,1,G757=0,0)</f>
        <v>0</v>
      </c>
      <c r="J757" s="3" t="n">
        <f aca="false">IF(H757&lt;=1,0,IF(H757&lt;=10,11,IF(H757&lt;=14,12,IF(H757&lt;=17,13,IF(H757&lt;=20,14,IF(H757&lt;=22,15,IF(H757&lt;=25,16,IF(H757&lt;=27,17,IF(H757&lt;=29,18,IF(H757&lt;=32,19,IF(H757&lt;=34,20,IF(H757&lt;=36,21,IF(H757&lt;=40,22,24)))))))))))))</f>
        <v>20</v>
      </c>
      <c r="L757" s="3" t="n">
        <v>32</v>
      </c>
      <c r="M757" s="3" t="n">
        <f aca="false">_xlfn.IFS(K757="взв",11,K757="накл",24,K757="прокл",25,K757="пт",26,K757=90,10,K757=85,10,K757=80,9,K757=75,8,K757=70,8,K757=65,7,K757=60,7,K757=55,6,K757=50,6,K757=45,6,K757=40,5,K757=35,4,K757=30,4,K757=25,3,K757=20,2,K757=15,1,K757=10,1,K757=0,0)</f>
        <v>0</v>
      </c>
      <c r="N757" s="3" t="n">
        <f aca="false">IF(L757&lt;=1,0,IF(L757&lt;=10,11,IF(L757&lt;=14,12,IF(L757&lt;=17,13,IF(L757&lt;=20,14,IF(L757&lt;=22,15,IF(L757&lt;=25,16,IF(L757&lt;=27,17,IF(L757&lt;=29,18,IF(L757&lt;=32,19,IF(L757&lt;=34,20,IF(L757&lt;=36,21,IF(L757&lt;=40,22,24)))))))))))))</f>
        <v>19</v>
      </c>
      <c r="P757" s="3" t="n">
        <v>35</v>
      </c>
      <c r="Q757" s="3" t="n">
        <f aca="false">_xlfn.IFS(O757="взв",11,O757="накл",24,O757="прокл",25,O757="пт",26,O757=90,10,O757=85,10,O757=80,9,O757=75,8,O757=70,8,O757=65,7,O757=60,7,O757=55,6,O757=50,6,O757=45,6,O757=40,5,O757=35,4,O757=30,4,O757=25,3,O757=20,2,O757=15,1,O757=10,1,O757=0,0)</f>
        <v>0</v>
      </c>
      <c r="R757" s="3" t="n">
        <f aca="false">IF(P757&lt;=1,0,IF(P757&lt;=10,11,IF(P757&lt;=14,12,IF(P757&lt;=17,13,IF(P757&lt;=20,14,IF(P757&lt;=22,15,IF(P757&lt;=25,16,IF(P757&lt;=27,17,IF(P757&lt;=29,18,IF(P757&lt;=32,19,IF(P757&lt;=34,20,IF(P757&lt;=36,21,IF(P757&lt;=40,22,24)))))))))))))</f>
        <v>21</v>
      </c>
      <c r="S757" s="14" t="n">
        <f aca="false">ROUND((Q757+R757+I757+J757+M757+N757)/3,0)</f>
        <v>20</v>
      </c>
      <c r="T757" s="15" t="n">
        <f aca="false">F757*LOG10(S757+2)</f>
        <v>0</v>
      </c>
    </row>
    <row r="758" customFormat="false" ht="14.65" hidden="false" customHeight="true" outlineLevel="0" collapsed="false">
      <c r="A758" s="12" t="s">
        <v>843</v>
      </c>
      <c r="B758" s="13" t="n">
        <v>38887</v>
      </c>
      <c r="C758" s="3" t="s">
        <v>24</v>
      </c>
      <c r="D758" s="4" t="s">
        <v>823</v>
      </c>
      <c r="E758" s="3" t="n">
        <v>5</v>
      </c>
      <c r="F758" s="3" t="n">
        <v>0</v>
      </c>
      <c r="H758" s="3" t="n">
        <v>36</v>
      </c>
      <c r="I758" s="3" t="n">
        <f aca="false">_xlfn.IFS(G758="взв",11,G758="накл",24,G758="прокл",25,G758="пт",26,G758=90,10,G758=85,10,G758=80,9,G758=75,8,G758=70,8,G758=65,7,G758=60,7,G758=55,6,G758=50,6,G758=45,6,G758=40,5,G758=35,4,G758=30,4,G758=25,3,G758=20,2,G758=15,1,G758=10,1,G758=0,0)</f>
        <v>0</v>
      </c>
      <c r="J758" s="3" t="n">
        <f aca="false">IF(H758&lt;=1,0,IF(H758&lt;=10,11,IF(H758&lt;=14,12,IF(H758&lt;=17,13,IF(H758&lt;=20,14,IF(H758&lt;=22,15,IF(H758&lt;=25,16,IF(H758&lt;=27,17,IF(H758&lt;=29,18,IF(H758&lt;=32,19,IF(H758&lt;=34,20,IF(H758&lt;=36,21,IF(H758&lt;=40,22,24)))))))))))))</f>
        <v>21</v>
      </c>
      <c r="L758" s="3" t="n">
        <v>36</v>
      </c>
      <c r="M758" s="3" t="n">
        <f aca="false">_xlfn.IFS(K758="взв",11,K758="накл",24,K758="прокл",25,K758="пт",26,K758=90,10,K758=85,10,K758=80,9,K758=75,8,K758=70,8,K758=65,7,K758=60,7,K758=55,6,K758=50,6,K758=45,6,K758=40,5,K758=35,4,K758=30,4,K758=25,3,K758=20,2,K758=15,1,K758=10,1,K758=0,0)</f>
        <v>0</v>
      </c>
      <c r="N758" s="3" t="n">
        <f aca="false">IF(L758&lt;=1,0,IF(L758&lt;=10,11,IF(L758&lt;=14,12,IF(L758&lt;=17,13,IF(L758&lt;=20,14,IF(L758&lt;=22,15,IF(L758&lt;=25,16,IF(L758&lt;=27,17,IF(L758&lt;=29,18,IF(L758&lt;=32,19,IF(L758&lt;=34,20,IF(L758&lt;=36,21,IF(L758&lt;=40,22,24)))))))))))))</f>
        <v>21</v>
      </c>
      <c r="P758" s="3" t="n">
        <v>36</v>
      </c>
      <c r="Q758" s="3" t="n">
        <f aca="false">_xlfn.IFS(O758="взв",11,O758="накл",24,O758="прокл",25,O758="пт",26,O758=90,10,O758=85,10,O758=80,9,O758=75,8,O758=70,8,O758=65,7,O758=60,7,O758=55,6,O758=50,6,O758=45,6,O758=40,5,O758=35,4,O758=30,4,O758=25,3,O758=20,2,O758=15,1,O758=10,1,O758=0,0)</f>
        <v>0</v>
      </c>
      <c r="R758" s="3" t="n">
        <f aca="false">IF(P758&lt;=1,0,IF(P758&lt;=10,11,IF(P758&lt;=14,12,IF(P758&lt;=17,13,IF(P758&lt;=20,14,IF(P758&lt;=22,15,IF(P758&lt;=25,16,IF(P758&lt;=27,17,IF(P758&lt;=29,18,IF(P758&lt;=32,19,IF(P758&lt;=34,20,IF(P758&lt;=36,21,IF(P758&lt;=40,22,24)))))))))))))</f>
        <v>21</v>
      </c>
      <c r="S758" s="14" t="n">
        <f aca="false">ROUND((Q758+R758+I758+J758+M758+N758)/3,0)</f>
        <v>21</v>
      </c>
      <c r="T758" s="15" t="n">
        <f aca="false">F758*LOG10(S758+2)</f>
        <v>0</v>
      </c>
    </row>
    <row r="759" customFormat="false" ht="14.65" hidden="false" customHeight="true" outlineLevel="0" collapsed="false">
      <c r="A759" s="12" t="s">
        <v>844</v>
      </c>
      <c r="B759" s="16" t="n">
        <v>38888</v>
      </c>
      <c r="C759" s="17" t="s">
        <v>228</v>
      </c>
      <c r="D759" s="18" t="s">
        <v>845</v>
      </c>
      <c r="E759" s="3" t="n">
        <v>6</v>
      </c>
      <c r="F759" s="3" t="n">
        <v>7</v>
      </c>
      <c r="G759" s="3" t="n">
        <v>90</v>
      </c>
      <c r="I759" s="3" t="n">
        <f aca="false">_xlfn.IFS(G759="взв",11,G759="накл",24,G759="прокл",25,G759="пт",26,G759=90,10,G759=85,10,G759=80,9,G759=75,8,G759=70,8,G759=65,7,G759=60,7,G759=55,6,G759=50,6,G759=45,6,G759=40,5,G759=35,4,G759=30,4,G759=25,3,G759=20,2,G759=15,1,G759=10,1,G759=0,0)</f>
        <v>10</v>
      </c>
      <c r="J759" s="3" t="n">
        <f aca="false">IF(H759&lt;=1,0,IF(H759&lt;=10,11,IF(H759&lt;=14,12,IF(H759&lt;=17,13,IF(H759&lt;=20,14,IF(H759&lt;=22,15,IF(H759&lt;=25,16,IF(H759&lt;=27,17,IF(H759&lt;=29,18,IF(H759&lt;=32,19,IF(H759&lt;=34,20,IF(H759&lt;=36,21,IF(H759&lt;=40,22,24)))))))))))))</f>
        <v>0</v>
      </c>
      <c r="K759" s="3" t="n">
        <v>45</v>
      </c>
      <c r="M759" s="3" t="n">
        <f aca="false">_xlfn.IFS(K759="взв",11,K759="накл",24,K759="прокл",25,K759="пт",26,K759=90,10,K759=85,10,K759=80,9,K759=75,8,K759=70,8,K759=65,7,K759=60,7,K759=55,6,K759=50,6,K759=45,6,K759=40,5,K759=35,4,K759=30,4,K759=25,3,K759=20,2,K759=15,1,K759=10,1,K759=0,0)</f>
        <v>6</v>
      </c>
      <c r="N759" s="3" t="n">
        <f aca="false">IF(L759&lt;=1,0,IF(L759&lt;=10,11,IF(L759&lt;=14,12,IF(L759&lt;=17,13,IF(L759&lt;=20,14,IF(L759&lt;=22,15,IF(L759&lt;=25,16,IF(L759&lt;=27,17,IF(L759&lt;=29,18,IF(L759&lt;=32,19,IF(L759&lt;=34,20,IF(L759&lt;=36,21,IF(L759&lt;=40,22,24)))))))))))))</f>
        <v>0</v>
      </c>
      <c r="O759" s="3" t="n">
        <v>60</v>
      </c>
      <c r="Q759" s="3" t="n">
        <f aca="false">_xlfn.IFS(O759="взв",11,O759="накл",24,O759="прокл",25,O759="пт",26,O759=90,10,O759=85,10,O759=80,9,O759=75,8,O759=70,8,O759=65,7,O759=60,7,O759=55,6,O759=50,6,O759=45,6,O759=40,5,O759=35,4,O759=30,4,O759=25,3,O759=20,2,O759=15,1,O759=10,1,O759=0,0)</f>
        <v>7</v>
      </c>
      <c r="R759" s="3" t="n">
        <f aca="false">IF(P759&lt;=1,0,IF(P759&lt;=10,11,IF(P759&lt;=14,12,IF(P759&lt;=17,13,IF(P759&lt;=20,14,IF(P759&lt;=22,15,IF(P759&lt;=25,16,IF(P759&lt;=27,17,IF(P759&lt;=29,18,IF(P759&lt;=32,19,IF(P759&lt;=34,20,IF(P759&lt;=36,21,IF(P759&lt;=40,22,24)))))))))))))</f>
        <v>0</v>
      </c>
      <c r="S759" s="14" t="n">
        <f aca="false">ROUND((Q759+R759+I759+J759+M759+N759)/3,0)</f>
        <v>8</v>
      </c>
      <c r="T759" s="15" t="n">
        <f aca="false">F759*LOG10(S759+2)</f>
        <v>7</v>
      </c>
    </row>
    <row r="760" customFormat="false" ht="14.65" hidden="false" customHeight="true" outlineLevel="0" collapsed="false">
      <c r="A760" s="12" t="s">
        <v>846</v>
      </c>
      <c r="B760" s="16" t="n">
        <v>38883</v>
      </c>
      <c r="C760" s="17" t="s">
        <v>228</v>
      </c>
      <c r="D760" s="18" t="s">
        <v>847</v>
      </c>
      <c r="E760" s="17" t="n">
        <v>3</v>
      </c>
      <c r="F760" s="17" t="n">
        <v>5</v>
      </c>
      <c r="G760" s="17"/>
      <c r="H760" s="17" t="n">
        <v>29</v>
      </c>
      <c r="I760" s="3" t="n">
        <f aca="false">_xlfn.IFS(G760="взв",11,G760="накл",24,G760="прокл",25,G760="пт",26,G760=90,10,G760=85,10,G760=80,9,G760=75,8,G760=70,8,G760=65,7,G760=60,7,G760=55,6,G760=50,6,G760=45,6,G760=40,5,G760=35,4,G760=30,4,G760=25,3,G760=20,2,G760=15,1,G760=10,1,G760=0,0)</f>
        <v>0</v>
      </c>
      <c r="J760" s="3" t="n">
        <f aca="false">IF(H760&lt;=1,0,IF(H760&lt;=10,11,IF(H760&lt;=14,12,IF(H760&lt;=17,13,IF(H760&lt;=20,14,IF(H760&lt;=22,15,IF(H760&lt;=25,16,IF(H760&lt;=27,17,IF(H760&lt;=29,18,IF(H760&lt;=32,19,IF(H760&lt;=34,20,IF(H760&lt;=36,21,IF(H760&lt;=40,22,24)))))))))))))</f>
        <v>18</v>
      </c>
      <c r="K760" s="17"/>
      <c r="L760" s="17" t="n">
        <v>29</v>
      </c>
      <c r="M760" s="3" t="n">
        <f aca="false">_xlfn.IFS(K760="взв",11,K760="накл",24,K760="прокл",25,K760="пт",26,K760=90,10,K760=85,10,K760=80,9,K760=75,8,K760=70,8,K760=65,7,K760=60,7,K760=55,6,K760=50,6,K760=45,6,K760=40,5,K760=35,4,K760=30,4,K760=25,3,K760=20,2,K760=15,1,K760=10,1,K760=0,0)</f>
        <v>0</v>
      </c>
      <c r="N760" s="3" t="n">
        <f aca="false">IF(L760&lt;=1,0,IF(L760&lt;=10,11,IF(L760&lt;=14,12,IF(L760&lt;=17,13,IF(L760&lt;=20,14,IF(L760&lt;=22,15,IF(L760&lt;=25,16,IF(L760&lt;=27,17,IF(L760&lt;=29,18,IF(L760&lt;=32,19,IF(L760&lt;=34,20,IF(L760&lt;=36,21,IF(L760&lt;=40,22,24)))))))))))))</f>
        <v>18</v>
      </c>
      <c r="O760" s="17"/>
      <c r="P760" s="17" t="n">
        <v>31</v>
      </c>
      <c r="Q760" s="3" t="n">
        <f aca="false">_xlfn.IFS(O760="взв",11,O760="накл",24,O760="прокл",25,O760="пт",26,O760=90,10,O760=85,10,O760=80,9,O760=75,8,O760=70,8,O760=65,7,O760=60,7,O760=55,6,O760=50,6,O760=45,6,O760=40,5,O760=35,4,O760=30,4,O760=25,3,O760=20,2,O760=15,1,O760=10,1,O760=0,0)</f>
        <v>0</v>
      </c>
      <c r="R760" s="3" t="n">
        <f aca="false">IF(P760&lt;=1,0,IF(P760&lt;=10,11,IF(P760&lt;=14,12,IF(P760&lt;=17,13,IF(P760&lt;=20,14,IF(P760&lt;=22,15,IF(P760&lt;=25,16,IF(P760&lt;=27,17,IF(P760&lt;=29,18,IF(P760&lt;=32,19,IF(P760&lt;=34,20,IF(P760&lt;=36,21,IF(P760&lt;=40,22,24)))))))))))))</f>
        <v>19</v>
      </c>
      <c r="S760" s="14" t="n">
        <f aca="false">ROUND((Q760+R760+I760+J760+M760+N760)/3,0)</f>
        <v>18</v>
      </c>
      <c r="T760" s="15" t="n">
        <f aca="false">F760*LOG10(S760+2)</f>
        <v>6.50514997831991</v>
      </c>
    </row>
    <row r="761" customFormat="false" ht="14.65" hidden="false" customHeight="true" outlineLevel="0" collapsed="false">
      <c r="A761" s="12" t="s">
        <v>848</v>
      </c>
      <c r="B761" s="16" t="n">
        <v>38883</v>
      </c>
      <c r="C761" s="17" t="s">
        <v>228</v>
      </c>
      <c r="D761" s="18" t="s">
        <v>847</v>
      </c>
      <c r="E761" s="17" t="n">
        <v>2</v>
      </c>
      <c r="F761" s="17" t="n">
        <v>23</v>
      </c>
      <c r="G761" s="17" t="n">
        <v>15</v>
      </c>
      <c r="H761" s="17"/>
      <c r="I761" s="3" t="n">
        <f aca="false">_xlfn.IFS(G761="взв",11,G761="накл",24,G761="прокл",25,G761="пт",26,G761=90,10,G761=85,10,G761=80,9,G761=75,8,G761=70,8,G761=65,7,G761=60,7,G761=55,6,G761=50,6,G761=45,6,G761=40,5,G761=35,4,G761=30,4,G761=25,3,G761=20,2,G761=15,1,G761=10,1,G761=0,0)</f>
        <v>1</v>
      </c>
      <c r="J761" s="3" t="n">
        <f aca="false">IF(H761&lt;=1,0,IF(H761&lt;=10,11,IF(H761&lt;=14,12,IF(H761&lt;=17,13,IF(H761&lt;=20,14,IF(H761&lt;=22,15,IF(H761&lt;=25,16,IF(H761&lt;=27,17,IF(H761&lt;=29,18,IF(H761&lt;=32,19,IF(H761&lt;=34,20,IF(H761&lt;=36,21,IF(H761&lt;=40,22,24)))))))))))))</f>
        <v>0</v>
      </c>
      <c r="K761" s="17" t="n">
        <v>15</v>
      </c>
      <c r="L761" s="17"/>
      <c r="M761" s="3" t="n">
        <f aca="false">_xlfn.IFS(K761="взв",11,K761="накл",24,K761="прокл",25,K761="пт",26,K761=90,10,K761=85,10,K761=80,9,K761=75,8,K761=70,8,K761=65,7,K761=60,7,K761=55,6,K761=50,6,K761=45,6,K761=40,5,K761=35,4,K761=30,4,K761=25,3,K761=20,2,K761=15,1,K761=10,1,K761=0,0)</f>
        <v>1</v>
      </c>
      <c r="N761" s="3" t="n">
        <f aca="false">IF(L761&lt;=1,0,IF(L761&lt;=10,11,IF(L761&lt;=14,12,IF(L761&lt;=17,13,IF(L761&lt;=20,14,IF(L761&lt;=22,15,IF(L761&lt;=25,16,IF(L761&lt;=27,17,IF(L761&lt;=29,18,IF(L761&lt;=32,19,IF(L761&lt;=34,20,IF(L761&lt;=36,21,IF(L761&lt;=40,22,24)))))))))))))</f>
        <v>0</v>
      </c>
      <c r="O761" s="17"/>
      <c r="P761" s="17"/>
      <c r="Q761" s="3" t="n">
        <f aca="false">_xlfn.IFS(O761="взв",11,O761="накл",24,O761="прокл",25,O761="пт",26,O761=90,10,O761=85,10,O761=80,9,O761=75,8,O761=70,8,O761=65,7,O761=60,7,O761=55,6,O761=50,6,O761=45,6,O761=40,5,O761=35,4,O761=30,4,O761=25,3,O761=20,2,O761=15,1,O761=10,1,O761=0,0)</f>
        <v>0</v>
      </c>
      <c r="R761" s="3" t="n">
        <f aca="false">IF(P761&lt;=1,0,IF(P761&lt;=10,11,IF(P761&lt;=14,12,IF(P761&lt;=17,13,IF(P761&lt;=20,14,IF(P761&lt;=22,15,IF(P761&lt;=25,16,IF(P761&lt;=27,17,IF(P761&lt;=29,18,IF(P761&lt;=32,19,IF(P761&lt;=34,20,IF(P761&lt;=36,21,IF(P761&lt;=40,22,24)))))))))))))</f>
        <v>0</v>
      </c>
      <c r="S761" s="14" t="n">
        <f aca="false">ROUND((Q761+R761+I761+J761+M761+N761)/2,0)</f>
        <v>1</v>
      </c>
      <c r="T761" s="15" t="n">
        <f aca="false">F761*LOG10(S761+2)</f>
        <v>10.9737888585522</v>
      </c>
    </row>
    <row r="762" customFormat="false" ht="14.65" hidden="false" customHeight="true" outlineLevel="0" collapsed="false">
      <c r="A762" s="12" t="s">
        <v>849</v>
      </c>
      <c r="B762" s="13" t="n">
        <v>38882</v>
      </c>
      <c r="C762" s="3" t="s">
        <v>24</v>
      </c>
      <c r="D762" s="4" t="s">
        <v>850</v>
      </c>
      <c r="E762" s="3" t="n">
        <v>4</v>
      </c>
      <c r="F762" s="3" t="n">
        <v>2</v>
      </c>
      <c r="H762" s="3" t="n">
        <v>34</v>
      </c>
      <c r="I762" s="3" t="n">
        <f aca="false">_xlfn.IFS(G762="взв",11,G762="накл",24,G762="прокл",25,G762="пт",26,G762=90,10,G762=85,10,G762=80,9,G762=75,8,G762=70,8,G762=65,7,G762=60,7,G762=55,6,G762=50,6,G762=45,6,G762=40,5,G762=35,4,G762=30,4,G762=25,3,G762=20,2,G762=15,1,G762=10,1,G762=0,0)</f>
        <v>0</v>
      </c>
      <c r="J762" s="3" t="n">
        <f aca="false">IF(H762&lt;=1,0,IF(H762&lt;=10,11,IF(H762&lt;=14,12,IF(H762&lt;=17,13,IF(H762&lt;=20,14,IF(H762&lt;=22,15,IF(H762&lt;=25,16,IF(H762&lt;=27,17,IF(H762&lt;=29,18,IF(H762&lt;=32,19,IF(H762&lt;=34,20,IF(H762&lt;=36,21,IF(H762&lt;=40,22,24)))))))))))))</f>
        <v>20</v>
      </c>
      <c r="L762" s="3" t="n">
        <v>21</v>
      </c>
      <c r="M762" s="3" t="n">
        <f aca="false">_xlfn.IFS(K762="взв",11,K762="накл",24,K762="прокл",25,K762="пт",26,K762=90,10,K762=85,10,K762=80,9,K762=75,8,K762=70,8,K762=65,7,K762=60,7,K762=55,6,K762=50,6,K762=45,6,K762=40,5,K762=35,4,K762=30,4,K762=25,3,K762=20,2,K762=15,1,K762=10,1,K762=0,0)</f>
        <v>0</v>
      </c>
      <c r="N762" s="3" t="n">
        <f aca="false">IF(L762&lt;=1,0,IF(L762&lt;=10,11,IF(L762&lt;=14,12,IF(L762&lt;=17,13,IF(L762&lt;=20,14,IF(L762&lt;=22,15,IF(L762&lt;=25,16,IF(L762&lt;=27,17,IF(L762&lt;=29,18,IF(L762&lt;=32,19,IF(L762&lt;=34,20,IF(L762&lt;=36,21,IF(L762&lt;=40,22,24)))))))))))))</f>
        <v>15</v>
      </c>
      <c r="P762" s="3" t="n">
        <v>28</v>
      </c>
      <c r="Q762" s="3" t="n">
        <f aca="false">_xlfn.IFS(O762="взв",11,O762="накл",24,O762="прокл",25,O762="пт",26,O762=90,10,O762=85,10,O762=80,9,O762=75,8,O762=70,8,O762=65,7,O762=60,7,O762=55,6,O762=50,6,O762=45,6,O762=40,5,O762=35,4,O762=30,4,O762=25,3,O762=20,2,O762=15,1,O762=10,1,O762=0,0)</f>
        <v>0</v>
      </c>
      <c r="R762" s="3" t="n">
        <f aca="false">IF(P762&lt;=1,0,IF(P762&lt;=10,11,IF(P762&lt;=14,12,IF(P762&lt;=17,13,IF(P762&lt;=20,14,IF(P762&lt;=22,15,IF(P762&lt;=25,16,IF(P762&lt;=27,17,IF(P762&lt;=29,18,IF(P762&lt;=32,19,IF(P762&lt;=34,20,IF(P762&lt;=36,21,IF(P762&lt;=40,22,24)))))))))))))</f>
        <v>18</v>
      </c>
      <c r="S762" s="14" t="n">
        <f aca="false">ROUND((Q762+R762+I762+J762+M762+N762)/3,0)</f>
        <v>18</v>
      </c>
      <c r="T762" s="15" t="n">
        <f aca="false">F762*LOG10(S762+2)</f>
        <v>2.60205999132796</v>
      </c>
    </row>
    <row r="763" customFormat="false" ht="14.65" hidden="false" customHeight="true" outlineLevel="0" collapsed="false">
      <c r="A763" s="12" t="s">
        <v>851</v>
      </c>
      <c r="B763" s="13" t="n">
        <v>38882</v>
      </c>
      <c r="C763" s="3" t="s">
        <v>24</v>
      </c>
      <c r="D763" s="4" t="s">
        <v>850</v>
      </c>
      <c r="E763" s="3" t="n">
        <v>9</v>
      </c>
      <c r="F763" s="3" t="n">
        <v>2</v>
      </c>
      <c r="H763" s="3" t="n">
        <v>37</v>
      </c>
      <c r="I763" s="3" t="n">
        <f aca="false">_xlfn.IFS(G763="взв",11,G763="накл",24,G763="прокл",25,G763="пт",26,G763=90,10,G763=85,10,G763=80,9,G763=75,8,G763=70,8,G763=65,7,G763=60,7,G763=55,6,G763=50,6,G763=45,6,G763=40,5,G763=35,4,G763=30,4,G763=25,3,G763=20,2,G763=15,1,G763=10,1,G763=0,0)</f>
        <v>0</v>
      </c>
      <c r="J763" s="3" t="n">
        <f aca="false">IF(H763&lt;=1,0,IF(H763&lt;=10,11,IF(H763&lt;=14,12,IF(H763&lt;=17,13,IF(H763&lt;=20,14,IF(H763&lt;=22,15,IF(H763&lt;=25,16,IF(H763&lt;=27,17,IF(H763&lt;=29,18,IF(H763&lt;=32,19,IF(H763&lt;=34,20,IF(H763&lt;=36,21,IF(H763&lt;=40,22,24)))))))))))))</f>
        <v>22</v>
      </c>
      <c r="L763" s="3" t="n">
        <v>37</v>
      </c>
      <c r="M763" s="3" t="n">
        <f aca="false">_xlfn.IFS(K763="взв",11,K763="накл",24,K763="прокл",25,K763="пт",26,K763=90,10,K763=85,10,K763=80,9,K763=75,8,K763=70,8,K763=65,7,K763=60,7,K763=55,6,K763=50,6,K763=45,6,K763=40,5,K763=35,4,K763=30,4,K763=25,3,K763=20,2,K763=15,1,K763=10,1,K763=0,0)</f>
        <v>0</v>
      </c>
      <c r="N763" s="3" t="n">
        <f aca="false">IF(L763&lt;=1,0,IF(L763&lt;=10,11,IF(L763&lt;=14,12,IF(L763&lt;=17,13,IF(L763&lt;=20,14,IF(L763&lt;=22,15,IF(L763&lt;=25,16,IF(L763&lt;=27,17,IF(L763&lt;=29,18,IF(L763&lt;=32,19,IF(L763&lt;=34,20,IF(L763&lt;=36,21,IF(L763&lt;=40,22,24)))))))))))))</f>
        <v>22</v>
      </c>
      <c r="P763" s="3" t="n">
        <v>37</v>
      </c>
      <c r="Q763" s="3" t="n">
        <f aca="false">_xlfn.IFS(O763="взв",11,O763="накл",24,O763="прокл",25,O763="пт",26,O763=90,10,O763=85,10,O763=80,9,O763=75,8,O763=70,8,O763=65,7,O763=60,7,O763=55,6,O763=50,6,O763=45,6,O763=40,5,O763=35,4,O763=30,4,O763=25,3,O763=20,2,O763=15,1,O763=10,1,O763=0,0)</f>
        <v>0</v>
      </c>
      <c r="R763" s="3" t="n">
        <f aca="false">IF(P763&lt;=1,0,IF(P763&lt;=10,11,IF(P763&lt;=14,12,IF(P763&lt;=17,13,IF(P763&lt;=20,14,IF(P763&lt;=22,15,IF(P763&lt;=25,16,IF(P763&lt;=27,17,IF(P763&lt;=29,18,IF(P763&lt;=32,19,IF(P763&lt;=34,20,IF(P763&lt;=36,21,IF(P763&lt;=40,22,24)))))))))))))</f>
        <v>22</v>
      </c>
      <c r="S763" s="14" t="n">
        <f aca="false">ROUND((Q763+R763+I763+J763+M763+N763)/3,0)</f>
        <v>22</v>
      </c>
      <c r="T763" s="15" t="n">
        <f aca="false">F763*LOG10(S763+2)</f>
        <v>2.76042248342321</v>
      </c>
    </row>
    <row r="764" customFormat="false" ht="14.65" hidden="false" customHeight="true" outlineLevel="0" collapsed="false">
      <c r="A764" s="12" t="s">
        <v>852</v>
      </c>
      <c r="B764" s="13" t="n">
        <v>38882</v>
      </c>
      <c r="C764" s="3" t="s">
        <v>24</v>
      </c>
      <c r="D764" s="4" t="s">
        <v>850</v>
      </c>
      <c r="E764" s="3" t="n">
        <v>3</v>
      </c>
      <c r="F764" s="3" t="n">
        <v>2</v>
      </c>
      <c r="H764" s="3" t="n">
        <v>28</v>
      </c>
      <c r="I764" s="3" t="n">
        <f aca="false">_xlfn.IFS(G764="взв",11,G764="накл",24,G764="прокл",25,G764="пт",26,G764=90,10,G764=85,10,G764=80,9,G764=75,8,G764=70,8,G764=65,7,G764=60,7,G764=55,6,G764=50,6,G764=45,6,G764=40,5,G764=35,4,G764=30,4,G764=25,3,G764=20,2,G764=15,1,G764=10,1,G764=0,0)</f>
        <v>0</v>
      </c>
      <c r="J764" s="3" t="n">
        <f aca="false">IF(H764&lt;=1,0,IF(H764&lt;=10,11,IF(H764&lt;=14,12,IF(H764&lt;=17,13,IF(H764&lt;=20,14,IF(H764&lt;=22,15,IF(H764&lt;=25,16,IF(H764&lt;=27,17,IF(H764&lt;=29,18,IF(H764&lt;=32,19,IF(H764&lt;=34,20,IF(H764&lt;=36,21,IF(H764&lt;=40,22,24)))))))))))))</f>
        <v>18</v>
      </c>
      <c r="M764" s="3" t="n">
        <f aca="false">_xlfn.IFS(K764="взв",11,K764="накл",24,K764="прокл",25,K764="пт",26,K764=90,10,K764=85,10,K764=80,9,K764=75,8,K764=70,8,K764=65,7,K764=60,7,K764=55,6,K764=50,6,K764=45,6,K764=40,5,K764=35,4,K764=30,4,K764=25,3,K764=20,2,K764=15,1,K764=10,1,K764=0,0)</f>
        <v>0</v>
      </c>
      <c r="N764" s="3" t="n">
        <f aca="false">IF(L764&lt;=1,0,IF(L764&lt;=10,11,IF(L764&lt;=14,12,IF(L764&lt;=17,13,IF(L764&lt;=20,14,IF(L764&lt;=22,15,IF(L764&lt;=25,16,IF(L764&lt;=27,17,IF(L764&lt;=29,18,IF(L764&lt;=32,19,IF(L764&lt;=34,20,IF(L764&lt;=36,21,IF(L764&lt;=40,22,24)))))))))))))</f>
        <v>0</v>
      </c>
      <c r="Q764" s="3" t="n">
        <f aca="false">_xlfn.IFS(O764="взв",11,O764="накл",24,O764="прокл",25,O764="пт",26,O764=90,10,O764=85,10,O764=80,9,O764=75,8,O764=70,8,O764=65,7,O764=60,7,O764=55,6,O764=50,6,O764=45,6,O764=40,5,O764=35,4,O764=30,4,O764=25,3,O764=20,2,O764=15,1,O764=10,1,O764=0,0)</f>
        <v>0</v>
      </c>
      <c r="R764" s="3" t="n">
        <f aca="false">IF(P764&lt;=1,0,IF(P764&lt;=10,11,IF(P764&lt;=14,12,IF(P764&lt;=17,13,IF(P764&lt;=20,14,IF(P764&lt;=22,15,IF(P764&lt;=25,16,IF(P764&lt;=27,17,IF(P764&lt;=29,18,IF(P764&lt;=32,19,IF(P764&lt;=34,20,IF(P764&lt;=36,21,IF(P764&lt;=40,22,24)))))))))))))</f>
        <v>0</v>
      </c>
      <c r="S764" s="14" t="n">
        <v>18</v>
      </c>
      <c r="T764" s="15" t="n">
        <f aca="false">F764*LOG10(S764+2)</f>
        <v>2.60205999132796</v>
      </c>
    </row>
    <row r="765" customFormat="false" ht="14.65" hidden="false" customHeight="true" outlineLevel="0" collapsed="false">
      <c r="A765" s="12" t="s">
        <v>853</v>
      </c>
      <c r="B765" s="13" t="n">
        <v>38882</v>
      </c>
      <c r="C765" s="3" t="s">
        <v>24</v>
      </c>
      <c r="D765" s="4" t="s">
        <v>850</v>
      </c>
      <c r="E765" s="3" t="n">
        <v>3</v>
      </c>
      <c r="F765" s="3" t="n">
        <v>4</v>
      </c>
      <c r="G765" s="3" t="n">
        <v>90</v>
      </c>
      <c r="I765" s="3" t="n">
        <f aca="false">_xlfn.IFS(G765="взв",11,G765="накл",24,G765="прокл",25,G765="пт",26,G765=90,10,G765=85,10,G765=80,9,G765=75,8,G765=70,8,G765=65,7,G765=60,7,G765=55,6,G765=50,6,G765=45,6,G765=40,5,G765=35,4,G765=30,4,G765=25,3,G765=20,2,G765=15,1,G765=10,1,G765=0,0)</f>
        <v>10</v>
      </c>
      <c r="J765" s="3" t="n">
        <f aca="false">IF(H765&lt;=1,0,IF(H765&lt;=10,11,IF(H765&lt;=14,12,IF(H765&lt;=17,13,IF(H765&lt;=20,14,IF(H765&lt;=22,15,IF(H765&lt;=25,16,IF(H765&lt;=27,17,IF(H765&lt;=29,18,IF(H765&lt;=32,19,IF(H765&lt;=34,20,IF(H765&lt;=36,21,IF(H765&lt;=40,22,24)))))))))))))</f>
        <v>0</v>
      </c>
      <c r="K765" s="3" t="n">
        <v>90</v>
      </c>
      <c r="M765" s="3" t="n">
        <f aca="false">_xlfn.IFS(K765="взв",11,K765="накл",24,K765="прокл",25,K765="пт",26,K765=90,10,K765=85,10,K765=80,9,K765=75,8,K765=70,8,K765=65,7,K765=60,7,K765=55,6,K765=50,6,K765=45,6,K765=40,5,K765=35,4,K765=30,4,K765=25,3,K765=20,2,K765=15,1,K765=10,1,K765=0,0)</f>
        <v>10</v>
      </c>
      <c r="N765" s="3" t="n">
        <f aca="false">IF(L765&lt;=1,0,IF(L765&lt;=10,11,IF(L765&lt;=14,12,IF(L765&lt;=17,13,IF(L765&lt;=20,14,IF(L765&lt;=22,15,IF(L765&lt;=25,16,IF(L765&lt;=27,17,IF(L765&lt;=29,18,IF(L765&lt;=32,19,IF(L765&lt;=34,20,IF(L765&lt;=36,21,IF(L765&lt;=40,22,24)))))))))))))</f>
        <v>0</v>
      </c>
      <c r="O765" s="3" t="n">
        <v>90</v>
      </c>
      <c r="Q765" s="3" t="n">
        <f aca="false">_xlfn.IFS(O765="взв",11,O765="накл",24,O765="прокл",25,O765="пт",26,O765=90,10,O765=85,10,O765=80,9,O765=75,8,O765=70,8,O765=65,7,O765=60,7,O765=55,6,O765=50,6,O765=45,6,O765=40,5,O765=35,4,O765=30,4,O765=25,3,O765=20,2,O765=15,1,O765=10,1,O765=0,0)</f>
        <v>10</v>
      </c>
      <c r="R765" s="3" t="n">
        <f aca="false">IF(P765&lt;=1,0,IF(P765&lt;=10,11,IF(P765&lt;=14,12,IF(P765&lt;=17,13,IF(P765&lt;=20,14,IF(P765&lt;=22,15,IF(P765&lt;=25,16,IF(P765&lt;=27,17,IF(P765&lt;=29,18,IF(P765&lt;=32,19,IF(P765&lt;=34,20,IF(P765&lt;=36,21,IF(P765&lt;=40,22,24)))))))))))))</f>
        <v>0</v>
      </c>
      <c r="S765" s="14" t="n">
        <f aca="false">ROUND((Q765+R765+I765+J765+M765+N765)/3,0)</f>
        <v>10</v>
      </c>
      <c r="T765" s="15" t="n">
        <f aca="false">F765*LOG10(S765+2)</f>
        <v>4.3167249841905</v>
      </c>
    </row>
    <row r="766" customFormat="false" ht="14.65" hidden="false" customHeight="true" outlineLevel="0" collapsed="false">
      <c r="A766" s="12" t="s">
        <v>854</v>
      </c>
      <c r="B766" s="13" t="n">
        <v>38882</v>
      </c>
      <c r="C766" s="3" t="s">
        <v>24</v>
      </c>
      <c r="D766" s="4" t="s">
        <v>850</v>
      </c>
      <c r="E766" s="3" t="n">
        <v>4</v>
      </c>
      <c r="F766" s="3" t="n">
        <v>0</v>
      </c>
      <c r="G766" s="3" t="n">
        <v>90</v>
      </c>
      <c r="I766" s="3" t="n">
        <f aca="false">_xlfn.IFS(G766="взв",11,G766="накл",24,G766="прокл",25,G766="пт",26,G766=90,10,G766=85,10,G766=80,9,G766=75,8,G766=70,8,G766=65,7,G766=60,7,G766=55,6,G766=50,6,G766=45,6,G766=40,5,G766=35,4,G766=30,4,G766=25,3,G766=20,2,G766=15,1,G766=10,1,G766=0,0)</f>
        <v>10</v>
      </c>
      <c r="J766" s="3" t="n">
        <f aca="false">IF(H766&lt;=1,0,IF(H766&lt;=10,11,IF(H766&lt;=14,12,IF(H766&lt;=17,13,IF(H766&lt;=20,14,IF(H766&lt;=22,15,IF(H766&lt;=25,16,IF(H766&lt;=27,17,IF(H766&lt;=29,18,IF(H766&lt;=32,19,IF(H766&lt;=34,20,IF(H766&lt;=36,21,IF(H766&lt;=40,22,24)))))))))))))</f>
        <v>0</v>
      </c>
      <c r="K766" s="3" t="n">
        <v>90</v>
      </c>
      <c r="M766" s="3" t="n">
        <f aca="false">_xlfn.IFS(K766="взв",11,K766="накл",24,K766="прокл",25,K766="пт",26,K766=90,10,K766=85,10,K766=80,9,K766=75,8,K766=70,8,K766=65,7,K766=60,7,K766=55,6,K766=50,6,K766=45,6,K766=40,5,K766=35,4,K766=30,4,K766=25,3,K766=20,2,K766=15,1,K766=10,1,K766=0,0)</f>
        <v>10</v>
      </c>
      <c r="N766" s="3" t="n">
        <f aca="false">IF(L766&lt;=1,0,IF(L766&lt;=10,11,IF(L766&lt;=14,12,IF(L766&lt;=17,13,IF(L766&lt;=20,14,IF(L766&lt;=22,15,IF(L766&lt;=25,16,IF(L766&lt;=27,17,IF(L766&lt;=29,18,IF(L766&lt;=32,19,IF(L766&lt;=34,20,IF(L766&lt;=36,21,IF(L766&lt;=40,22,24)))))))))))))</f>
        <v>0</v>
      </c>
      <c r="O766" s="3" t="n">
        <v>90</v>
      </c>
      <c r="Q766" s="3" t="n">
        <f aca="false">_xlfn.IFS(O766="взв",11,O766="накл",24,O766="прокл",25,O766="пт",26,O766=90,10,O766=85,10,O766=80,9,O766=75,8,O766=70,8,O766=65,7,O766=60,7,O766=55,6,O766=50,6,O766=45,6,O766=40,5,O766=35,4,O766=30,4,O766=25,3,O766=20,2,O766=15,1,O766=10,1,O766=0,0)</f>
        <v>10</v>
      </c>
      <c r="R766" s="3" t="n">
        <f aca="false">IF(P766&lt;=1,0,IF(P766&lt;=10,11,IF(P766&lt;=14,12,IF(P766&lt;=17,13,IF(P766&lt;=20,14,IF(P766&lt;=22,15,IF(P766&lt;=25,16,IF(P766&lt;=27,17,IF(P766&lt;=29,18,IF(P766&lt;=32,19,IF(P766&lt;=34,20,IF(P766&lt;=36,21,IF(P766&lt;=40,22,24)))))))))))))</f>
        <v>0</v>
      </c>
      <c r="S766" s="14" t="n">
        <f aca="false">ROUND((Q766+R766+I766+J766+M766+N766)/3,0)</f>
        <v>10</v>
      </c>
      <c r="T766" s="15" t="n">
        <f aca="false">F766*LOG10(S766+2)</f>
        <v>0</v>
      </c>
    </row>
    <row r="767" customFormat="false" ht="14.65" hidden="false" customHeight="true" outlineLevel="0" collapsed="false">
      <c r="A767" s="12" t="s">
        <v>855</v>
      </c>
      <c r="B767" s="13" t="n">
        <v>38882</v>
      </c>
      <c r="C767" s="3" t="s">
        <v>24</v>
      </c>
      <c r="D767" s="4" t="s">
        <v>850</v>
      </c>
      <c r="E767" s="3" t="n">
        <v>4</v>
      </c>
      <c r="F767" s="3" t="n">
        <v>0</v>
      </c>
      <c r="G767" s="3" t="n">
        <v>45</v>
      </c>
      <c r="I767" s="3" t="n">
        <f aca="false">_xlfn.IFS(G767="взв",11,G767="накл",24,G767="прокл",25,G767="пт",26,G767=90,10,G767=85,10,G767=80,9,G767=75,8,G767=70,8,G767=65,7,G767=60,7,G767=55,6,G767=50,6,G767=45,6,G767=40,5,G767=35,4,G767=30,4,G767=25,3,G767=20,2,G767=15,1,G767=10,1,G767=0,0)</f>
        <v>6</v>
      </c>
      <c r="J767" s="3" t="n">
        <f aca="false">IF(H767&lt;=1,0,IF(H767&lt;=10,11,IF(H767&lt;=14,12,IF(H767&lt;=17,13,IF(H767&lt;=20,14,IF(H767&lt;=22,15,IF(H767&lt;=25,16,IF(H767&lt;=27,17,IF(H767&lt;=29,18,IF(H767&lt;=32,19,IF(H767&lt;=34,20,IF(H767&lt;=36,21,IF(H767&lt;=40,22,24)))))))))))))</f>
        <v>0</v>
      </c>
      <c r="K767" s="3" t="n">
        <v>30</v>
      </c>
      <c r="M767" s="3" t="n">
        <f aca="false">_xlfn.IFS(K767="взв",11,K767="накл",24,K767="прокл",25,K767="пт",26,K767=90,10,K767=85,10,K767=80,9,K767=75,8,K767=70,8,K767=65,7,K767=60,7,K767=55,6,K767=50,6,K767=45,6,K767=40,5,K767=35,4,K767=30,4,K767=25,3,K767=20,2,K767=15,1,K767=10,1,K767=0,0)</f>
        <v>4</v>
      </c>
      <c r="N767" s="3" t="n">
        <f aca="false">IF(L767&lt;=1,0,IF(L767&lt;=10,11,IF(L767&lt;=14,12,IF(L767&lt;=17,13,IF(L767&lt;=20,14,IF(L767&lt;=22,15,IF(L767&lt;=25,16,IF(L767&lt;=27,17,IF(L767&lt;=29,18,IF(L767&lt;=32,19,IF(L767&lt;=34,20,IF(L767&lt;=36,21,IF(L767&lt;=40,22,24)))))))))))))</f>
        <v>0</v>
      </c>
      <c r="O767" s="3" t="n">
        <v>30</v>
      </c>
      <c r="Q767" s="3" t="n">
        <f aca="false">_xlfn.IFS(O767="взв",11,O767="накл",24,O767="прокл",25,O767="пт",26,O767=90,10,O767=85,10,O767=80,9,O767=75,8,O767=70,8,O767=65,7,O767=60,7,O767=55,6,O767=50,6,O767=45,6,O767=40,5,O767=35,4,O767=30,4,O767=25,3,O767=20,2,O767=15,1,O767=10,1,O767=0,0)</f>
        <v>4</v>
      </c>
      <c r="R767" s="3" t="n">
        <f aca="false">IF(P767&lt;=1,0,IF(P767&lt;=10,11,IF(P767&lt;=14,12,IF(P767&lt;=17,13,IF(P767&lt;=20,14,IF(P767&lt;=22,15,IF(P767&lt;=25,16,IF(P767&lt;=27,17,IF(P767&lt;=29,18,IF(P767&lt;=32,19,IF(P767&lt;=34,20,IF(P767&lt;=36,21,IF(P767&lt;=40,22,24)))))))))))))</f>
        <v>0</v>
      </c>
      <c r="S767" s="14" t="n">
        <f aca="false">ROUND((Q767+R767+I767+J767+M767+N767)/3,0)</f>
        <v>5</v>
      </c>
      <c r="T767" s="15" t="n">
        <f aca="false">F767*LOG10(S767+2)</f>
        <v>0</v>
      </c>
    </row>
    <row r="768" customFormat="false" ht="14.65" hidden="false" customHeight="true" outlineLevel="0" collapsed="false">
      <c r="A768" s="12" t="s">
        <v>856</v>
      </c>
      <c r="B768" s="16" t="n">
        <v>38878</v>
      </c>
      <c r="C768" s="3" t="s">
        <v>21</v>
      </c>
      <c r="D768" s="4" t="s">
        <v>857</v>
      </c>
      <c r="E768" s="3" t="n">
        <v>4</v>
      </c>
      <c r="F768" s="3" t="n">
        <v>0</v>
      </c>
      <c r="G768" s="3" t="n">
        <v>45</v>
      </c>
      <c r="I768" s="3" t="n">
        <f aca="false">_xlfn.IFS(G768="взв",11,G768="накл",24,G768="прокл",25,G768="пт",26,G768=90,10,G768=85,10,G768=80,9,G768=75,8,G768=70,8,G768=65,7,G768=60,7,G768=55,6,G768=50,6,G768=45,6,G768=40,5,G768=35,4,G768=30,4,G768=25,3,G768=20,2,G768=15,1,G768=10,1,G768=0,0)</f>
        <v>6</v>
      </c>
      <c r="J768" s="3" t="n">
        <f aca="false">IF(H768&lt;=1,0,IF(H768&lt;=10,11,IF(H768&lt;=14,12,IF(H768&lt;=17,13,IF(H768&lt;=20,14,IF(H768&lt;=22,15,IF(H768&lt;=25,16,IF(H768&lt;=27,17,IF(H768&lt;=29,18,IF(H768&lt;=32,19,IF(H768&lt;=34,20,IF(H768&lt;=36,21,IF(H768&lt;=40,22,24)))))))))))))</f>
        <v>0</v>
      </c>
      <c r="K768" s="3" t="n">
        <v>75</v>
      </c>
      <c r="M768" s="3" t="n">
        <f aca="false">_xlfn.IFS(K768="взв",11,K768="накл",24,K768="прокл",25,K768="пт",26,K768=90,10,K768=85,10,K768=80,9,K768=75,8,K768=70,8,K768=65,7,K768=60,7,K768=55,6,K768=50,6,K768=45,6,K768=40,5,K768=35,4,K768=30,4,K768=25,3,K768=20,2,K768=15,1,K768=10,1,K768=0,0)</f>
        <v>8</v>
      </c>
      <c r="N768" s="3" t="n">
        <f aca="false">IF(L768&lt;=1,0,IF(L768&lt;=10,11,IF(L768&lt;=14,12,IF(L768&lt;=17,13,IF(L768&lt;=20,14,IF(L768&lt;=22,15,IF(L768&lt;=25,16,IF(L768&lt;=27,17,IF(L768&lt;=29,18,IF(L768&lt;=32,19,IF(L768&lt;=34,20,IF(L768&lt;=36,21,IF(L768&lt;=40,22,24)))))))))))))</f>
        <v>0</v>
      </c>
      <c r="O768" s="3" t="n">
        <v>60</v>
      </c>
      <c r="Q768" s="3" t="n">
        <f aca="false">_xlfn.IFS(O768="взв",11,O768="накл",24,O768="прокл",25,O768="пт",26,O768=90,10,O768=85,10,O768=80,9,O768=75,8,O768=70,8,O768=65,7,O768=60,7,O768=55,6,O768=50,6,O768=45,6,O768=40,5,O768=35,4,O768=30,4,O768=25,3,O768=20,2,O768=15,1,O768=10,1,O768=0,0)</f>
        <v>7</v>
      </c>
      <c r="R768" s="3" t="n">
        <f aca="false">IF(P768&lt;=1,0,IF(P768&lt;=10,11,IF(P768&lt;=14,12,IF(P768&lt;=17,13,IF(P768&lt;=20,14,IF(P768&lt;=22,15,IF(P768&lt;=25,16,IF(P768&lt;=27,17,IF(P768&lt;=29,18,IF(P768&lt;=32,19,IF(P768&lt;=34,20,IF(P768&lt;=36,21,IF(P768&lt;=40,22,24)))))))))))))</f>
        <v>0</v>
      </c>
      <c r="S768" s="14" t="n">
        <f aca="false">ROUND((Q768+R768+I768+J768+M768+N768)/3,0)</f>
        <v>7</v>
      </c>
      <c r="T768" s="15" t="n">
        <f aca="false">F768*LOG10(S768+2)</f>
        <v>0</v>
      </c>
    </row>
    <row r="769" customFormat="false" ht="14.65" hidden="false" customHeight="true" outlineLevel="0" collapsed="false">
      <c r="A769" s="12" t="s">
        <v>858</v>
      </c>
      <c r="B769" s="13" t="n">
        <v>38878</v>
      </c>
      <c r="C769" s="3" t="s">
        <v>21</v>
      </c>
      <c r="D769" s="4" t="s">
        <v>857</v>
      </c>
      <c r="E769" s="3" t="n">
        <v>3</v>
      </c>
      <c r="F769" s="3" t="n">
        <v>10</v>
      </c>
      <c r="G769" s="3" t="n">
        <v>0</v>
      </c>
      <c r="I769" s="3" t="n">
        <f aca="false">_xlfn.IFS(G769="взв",11,G769="накл",24,G769="прокл",25,G769="пт",26,G769=90,10,G769=85,10,G769=80,9,G769=75,8,G769=70,8,G769=65,7,G769=60,7,G769=55,6,G769=50,6,G769=45,6,G769=40,5,G769=35,4,G769=30,4,G769=25,3,G769=20,2,G769=15,1,G769=10,1,G769=0,0)</f>
        <v>0</v>
      </c>
      <c r="J769" s="3" t="n">
        <f aca="false">IF(H769&lt;=1,0,IF(H769&lt;=10,11,IF(H769&lt;=14,12,IF(H769&lt;=17,13,IF(H769&lt;=20,14,IF(H769&lt;=22,15,IF(H769&lt;=25,16,IF(H769&lt;=27,17,IF(H769&lt;=29,18,IF(H769&lt;=32,19,IF(H769&lt;=34,20,IF(H769&lt;=36,21,IF(H769&lt;=40,22,24)))))))))))))</f>
        <v>0</v>
      </c>
      <c r="K769" s="3" t="n">
        <v>0</v>
      </c>
      <c r="M769" s="3" t="n">
        <f aca="false">_xlfn.IFS(K769="взв",11,K769="накл",24,K769="прокл",25,K769="пт",26,K769=90,10,K769=85,10,K769=80,9,K769=75,8,K769=70,8,K769=65,7,K769=60,7,K769=55,6,K769=50,6,K769=45,6,K769=40,5,K769=35,4,K769=30,4,K769=25,3,K769=20,2,K769=15,1,K769=10,1,K769=0,0)</f>
        <v>0</v>
      </c>
      <c r="N769" s="3" t="n">
        <f aca="false">IF(L769&lt;=1,0,IF(L769&lt;=10,11,IF(L769&lt;=14,12,IF(L769&lt;=17,13,IF(L769&lt;=20,14,IF(L769&lt;=22,15,IF(L769&lt;=25,16,IF(L769&lt;=27,17,IF(L769&lt;=29,18,IF(L769&lt;=32,19,IF(L769&lt;=34,20,IF(L769&lt;=36,21,IF(L769&lt;=40,22,24)))))))))))))</f>
        <v>0</v>
      </c>
      <c r="O769" s="3" t="n">
        <v>0</v>
      </c>
      <c r="Q769" s="3" t="n">
        <f aca="false">_xlfn.IFS(O769="взв",11,O769="накл",24,O769="прокл",25,O769="пт",26,O769=90,10,O769=85,10,O769=80,9,O769=75,8,O769=70,8,O769=65,7,O769=60,7,O769=55,6,O769=50,6,O769=45,6,O769=40,5,O769=35,4,O769=30,4,O769=25,3,O769=20,2,O769=15,1,O769=10,1,O769=0,0)</f>
        <v>0</v>
      </c>
      <c r="R769" s="3" t="n">
        <f aca="false">IF(P769&lt;=1,0,IF(P769&lt;=10,11,IF(P769&lt;=14,12,IF(P769&lt;=17,13,IF(P769&lt;=20,14,IF(P769&lt;=22,15,IF(P769&lt;=25,16,IF(P769&lt;=27,17,IF(P769&lt;=29,18,IF(P769&lt;=32,19,IF(P769&lt;=34,20,IF(P769&lt;=36,21,IF(P769&lt;=40,22,24)))))))))))))</f>
        <v>0</v>
      </c>
      <c r="S769" s="14" t="n">
        <f aca="false">ROUND((Q769+R769+I769+J769+M769+N769)/3,0)</f>
        <v>0</v>
      </c>
      <c r="T769" s="15" t="n">
        <f aca="false">F769*LOG10(S769+2)</f>
        <v>3.01029995663981</v>
      </c>
    </row>
    <row r="770" customFormat="false" ht="14.65" hidden="false" customHeight="true" outlineLevel="0" collapsed="false">
      <c r="A770" s="12" t="s">
        <v>859</v>
      </c>
      <c r="B770" s="13" t="n">
        <v>38878</v>
      </c>
      <c r="C770" s="3" t="s">
        <v>21</v>
      </c>
      <c r="D770" s="4" t="s">
        <v>857</v>
      </c>
      <c r="E770" s="3" t="n">
        <v>5</v>
      </c>
      <c r="F770" s="3" t="n">
        <v>0</v>
      </c>
      <c r="G770" s="3" t="n">
        <v>30</v>
      </c>
      <c r="I770" s="3" t="n">
        <f aca="false">_xlfn.IFS(G770="взв",11,G770="накл",24,G770="прокл",25,G770="пт",26,G770=90,10,G770=85,10,G770=80,9,G770=75,8,G770=70,8,G770=65,7,G770=60,7,G770=55,6,G770=50,6,G770=45,6,G770=40,5,G770=35,4,G770=30,4,G770=25,3,G770=20,2,G770=15,1,G770=10,1,G770=0,0)</f>
        <v>4</v>
      </c>
      <c r="J770" s="3" t="n">
        <f aca="false">IF(H770&lt;=1,0,IF(H770&lt;=10,11,IF(H770&lt;=14,12,IF(H770&lt;=17,13,IF(H770&lt;=20,14,IF(H770&lt;=22,15,IF(H770&lt;=25,16,IF(H770&lt;=27,17,IF(H770&lt;=29,18,IF(H770&lt;=32,19,IF(H770&lt;=34,20,IF(H770&lt;=36,21,IF(H770&lt;=40,22,24)))))))))))))</f>
        <v>0</v>
      </c>
      <c r="K770" s="3" t="n">
        <v>45</v>
      </c>
      <c r="M770" s="3" t="n">
        <f aca="false">_xlfn.IFS(K770="взв",11,K770="накл",24,K770="прокл",25,K770="пт",26,K770=90,10,K770=85,10,K770=80,9,K770=75,8,K770=70,8,K770=65,7,K770=60,7,K770=55,6,K770=50,6,K770=45,6,K770=40,5,K770=35,4,K770=30,4,K770=25,3,K770=20,2,K770=15,1,K770=10,1,K770=0,0)</f>
        <v>6</v>
      </c>
      <c r="N770" s="3" t="n">
        <f aca="false">IF(L770&lt;=1,0,IF(L770&lt;=10,11,IF(L770&lt;=14,12,IF(L770&lt;=17,13,IF(L770&lt;=20,14,IF(L770&lt;=22,15,IF(L770&lt;=25,16,IF(L770&lt;=27,17,IF(L770&lt;=29,18,IF(L770&lt;=32,19,IF(L770&lt;=34,20,IF(L770&lt;=36,21,IF(L770&lt;=40,22,24)))))))))))))</f>
        <v>0</v>
      </c>
      <c r="O770" s="3" t="n">
        <v>15</v>
      </c>
      <c r="Q770" s="3" t="n">
        <f aca="false">_xlfn.IFS(O770="взв",11,O770="накл",24,O770="прокл",25,O770="пт",26,O770=90,10,O770=85,10,O770=80,9,O770=75,8,O770=70,8,O770=65,7,O770=60,7,O770=55,6,O770=50,6,O770=45,6,O770=40,5,O770=35,4,O770=30,4,O770=25,3,O770=20,2,O770=15,1,O770=10,1,O770=0,0)</f>
        <v>1</v>
      </c>
      <c r="R770" s="3" t="n">
        <f aca="false">IF(P770&lt;=1,0,IF(P770&lt;=10,11,IF(P770&lt;=14,12,IF(P770&lt;=17,13,IF(P770&lt;=20,14,IF(P770&lt;=22,15,IF(P770&lt;=25,16,IF(P770&lt;=27,17,IF(P770&lt;=29,18,IF(P770&lt;=32,19,IF(P770&lt;=34,20,IF(P770&lt;=36,21,IF(P770&lt;=40,22,24)))))))))))))</f>
        <v>0</v>
      </c>
      <c r="S770" s="14" t="n">
        <f aca="false">ROUND((Q770+R770+I770+J770+M770+N770)/3,0)</f>
        <v>4</v>
      </c>
      <c r="T770" s="15" t="n">
        <f aca="false">F770*LOG10(S770+2)</f>
        <v>0</v>
      </c>
    </row>
    <row r="771" customFormat="false" ht="14.65" hidden="false" customHeight="true" outlineLevel="0" collapsed="false">
      <c r="A771" s="12"/>
    </row>
    <row r="772" customFormat="false" ht="14.65" hidden="false" customHeight="true" outlineLevel="0" collapsed="false">
      <c r="A772" s="12"/>
    </row>
    <row r="773" customFormat="false" ht="14.65" hidden="false" customHeight="true" outlineLevel="0" collapsed="false">
      <c r="A773" s="12"/>
    </row>
    <row r="774" customFormat="false" ht="14.65" hidden="false" customHeight="true" outlineLevel="0" collapsed="false">
      <c r="A774" s="12"/>
    </row>
    <row r="775" customFormat="false" ht="14.65" hidden="false" customHeight="true" outlineLevel="0" collapsed="false">
      <c r="A775" s="12"/>
    </row>
    <row r="776" customFormat="false" ht="14.65" hidden="false" customHeight="true" outlineLevel="0" collapsed="false">
      <c r="A776" s="12"/>
    </row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20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F18" activeCellId="0" sqref="F18"/>
    </sheetView>
  </sheetViews>
  <sheetFormatPr defaultColWidth="9.0546875" defaultRowHeight="12.5" customHeight="true" zeroHeight="false" outlineLevelRow="0" outlineLevelCol="0"/>
  <cols>
    <col collapsed="false" customWidth="true" hidden="false" outlineLevel="0" max="1" min="1" style="0" width="12.26"/>
    <col collapsed="false" customWidth="true" hidden="false" outlineLevel="0" max="4" min="4" style="0" width="23.44"/>
    <col collapsed="false" customWidth="true" hidden="false" outlineLevel="0" max="5" min="5" style="0" width="2.99"/>
  </cols>
  <sheetData>
    <row r="2" customFormat="false" ht="12.5" hidden="false" customHeight="true" outlineLevel="0" collapsed="false">
      <c r="A2" s="0" t="s">
        <v>860</v>
      </c>
      <c r="B2" s="0" t="s">
        <v>861</v>
      </c>
      <c r="D2" s="0" t="s">
        <v>862</v>
      </c>
      <c r="F2" s="19" t="s">
        <v>861</v>
      </c>
    </row>
    <row r="3" customFormat="false" ht="12.5" hidden="false" customHeight="true" outlineLevel="0" collapsed="false">
      <c r="A3" s="0" t="n">
        <v>0</v>
      </c>
      <c r="B3" s="0" t="n">
        <v>0</v>
      </c>
      <c r="D3" s="0" t="n">
        <v>0</v>
      </c>
      <c r="E3" s="0" t="n">
        <v>9</v>
      </c>
      <c r="F3" s="0" t="n">
        <v>11</v>
      </c>
    </row>
    <row r="4" customFormat="false" ht="12.5" hidden="false" customHeight="true" outlineLevel="0" collapsed="false">
      <c r="A4" s="0" t="n">
        <v>10</v>
      </c>
      <c r="B4" s="0" t="n">
        <v>0.5</v>
      </c>
      <c r="D4" s="0" t="n">
        <v>10</v>
      </c>
      <c r="E4" s="0" t="n">
        <v>14</v>
      </c>
      <c r="F4" s="0" t="n">
        <v>12</v>
      </c>
    </row>
    <row r="5" customFormat="false" ht="12.5" hidden="false" customHeight="true" outlineLevel="0" collapsed="false">
      <c r="A5" s="0" t="n">
        <v>15</v>
      </c>
      <c r="B5" s="0" t="n">
        <v>1</v>
      </c>
      <c r="D5" s="0" t="n">
        <v>15</v>
      </c>
      <c r="E5" s="0" t="n">
        <v>17</v>
      </c>
      <c r="F5" s="0" t="n">
        <v>13</v>
      </c>
    </row>
    <row r="6" customFormat="false" ht="12.5" hidden="false" customHeight="true" outlineLevel="0" collapsed="false">
      <c r="A6" s="0" t="n">
        <v>20</v>
      </c>
      <c r="B6" s="0" t="n">
        <v>2</v>
      </c>
      <c r="D6" s="0" t="n">
        <v>18</v>
      </c>
      <c r="E6" s="0" t="n">
        <v>20</v>
      </c>
      <c r="F6" s="0" t="n">
        <v>14</v>
      </c>
    </row>
    <row r="7" customFormat="false" ht="12.5" hidden="false" customHeight="true" outlineLevel="0" collapsed="false">
      <c r="A7" s="0" t="n">
        <v>25</v>
      </c>
      <c r="B7" s="0" t="n">
        <v>3</v>
      </c>
      <c r="D7" s="0" t="n">
        <v>21</v>
      </c>
      <c r="E7" s="0" t="n">
        <v>22</v>
      </c>
      <c r="F7" s="0" t="n">
        <v>15</v>
      </c>
    </row>
    <row r="8" customFormat="false" ht="12.5" hidden="false" customHeight="true" outlineLevel="0" collapsed="false">
      <c r="A8" s="0" t="n">
        <v>30</v>
      </c>
      <c r="B8" s="0" t="n">
        <v>4</v>
      </c>
      <c r="D8" s="0" t="n">
        <v>23</v>
      </c>
      <c r="E8" s="0" t="n">
        <v>25</v>
      </c>
      <c r="F8" s="0" t="n">
        <v>16</v>
      </c>
    </row>
    <row r="9" customFormat="false" ht="12.5" hidden="false" customHeight="true" outlineLevel="0" collapsed="false">
      <c r="A9" s="0" t="n">
        <v>35</v>
      </c>
      <c r="B9" s="0" t="n">
        <v>4</v>
      </c>
      <c r="D9" s="0" t="n">
        <v>26</v>
      </c>
      <c r="E9" s="0" t="n">
        <v>27</v>
      </c>
      <c r="F9" s="0" t="n">
        <v>17</v>
      </c>
    </row>
    <row r="10" customFormat="false" ht="12.5" hidden="false" customHeight="true" outlineLevel="0" collapsed="false">
      <c r="A10" s="0" t="n">
        <v>40</v>
      </c>
      <c r="B10" s="0" t="n">
        <v>5</v>
      </c>
      <c r="D10" s="0" t="n">
        <v>28</v>
      </c>
      <c r="E10" s="0" t="n">
        <v>29</v>
      </c>
      <c r="F10" s="0" t="n">
        <v>18</v>
      </c>
    </row>
    <row r="11" customFormat="false" ht="12.5" hidden="false" customHeight="true" outlineLevel="0" collapsed="false">
      <c r="A11" s="0" t="n">
        <v>45</v>
      </c>
      <c r="B11" s="0" t="n">
        <v>6</v>
      </c>
      <c r="D11" s="0" t="n">
        <v>30</v>
      </c>
      <c r="E11" s="0" t="n">
        <v>32</v>
      </c>
      <c r="F11" s="0" t="n">
        <v>19</v>
      </c>
    </row>
    <row r="12" customFormat="false" ht="12.5" hidden="false" customHeight="true" outlineLevel="0" collapsed="false">
      <c r="A12" s="0" t="n">
        <v>50</v>
      </c>
      <c r="B12" s="0" t="n">
        <v>6</v>
      </c>
      <c r="D12" s="0" t="n">
        <v>33</v>
      </c>
      <c r="E12" s="0" t="n">
        <v>34</v>
      </c>
      <c r="F12" s="0" t="n">
        <v>20</v>
      </c>
    </row>
    <row r="13" customFormat="false" ht="12.5" hidden="false" customHeight="true" outlineLevel="0" collapsed="false">
      <c r="A13" s="0" t="n">
        <v>55</v>
      </c>
      <c r="B13" s="0" t="n">
        <v>6</v>
      </c>
      <c r="D13" s="0" t="n">
        <v>35</v>
      </c>
      <c r="E13" s="0" t="n">
        <v>36</v>
      </c>
      <c r="F13" s="0" t="n">
        <v>21</v>
      </c>
    </row>
    <row r="14" customFormat="false" ht="12.5" hidden="false" customHeight="true" outlineLevel="0" collapsed="false">
      <c r="A14" s="0" t="n">
        <v>60</v>
      </c>
      <c r="B14" s="0" t="n">
        <v>7</v>
      </c>
      <c r="D14" s="0" t="n">
        <v>37</v>
      </c>
      <c r="E14" s="0" t="n">
        <v>40</v>
      </c>
      <c r="F14" s="0" t="n">
        <v>22</v>
      </c>
    </row>
    <row r="15" customFormat="false" ht="12.5" hidden="false" customHeight="true" outlineLevel="0" collapsed="false">
      <c r="A15" s="0" t="n">
        <v>65</v>
      </c>
      <c r="B15" s="0" t="n">
        <v>7</v>
      </c>
      <c r="D15" s="0" t="n">
        <v>41</v>
      </c>
      <c r="E15" s="0" t="n">
        <v>44</v>
      </c>
      <c r="F15" s="0" t="n">
        <v>23</v>
      </c>
    </row>
    <row r="16" customFormat="false" ht="12.5" hidden="false" customHeight="true" outlineLevel="0" collapsed="false">
      <c r="A16" s="0" t="n">
        <v>70</v>
      </c>
      <c r="B16" s="0" t="n">
        <v>8</v>
      </c>
      <c r="D16" s="0" t="s">
        <v>863</v>
      </c>
      <c r="F16" s="0" t="n">
        <v>24</v>
      </c>
    </row>
    <row r="17" customFormat="false" ht="12.5" hidden="false" customHeight="true" outlineLevel="0" collapsed="false">
      <c r="A17" s="0" t="n">
        <v>75</v>
      </c>
      <c r="B17" s="0" t="n">
        <v>8</v>
      </c>
      <c r="D17" s="0" t="s">
        <v>864</v>
      </c>
      <c r="F17" s="0" t="n">
        <v>25</v>
      </c>
    </row>
    <row r="18" customFormat="false" ht="12.5" hidden="false" customHeight="true" outlineLevel="0" collapsed="false">
      <c r="A18" s="0" t="n">
        <v>80</v>
      </c>
      <c r="B18" s="0" t="n">
        <v>9</v>
      </c>
      <c r="D18" s="0" t="s">
        <v>865</v>
      </c>
      <c r="F18" s="0" t="n">
        <v>26</v>
      </c>
    </row>
    <row r="19" customFormat="false" ht="12.5" hidden="false" customHeight="true" outlineLevel="0" collapsed="false">
      <c r="A19" s="0" t="n">
        <v>85</v>
      </c>
      <c r="B19" s="0" t="n">
        <v>10</v>
      </c>
    </row>
    <row r="20" customFormat="false" ht="12.5" hidden="false" customHeight="true" outlineLevel="0" collapsed="false">
      <c r="A20" s="0" t="n">
        <v>90</v>
      </c>
      <c r="B20" s="0" t="n">
        <v>10</v>
      </c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83"/>
  <sheetViews>
    <sheetView showFormulas="false" showGridLines="true" showRowColHeaders="true" showZeros="true" rightToLeft="false" tabSelected="false" showOutlineSymbols="true" defaultGridColor="true" view="normal" topLeftCell="A134" colorId="64" zoomScale="130" zoomScaleNormal="130" zoomScalePageLayoutView="100" workbookViewId="0">
      <selection pane="topLeft" activeCell="A1" activeCellId="0" sqref="A1"/>
    </sheetView>
  </sheetViews>
  <sheetFormatPr defaultColWidth="9.0546875" defaultRowHeight="12.5" customHeight="true" zeroHeight="false" outlineLevelRow="0" outlineLevelCol="0"/>
  <cols>
    <col collapsed="false" customWidth="true" hidden="false" outlineLevel="0" max="1" min="1" style="0" width="16.26"/>
    <col collapsed="false" customWidth="true" hidden="false" outlineLevel="0" max="2" min="2" style="0" width="23.99"/>
    <col collapsed="false" customWidth="true" hidden="false" outlineLevel="0" max="4" min="4" style="0" width="18.26"/>
  </cols>
  <sheetData>
    <row r="1" customFormat="false" ht="12.5" hidden="false" customHeight="true" outlineLevel="0" collapsed="false">
      <c r="A1" s="20" t="s">
        <v>866</v>
      </c>
      <c r="B1" s="20" t="s">
        <v>867</v>
      </c>
      <c r="C1" s="20" t="s">
        <v>868</v>
      </c>
    </row>
    <row r="2" customFormat="false" ht="13" hidden="false" customHeight="true" outlineLevel="0" collapsed="false">
      <c r="A2" s="21" t="s">
        <v>869</v>
      </c>
      <c r="B2" s="22" t="s">
        <v>870</v>
      </c>
      <c r="C2" s="22" t="s">
        <v>871</v>
      </c>
    </row>
    <row r="3" customFormat="false" ht="13" hidden="false" customHeight="true" outlineLevel="0" collapsed="false">
      <c r="A3" s="23" t="s">
        <v>872</v>
      </c>
      <c r="B3" s="22" t="s">
        <v>873</v>
      </c>
      <c r="C3" s="22" t="s">
        <v>874</v>
      </c>
    </row>
    <row r="4" customFormat="false" ht="13" hidden="false" customHeight="true" outlineLevel="0" collapsed="false">
      <c r="A4" s="21" t="s">
        <v>875</v>
      </c>
      <c r="B4" s="22" t="s">
        <v>876</v>
      </c>
      <c r="C4" s="0" t="s">
        <v>877</v>
      </c>
    </row>
    <row r="5" customFormat="false" ht="13" hidden="false" customHeight="true" outlineLevel="0" collapsed="false">
      <c r="A5" s="21" t="s">
        <v>878</v>
      </c>
      <c r="B5" s="22" t="s">
        <v>879</v>
      </c>
      <c r="C5" s="22" t="s">
        <v>880</v>
      </c>
    </row>
    <row r="6" customFormat="false" ht="12.5" hidden="false" customHeight="true" outlineLevel="0" collapsed="false">
      <c r="A6" s="24" t="s">
        <v>881</v>
      </c>
      <c r="B6" s="24" t="s">
        <v>882</v>
      </c>
      <c r="C6" s="24" t="s">
        <v>883</v>
      </c>
    </row>
    <row r="7" customFormat="false" ht="13" hidden="false" customHeight="true" outlineLevel="0" collapsed="false">
      <c r="A7" s="21" t="s">
        <v>884</v>
      </c>
      <c r="B7" s="22" t="s">
        <v>885</v>
      </c>
      <c r="C7" s="22" t="s">
        <v>886</v>
      </c>
    </row>
    <row r="8" customFormat="false" ht="13" hidden="false" customHeight="true" outlineLevel="0" collapsed="false">
      <c r="A8" s="21" t="s">
        <v>887</v>
      </c>
      <c r="B8" s="22" t="s">
        <v>888</v>
      </c>
      <c r="C8" s="22" t="s">
        <v>889</v>
      </c>
    </row>
    <row r="9" customFormat="false" ht="13" hidden="false" customHeight="true" outlineLevel="0" collapsed="false">
      <c r="A9" s="21" t="s">
        <v>890</v>
      </c>
      <c r="B9" s="22" t="s">
        <v>891</v>
      </c>
      <c r="C9" s="22" t="s">
        <v>892</v>
      </c>
    </row>
    <row r="10" customFormat="false" ht="13" hidden="false" customHeight="true" outlineLevel="0" collapsed="false">
      <c r="A10" s="25" t="s">
        <v>893</v>
      </c>
      <c r="B10" s="22" t="s">
        <v>894</v>
      </c>
      <c r="C10" s="22" t="s">
        <v>895</v>
      </c>
    </row>
    <row r="11" customFormat="false" ht="13" hidden="false" customHeight="true" outlineLevel="0" collapsed="false">
      <c r="A11" s="21" t="s">
        <v>896</v>
      </c>
      <c r="B11" s="22" t="s">
        <v>897</v>
      </c>
      <c r="C11" s="22" t="s">
        <v>898</v>
      </c>
    </row>
    <row r="12" customFormat="false" ht="13" hidden="false" customHeight="true" outlineLevel="0" collapsed="false">
      <c r="A12" s="21" t="s">
        <v>899</v>
      </c>
      <c r="B12" s="22" t="s">
        <v>900</v>
      </c>
      <c r="C12" s="22" t="s">
        <v>901</v>
      </c>
    </row>
    <row r="13" customFormat="false" ht="13" hidden="false" customHeight="true" outlineLevel="0" collapsed="false">
      <c r="A13" s="21" t="s">
        <v>902</v>
      </c>
      <c r="B13" s="22" t="s">
        <v>903</v>
      </c>
      <c r="C13" s="22" t="s">
        <v>904</v>
      </c>
    </row>
    <row r="14" customFormat="false" ht="13" hidden="false" customHeight="true" outlineLevel="0" collapsed="false">
      <c r="A14" s="21" t="s">
        <v>905</v>
      </c>
      <c r="B14" s="22" t="s">
        <v>906</v>
      </c>
      <c r="C14" s="22" t="s">
        <v>907</v>
      </c>
    </row>
    <row r="15" customFormat="false" ht="13" hidden="false" customHeight="true" outlineLevel="0" collapsed="false">
      <c r="A15" s="21" t="s">
        <v>908</v>
      </c>
      <c r="B15" s="22" t="s">
        <v>909</v>
      </c>
      <c r="C15" s="22" t="s">
        <v>910</v>
      </c>
    </row>
    <row r="16" customFormat="false" ht="13" hidden="false" customHeight="true" outlineLevel="0" collapsed="false">
      <c r="A16" s="21" t="s">
        <v>911</v>
      </c>
      <c r="B16" s="22" t="s">
        <v>912</v>
      </c>
      <c r="C16" s="22" t="s">
        <v>913</v>
      </c>
    </row>
    <row r="17" customFormat="false" ht="13" hidden="false" customHeight="true" outlineLevel="0" collapsed="false">
      <c r="A17" s="21" t="s">
        <v>914</v>
      </c>
      <c r="B17" s="22" t="s">
        <v>915</v>
      </c>
      <c r="C17" s="22" t="s">
        <v>916</v>
      </c>
    </row>
    <row r="18" customFormat="false" ht="13" hidden="false" customHeight="true" outlineLevel="0" collapsed="false">
      <c r="A18" s="21" t="s">
        <v>917</v>
      </c>
      <c r="B18" s="22" t="s">
        <v>918</v>
      </c>
      <c r="C18" s="22" t="s">
        <v>919</v>
      </c>
    </row>
    <row r="19" customFormat="false" ht="13" hidden="false" customHeight="true" outlineLevel="0" collapsed="false">
      <c r="A19" s="21" t="s">
        <v>920</v>
      </c>
      <c r="B19" s="22" t="s">
        <v>921</v>
      </c>
      <c r="C19" s="22" t="s">
        <v>922</v>
      </c>
    </row>
    <row r="20" customFormat="false" ht="13" hidden="false" customHeight="true" outlineLevel="0" collapsed="false">
      <c r="A20" s="21" t="s">
        <v>923</v>
      </c>
      <c r="B20" s="22" t="s">
        <v>924</v>
      </c>
      <c r="C20" s="26" t="s">
        <v>925</v>
      </c>
    </row>
    <row r="21" customFormat="false" ht="13" hidden="false" customHeight="true" outlineLevel="0" collapsed="false">
      <c r="A21" s="27" t="s">
        <v>926</v>
      </c>
      <c r="B21" s="28" t="s">
        <v>927</v>
      </c>
      <c r="C21" s="27" t="s">
        <v>928</v>
      </c>
    </row>
    <row r="22" customFormat="false" ht="13" hidden="false" customHeight="true" outlineLevel="0" collapsed="false">
      <c r="A22" s="27" t="s">
        <v>929</v>
      </c>
      <c r="B22" s="28" t="s">
        <v>930</v>
      </c>
      <c r="C22" s="28" t="s">
        <v>931</v>
      </c>
    </row>
    <row r="23" customFormat="false" ht="13" hidden="false" customHeight="true" outlineLevel="0" collapsed="false">
      <c r="A23" s="21" t="s">
        <v>932</v>
      </c>
      <c r="B23" s="22" t="s">
        <v>933</v>
      </c>
      <c r="C23" s="22" t="s">
        <v>934</v>
      </c>
    </row>
    <row r="24" customFormat="false" ht="13" hidden="false" customHeight="true" outlineLevel="0" collapsed="false">
      <c r="A24" s="21" t="s">
        <v>935</v>
      </c>
      <c r="B24" s="22" t="s">
        <v>936</v>
      </c>
      <c r="C24" s="22" t="s">
        <v>937</v>
      </c>
    </row>
    <row r="25" customFormat="false" ht="13" hidden="false" customHeight="true" outlineLevel="0" collapsed="false">
      <c r="A25" s="21" t="s">
        <v>938</v>
      </c>
      <c r="B25" s="22" t="s">
        <v>939</v>
      </c>
      <c r="C25" s="22" t="s">
        <v>940</v>
      </c>
    </row>
    <row r="26" customFormat="false" ht="13" hidden="false" customHeight="true" outlineLevel="0" collapsed="false">
      <c r="A26" s="27" t="s">
        <v>941</v>
      </c>
      <c r="B26" s="28" t="s">
        <v>942</v>
      </c>
      <c r="C26" s="27" t="s">
        <v>943</v>
      </c>
    </row>
    <row r="27" customFormat="false" ht="13" hidden="false" customHeight="true" outlineLevel="0" collapsed="false">
      <c r="A27" s="21" t="s">
        <v>944</v>
      </c>
      <c r="B27" s="22" t="s">
        <v>945</v>
      </c>
      <c r="C27" s="22" t="s">
        <v>946</v>
      </c>
    </row>
    <row r="28" customFormat="false" ht="13" hidden="false" customHeight="true" outlineLevel="0" collapsed="false">
      <c r="A28" s="21" t="s">
        <v>947</v>
      </c>
      <c r="B28" s="22" t="s">
        <v>948</v>
      </c>
      <c r="C28" s="22" t="s">
        <v>949</v>
      </c>
    </row>
    <row r="29" customFormat="false" ht="13" hidden="false" customHeight="true" outlineLevel="0" collapsed="false">
      <c r="A29" s="21" t="s">
        <v>950</v>
      </c>
      <c r="B29" s="22" t="s">
        <v>951</v>
      </c>
      <c r="C29" s="22" t="s">
        <v>952</v>
      </c>
    </row>
    <row r="30" customFormat="false" ht="13" hidden="false" customHeight="true" outlineLevel="0" collapsed="false">
      <c r="A30" s="21" t="s">
        <v>953</v>
      </c>
      <c r="B30" s="22" t="s">
        <v>954</v>
      </c>
      <c r="C30" s="22" t="s">
        <v>955</v>
      </c>
    </row>
    <row r="31" customFormat="false" ht="13" hidden="false" customHeight="true" outlineLevel="0" collapsed="false">
      <c r="A31" s="21" t="s">
        <v>956</v>
      </c>
      <c r="B31" s="22" t="s">
        <v>957</v>
      </c>
      <c r="C31" s="22" t="s">
        <v>958</v>
      </c>
    </row>
    <row r="32" customFormat="false" ht="13" hidden="false" customHeight="true" outlineLevel="0" collapsed="false">
      <c r="A32" s="21" t="s">
        <v>959</v>
      </c>
      <c r="B32" s="22" t="s">
        <v>960</v>
      </c>
      <c r="C32" s="22" t="s">
        <v>961</v>
      </c>
    </row>
    <row r="33" customFormat="false" ht="13" hidden="false" customHeight="true" outlineLevel="0" collapsed="false">
      <c r="A33" s="21" t="s">
        <v>962</v>
      </c>
      <c r="B33" s="22" t="s">
        <v>963</v>
      </c>
      <c r="C33" s="22" t="s">
        <v>964</v>
      </c>
    </row>
    <row r="34" customFormat="false" ht="13" hidden="false" customHeight="true" outlineLevel="0" collapsed="false">
      <c r="A34" s="21" t="s">
        <v>965</v>
      </c>
      <c r="B34" s="22" t="s">
        <v>966</v>
      </c>
      <c r="C34" s="22" t="s">
        <v>967</v>
      </c>
    </row>
    <row r="35" customFormat="false" ht="13" hidden="false" customHeight="true" outlineLevel="0" collapsed="false">
      <c r="A35" s="21" t="s">
        <v>968</v>
      </c>
      <c r="B35" s="22" t="s">
        <v>969</v>
      </c>
      <c r="C35" s="22" t="s">
        <v>970</v>
      </c>
    </row>
    <row r="36" customFormat="false" ht="13" hidden="false" customHeight="true" outlineLevel="0" collapsed="false">
      <c r="A36" s="21" t="s">
        <v>971</v>
      </c>
      <c r="B36" s="22" t="s">
        <v>972</v>
      </c>
      <c r="C36" s="22" t="s">
        <v>973</v>
      </c>
    </row>
    <row r="37" customFormat="false" ht="13" hidden="false" customHeight="true" outlineLevel="0" collapsed="false">
      <c r="A37" s="21" t="s">
        <v>974</v>
      </c>
      <c r="B37" s="22" t="s">
        <v>975</v>
      </c>
      <c r="C37" s="22" t="s">
        <v>976</v>
      </c>
    </row>
    <row r="38" customFormat="false" ht="13" hidden="false" customHeight="true" outlineLevel="0" collapsed="false">
      <c r="A38" s="21" t="s">
        <v>977</v>
      </c>
      <c r="B38" s="22" t="s">
        <v>978</v>
      </c>
      <c r="C38" s="22" t="s">
        <v>979</v>
      </c>
    </row>
    <row r="39" customFormat="false" ht="13" hidden="false" customHeight="true" outlineLevel="0" collapsed="false">
      <c r="A39" s="21" t="s">
        <v>980</v>
      </c>
      <c r="B39" s="22" t="s">
        <v>981</v>
      </c>
      <c r="C39" s="22" t="s">
        <v>982</v>
      </c>
    </row>
    <row r="40" customFormat="false" ht="13" hidden="false" customHeight="true" outlineLevel="0" collapsed="false">
      <c r="A40" s="21" t="s">
        <v>983</v>
      </c>
      <c r="B40" s="22" t="s">
        <v>984</v>
      </c>
      <c r="C40" s="22" t="s">
        <v>985</v>
      </c>
    </row>
    <row r="41" customFormat="false" ht="13" hidden="false" customHeight="true" outlineLevel="0" collapsed="false">
      <c r="A41" s="21" t="s">
        <v>986</v>
      </c>
      <c r="B41" s="22" t="s">
        <v>987</v>
      </c>
      <c r="C41" s="22" t="s">
        <v>988</v>
      </c>
    </row>
    <row r="42" customFormat="false" ht="13" hidden="false" customHeight="true" outlineLevel="0" collapsed="false">
      <c r="A42" s="21" t="s">
        <v>989</v>
      </c>
      <c r="B42" s="22" t="s">
        <v>990</v>
      </c>
      <c r="C42" s="22" t="s">
        <v>991</v>
      </c>
    </row>
    <row r="43" customFormat="false" ht="13" hidden="false" customHeight="true" outlineLevel="0" collapsed="false">
      <c r="A43" s="21" t="s">
        <v>992</v>
      </c>
      <c r="B43" s="22" t="s">
        <v>993</v>
      </c>
      <c r="C43" s="26" t="s">
        <v>994</v>
      </c>
    </row>
    <row r="44" customFormat="false" ht="13" hidden="false" customHeight="true" outlineLevel="0" collapsed="false">
      <c r="A44" s="21" t="s">
        <v>995</v>
      </c>
      <c r="B44" s="22" t="s">
        <v>996</v>
      </c>
      <c r="C44" s="26" t="s">
        <v>997</v>
      </c>
    </row>
    <row r="45" customFormat="false" ht="13" hidden="false" customHeight="true" outlineLevel="0" collapsed="false">
      <c r="A45" s="21" t="s">
        <v>998</v>
      </c>
      <c r="B45" s="22" t="s">
        <v>999</v>
      </c>
      <c r="C45" s="26" t="s">
        <v>1000</v>
      </c>
    </row>
    <row r="46" customFormat="false" ht="13" hidden="false" customHeight="true" outlineLevel="0" collapsed="false">
      <c r="A46" s="21" t="s">
        <v>1001</v>
      </c>
      <c r="B46" s="22" t="s">
        <v>1002</v>
      </c>
      <c r="C46" s="26" t="s">
        <v>1003</v>
      </c>
    </row>
    <row r="47" customFormat="false" ht="13" hidden="false" customHeight="true" outlineLevel="0" collapsed="false">
      <c r="A47" s="21" t="s">
        <v>1004</v>
      </c>
      <c r="B47" s="22" t="s">
        <v>1005</v>
      </c>
      <c r="C47" s="26" t="s">
        <v>1006</v>
      </c>
    </row>
    <row r="48" customFormat="false" ht="13" hidden="false" customHeight="true" outlineLevel="0" collapsed="false">
      <c r="A48" s="27" t="s">
        <v>1007</v>
      </c>
      <c r="B48" s="28" t="s">
        <v>1008</v>
      </c>
      <c r="C48" s="27" t="s">
        <v>1009</v>
      </c>
    </row>
    <row r="49" customFormat="false" ht="13" hidden="false" customHeight="true" outlineLevel="0" collapsed="false">
      <c r="A49" s="21" t="s">
        <v>1010</v>
      </c>
      <c r="B49" s="22" t="s">
        <v>1011</v>
      </c>
      <c r="C49" s="26" t="s">
        <v>1012</v>
      </c>
    </row>
    <row r="50" customFormat="false" ht="13" hidden="false" customHeight="true" outlineLevel="0" collapsed="false">
      <c r="A50" s="21" t="s">
        <v>1013</v>
      </c>
      <c r="B50" s="22" t="s">
        <v>1014</v>
      </c>
      <c r="C50" s="26" t="s">
        <v>1015</v>
      </c>
    </row>
    <row r="51" customFormat="false" ht="13" hidden="false" customHeight="true" outlineLevel="0" collapsed="false">
      <c r="A51" s="21" t="s">
        <v>1016</v>
      </c>
      <c r="B51" s="22" t="s">
        <v>1017</v>
      </c>
      <c r="C51" s="26" t="s">
        <v>1018</v>
      </c>
    </row>
    <row r="52" customFormat="false" ht="13" hidden="false" customHeight="true" outlineLevel="0" collapsed="false">
      <c r="A52" s="21" t="s">
        <v>1019</v>
      </c>
      <c r="B52" s="22" t="s">
        <v>1020</v>
      </c>
      <c r="C52" s="26" t="s">
        <v>1021</v>
      </c>
    </row>
    <row r="53" customFormat="false" ht="13" hidden="false" customHeight="true" outlineLevel="0" collapsed="false">
      <c r="A53" s="21" t="s">
        <v>1022</v>
      </c>
      <c r="B53" s="22" t="s">
        <v>1023</v>
      </c>
      <c r="C53" s="26" t="s">
        <v>1024</v>
      </c>
    </row>
    <row r="54" customFormat="false" ht="13" hidden="false" customHeight="true" outlineLevel="0" collapsed="false">
      <c r="A54" s="21" t="s">
        <v>1025</v>
      </c>
      <c r="B54" s="22" t="s">
        <v>1026</v>
      </c>
      <c r="C54" s="26" t="s">
        <v>1027</v>
      </c>
    </row>
    <row r="55" customFormat="false" ht="13" hidden="false" customHeight="true" outlineLevel="0" collapsed="false">
      <c r="A55" s="21" t="s">
        <v>1028</v>
      </c>
      <c r="B55" s="22" t="s">
        <v>1029</v>
      </c>
      <c r="C55" s="26" t="s">
        <v>1030</v>
      </c>
    </row>
    <row r="56" customFormat="false" ht="13" hidden="false" customHeight="true" outlineLevel="0" collapsed="false">
      <c r="A56" s="21" t="s">
        <v>1031</v>
      </c>
      <c r="B56" s="22" t="s">
        <v>1032</v>
      </c>
      <c r="C56" s="26" t="s">
        <v>1033</v>
      </c>
    </row>
    <row r="57" customFormat="false" ht="13" hidden="false" customHeight="true" outlineLevel="0" collapsed="false">
      <c r="A57" s="21" t="s">
        <v>1034</v>
      </c>
      <c r="B57" s="22" t="s">
        <v>1035</v>
      </c>
      <c r="C57" s="26" t="s">
        <v>1036</v>
      </c>
    </row>
    <row r="58" customFormat="false" ht="13" hidden="false" customHeight="true" outlineLevel="0" collapsed="false">
      <c r="A58" s="21" t="s">
        <v>1037</v>
      </c>
      <c r="B58" s="22" t="s">
        <v>1038</v>
      </c>
      <c r="C58" s="26" t="s">
        <v>1039</v>
      </c>
    </row>
    <row r="59" customFormat="false" ht="13" hidden="false" customHeight="true" outlineLevel="0" collapsed="false">
      <c r="A59" s="21" t="s">
        <v>1040</v>
      </c>
      <c r="B59" s="22" t="s">
        <v>1041</v>
      </c>
      <c r="C59" s="26" t="s">
        <v>1042</v>
      </c>
    </row>
    <row r="60" customFormat="false" ht="13" hidden="false" customHeight="true" outlineLevel="0" collapsed="false">
      <c r="A60" s="21" t="s">
        <v>1043</v>
      </c>
      <c r="B60" s="22" t="s">
        <v>1044</v>
      </c>
      <c r="C60" s="26" t="s">
        <v>1045</v>
      </c>
    </row>
    <row r="61" customFormat="false" ht="13" hidden="false" customHeight="true" outlineLevel="0" collapsed="false">
      <c r="A61" s="21" t="s">
        <v>1046</v>
      </c>
      <c r="B61" s="22" t="s">
        <v>1047</v>
      </c>
      <c r="C61" s="26" t="s">
        <v>1048</v>
      </c>
    </row>
    <row r="62" customFormat="false" ht="13" hidden="false" customHeight="true" outlineLevel="0" collapsed="false">
      <c r="A62" s="21" t="s">
        <v>1049</v>
      </c>
      <c r="B62" s="22" t="s">
        <v>1050</v>
      </c>
      <c r="C62" s="26" t="s">
        <v>1051</v>
      </c>
    </row>
    <row r="63" customFormat="false" ht="13" hidden="false" customHeight="true" outlineLevel="0" collapsed="false">
      <c r="A63" s="21" t="s">
        <v>1052</v>
      </c>
      <c r="B63" s="22" t="s">
        <v>1053</v>
      </c>
      <c r="C63" s="26" t="s">
        <v>1054</v>
      </c>
    </row>
    <row r="64" customFormat="false" ht="13" hidden="false" customHeight="true" outlineLevel="0" collapsed="false">
      <c r="A64" s="21" t="s">
        <v>1055</v>
      </c>
      <c r="B64" s="22" t="s">
        <v>1056</v>
      </c>
      <c r="C64" s="26" t="s">
        <v>1057</v>
      </c>
    </row>
    <row r="65" customFormat="false" ht="13" hidden="false" customHeight="true" outlineLevel="0" collapsed="false">
      <c r="A65" s="21" t="s">
        <v>1058</v>
      </c>
      <c r="B65" s="22" t="s">
        <v>1059</v>
      </c>
      <c r="C65" s="26" t="s">
        <v>1060</v>
      </c>
    </row>
    <row r="66" customFormat="false" ht="13" hidden="false" customHeight="true" outlineLevel="0" collapsed="false">
      <c r="A66" s="21" t="s">
        <v>1061</v>
      </c>
      <c r="B66" s="22" t="s">
        <v>1062</v>
      </c>
      <c r="C66" s="26" t="s">
        <v>1063</v>
      </c>
    </row>
    <row r="67" customFormat="false" ht="13" hidden="false" customHeight="true" outlineLevel="0" collapsed="false">
      <c r="A67" s="21" t="s">
        <v>1064</v>
      </c>
      <c r="B67" s="22" t="s">
        <v>1065</v>
      </c>
      <c r="C67" s="26" t="s">
        <v>1066</v>
      </c>
    </row>
    <row r="68" customFormat="false" ht="13" hidden="false" customHeight="true" outlineLevel="0" collapsed="false">
      <c r="A68" s="21" t="s">
        <v>1067</v>
      </c>
      <c r="B68" s="22" t="s">
        <v>1068</v>
      </c>
      <c r="C68" s="26" t="s">
        <v>1069</v>
      </c>
    </row>
    <row r="69" customFormat="false" ht="13" hidden="false" customHeight="true" outlineLevel="0" collapsed="false">
      <c r="A69" s="21" t="s">
        <v>1070</v>
      </c>
      <c r="B69" s="22" t="s">
        <v>1071</v>
      </c>
      <c r="C69" s="26" t="s">
        <v>1072</v>
      </c>
    </row>
    <row r="70" customFormat="false" ht="13" hidden="false" customHeight="true" outlineLevel="0" collapsed="false">
      <c r="A70" s="21" t="s">
        <v>1073</v>
      </c>
      <c r="B70" s="22" t="s">
        <v>1074</v>
      </c>
      <c r="C70" s="26" t="s">
        <v>1075</v>
      </c>
    </row>
    <row r="71" customFormat="false" ht="13" hidden="false" customHeight="true" outlineLevel="0" collapsed="false">
      <c r="A71" s="21" t="s">
        <v>1076</v>
      </c>
      <c r="B71" s="22" t="s">
        <v>1077</v>
      </c>
      <c r="C71" s="26" t="s">
        <v>1078</v>
      </c>
    </row>
    <row r="72" customFormat="false" ht="13" hidden="false" customHeight="true" outlineLevel="0" collapsed="false">
      <c r="A72" s="21" t="s">
        <v>1079</v>
      </c>
      <c r="B72" s="22" t="s">
        <v>1080</v>
      </c>
      <c r="C72" s="22" t="s">
        <v>1081</v>
      </c>
    </row>
    <row r="73" customFormat="false" ht="13" hidden="false" customHeight="true" outlineLevel="0" collapsed="false">
      <c r="A73" s="21" t="s">
        <v>1082</v>
      </c>
      <c r="B73" s="22" t="s">
        <v>1083</v>
      </c>
      <c r="C73" s="26" t="s">
        <v>1084</v>
      </c>
    </row>
    <row r="74" customFormat="false" ht="13" hidden="false" customHeight="true" outlineLevel="0" collapsed="false">
      <c r="A74" s="21" t="s">
        <v>1085</v>
      </c>
      <c r="B74" s="22" t="s">
        <v>1086</v>
      </c>
      <c r="C74" s="26" t="s">
        <v>1087</v>
      </c>
    </row>
    <row r="75" customFormat="false" ht="13" hidden="false" customHeight="true" outlineLevel="0" collapsed="false">
      <c r="A75" s="21" t="s">
        <v>1088</v>
      </c>
      <c r="B75" s="22" t="s">
        <v>1089</v>
      </c>
      <c r="C75" s="26" t="s">
        <v>1090</v>
      </c>
    </row>
    <row r="76" customFormat="false" ht="13" hidden="false" customHeight="true" outlineLevel="0" collapsed="false">
      <c r="A76" s="27" t="s">
        <v>1091</v>
      </c>
      <c r="B76" s="28" t="s">
        <v>1092</v>
      </c>
      <c r="C76" s="24" t="s">
        <v>1093</v>
      </c>
    </row>
    <row r="77" customFormat="false" ht="13" hidden="false" customHeight="true" outlineLevel="0" collapsed="false">
      <c r="A77" s="21" t="s">
        <v>1094</v>
      </c>
      <c r="B77" s="22" t="s">
        <v>1095</v>
      </c>
      <c r="C77" s="26" t="s">
        <v>1096</v>
      </c>
    </row>
    <row r="78" customFormat="false" ht="13" hidden="false" customHeight="true" outlineLevel="0" collapsed="false">
      <c r="A78" s="21" t="s">
        <v>1097</v>
      </c>
      <c r="B78" s="22" t="s">
        <v>1098</v>
      </c>
      <c r="C78" s="26" t="s">
        <v>1099</v>
      </c>
    </row>
    <row r="79" customFormat="false" ht="13" hidden="false" customHeight="true" outlineLevel="0" collapsed="false">
      <c r="A79" s="21" t="s">
        <v>1100</v>
      </c>
      <c r="B79" s="22" t="s">
        <v>1101</v>
      </c>
      <c r="C79" s="26" t="s">
        <v>1102</v>
      </c>
    </row>
    <row r="80" customFormat="false" ht="13" hidden="false" customHeight="true" outlineLevel="0" collapsed="false">
      <c r="A80" s="21" t="s">
        <v>1103</v>
      </c>
      <c r="B80" s="22" t="s">
        <v>1104</v>
      </c>
      <c r="C80" s="26" t="s">
        <v>1105</v>
      </c>
    </row>
    <row r="81" customFormat="false" ht="13" hidden="false" customHeight="true" outlineLevel="0" collapsed="false">
      <c r="A81" s="21" t="s">
        <v>1106</v>
      </c>
      <c r="B81" s="22" t="s">
        <v>1107</v>
      </c>
      <c r="C81" s="26" t="s">
        <v>1108</v>
      </c>
    </row>
    <row r="82" customFormat="false" ht="13" hidden="false" customHeight="true" outlineLevel="0" collapsed="false">
      <c r="A82" s="21" t="s">
        <v>1109</v>
      </c>
      <c r="B82" s="22" t="s">
        <v>1110</v>
      </c>
      <c r="C82" s="26" t="s">
        <v>1111</v>
      </c>
    </row>
    <row r="83" customFormat="false" ht="13" hidden="false" customHeight="true" outlineLevel="0" collapsed="false">
      <c r="A83" s="27" t="s">
        <v>1112</v>
      </c>
      <c r="B83" s="28" t="s">
        <v>1113</v>
      </c>
      <c r="C83" s="24" t="s">
        <v>1114</v>
      </c>
    </row>
    <row r="84" customFormat="false" ht="13" hidden="false" customHeight="true" outlineLevel="0" collapsed="false">
      <c r="A84" s="21" t="s">
        <v>1115</v>
      </c>
      <c r="B84" s="22" t="s">
        <v>1116</v>
      </c>
      <c r="C84" s="26" t="s">
        <v>1117</v>
      </c>
    </row>
    <row r="85" customFormat="false" ht="13" hidden="false" customHeight="true" outlineLevel="0" collapsed="false">
      <c r="A85" s="21" t="s">
        <v>1118</v>
      </c>
      <c r="B85" s="22" t="s">
        <v>1119</v>
      </c>
      <c r="C85" s="26" t="s">
        <v>1120</v>
      </c>
    </row>
    <row r="86" customFormat="false" ht="12.5" hidden="false" customHeight="true" outlineLevel="0" collapsed="false">
      <c r="A86" s="24" t="s">
        <v>1121</v>
      </c>
      <c r="B86" s="24" t="s">
        <v>1122</v>
      </c>
      <c r="C86" s="24" t="s">
        <v>1123</v>
      </c>
    </row>
    <row r="87" customFormat="false" ht="13" hidden="false" customHeight="true" outlineLevel="0" collapsed="false">
      <c r="A87" s="21" t="s">
        <v>1124</v>
      </c>
      <c r="B87" s="22" t="s">
        <v>1125</v>
      </c>
      <c r="C87" s="21" t="s">
        <v>1126</v>
      </c>
    </row>
    <row r="88" customFormat="false" ht="12.5" hidden="false" customHeight="true" outlineLevel="0" collapsed="false">
      <c r="A88" s="29" t="s">
        <v>1127</v>
      </c>
      <c r="B88" s="29" t="s">
        <v>1128</v>
      </c>
      <c r="C88" s="29" t="s">
        <v>1129</v>
      </c>
    </row>
    <row r="89" customFormat="false" ht="13" hidden="false" customHeight="true" outlineLevel="0" collapsed="false">
      <c r="A89" s="21" t="s">
        <v>1130</v>
      </c>
      <c r="B89" s="22" t="s">
        <v>1131</v>
      </c>
      <c r="C89" s="26" t="s">
        <v>1132</v>
      </c>
    </row>
    <row r="90" customFormat="false" ht="13" hidden="false" customHeight="true" outlineLevel="0" collapsed="false">
      <c r="A90" s="21" t="s">
        <v>1133</v>
      </c>
      <c r="B90" s="22" t="s">
        <v>1134</v>
      </c>
      <c r="C90" s="26" t="s">
        <v>1135</v>
      </c>
    </row>
    <row r="91" customFormat="false" ht="13" hidden="false" customHeight="true" outlineLevel="0" collapsed="false">
      <c r="A91" s="21" t="s">
        <v>1136</v>
      </c>
      <c r="B91" s="22" t="s">
        <v>1137</v>
      </c>
      <c r="C91" s="26" t="s">
        <v>1138</v>
      </c>
    </row>
    <row r="92" customFormat="false" ht="13" hidden="false" customHeight="true" outlineLevel="0" collapsed="false">
      <c r="A92" s="21" t="s">
        <v>1139</v>
      </c>
      <c r="B92" s="22" t="s">
        <v>1140</v>
      </c>
      <c r="C92" s="26" t="s">
        <v>1141</v>
      </c>
    </row>
    <row r="93" customFormat="false" ht="13" hidden="false" customHeight="true" outlineLevel="0" collapsed="false">
      <c r="A93" s="21" t="s">
        <v>1142</v>
      </c>
      <c r="B93" s="22" t="s">
        <v>1143</v>
      </c>
      <c r="C93" s="26" t="s">
        <v>1144</v>
      </c>
    </row>
    <row r="94" customFormat="false" ht="12.5" hidden="false" customHeight="true" outlineLevel="0" collapsed="false">
      <c r="A94" s="24" t="s">
        <v>1145</v>
      </c>
      <c r="B94" s="24" t="s">
        <v>1146</v>
      </c>
      <c r="C94" s="24" t="s">
        <v>1147</v>
      </c>
    </row>
    <row r="95" customFormat="false" ht="13" hidden="false" customHeight="true" outlineLevel="0" collapsed="false">
      <c r="A95" s="21" t="s">
        <v>1148</v>
      </c>
      <c r="B95" s="22" t="s">
        <v>1149</v>
      </c>
      <c r="C95" s="26" t="s">
        <v>1150</v>
      </c>
    </row>
    <row r="96" customFormat="false" ht="13" hidden="false" customHeight="true" outlineLevel="0" collapsed="false">
      <c r="A96" s="21" t="s">
        <v>1151</v>
      </c>
      <c r="B96" s="22" t="s">
        <v>1152</v>
      </c>
      <c r="C96" s="26" t="s">
        <v>1153</v>
      </c>
    </row>
    <row r="97" customFormat="false" ht="13" hidden="false" customHeight="true" outlineLevel="0" collapsed="false">
      <c r="A97" s="21" t="s">
        <v>1154</v>
      </c>
      <c r="B97" s="22" t="s">
        <v>1155</v>
      </c>
      <c r="C97" s="26" t="s">
        <v>1156</v>
      </c>
    </row>
    <row r="98" customFormat="false" ht="13" hidden="false" customHeight="true" outlineLevel="0" collapsed="false">
      <c r="A98" s="21" t="s">
        <v>1157</v>
      </c>
      <c r="B98" s="22" t="s">
        <v>1158</v>
      </c>
      <c r="C98" s="30" t="s">
        <v>1159</v>
      </c>
    </row>
    <row r="99" customFormat="false" ht="13" hidden="false" customHeight="true" outlineLevel="0" collapsed="false">
      <c r="A99" s="21" t="s">
        <v>1160</v>
      </c>
      <c r="B99" s="22" t="s">
        <v>1161</v>
      </c>
      <c r="C99" s="26" t="s">
        <v>1162</v>
      </c>
    </row>
    <row r="100" customFormat="false" ht="13" hidden="false" customHeight="true" outlineLevel="0" collapsed="false">
      <c r="A100" s="21" t="s">
        <v>1163</v>
      </c>
      <c r="B100" s="22" t="s">
        <v>1164</v>
      </c>
      <c r="C100" s="26" t="s">
        <v>1165</v>
      </c>
    </row>
    <row r="101" customFormat="false" ht="13" hidden="false" customHeight="true" outlineLevel="0" collapsed="false">
      <c r="A101" s="21" t="s">
        <v>1166</v>
      </c>
      <c r="B101" s="22" t="s">
        <v>1167</v>
      </c>
      <c r="C101" s="26" t="s">
        <v>1168</v>
      </c>
    </row>
    <row r="102" customFormat="false" ht="13" hidden="false" customHeight="true" outlineLevel="0" collapsed="false">
      <c r="A102" s="21" t="s">
        <v>1169</v>
      </c>
      <c r="B102" s="22" t="s">
        <v>1170</v>
      </c>
      <c r="C102" s="26" t="s">
        <v>1171</v>
      </c>
    </row>
    <row r="103" customFormat="false" ht="13" hidden="false" customHeight="true" outlineLevel="0" collapsed="false">
      <c r="A103" s="21" t="s">
        <v>1172</v>
      </c>
      <c r="B103" s="22" t="s">
        <v>1173</v>
      </c>
      <c r="C103" s="26" t="s">
        <v>1174</v>
      </c>
    </row>
    <row r="104" customFormat="false" ht="13" hidden="false" customHeight="true" outlineLevel="0" collapsed="false">
      <c r="A104" s="21" t="s">
        <v>1175</v>
      </c>
      <c r="B104" s="22" t="s">
        <v>1176</v>
      </c>
      <c r="C104" s="26" t="s">
        <v>1177</v>
      </c>
    </row>
    <row r="105" customFormat="false" ht="13" hidden="false" customHeight="true" outlineLevel="0" collapsed="false">
      <c r="A105" s="21" t="s">
        <v>1178</v>
      </c>
      <c r="B105" s="22" t="s">
        <v>1179</v>
      </c>
      <c r="C105" s="26" t="s">
        <v>1180</v>
      </c>
    </row>
    <row r="106" customFormat="false" ht="13" hidden="false" customHeight="true" outlineLevel="0" collapsed="false">
      <c r="A106" s="21" t="s">
        <v>1181</v>
      </c>
      <c r="B106" s="22" t="s">
        <v>1182</v>
      </c>
      <c r="C106" s="26" t="s">
        <v>1183</v>
      </c>
    </row>
    <row r="107" customFormat="false" ht="13" hidden="false" customHeight="true" outlineLevel="0" collapsed="false">
      <c r="A107" s="21" t="s">
        <v>1184</v>
      </c>
      <c r="B107" s="22" t="s">
        <v>1185</v>
      </c>
      <c r="C107" s="26" t="s">
        <v>1186</v>
      </c>
    </row>
    <row r="108" customFormat="false" ht="13" hidden="false" customHeight="true" outlineLevel="0" collapsed="false">
      <c r="A108" s="21" t="s">
        <v>1187</v>
      </c>
      <c r="B108" s="22" t="s">
        <v>1188</v>
      </c>
      <c r="C108" s="26" t="s">
        <v>1189</v>
      </c>
    </row>
    <row r="109" customFormat="false" ht="13" hidden="false" customHeight="true" outlineLevel="0" collapsed="false">
      <c r="A109" s="21" t="s">
        <v>1190</v>
      </c>
      <c r="B109" s="22" t="s">
        <v>1191</v>
      </c>
      <c r="C109" s="26" t="s">
        <v>1192</v>
      </c>
    </row>
    <row r="110" customFormat="false" ht="13" hidden="false" customHeight="true" outlineLevel="0" collapsed="false">
      <c r="A110" s="21" t="s">
        <v>1193</v>
      </c>
      <c r="B110" s="22" t="s">
        <v>1194</v>
      </c>
      <c r="C110" s="26" t="s">
        <v>1195</v>
      </c>
    </row>
    <row r="111" customFormat="false" ht="13" hidden="false" customHeight="true" outlineLevel="0" collapsed="false">
      <c r="A111" s="21" t="s">
        <v>1196</v>
      </c>
      <c r="B111" s="22" t="s">
        <v>1197</v>
      </c>
      <c r="C111" s="26" t="s">
        <v>1198</v>
      </c>
    </row>
    <row r="112" customFormat="false" ht="13" hidden="false" customHeight="true" outlineLevel="0" collapsed="false">
      <c r="A112" s="21" t="s">
        <v>1199</v>
      </c>
      <c r="B112" s="22" t="s">
        <v>1200</v>
      </c>
      <c r="C112" s="26" t="s">
        <v>1201</v>
      </c>
    </row>
    <row r="113" customFormat="false" ht="13" hidden="false" customHeight="true" outlineLevel="0" collapsed="false">
      <c r="A113" s="21" t="s">
        <v>1202</v>
      </c>
      <c r="B113" s="22" t="s">
        <v>1203</v>
      </c>
      <c r="C113" s="26" t="s">
        <v>1204</v>
      </c>
    </row>
    <row r="114" customFormat="false" ht="13" hidden="false" customHeight="true" outlineLevel="0" collapsed="false">
      <c r="A114" s="21" t="s">
        <v>1205</v>
      </c>
      <c r="B114" s="22" t="s">
        <v>1206</v>
      </c>
      <c r="C114" s="26" t="s">
        <v>1207</v>
      </c>
    </row>
    <row r="115" customFormat="false" ht="13" hidden="false" customHeight="true" outlineLevel="0" collapsed="false">
      <c r="A115" s="21" t="s">
        <v>1208</v>
      </c>
      <c r="B115" s="22" t="s">
        <v>1209</v>
      </c>
      <c r="C115" s="26" t="s">
        <v>1210</v>
      </c>
    </row>
    <row r="116" customFormat="false" ht="13" hidden="false" customHeight="true" outlineLevel="0" collapsed="false">
      <c r="A116" s="21" t="s">
        <v>1211</v>
      </c>
      <c r="B116" s="22" t="s">
        <v>1212</v>
      </c>
      <c r="C116" s="26" t="s">
        <v>1213</v>
      </c>
    </row>
    <row r="117" customFormat="false" ht="13" hidden="false" customHeight="true" outlineLevel="0" collapsed="false">
      <c r="A117" s="21" t="s">
        <v>1214</v>
      </c>
      <c r="B117" s="22" t="s">
        <v>1215</v>
      </c>
      <c r="C117" s="26" t="s">
        <v>1216</v>
      </c>
    </row>
    <row r="118" customFormat="false" ht="13" hidden="false" customHeight="true" outlineLevel="0" collapsed="false">
      <c r="A118" s="21" t="s">
        <v>1217</v>
      </c>
      <c r="B118" s="22" t="s">
        <v>1218</v>
      </c>
      <c r="C118" s="26" t="s">
        <v>1219</v>
      </c>
    </row>
    <row r="119" customFormat="false" ht="13" hidden="false" customHeight="true" outlineLevel="0" collapsed="false">
      <c r="A119" s="21" t="s">
        <v>1220</v>
      </c>
      <c r="B119" s="22" t="s">
        <v>1221</v>
      </c>
      <c r="C119" s="26" t="s">
        <v>1222</v>
      </c>
    </row>
    <row r="120" customFormat="false" ht="13" hidden="false" customHeight="true" outlineLevel="0" collapsed="false">
      <c r="A120" s="21" t="s">
        <v>1223</v>
      </c>
      <c r="B120" s="22" t="s">
        <v>1224</v>
      </c>
      <c r="C120" s="26" t="s">
        <v>1225</v>
      </c>
    </row>
    <row r="121" customFormat="false" ht="13" hidden="false" customHeight="true" outlineLevel="0" collapsed="false">
      <c r="A121" s="21" t="s">
        <v>1226</v>
      </c>
      <c r="B121" s="22" t="s">
        <v>1227</v>
      </c>
      <c r="C121" s="26" t="s">
        <v>1228</v>
      </c>
    </row>
    <row r="122" customFormat="false" ht="13" hidden="false" customHeight="true" outlineLevel="0" collapsed="false">
      <c r="A122" s="21" t="s">
        <v>1229</v>
      </c>
      <c r="B122" s="22" t="s">
        <v>1230</v>
      </c>
      <c r="C122" s="26" t="s">
        <v>1231</v>
      </c>
    </row>
    <row r="123" customFormat="false" ht="13" hidden="false" customHeight="true" outlineLevel="0" collapsed="false">
      <c r="A123" s="21" t="s">
        <v>1232</v>
      </c>
      <c r="B123" s="22" t="s">
        <v>1233</v>
      </c>
      <c r="C123" s="26" t="s">
        <v>1234</v>
      </c>
    </row>
    <row r="124" customFormat="false" ht="13" hidden="false" customHeight="true" outlineLevel="0" collapsed="false">
      <c r="A124" s="21" t="s">
        <v>1235</v>
      </c>
      <c r="B124" s="22" t="s">
        <v>1236</v>
      </c>
      <c r="C124" s="26" t="s">
        <v>1237</v>
      </c>
    </row>
    <row r="125" customFormat="false" ht="13" hidden="false" customHeight="true" outlineLevel="0" collapsed="false">
      <c r="A125" s="21" t="s">
        <v>1238</v>
      </c>
      <c r="B125" s="22" t="s">
        <v>1239</v>
      </c>
      <c r="C125" s="26" t="s">
        <v>1240</v>
      </c>
    </row>
    <row r="126" customFormat="false" ht="13" hidden="false" customHeight="true" outlineLevel="0" collapsed="false">
      <c r="A126" s="21" t="s">
        <v>1241</v>
      </c>
      <c r="B126" s="22" t="s">
        <v>1242</v>
      </c>
      <c r="C126" s="26" t="s">
        <v>1243</v>
      </c>
    </row>
    <row r="127" customFormat="false" ht="13" hidden="false" customHeight="true" outlineLevel="0" collapsed="false">
      <c r="A127" s="21" t="s">
        <v>1244</v>
      </c>
      <c r="B127" s="22" t="s">
        <v>1245</v>
      </c>
      <c r="C127" s="26" t="s">
        <v>1246</v>
      </c>
    </row>
    <row r="128" customFormat="false" ht="13" hidden="false" customHeight="true" outlineLevel="0" collapsed="false">
      <c r="A128" s="21" t="s">
        <v>1247</v>
      </c>
      <c r="B128" s="22" t="s">
        <v>1248</v>
      </c>
      <c r="C128" s="26" t="s">
        <v>1249</v>
      </c>
    </row>
    <row r="129" customFormat="false" ht="13" hidden="false" customHeight="true" outlineLevel="0" collapsed="false">
      <c r="A129" s="21" t="s">
        <v>1250</v>
      </c>
      <c r="B129" s="22" t="s">
        <v>1251</v>
      </c>
      <c r="C129" s="26" t="s">
        <v>1252</v>
      </c>
    </row>
    <row r="130" customFormat="false" ht="13" hidden="false" customHeight="true" outlineLevel="0" collapsed="false">
      <c r="A130" s="21" t="s">
        <v>1253</v>
      </c>
      <c r="B130" s="22" t="s">
        <v>1254</v>
      </c>
      <c r="C130" s="26" t="s">
        <v>1255</v>
      </c>
    </row>
    <row r="131" customFormat="false" ht="13" hidden="false" customHeight="true" outlineLevel="0" collapsed="false">
      <c r="A131" s="21" t="s">
        <v>1256</v>
      </c>
      <c r="B131" s="22" t="s">
        <v>1257</v>
      </c>
      <c r="C131" s="26" t="s">
        <v>1258</v>
      </c>
    </row>
    <row r="132" customFormat="false" ht="13" hidden="false" customHeight="true" outlineLevel="0" collapsed="false">
      <c r="A132" s="21" t="s">
        <v>1259</v>
      </c>
      <c r="B132" s="22" t="s">
        <v>1260</v>
      </c>
      <c r="C132" s="26" t="s">
        <v>1261</v>
      </c>
    </row>
    <row r="133" customFormat="false" ht="13" hidden="false" customHeight="true" outlineLevel="0" collapsed="false">
      <c r="A133" s="21" t="s">
        <v>1262</v>
      </c>
      <c r="B133" s="22" t="s">
        <v>1263</v>
      </c>
      <c r="C133" s="26" t="s">
        <v>1264</v>
      </c>
    </row>
    <row r="134" customFormat="false" ht="13" hidden="false" customHeight="true" outlineLevel="0" collapsed="false">
      <c r="A134" s="21" t="s">
        <v>1265</v>
      </c>
      <c r="B134" s="22" t="s">
        <v>1266</v>
      </c>
      <c r="C134" s="26" t="s">
        <v>1267</v>
      </c>
    </row>
    <row r="135" customFormat="false" ht="13" hidden="false" customHeight="true" outlineLevel="0" collapsed="false">
      <c r="A135" s="21" t="s">
        <v>1268</v>
      </c>
      <c r="B135" s="22" t="s">
        <v>1269</v>
      </c>
      <c r="C135" s="26" t="s">
        <v>1270</v>
      </c>
    </row>
    <row r="136" customFormat="false" ht="13" hidden="false" customHeight="true" outlineLevel="0" collapsed="false">
      <c r="A136" s="31" t="s">
        <v>1271</v>
      </c>
      <c r="B136" s="32" t="s">
        <v>1272</v>
      </c>
      <c r="C136" s="29" t="s">
        <v>1273</v>
      </c>
    </row>
    <row r="137" customFormat="false" ht="13" hidden="false" customHeight="true" outlineLevel="0" collapsed="false">
      <c r="A137" s="21" t="s">
        <v>1274</v>
      </c>
      <c r="B137" s="22" t="s">
        <v>1275</v>
      </c>
      <c r="C137" s="26" t="s">
        <v>1276</v>
      </c>
    </row>
    <row r="138" customFormat="false" ht="13" hidden="false" customHeight="true" outlineLevel="0" collapsed="false">
      <c r="A138" s="21" t="s">
        <v>1277</v>
      </c>
      <c r="B138" s="22" t="s">
        <v>1278</v>
      </c>
      <c r="C138" s="26" t="s">
        <v>1279</v>
      </c>
    </row>
    <row r="139" customFormat="false" ht="13" hidden="false" customHeight="true" outlineLevel="0" collapsed="false">
      <c r="A139" s="21" t="s">
        <v>1280</v>
      </c>
      <c r="B139" s="22" t="s">
        <v>1281</v>
      </c>
      <c r="C139" s="26" t="s">
        <v>1282</v>
      </c>
    </row>
    <row r="140" customFormat="false" ht="13" hidden="false" customHeight="true" outlineLevel="0" collapsed="false">
      <c r="A140" s="21" t="s">
        <v>1283</v>
      </c>
      <c r="B140" s="22" t="s">
        <v>1284</v>
      </c>
      <c r="C140" s="26" t="s">
        <v>1285</v>
      </c>
    </row>
    <row r="141" customFormat="false" ht="13" hidden="false" customHeight="true" outlineLevel="0" collapsed="false">
      <c r="A141" s="21" t="s">
        <v>1286</v>
      </c>
      <c r="B141" s="22" t="s">
        <v>1287</v>
      </c>
      <c r="C141" s="26" t="s">
        <v>1288</v>
      </c>
    </row>
    <row r="142" customFormat="false" ht="13" hidden="false" customHeight="true" outlineLevel="0" collapsed="false">
      <c r="A142" s="21" t="s">
        <v>1289</v>
      </c>
      <c r="B142" s="22" t="s">
        <v>1290</v>
      </c>
      <c r="C142" s="26" t="s">
        <v>1291</v>
      </c>
    </row>
    <row r="143" customFormat="false" ht="13" hidden="false" customHeight="true" outlineLevel="0" collapsed="false">
      <c r="A143" s="21" t="s">
        <v>1292</v>
      </c>
      <c r="B143" s="22" t="s">
        <v>1293</v>
      </c>
      <c r="C143" s="26" t="s">
        <v>1294</v>
      </c>
    </row>
    <row r="144" customFormat="false" ht="13" hidden="false" customHeight="true" outlineLevel="0" collapsed="false">
      <c r="A144" s="21" t="s">
        <v>1295</v>
      </c>
      <c r="B144" s="33" t="s">
        <v>1296</v>
      </c>
      <c r="C144" s="22" t="s">
        <v>1297</v>
      </c>
    </row>
    <row r="145" customFormat="false" ht="13" hidden="false" customHeight="true" outlineLevel="0" collapsed="false">
      <c r="A145" s="21" t="s">
        <v>1298</v>
      </c>
      <c r="B145" s="22" t="s">
        <v>1299</v>
      </c>
      <c r="C145" s="26" t="s">
        <v>1300</v>
      </c>
    </row>
    <row r="146" customFormat="false" ht="13" hidden="false" customHeight="true" outlineLevel="0" collapsed="false">
      <c r="A146" s="21" t="s">
        <v>1301</v>
      </c>
      <c r="B146" s="22" t="s">
        <v>1302</v>
      </c>
      <c r="C146" s="26" t="s">
        <v>1303</v>
      </c>
    </row>
    <row r="147" customFormat="false" ht="13" hidden="false" customHeight="true" outlineLevel="0" collapsed="false">
      <c r="A147" s="21" t="s">
        <v>1304</v>
      </c>
      <c r="B147" s="22" t="s">
        <v>1305</v>
      </c>
      <c r="C147" s="26" t="s">
        <v>1306</v>
      </c>
    </row>
    <row r="148" customFormat="false" ht="13" hidden="false" customHeight="true" outlineLevel="0" collapsed="false">
      <c r="A148" s="21" t="s">
        <v>1307</v>
      </c>
      <c r="B148" s="22" t="s">
        <v>1308</v>
      </c>
      <c r="C148" s="26" t="s">
        <v>1309</v>
      </c>
    </row>
    <row r="149" customFormat="false" ht="13" hidden="false" customHeight="true" outlineLevel="0" collapsed="false">
      <c r="A149" s="21" t="s">
        <v>1310</v>
      </c>
      <c r="B149" s="22" t="s">
        <v>1311</v>
      </c>
      <c r="C149" s="26" t="s">
        <v>1312</v>
      </c>
    </row>
    <row r="150" customFormat="false" ht="13" hidden="false" customHeight="true" outlineLevel="0" collapsed="false">
      <c r="A150" s="21" t="s">
        <v>1313</v>
      </c>
      <c r="B150" s="22" t="s">
        <v>1314</v>
      </c>
      <c r="C150" s="26" t="s">
        <v>1315</v>
      </c>
    </row>
    <row r="151" customFormat="false" ht="13" hidden="false" customHeight="true" outlineLevel="0" collapsed="false">
      <c r="A151" s="21" t="s">
        <v>1316</v>
      </c>
      <c r="B151" s="22" t="s">
        <v>1317</v>
      </c>
      <c r="C151" s="26" t="s">
        <v>1318</v>
      </c>
    </row>
    <row r="152" customFormat="false" ht="13" hidden="false" customHeight="true" outlineLevel="0" collapsed="false">
      <c r="A152" s="21" t="s">
        <v>1319</v>
      </c>
      <c r="B152" s="22" t="s">
        <v>1320</v>
      </c>
      <c r="C152" s="26" t="s">
        <v>1321</v>
      </c>
    </row>
    <row r="153" customFormat="false" ht="13" hidden="false" customHeight="true" outlineLevel="0" collapsed="false">
      <c r="A153" s="21" t="s">
        <v>1322</v>
      </c>
      <c r="B153" s="22" t="s">
        <v>1323</v>
      </c>
      <c r="C153" s="26" t="s">
        <v>1324</v>
      </c>
    </row>
    <row r="154" customFormat="false" ht="13" hidden="false" customHeight="true" outlineLevel="0" collapsed="false">
      <c r="A154" s="21" t="s">
        <v>1325</v>
      </c>
      <c r="B154" s="22" t="s">
        <v>1326</v>
      </c>
      <c r="C154" s="26" t="s">
        <v>1327</v>
      </c>
    </row>
    <row r="155" customFormat="false" ht="13" hidden="false" customHeight="true" outlineLevel="0" collapsed="false">
      <c r="A155" s="31" t="s">
        <v>1328</v>
      </c>
      <c r="B155" s="32" t="s">
        <v>1329</v>
      </c>
      <c r="C155" s="31" t="s">
        <v>1330</v>
      </c>
    </row>
    <row r="156" customFormat="false" ht="13" hidden="false" customHeight="true" outlineLevel="0" collapsed="false">
      <c r="A156" s="21" t="s">
        <v>1331</v>
      </c>
      <c r="B156" s="22" t="s">
        <v>1332</v>
      </c>
      <c r="C156" s="26" t="s">
        <v>1333</v>
      </c>
    </row>
    <row r="157" customFormat="false" ht="13" hidden="false" customHeight="true" outlineLevel="0" collapsed="false">
      <c r="A157" s="21" t="s">
        <v>1334</v>
      </c>
      <c r="B157" s="22" t="s">
        <v>1335</v>
      </c>
      <c r="C157" s="26" t="s">
        <v>1336</v>
      </c>
    </row>
    <row r="158" customFormat="false" ht="13" hidden="false" customHeight="true" outlineLevel="0" collapsed="false">
      <c r="A158" s="21" t="s">
        <v>1337</v>
      </c>
      <c r="B158" s="22" t="s">
        <v>1338</v>
      </c>
      <c r="C158" s="26" t="s">
        <v>1339</v>
      </c>
    </row>
    <row r="159" customFormat="false" ht="13" hidden="false" customHeight="true" outlineLevel="0" collapsed="false">
      <c r="A159" s="21" t="s">
        <v>1340</v>
      </c>
      <c r="B159" s="22" t="s">
        <v>1341</v>
      </c>
      <c r="C159" s="26" t="s">
        <v>1342</v>
      </c>
    </row>
    <row r="160" customFormat="false" ht="13" hidden="false" customHeight="true" outlineLevel="0" collapsed="false">
      <c r="A160" s="21" t="s">
        <v>1343</v>
      </c>
      <c r="B160" s="22" t="s">
        <v>1344</v>
      </c>
      <c r="C160" s="26" t="s">
        <v>1345</v>
      </c>
    </row>
    <row r="161" customFormat="false" ht="13" hidden="false" customHeight="true" outlineLevel="0" collapsed="false">
      <c r="A161" s="21" t="s">
        <v>1346</v>
      </c>
      <c r="B161" s="22" t="s">
        <v>1347</v>
      </c>
      <c r="C161" s="26" t="s">
        <v>1348</v>
      </c>
    </row>
    <row r="162" customFormat="false" ht="13" hidden="false" customHeight="true" outlineLevel="0" collapsed="false">
      <c r="A162" s="21" t="s">
        <v>1349</v>
      </c>
      <c r="B162" s="22" t="s">
        <v>1350</v>
      </c>
      <c r="C162" s="26" t="s">
        <v>1351</v>
      </c>
    </row>
    <row r="163" customFormat="false" ht="13" hidden="false" customHeight="true" outlineLevel="0" collapsed="false">
      <c r="A163" s="21" t="s">
        <v>1352</v>
      </c>
      <c r="B163" s="22" t="s">
        <v>1353</v>
      </c>
      <c r="C163" s="26" t="s">
        <v>1354</v>
      </c>
    </row>
    <row r="164" customFormat="false" ht="13" hidden="false" customHeight="true" outlineLevel="0" collapsed="false">
      <c r="A164" s="21" t="s">
        <v>1355</v>
      </c>
      <c r="B164" s="22" t="s">
        <v>1356</v>
      </c>
      <c r="C164" s="26" t="s">
        <v>1357</v>
      </c>
    </row>
    <row r="165" customFormat="false" ht="13" hidden="false" customHeight="true" outlineLevel="0" collapsed="false">
      <c r="A165" s="21" t="s">
        <v>1358</v>
      </c>
      <c r="B165" s="22" t="s">
        <v>1359</v>
      </c>
      <c r="C165" s="26" t="s">
        <v>1360</v>
      </c>
    </row>
    <row r="166" customFormat="false" ht="13" hidden="false" customHeight="true" outlineLevel="0" collapsed="false">
      <c r="A166" s="21" t="s">
        <v>1361</v>
      </c>
      <c r="B166" s="22" t="s">
        <v>1362</v>
      </c>
      <c r="C166" s="26" t="s">
        <v>1363</v>
      </c>
    </row>
    <row r="167" customFormat="false" ht="13" hidden="false" customHeight="true" outlineLevel="0" collapsed="false">
      <c r="A167" s="21" t="s">
        <v>1364</v>
      </c>
      <c r="B167" s="22" t="s">
        <v>1365</v>
      </c>
      <c r="C167" s="26" t="s">
        <v>1366</v>
      </c>
    </row>
    <row r="168" customFormat="false" ht="13" hidden="false" customHeight="true" outlineLevel="0" collapsed="false">
      <c r="A168" s="21" t="s">
        <v>1367</v>
      </c>
      <c r="B168" s="22" t="s">
        <v>1368</v>
      </c>
      <c r="C168" s="26" t="s">
        <v>1369</v>
      </c>
    </row>
    <row r="169" customFormat="false" ht="13" hidden="false" customHeight="true" outlineLevel="0" collapsed="false">
      <c r="A169" s="21" t="s">
        <v>1370</v>
      </c>
      <c r="B169" s="22" t="s">
        <v>1371</v>
      </c>
      <c r="C169" s="26" t="s">
        <v>1372</v>
      </c>
    </row>
    <row r="170" customFormat="false" ht="13" hidden="false" customHeight="true" outlineLevel="0" collapsed="false">
      <c r="A170" s="31" t="s">
        <v>1373</v>
      </c>
      <c r="B170" s="32" t="s">
        <v>1374</v>
      </c>
      <c r="C170" s="29" t="s">
        <v>1375</v>
      </c>
    </row>
    <row r="171" customFormat="false" ht="13" hidden="false" customHeight="true" outlineLevel="0" collapsed="false">
      <c r="A171" s="21" t="s">
        <v>1376</v>
      </c>
      <c r="B171" s="22" t="s">
        <v>1377</v>
      </c>
      <c r="C171" s="26" t="s">
        <v>1378</v>
      </c>
    </row>
    <row r="172" customFormat="false" ht="13" hidden="false" customHeight="true" outlineLevel="0" collapsed="false">
      <c r="A172" s="21" t="s">
        <v>1379</v>
      </c>
      <c r="B172" s="22" t="s">
        <v>1380</v>
      </c>
      <c r="C172" s="26" t="s">
        <v>1381</v>
      </c>
    </row>
    <row r="173" customFormat="false" ht="13" hidden="false" customHeight="true" outlineLevel="0" collapsed="false">
      <c r="A173" s="21" t="s">
        <v>1382</v>
      </c>
      <c r="B173" s="22" t="s">
        <v>1383</v>
      </c>
      <c r="C173" s="26" t="s">
        <v>1384</v>
      </c>
    </row>
    <row r="174" customFormat="false" ht="13" hidden="false" customHeight="true" outlineLevel="0" collapsed="false">
      <c r="A174" s="21" t="s">
        <v>1385</v>
      </c>
      <c r="B174" s="22" t="s">
        <v>1386</v>
      </c>
      <c r="C174" s="26" t="s">
        <v>1387</v>
      </c>
    </row>
    <row r="175" customFormat="false" ht="13" hidden="false" customHeight="true" outlineLevel="0" collapsed="false">
      <c r="A175" s="21" t="s">
        <v>1388</v>
      </c>
      <c r="B175" s="22" t="s">
        <v>1389</v>
      </c>
      <c r="C175" s="26" t="s">
        <v>1390</v>
      </c>
    </row>
    <row r="176" customFormat="false" ht="13" hidden="false" customHeight="true" outlineLevel="0" collapsed="false">
      <c r="A176" s="21" t="s">
        <v>1391</v>
      </c>
      <c r="B176" s="22" t="s">
        <v>1392</v>
      </c>
      <c r="C176" s="26" t="s">
        <v>1393</v>
      </c>
    </row>
    <row r="177" customFormat="false" ht="13" hidden="false" customHeight="true" outlineLevel="0" collapsed="false">
      <c r="A177" s="21" t="s">
        <v>1394</v>
      </c>
      <c r="B177" s="22" t="s">
        <v>1395</v>
      </c>
      <c r="C177" s="26" t="s">
        <v>1396</v>
      </c>
    </row>
    <row r="178" customFormat="false" ht="13" hidden="false" customHeight="true" outlineLevel="0" collapsed="false">
      <c r="A178" s="21" t="s">
        <v>1397</v>
      </c>
      <c r="B178" s="22" t="s">
        <v>1398</v>
      </c>
      <c r="C178" s="26" t="s">
        <v>1399</v>
      </c>
    </row>
    <row r="179" customFormat="false" ht="13" hidden="false" customHeight="true" outlineLevel="0" collapsed="false">
      <c r="A179" s="21" t="s">
        <v>1400</v>
      </c>
      <c r="B179" s="22" t="s">
        <v>1401</v>
      </c>
      <c r="C179" s="26" t="s">
        <v>1402</v>
      </c>
    </row>
    <row r="180" customFormat="false" ht="13" hidden="false" customHeight="true" outlineLevel="0" collapsed="false">
      <c r="A180" s="21" t="s">
        <v>1403</v>
      </c>
      <c r="B180" s="22" t="s">
        <v>1404</v>
      </c>
      <c r="C180" s="26" t="s">
        <v>1405</v>
      </c>
    </row>
    <row r="181" customFormat="false" ht="13" hidden="false" customHeight="true" outlineLevel="0" collapsed="false">
      <c r="A181" s="21" t="s">
        <v>1406</v>
      </c>
      <c r="B181" s="22" t="s">
        <v>1407</v>
      </c>
      <c r="C181" s="26" t="s">
        <v>1408</v>
      </c>
    </row>
    <row r="182" customFormat="false" ht="13" hidden="false" customHeight="true" outlineLevel="0" collapsed="false">
      <c r="A182" s="21" t="s">
        <v>1409</v>
      </c>
      <c r="B182" s="22" t="s">
        <v>1410</v>
      </c>
      <c r="C182" s="26" t="s">
        <v>1411</v>
      </c>
    </row>
    <row r="183" customFormat="false" ht="13" hidden="false" customHeight="true" outlineLevel="0" collapsed="false">
      <c r="A183" s="21" t="s">
        <v>1412</v>
      </c>
      <c r="B183" s="22" t="s">
        <v>1413</v>
      </c>
      <c r="C183" s="26" t="s">
        <v>1414</v>
      </c>
    </row>
    <row r="184" customFormat="false" ht="13" hidden="false" customHeight="true" outlineLevel="0" collapsed="false">
      <c r="A184" s="21" t="s">
        <v>1415</v>
      </c>
      <c r="B184" s="22" t="s">
        <v>1416</v>
      </c>
      <c r="C184" s="26" t="s">
        <v>1417</v>
      </c>
    </row>
    <row r="185" customFormat="false" ht="13" hidden="false" customHeight="true" outlineLevel="0" collapsed="false">
      <c r="A185" s="21" t="s">
        <v>1418</v>
      </c>
      <c r="B185" s="22" t="s">
        <v>1419</v>
      </c>
      <c r="C185" s="26" t="s">
        <v>1420</v>
      </c>
    </row>
    <row r="186" customFormat="false" ht="13" hidden="false" customHeight="true" outlineLevel="0" collapsed="false">
      <c r="A186" s="21" t="s">
        <v>1421</v>
      </c>
      <c r="B186" s="22" t="s">
        <v>1422</v>
      </c>
      <c r="C186" s="26" t="s">
        <v>1423</v>
      </c>
    </row>
    <row r="187" customFormat="false" ht="13" hidden="false" customHeight="true" outlineLevel="0" collapsed="false">
      <c r="A187" s="21" t="s">
        <v>1424</v>
      </c>
      <c r="B187" s="22" t="s">
        <v>1425</v>
      </c>
      <c r="C187" s="26" t="s">
        <v>1426</v>
      </c>
    </row>
    <row r="188" customFormat="false" ht="13" hidden="false" customHeight="true" outlineLevel="0" collapsed="false">
      <c r="A188" s="21" t="s">
        <v>1427</v>
      </c>
      <c r="B188" s="22" t="s">
        <v>1428</v>
      </c>
      <c r="C188" s="26" t="s">
        <v>1429</v>
      </c>
    </row>
    <row r="189" customFormat="false" ht="13" hidden="false" customHeight="true" outlineLevel="0" collapsed="false">
      <c r="A189" s="21" t="s">
        <v>1430</v>
      </c>
      <c r="B189" s="22" t="s">
        <v>1431</v>
      </c>
      <c r="C189" s="26" t="s">
        <v>1432</v>
      </c>
    </row>
    <row r="190" customFormat="false" ht="13" hidden="false" customHeight="true" outlineLevel="0" collapsed="false">
      <c r="A190" s="21" t="s">
        <v>1433</v>
      </c>
      <c r="B190" s="22" t="s">
        <v>1434</v>
      </c>
      <c r="C190" s="26" t="s">
        <v>1435</v>
      </c>
    </row>
    <row r="191" customFormat="false" ht="13" hidden="false" customHeight="true" outlineLevel="0" collapsed="false">
      <c r="A191" s="21" t="s">
        <v>1436</v>
      </c>
      <c r="B191" s="22" t="s">
        <v>1437</v>
      </c>
      <c r="C191" s="26" t="s">
        <v>1438</v>
      </c>
    </row>
    <row r="192" customFormat="false" ht="13" hidden="false" customHeight="true" outlineLevel="0" collapsed="false">
      <c r="A192" s="21" t="s">
        <v>1439</v>
      </c>
      <c r="B192" s="22" t="s">
        <v>1440</v>
      </c>
      <c r="C192" s="26" t="s">
        <v>1441</v>
      </c>
    </row>
    <row r="193" customFormat="false" ht="13" hidden="false" customHeight="true" outlineLevel="0" collapsed="false">
      <c r="A193" s="21" t="s">
        <v>1442</v>
      </c>
      <c r="B193" s="22" t="s">
        <v>1443</v>
      </c>
      <c r="C193" s="26" t="s">
        <v>1444</v>
      </c>
    </row>
    <row r="194" customFormat="false" ht="13" hidden="false" customHeight="true" outlineLevel="0" collapsed="false">
      <c r="A194" s="21" t="s">
        <v>1445</v>
      </c>
      <c r="B194" s="22" t="s">
        <v>1446</v>
      </c>
      <c r="C194" s="26" t="s">
        <v>1447</v>
      </c>
    </row>
    <row r="195" customFormat="false" ht="13" hidden="false" customHeight="true" outlineLevel="0" collapsed="false">
      <c r="A195" s="21" t="s">
        <v>1448</v>
      </c>
      <c r="B195" s="22" t="s">
        <v>1449</v>
      </c>
      <c r="C195" s="21" t="s">
        <v>1450</v>
      </c>
    </row>
    <row r="196" customFormat="false" ht="13" hidden="false" customHeight="true" outlineLevel="0" collapsed="false">
      <c r="A196" s="21" t="s">
        <v>1451</v>
      </c>
      <c r="B196" s="22" t="s">
        <v>1452</v>
      </c>
      <c r="C196" s="26" t="s">
        <v>1453</v>
      </c>
    </row>
    <row r="197" customFormat="false" ht="13" hidden="false" customHeight="true" outlineLevel="0" collapsed="false">
      <c r="A197" s="21" t="s">
        <v>1454</v>
      </c>
      <c r="B197" s="22" t="s">
        <v>1455</v>
      </c>
      <c r="C197" s="26" t="s">
        <v>1456</v>
      </c>
    </row>
    <row r="198" customFormat="false" ht="13" hidden="false" customHeight="true" outlineLevel="0" collapsed="false">
      <c r="A198" s="21" t="s">
        <v>1457</v>
      </c>
      <c r="B198" s="22" t="s">
        <v>1458</v>
      </c>
      <c r="C198" s="26" t="s">
        <v>1459</v>
      </c>
    </row>
    <row r="199" customFormat="false" ht="13" hidden="false" customHeight="true" outlineLevel="0" collapsed="false">
      <c r="A199" s="21" t="s">
        <v>1460</v>
      </c>
      <c r="B199" s="22" t="s">
        <v>1461</v>
      </c>
      <c r="C199" s="26" t="s">
        <v>1462</v>
      </c>
    </row>
    <row r="200" customFormat="false" ht="13" hidden="false" customHeight="true" outlineLevel="0" collapsed="false">
      <c r="A200" s="21" t="s">
        <v>1463</v>
      </c>
      <c r="B200" s="22" t="s">
        <v>1464</v>
      </c>
      <c r="C200" s="26" t="s">
        <v>1465</v>
      </c>
    </row>
    <row r="201" customFormat="false" ht="13" hidden="false" customHeight="true" outlineLevel="0" collapsed="false">
      <c r="A201" s="21" t="s">
        <v>1466</v>
      </c>
      <c r="B201" s="22" t="s">
        <v>1467</v>
      </c>
      <c r="C201" s="26" t="s">
        <v>1468</v>
      </c>
    </row>
    <row r="202" customFormat="false" ht="13" hidden="false" customHeight="true" outlineLevel="0" collapsed="false">
      <c r="A202" s="21" t="s">
        <v>1469</v>
      </c>
      <c r="B202" s="22" t="s">
        <v>1470</v>
      </c>
      <c r="C202" s="26" t="s">
        <v>1471</v>
      </c>
    </row>
    <row r="203" customFormat="false" ht="13" hidden="false" customHeight="true" outlineLevel="0" collapsed="false">
      <c r="A203" s="21" t="s">
        <v>1472</v>
      </c>
      <c r="B203" s="22" t="s">
        <v>1473</v>
      </c>
      <c r="C203" s="26" t="s">
        <v>1474</v>
      </c>
    </row>
    <row r="204" customFormat="false" ht="13" hidden="false" customHeight="true" outlineLevel="0" collapsed="false">
      <c r="A204" s="21" t="s">
        <v>1475</v>
      </c>
      <c r="B204" s="22" t="s">
        <v>1476</v>
      </c>
      <c r="C204" s="26" t="s">
        <v>1477</v>
      </c>
    </row>
    <row r="205" customFormat="false" ht="13" hidden="false" customHeight="true" outlineLevel="0" collapsed="false">
      <c r="A205" s="21" t="s">
        <v>1478</v>
      </c>
      <c r="B205" s="22" t="s">
        <v>1479</v>
      </c>
      <c r="C205" s="26" t="s">
        <v>1480</v>
      </c>
    </row>
    <row r="206" customFormat="false" ht="13" hidden="false" customHeight="true" outlineLevel="0" collapsed="false">
      <c r="A206" s="21" t="s">
        <v>1481</v>
      </c>
      <c r="B206" s="22" t="s">
        <v>1482</v>
      </c>
      <c r="C206" s="26" t="s">
        <v>1483</v>
      </c>
    </row>
    <row r="207" customFormat="false" ht="13" hidden="false" customHeight="true" outlineLevel="0" collapsed="false">
      <c r="A207" s="21" t="s">
        <v>1484</v>
      </c>
      <c r="B207" s="22" t="s">
        <v>1485</v>
      </c>
      <c r="C207" s="26" t="s">
        <v>1486</v>
      </c>
    </row>
    <row r="208" customFormat="false" ht="13" hidden="false" customHeight="true" outlineLevel="0" collapsed="false">
      <c r="A208" s="21" t="s">
        <v>1487</v>
      </c>
      <c r="B208" s="22" t="s">
        <v>1488</v>
      </c>
      <c r="C208" s="26" t="s">
        <v>1489</v>
      </c>
    </row>
    <row r="209" customFormat="false" ht="13" hidden="false" customHeight="true" outlineLevel="0" collapsed="false">
      <c r="A209" s="21" t="s">
        <v>1490</v>
      </c>
      <c r="B209" s="22" t="s">
        <v>1491</v>
      </c>
      <c r="C209" s="26" t="s">
        <v>1492</v>
      </c>
    </row>
    <row r="210" customFormat="false" ht="13" hidden="false" customHeight="true" outlineLevel="0" collapsed="false">
      <c r="A210" s="21" t="s">
        <v>1493</v>
      </c>
      <c r="B210" s="22" t="s">
        <v>1494</v>
      </c>
      <c r="C210" s="26" t="s">
        <v>1495</v>
      </c>
    </row>
    <row r="211" customFormat="false" ht="13" hidden="false" customHeight="true" outlineLevel="0" collapsed="false">
      <c r="A211" s="21" t="s">
        <v>1496</v>
      </c>
      <c r="B211" s="22" t="s">
        <v>1497</v>
      </c>
      <c r="C211" s="26" t="s">
        <v>1498</v>
      </c>
    </row>
    <row r="212" customFormat="false" ht="13" hidden="false" customHeight="true" outlineLevel="0" collapsed="false">
      <c r="A212" s="21" t="s">
        <v>1499</v>
      </c>
      <c r="B212" s="22" t="s">
        <v>1500</v>
      </c>
      <c r="C212" s="26" t="s">
        <v>1501</v>
      </c>
    </row>
    <row r="213" customFormat="false" ht="13" hidden="false" customHeight="true" outlineLevel="0" collapsed="false">
      <c r="A213" s="21" t="s">
        <v>1502</v>
      </c>
      <c r="B213" s="22" t="s">
        <v>1503</v>
      </c>
      <c r="C213" s="26" t="s">
        <v>1504</v>
      </c>
    </row>
    <row r="214" customFormat="false" ht="13" hidden="false" customHeight="true" outlineLevel="0" collapsed="false">
      <c r="A214" s="21" t="s">
        <v>1505</v>
      </c>
      <c r="B214" s="22" t="s">
        <v>1506</v>
      </c>
      <c r="C214" s="26" t="s">
        <v>1507</v>
      </c>
    </row>
    <row r="215" customFormat="false" ht="13" hidden="false" customHeight="true" outlineLevel="0" collapsed="false">
      <c r="A215" s="21" t="s">
        <v>1508</v>
      </c>
      <c r="B215" s="22" t="s">
        <v>1509</v>
      </c>
      <c r="C215" s="26" t="s">
        <v>1510</v>
      </c>
    </row>
    <row r="216" customFormat="false" ht="13" hidden="false" customHeight="true" outlineLevel="0" collapsed="false">
      <c r="A216" s="21" t="s">
        <v>1511</v>
      </c>
      <c r="B216" s="22" t="s">
        <v>1512</v>
      </c>
      <c r="C216" s="26" t="s">
        <v>1513</v>
      </c>
    </row>
    <row r="217" customFormat="false" ht="13" hidden="false" customHeight="true" outlineLevel="0" collapsed="false">
      <c r="A217" s="21" t="s">
        <v>1514</v>
      </c>
      <c r="B217" s="22" t="s">
        <v>1515</v>
      </c>
      <c r="C217" s="26" t="s">
        <v>1516</v>
      </c>
    </row>
    <row r="218" customFormat="false" ht="13" hidden="false" customHeight="true" outlineLevel="0" collapsed="false">
      <c r="A218" s="21" t="s">
        <v>1517</v>
      </c>
      <c r="B218" s="22" t="s">
        <v>1518</v>
      </c>
      <c r="C218" s="26" t="s">
        <v>1519</v>
      </c>
    </row>
    <row r="219" customFormat="false" ht="13" hidden="false" customHeight="true" outlineLevel="0" collapsed="false">
      <c r="A219" s="21" t="s">
        <v>1520</v>
      </c>
      <c r="B219" s="22" t="s">
        <v>1521</v>
      </c>
      <c r="C219" s="26" t="s">
        <v>1522</v>
      </c>
    </row>
    <row r="220" customFormat="false" ht="13" hidden="false" customHeight="true" outlineLevel="0" collapsed="false">
      <c r="A220" s="21" t="s">
        <v>1523</v>
      </c>
      <c r="B220" s="22" t="s">
        <v>1524</v>
      </c>
      <c r="C220" s="26" t="s">
        <v>1525</v>
      </c>
    </row>
    <row r="221" customFormat="false" ht="13" hidden="false" customHeight="true" outlineLevel="0" collapsed="false">
      <c r="A221" s="21" t="s">
        <v>1526</v>
      </c>
      <c r="B221" s="22" t="s">
        <v>1527</v>
      </c>
      <c r="C221" s="26" t="s">
        <v>1528</v>
      </c>
    </row>
    <row r="222" customFormat="false" ht="13" hidden="false" customHeight="true" outlineLevel="0" collapsed="false">
      <c r="A222" s="21" t="s">
        <v>1529</v>
      </c>
      <c r="B222" s="22" t="s">
        <v>1530</v>
      </c>
      <c r="C222" s="26" t="s">
        <v>1531</v>
      </c>
    </row>
    <row r="223" customFormat="false" ht="13" hidden="false" customHeight="true" outlineLevel="0" collapsed="false">
      <c r="A223" s="21" t="s">
        <v>1532</v>
      </c>
      <c r="B223" s="22" t="s">
        <v>1533</v>
      </c>
      <c r="C223" s="26" t="s">
        <v>1534</v>
      </c>
    </row>
    <row r="224" customFormat="false" ht="13" hidden="false" customHeight="true" outlineLevel="0" collapsed="false">
      <c r="A224" s="21" t="s">
        <v>1535</v>
      </c>
      <c r="B224" s="22" t="s">
        <v>1536</v>
      </c>
      <c r="C224" s="26" t="s">
        <v>1537</v>
      </c>
    </row>
    <row r="225" customFormat="false" ht="13" hidden="false" customHeight="true" outlineLevel="0" collapsed="false">
      <c r="A225" s="21" t="s">
        <v>1538</v>
      </c>
      <c r="B225" s="22" t="s">
        <v>1539</v>
      </c>
      <c r="C225" s="26" t="s">
        <v>1540</v>
      </c>
    </row>
    <row r="226" customFormat="false" ht="13" hidden="false" customHeight="true" outlineLevel="0" collapsed="false">
      <c r="A226" s="21" t="s">
        <v>1541</v>
      </c>
      <c r="B226" s="22" t="s">
        <v>1542</v>
      </c>
      <c r="C226" s="26" t="s">
        <v>1543</v>
      </c>
    </row>
    <row r="227" customFormat="false" ht="13" hidden="false" customHeight="true" outlineLevel="0" collapsed="false">
      <c r="A227" s="21" t="s">
        <v>1544</v>
      </c>
      <c r="B227" s="22" t="s">
        <v>1545</v>
      </c>
      <c r="C227" s="26" t="s">
        <v>1546</v>
      </c>
    </row>
    <row r="228" customFormat="false" ht="13" hidden="false" customHeight="true" outlineLevel="0" collapsed="false">
      <c r="A228" s="21" t="s">
        <v>1547</v>
      </c>
      <c r="B228" s="22" t="s">
        <v>1548</v>
      </c>
      <c r="C228" s="26" t="s">
        <v>1549</v>
      </c>
    </row>
    <row r="229" customFormat="false" ht="13" hidden="false" customHeight="true" outlineLevel="0" collapsed="false">
      <c r="A229" s="21" t="s">
        <v>1550</v>
      </c>
      <c r="B229" s="22" t="s">
        <v>1551</v>
      </c>
      <c r="C229" s="26" t="s">
        <v>1552</v>
      </c>
    </row>
    <row r="230" customFormat="false" ht="13" hidden="false" customHeight="true" outlineLevel="0" collapsed="false">
      <c r="A230" s="21" t="s">
        <v>1553</v>
      </c>
      <c r="B230" s="22" t="s">
        <v>1554</v>
      </c>
      <c r="C230" s="26" t="s">
        <v>1555</v>
      </c>
    </row>
    <row r="231" customFormat="false" ht="13" hidden="false" customHeight="true" outlineLevel="0" collapsed="false">
      <c r="A231" s="21" t="s">
        <v>1556</v>
      </c>
      <c r="B231" s="22" t="s">
        <v>1557</v>
      </c>
      <c r="C231" s="26" t="s">
        <v>1558</v>
      </c>
    </row>
    <row r="232" customFormat="false" ht="13" hidden="false" customHeight="true" outlineLevel="0" collapsed="false">
      <c r="A232" s="21" t="s">
        <v>1559</v>
      </c>
      <c r="B232" s="22" t="s">
        <v>1560</v>
      </c>
      <c r="C232" s="26" t="s">
        <v>1561</v>
      </c>
    </row>
    <row r="233" customFormat="false" ht="13" hidden="false" customHeight="true" outlineLevel="0" collapsed="false">
      <c r="A233" s="21" t="s">
        <v>1562</v>
      </c>
      <c r="B233" s="22" t="s">
        <v>1563</v>
      </c>
      <c r="C233" s="26" t="s">
        <v>1564</v>
      </c>
    </row>
    <row r="234" customFormat="false" ht="13" hidden="false" customHeight="true" outlineLevel="0" collapsed="false">
      <c r="A234" s="21" t="s">
        <v>1565</v>
      </c>
      <c r="B234" s="22" t="s">
        <v>1566</v>
      </c>
      <c r="C234" s="26" t="s">
        <v>1567</v>
      </c>
    </row>
    <row r="235" customFormat="false" ht="13" hidden="false" customHeight="true" outlineLevel="0" collapsed="false">
      <c r="A235" s="21" t="s">
        <v>1568</v>
      </c>
      <c r="B235" s="22" t="s">
        <v>1569</v>
      </c>
      <c r="C235" s="26" t="s">
        <v>1570</v>
      </c>
    </row>
    <row r="236" customFormat="false" ht="13" hidden="false" customHeight="true" outlineLevel="0" collapsed="false">
      <c r="A236" s="21" t="s">
        <v>1571</v>
      </c>
      <c r="B236" s="22" t="s">
        <v>1572</v>
      </c>
      <c r="C236" s="26" t="s">
        <v>1573</v>
      </c>
    </row>
    <row r="237" customFormat="false" ht="13" hidden="false" customHeight="true" outlineLevel="0" collapsed="false">
      <c r="A237" s="21" t="s">
        <v>1574</v>
      </c>
      <c r="B237" s="22" t="s">
        <v>1575</v>
      </c>
      <c r="C237" s="26" t="s">
        <v>1576</v>
      </c>
    </row>
    <row r="238" customFormat="false" ht="13" hidden="false" customHeight="true" outlineLevel="0" collapsed="false">
      <c r="A238" s="21" t="s">
        <v>1577</v>
      </c>
      <c r="B238" s="22" t="s">
        <v>1578</v>
      </c>
      <c r="C238" s="26" t="s">
        <v>1579</v>
      </c>
    </row>
    <row r="239" customFormat="false" ht="13" hidden="false" customHeight="true" outlineLevel="0" collapsed="false">
      <c r="A239" s="21" t="s">
        <v>1580</v>
      </c>
      <c r="B239" s="22" t="s">
        <v>1581</v>
      </c>
      <c r="C239" s="26" t="s">
        <v>1582</v>
      </c>
    </row>
    <row r="240" customFormat="false" ht="13" hidden="false" customHeight="true" outlineLevel="0" collapsed="false">
      <c r="A240" s="21" t="s">
        <v>1583</v>
      </c>
      <c r="B240" s="22" t="s">
        <v>1584</v>
      </c>
      <c r="C240" s="26" t="s">
        <v>1585</v>
      </c>
    </row>
    <row r="241" customFormat="false" ht="13" hidden="false" customHeight="true" outlineLevel="0" collapsed="false">
      <c r="A241" s="21" t="s">
        <v>1586</v>
      </c>
      <c r="B241" s="22" t="s">
        <v>1587</v>
      </c>
      <c r="C241" s="26" t="s">
        <v>1588</v>
      </c>
    </row>
    <row r="242" customFormat="false" ht="13" hidden="false" customHeight="true" outlineLevel="0" collapsed="false">
      <c r="A242" s="21" t="s">
        <v>1589</v>
      </c>
      <c r="B242" s="22" t="s">
        <v>1590</v>
      </c>
      <c r="C242" s="26" t="s">
        <v>1591</v>
      </c>
    </row>
    <row r="243" customFormat="false" ht="13" hidden="false" customHeight="true" outlineLevel="0" collapsed="false">
      <c r="A243" s="21" t="s">
        <v>1592</v>
      </c>
      <c r="B243" s="22" t="s">
        <v>1593</v>
      </c>
      <c r="C243" s="26" t="s">
        <v>1594</v>
      </c>
    </row>
    <row r="244" customFormat="false" ht="13" hidden="false" customHeight="true" outlineLevel="0" collapsed="false">
      <c r="A244" s="21" t="s">
        <v>1595</v>
      </c>
      <c r="B244" s="22" t="s">
        <v>1596</v>
      </c>
      <c r="C244" s="26" t="s">
        <v>1597</v>
      </c>
    </row>
    <row r="245" customFormat="false" ht="13" hidden="false" customHeight="true" outlineLevel="0" collapsed="false">
      <c r="A245" s="21" t="s">
        <v>1598</v>
      </c>
      <c r="B245" s="22" t="s">
        <v>1599</v>
      </c>
      <c r="C245" s="26" t="s">
        <v>1600</v>
      </c>
    </row>
    <row r="246" customFormat="false" ht="13" hidden="false" customHeight="true" outlineLevel="0" collapsed="false">
      <c r="A246" s="21" t="s">
        <v>1601</v>
      </c>
      <c r="B246" s="22" t="s">
        <v>1602</v>
      </c>
      <c r="C246" s="26" t="s">
        <v>1603</v>
      </c>
    </row>
    <row r="247" customFormat="false" ht="13" hidden="false" customHeight="true" outlineLevel="0" collapsed="false">
      <c r="A247" s="21" t="s">
        <v>1604</v>
      </c>
      <c r="B247" s="22" t="s">
        <v>1605</v>
      </c>
      <c r="C247" s="26" t="s">
        <v>1606</v>
      </c>
    </row>
    <row r="248" customFormat="false" ht="13" hidden="false" customHeight="true" outlineLevel="0" collapsed="false">
      <c r="A248" s="21" t="s">
        <v>1607</v>
      </c>
      <c r="B248" s="22" t="s">
        <v>1608</v>
      </c>
      <c r="C248" s="26" t="s">
        <v>1609</v>
      </c>
    </row>
    <row r="249" customFormat="false" ht="13" hidden="false" customHeight="true" outlineLevel="0" collapsed="false">
      <c r="A249" s="21" t="s">
        <v>1610</v>
      </c>
      <c r="B249" s="22" t="s">
        <v>1611</v>
      </c>
      <c r="C249" s="26" t="s">
        <v>1612</v>
      </c>
    </row>
    <row r="250" customFormat="false" ht="13" hidden="false" customHeight="true" outlineLevel="0" collapsed="false">
      <c r="A250" s="21" t="s">
        <v>1613</v>
      </c>
      <c r="B250" s="22" t="s">
        <v>1614</v>
      </c>
      <c r="C250" s="26" t="s">
        <v>1615</v>
      </c>
    </row>
    <row r="251" customFormat="false" ht="13" hidden="false" customHeight="true" outlineLevel="0" collapsed="false">
      <c r="A251" s="21" t="s">
        <v>1616</v>
      </c>
      <c r="B251" s="22" t="s">
        <v>1617</v>
      </c>
      <c r="C251" s="26" t="s">
        <v>1618</v>
      </c>
    </row>
    <row r="252" customFormat="false" ht="13" hidden="false" customHeight="true" outlineLevel="0" collapsed="false">
      <c r="A252" s="21" t="s">
        <v>1619</v>
      </c>
      <c r="B252" s="22" t="s">
        <v>1620</v>
      </c>
      <c r="C252" s="26" t="s">
        <v>1621</v>
      </c>
    </row>
    <row r="253" customFormat="false" ht="13" hidden="false" customHeight="true" outlineLevel="0" collapsed="false">
      <c r="A253" s="21" t="s">
        <v>1622</v>
      </c>
      <c r="B253" s="22" t="s">
        <v>1623</v>
      </c>
      <c r="C253" s="26" t="s">
        <v>1624</v>
      </c>
    </row>
    <row r="254" customFormat="false" ht="13" hidden="false" customHeight="true" outlineLevel="0" collapsed="false">
      <c r="A254" s="21" t="s">
        <v>1625</v>
      </c>
      <c r="B254" s="22" t="s">
        <v>1626</v>
      </c>
      <c r="C254" s="26" t="s">
        <v>1627</v>
      </c>
    </row>
    <row r="255" customFormat="false" ht="13" hidden="false" customHeight="true" outlineLevel="0" collapsed="false">
      <c r="A255" s="21" t="s">
        <v>1628</v>
      </c>
      <c r="B255" s="22" t="s">
        <v>1629</v>
      </c>
      <c r="C255" s="26" t="s">
        <v>1630</v>
      </c>
    </row>
    <row r="256" customFormat="false" ht="13" hidden="false" customHeight="true" outlineLevel="0" collapsed="false">
      <c r="A256" s="21" t="s">
        <v>1631</v>
      </c>
      <c r="B256" s="22" t="s">
        <v>1632</v>
      </c>
      <c r="C256" s="26" t="s">
        <v>1633</v>
      </c>
    </row>
    <row r="257" customFormat="false" ht="13" hidden="false" customHeight="true" outlineLevel="0" collapsed="false">
      <c r="A257" s="21" t="s">
        <v>1634</v>
      </c>
      <c r="B257" s="22" t="s">
        <v>1635</v>
      </c>
      <c r="C257" s="26" t="s">
        <v>1636</v>
      </c>
    </row>
    <row r="258" customFormat="false" ht="13" hidden="false" customHeight="true" outlineLevel="0" collapsed="false">
      <c r="A258" s="21" t="s">
        <v>1637</v>
      </c>
      <c r="B258" s="22" t="s">
        <v>1638</v>
      </c>
      <c r="C258" s="26" t="s">
        <v>1639</v>
      </c>
    </row>
    <row r="259" customFormat="false" ht="13" hidden="false" customHeight="true" outlineLevel="0" collapsed="false">
      <c r="A259" s="21" t="s">
        <v>1640</v>
      </c>
      <c r="B259" s="22" t="s">
        <v>1641</v>
      </c>
      <c r="C259" s="26" t="s">
        <v>1642</v>
      </c>
    </row>
    <row r="260" customFormat="false" ht="13" hidden="false" customHeight="true" outlineLevel="0" collapsed="false">
      <c r="A260" s="21" t="s">
        <v>1643</v>
      </c>
      <c r="B260" s="22" t="s">
        <v>1644</v>
      </c>
      <c r="C260" s="26" t="s">
        <v>1645</v>
      </c>
    </row>
    <row r="261" customFormat="false" ht="13" hidden="false" customHeight="true" outlineLevel="0" collapsed="false">
      <c r="A261" s="21" t="s">
        <v>1646</v>
      </c>
      <c r="B261" s="22" t="s">
        <v>1647</v>
      </c>
      <c r="C261" s="26" t="s">
        <v>1648</v>
      </c>
    </row>
    <row r="262" customFormat="false" ht="13" hidden="false" customHeight="true" outlineLevel="0" collapsed="false">
      <c r="A262" s="21" t="s">
        <v>1649</v>
      </c>
      <c r="B262" s="22" t="s">
        <v>1650</v>
      </c>
      <c r="C262" s="26" t="s">
        <v>1651</v>
      </c>
    </row>
    <row r="263" customFormat="false" ht="13" hidden="false" customHeight="true" outlineLevel="0" collapsed="false">
      <c r="A263" s="21" t="s">
        <v>1652</v>
      </c>
      <c r="B263" s="22" t="s">
        <v>1653</v>
      </c>
      <c r="C263" s="26" t="s">
        <v>1654</v>
      </c>
    </row>
    <row r="264" customFormat="false" ht="13" hidden="false" customHeight="true" outlineLevel="0" collapsed="false">
      <c r="A264" s="21" t="s">
        <v>1655</v>
      </c>
      <c r="B264" s="22" t="s">
        <v>1656</v>
      </c>
      <c r="C264" s="26" t="s">
        <v>1657</v>
      </c>
    </row>
    <row r="265" customFormat="false" ht="13" hidden="false" customHeight="true" outlineLevel="0" collapsed="false">
      <c r="A265" s="21" t="s">
        <v>1658</v>
      </c>
      <c r="B265" s="22" t="s">
        <v>1659</v>
      </c>
      <c r="C265" s="26" t="s">
        <v>1660</v>
      </c>
    </row>
    <row r="266" customFormat="false" ht="13" hidden="false" customHeight="true" outlineLevel="0" collapsed="false">
      <c r="A266" s="21" t="s">
        <v>1661</v>
      </c>
      <c r="B266" s="22" t="s">
        <v>1662</v>
      </c>
      <c r="C266" s="26" t="s">
        <v>1663</v>
      </c>
    </row>
    <row r="267" customFormat="false" ht="13" hidden="false" customHeight="true" outlineLevel="0" collapsed="false">
      <c r="A267" s="21" t="s">
        <v>1664</v>
      </c>
      <c r="B267" s="22" t="s">
        <v>1665</v>
      </c>
      <c r="C267" s="26" t="s">
        <v>1666</v>
      </c>
    </row>
    <row r="268" customFormat="false" ht="13" hidden="false" customHeight="true" outlineLevel="0" collapsed="false">
      <c r="A268" s="21" t="s">
        <v>1667</v>
      </c>
      <c r="B268" s="22" t="s">
        <v>1668</v>
      </c>
      <c r="C268" s="26" t="s">
        <v>1669</v>
      </c>
    </row>
    <row r="269" customFormat="false" ht="13" hidden="false" customHeight="true" outlineLevel="0" collapsed="false">
      <c r="A269" s="21" t="s">
        <v>1670</v>
      </c>
      <c r="B269" s="22" t="s">
        <v>1671</v>
      </c>
      <c r="C269" s="26" t="s">
        <v>1672</v>
      </c>
    </row>
    <row r="270" customFormat="false" ht="13" hidden="false" customHeight="true" outlineLevel="0" collapsed="false">
      <c r="A270" s="21" t="s">
        <v>1673</v>
      </c>
      <c r="B270" s="22" t="s">
        <v>1674</v>
      </c>
      <c r="C270" s="26" t="s">
        <v>1675</v>
      </c>
    </row>
    <row r="271" customFormat="false" ht="13" hidden="false" customHeight="true" outlineLevel="0" collapsed="false">
      <c r="A271" s="21" t="s">
        <v>1676</v>
      </c>
      <c r="B271" s="22" t="s">
        <v>1677</v>
      </c>
      <c r="C271" s="26" t="s">
        <v>1678</v>
      </c>
    </row>
    <row r="272" customFormat="false" ht="13" hidden="false" customHeight="true" outlineLevel="0" collapsed="false">
      <c r="A272" s="21" t="s">
        <v>1679</v>
      </c>
      <c r="B272" s="22" t="s">
        <v>1680</v>
      </c>
      <c r="C272" s="26" t="s">
        <v>1681</v>
      </c>
    </row>
    <row r="273" customFormat="false" ht="13" hidden="false" customHeight="true" outlineLevel="0" collapsed="false">
      <c r="A273" s="21" t="s">
        <v>1682</v>
      </c>
      <c r="B273" s="22" t="s">
        <v>1683</v>
      </c>
      <c r="C273" s="26" t="s">
        <v>1684</v>
      </c>
    </row>
    <row r="274" customFormat="false" ht="13" hidden="false" customHeight="true" outlineLevel="0" collapsed="false">
      <c r="A274" s="21" t="s">
        <v>1685</v>
      </c>
      <c r="B274" s="22" t="s">
        <v>1686</v>
      </c>
      <c r="C274" s="26" t="s">
        <v>1687</v>
      </c>
    </row>
    <row r="275" customFormat="false" ht="13" hidden="false" customHeight="true" outlineLevel="0" collapsed="false">
      <c r="A275" s="21" t="s">
        <v>1688</v>
      </c>
      <c r="B275" s="22" t="s">
        <v>1689</v>
      </c>
      <c r="C275" s="26" t="s">
        <v>1690</v>
      </c>
    </row>
    <row r="276" customFormat="false" ht="13" hidden="false" customHeight="true" outlineLevel="0" collapsed="false">
      <c r="A276" s="21" t="s">
        <v>1691</v>
      </c>
      <c r="B276" s="22" t="s">
        <v>1692</v>
      </c>
      <c r="C276" s="26" t="s">
        <v>1693</v>
      </c>
    </row>
    <row r="277" customFormat="false" ht="13" hidden="false" customHeight="true" outlineLevel="0" collapsed="false">
      <c r="A277" s="21" t="s">
        <v>1694</v>
      </c>
      <c r="B277" s="22" t="s">
        <v>1695</v>
      </c>
      <c r="C277" s="26" t="s">
        <v>1696</v>
      </c>
    </row>
    <row r="278" customFormat="false" ht="13" hidden="false" customHeight="true" outlineLevel="0" collapsed="false">
      <c r="A278" s="21" t="s">
        <v>1697</v>
      </c>
      <c r="B278" s="22" t="s">
        <v>1698</v>
      </c>
      <c r="C278" s="26" t="s">
        <v>1699</v>
      </c>
    </row>
    <row r="279" customFormat="false" ht="13" hidden="false" customHeight="true" outlineLevel="0" collapsed="false">
      <c r="A279" s="21" t="s">
        <v>1700</v>
      </c>
      <c r="B279" s="22" t="s">
        <v>1701</v>
      </c>
      <c r="C279" s="26" t="s">
        <v>1702</v>
      </c>
    </row>
    <row r="280" customFormat="false" ht="13" hidden="false" customHeight="true" outlineLevel="0" collapsed="false">
      <c r="A280" s="21" t="s">
        <v>1703</v>
      </c>
      <c r="B280" s="22" t="s">
        <v>1704</v>
      </c>
      <c r="C280" s="26" t="s">
        <v>1705</v>
      </c>
    </row>
    <row r="281" customFormat="false" ht="13" hidden="false" customHeight="true" outlineLevel="0" collapsed="false">
      <c r="A281" s="21" t="s">
        <v>1706</v>
      </c>
      <c r="B281" s="22" t="s">
        <v>1707</v>
      </c>
      <c r="C281" s="26" t="s">
        <v>1708</v>
      </c>
    </row>
    <row r="282" customFormat="false" ht="13" hidden="false" customHeight="true" outlineLevel="0" collapsed="false">
      <c r="A282" s="21" t="s">
        <v>1709</v>
      </c>
      <c r="B282" s="22" t="s">
        <v>1710</v>
      </c>
      <c r="C282" s="26" t="s">
        <v>1711</v>
      </c>
    </row>
    <row r="283" customFormat="false" ht="13" hidden="false" customHeight="true" outlineLevel="0" collapsed="false">
      <c r="A283" s="21"/>
      <c r="B283" s="22"/>
      <c r="C283" s="22"/>
    </row>
  </sheetData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</TotalTime>
  <Application>LibreOffice/25.2.7.2$Windows_X86_64 LibreOffice_project/5cbfd1ab6520636bb5f7b99185aa69bd7456825d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2002-02-15T10:24:59Z</dcterms:created>
  <dc:creator>АСК</dc:creator>
  <dc:description/>
  <dc:language>ru-RU</dc:language>
  <cp:lastModifiedBy/>
  <cp:lastPrinted>2006-07-19T17:03:38Z</cp:lastPrinted>
  <dcterms:modified xsi:type="dcterms:W3CDTF">2026-01-08T12:12:37Z</dcterms:modified>
  <cp:revision>11</cp:revision>
  <dc:subject/>
  <dc:title/>
</cp:coreProperties>
</file>