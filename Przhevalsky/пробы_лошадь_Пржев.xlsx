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Енисей ♂" sheetId="1" r:id="rId4"/>
    <sheet state="visible" name="Олива ♀ Fr" sheetId="2" r:id="rId5"/>
    <sheet state="visible" name="Рица ♀" sheetId="3" r:id="rId6"/>
    <sheet state="visible" name="Саба ♀" sheetId="4" r:id="rId7"/>
    <sheet state="visible" name="Филипп ♂" sheetId="5" r:id="rId8"/>
    <sheet state="visible" name="Аржаан ♂" sheetId="6" r:id="rId9"/>
    <sheet state="visible" name="Арга ♀" sheetId="7" r:id="rId10"/>
    <sheet state="visible" name="Шикра ♀" sheetId="8" r:id="rId11"/>
    <sheet state="visible" name="Паприка ♀ Fr" sheetId="9" r:id="rId12"/>
    <sheet state="visible" name="ЗАГОН 1 Эниф ♂" sheetId="10" r:id="rId13"/>
    <sheet state="visible" name="ЗАГОН 1 Буда ♂" sheetId="11" r:id="rId14"/>
    <sheet state="visible" name="ЗАГОН 2 Помпей ♂" sheetId="12" r:id="rId15"/>
    <sheet state="visible" name="ЗАГОН 1 Большой ♂" sheetId="13" r:id="rId16"/>
    <sheet state="visible" name="Лаванда ♀ Fr" sheetId="14" r:id="rId17"/>
    <sheet state="visible" name="Сангрия ♀ Fr" sheetId="15" r:id="rId18"/>
    <sheet state="visible" name="Количественный анализ1" sheetId="16" r:id="rId19"/>
    <sheet state="visible" name="Количественный анализ2" sheetId="17" r:id="rId20"/>
    <sheet state="visible" name="Общая таблица" sheetId="18" r:id="rId21"/>
    <sheet state="visible" name="Качественный анализ внутри груп" sheetId="19" r:id="rId22"/>
    <sheet state="visible" name="Качественный анализ между групп" sheetId="20" r:id="rId23"/>
    <sheet state="visible" name="Для отчёта" sheetId="21" r:id="rId24"/>
  </sheets>
  <definedNames/>
  <calcPr/>
</workbook>
</file>

<file path=xl/sharedStrings.xml><?xml version="1.0" encoding="utf-8"?>
<sst xmlns="http://schemas.openxmlformats.org/spreadsheetml/2006/main" count="1084" uniqueCount="263">
  <si>
    <t>Анализ 1/4 капли</t>
  </si>
  <si>
    <t xml:space="preserve">Капля 1 </t>
  </si>
  <si>
    <t xml:space="preserve">Капля 2 </t>
  </si>
  <si>
    <t xml:space="preserve">Капля 3 </t>
  </si>
  <si>
    <t>Среднее</t>
  </si>
  <si>
    <t>Пересчёт на каплю</t>
  </si>
  <si>
    <t>Всего в капле</t>
  </si>
  <si>
    <t>Соц. группа</t>
  </si>
  <si>
    <t>Происхождение</t>
  </si>
  <si>
    <t>Найденные виды</t>
  </si>
  <si>
    <t>Примечания</t>
  </si>
  <si>
    <t>Cycloposthium bipalmatum</t>
  </si>
  <si>
    <t>Гарем Регнума</t>
  </si>
  <si>
    <t>Оренбург, 2021</t>
  </si>
  <si>
    <r>
      <rPr>
        <rFont val="Calibri"/>
        <color rgb="FF0000FF"/>
      </rPr>
      <t xml:space="preserve">Пересчитать </t>
    </r>
    <r>
      <rPr>
        <rFont val="Calibri"/>
        <i/>
        <color rgb="FF0000FF"/>
      </rPr>
      <t>Fiorentinus ovalis</t>
    </r>
  </si>
  <si>
    <t>Tetratoxum parvum</t>
  </si>
  <si>
    <t>Tetratoxum unifasciculatum</t>
  </si>
  <si>
    <t>Blepharocorys curvigula</t>
  </si>
  <si>
    <t>Triadinium caudatum</t>
  </si>
  <si>
    <t>Holophryoides macrotricha</t>
  </si>
  <si>
    <t>Polymorphella ampulla</t>
  </si>
  <si>
    <t>Bundleia sp</t>
  </si>
  <si>
    <t>Bundleia postciliata</t>
  </si>
  <si>
    <t>Fiorentinus ovalis</t>
  </si>
  <si>
    <t>Paraisotricha colpoidea</t>
  </si>
  <si>
    <t>Cycloposthium edentatum</t>
  </si>
  <si>
    <t>Bundleia inflata</t>
  </si>
  <si>
    <t>Bundleia nana</t>
  </si>
  <si>
    <t>Франция, завоз 2015</t>
  </si>
  <si>
    <r>
      <rPr>
        <rFont val="Calibri"/>
        <color rgb="FF0000FF"/>
      </rPr>
      <t xml:space="preserve">Пересчитать </t>
    </r>
    <r>
      <rPr>
        <rFont val="Calibri"/>
        <i/>
        <color rgb="FF0000FF"/>
      </rPr>
      <t xml:space="preserve">Fiorentinus ovalis </t>
    </r>
    <r>
      <rPr>
        <rFont val="Calibri"/>
        <color rgb="FF0000FF"/>
      </rPr>
      <t xml:space="preserve">и </t>
    </r>
    <r>
      <rPr>
        <rFont val="Calibri"/>
        <i/>
        <color rgb="FF0000FF"/>
      </rPr>
      <t>Didesmis quadrata</t>
    </r>
  </si>
  <si>
    <t xml:space="preserve">Didesmis quadrata </t>
  </si>
  <si>
    <t>Гарем Сандро</t>
  </si>
  <si>
    <t>Хортобадь, завоз 2016</t>
  </si>
  <si>
    <t>грибы</t>
  </si>
  <si>
    <t>яйца гельминтов</t>
  </si>
  <si>
    <t>Blepharocorys microcorys</t>
  </si>
  <si>
    <t>Didesmis quadrata</t>
  </si>
  <si>
    <t>Didesmis quadrata f. spiralis</t>
  </si>
  <si>
    <t>Хортобадь, завоз 2017</t>
  </si>
  <si>
    <r>
      <rPr>
        <rFont val="Calibri"/>
        <i val="0"/>
        <color rgb="FF0000FF"/>
      </rPr>
      <t>Под вопросом</t>
    </r>
    <r>
      <rPr>
        <rFont val="Calibri"/>
        <i/>
        <color rgb="FF0000FF"/>
      </rPr>
      <t xml:space="preserve"> Bundleia dolichosoma</t>
    </r>
  </si>
  <si>
    <t>Мать ♀</t>
  </si>
  <si>
    <t>Отец ♂</t>
  </si>
  <si>
    <t xml:space="preserve">Tetratoxum parvum </t>
  </si>
  <si>
    <t>Рица</t>
  </si>
  <si>
    <t>Регнум</t>
  </si>
  <si>
    <t>Оренбург 2022</t>
  </si>
  <si>
    <r>
      <rPr>
        <rFont val="Calibri"/>
        <i val="0"/>
        <color rgb="FF0000FF"/>
      </rPr>
      <t>Под вопросом</t>
    </r>
    <r>
      <rPr>
        <rFont val="Calibri"/>
        <i/>
        <color rgb="FF0000FF"/>
      </rPr>
      <t xml:space="preserve"> Blepharocorys angusta</t>
    </r>
  </si>
  <si>
    <t>Circodinium minimum</t>
  </si>
  <si>
    <t>Tetratoxum parvum f. sulcatum</t>
  </si>
  <si>
    <t>Олива</t>
  </si>
  <si>
    <t xml:space="preserve">Fiorentinus ovalis </t>
  </si>
  <si>
    <t>Под вопросом</t>
  </si>
  <si>
    <t>Blepharocorys jubata</t>
  </si>
  <si>
    <t>гельминты</t>
  </si>
  <si>
    <t>Под вопросом - Circodinium minimum</t>
  </si>
  <si>
    <t>Взять паспорт</t>
  </si>
  <si>
    <t>Под вопросом - Fiorentinus ovalis</t>
  </si>
  <si>
    <t>кол-во инфузорий низкое, можно посмотреть ещё</t>
  </si>
  <si>
    <t>Тесные социальные связи с Большим</t>
  </si>
  <si>
    <t>Тесные социальные связи с Беркутом</t>
  </si>
  <si>
    <t>Blepharocorys angusta</t>
  </si>
  <si>
    <t>Spirodinium confusum</t>
  </si>
  <si>
    <t>есть гельминты</t>
  </si>
  <si>
    <t>Воспалительный процесс</t>
  </si>
  <si>
    <t>Живёт в загоне с Асфеей (узнать происхождение)</t>
  </si>
  <si>
    <t>Spirodinium sp ?</t>
  </si>
  <si>
    <t>Тесные социальные связи с Энифом</t>
  </si>
  <si>
    <t xml:space="preserve">Spirodinium sp </t>
  </si>
  <si>
    <t>очень мало инфузорий, перепроверить синее</t>
  </si>
  <si>
    <t>Франция</t>
  </si>
  <si>
    <r>
      <rPr>
        <rFont val="Calibri"/>
        <color rgb="FF0000FF"/>
      </rPr>
      <t xml:space="preserve">Ещё раз посмотреть пробу и убедиться в видах р. </t>
    </r>
    <r>
      <rPr>
        <rFont val="Calibri"/>
        <i/>
        <color rgb="FF0000FF"/>
      </rPr>
      <t>Paraisotricha</t>
    </r>
  </si>
  <si>
    <r>
      <rPr>
        <rFont val="Calibri"/>
        <color rgb="FFFF0000"/>
      </rPr>
      <t xml:space="preserve">Ещё раз посмотреть состав </t>
    </r>
    <r>
      <rPr>
        <rFont val="Calibri"/>
        <i/>
        <color rgb="FFFF0000"/>
      </rPr>
      <t>Bundleia</t>
    </r>
  </si>
  <si>
    <t>Paraisotricha minuta</t>
  </si>
  <si>
    <t>Bundleia dolichosoma</t>
  </si>
  <si>
    <t>досмотреть на микроскопе Номарского</t>
  </si>
  <si>
    <t>Филипп</t>
  </si>
  <si>
    <t>Арга</t>
  </si>
  <si>
    <t>Шикра</t>
  </si>
  <si>
    <t>Саба</t>
  </si>
  <si>
    <t>Енисей</t>
  </si>
  <si>
    <t>Аржаан</t>
  </si>
  <si>
    <t>Самец</t>
  </si>
  <si>
    <t>Самка</t>
  </si>
  <si>
    <t>Молодые особи (1-2 года)</t>
  </si>
  <si>
    <t>Взрослые особи (&gt;2 лет)</t>
  </si>
  <si>
    <t>Общее количество</t>
  </si>
  <si>
    <t>Пол</t>
  </si>
  <si>
    <t>М</t>
  </si>
  <si>
    <t>Ж</t>
  </si>
  <si>
    <t>Енисей 2</t>
  </si>
  <si>
    <t>Олива 11</t>
  </si>
  <si>
    <t>Рица 9</t>
  </si>
  <si>
    <t>Саба 8</t>
  </si>
  <si>
    <t>Филипп 1</t>
  </si>
  <si>
    <t>Аржаан 1</t>
  </si>
  <si>
    <t>Арга 3</t>
  </si>
  <si>
    <t>Шикра 8</t>
  </si>
  <si>
    <t>p=0.55 (нет различий)</t>
  </si>
  <si>
    <t>Загон</t>
  </si>
  <si>
    <t>Вольные</t>
  </si>
  <si>
    <t>Общее кол-во</t>
  </si>
  <si>
    <t>689.33</t>
  </si>
  <si>
    <t>26.67</t>
  </si>
  <si>
    <t>101.33</t>
  </si>
  <si>
    <t>25.33</t>
  </si>
  <si>
    <t>174.67</t>
  </si>
  <si>
    <t>398.67</t>
  </si>
  <si>
    <t>385.33</t>
  </si>
  <si>
    <t>214.67</t>
  </si>
  <si>
    <t>10.67</t>
  </si>
  <si>
    <t>C. edentatum</t>
  </si>
  <si>
    <t>C. bipalmatum</t>
  </si>
  <si>
    <t>T. parvum</t>
  </si>
  <si>
    <t>T. unifasciculatum</t>
  </si>
  <si>
    <t>T. caudatum</t>
  </si>
  <si>
    <t>H. macrotricha</t>
  </si>
  <si>
    <t>P. ampulla</t>
  </si>
  <si>
    <t>F. ovalis</t>
  </si>
  <si>
    <t>P. colpoidea</t>
  </si>
  <si>
    <t xml:space="preserve">D. quadrata </t>
  </si>
  <si>
    <t>B. curvigula</t>
  </si>
  <si>
    <t>B. microcorys</t>
  </si>
  <si>
    <t>C. minimum</t>
  </si>
  <si>
    <t>B. jubata</t>
  </si>
  <si>
    <t>Возраст</t>
  </si>
  <si>
    <t>Условия обитания</t>
  </si>
  <si>
    <t>м</t>
  </si>
  <si>
    <t>Россия</t>
  </si>
  <si>
    <t>Г. Регнума</t>
  </si>
  <si>
    <t>Вольный выпас</t>
  </si>
  <si>
    <t>ж</t>
  </si>
  <si>
    <t>Венгрия</t>
  </si>
  <si>
    <t>Г. Сандро</t>
  </si>
  <si>
    <t>Помпей</t>
  </si>
  <si>
    <t>вид не встречен совсем - 0</t>
  </si>
  <si>
    <t>permANOVA</t>
  </si>
  <si>
    <t>Name</t>
  </si>
  <si>
    <t>Sex</t>
  </si>
  <si>
    <t>Age</t>
  </si>
  <si>
    <t>B. inflata</t>
  </si>
  <si>
    <t>B. postciliata</t>
  </si>
  <si>
    <t>B. nana</t>
  </si>
  <si>
    <t>B.microcorys</t>
  </si>
  <si>
    <t xml:space="preserve">C. minimum </t>
  </si>
  <si>
    <t>Енисей-Саба</t>
  </si>
  <si>
    <t>Рица-Филипп</t>
  </si>
  <si>
    <t>Аржаан-Олива</t>
  </si>
  <si>
    <t>Рица-Олива</t>
  </si>
  <si>
    <t>Олива-Саба</t>
  </si>
  <si>
    <t>Саба-Рица</t>
  </si>
  <si>
    <t>Филипп-Аржаан</t>
  </si>
  <si>
    <t>Енисей-Рица</t>
  </si>
  <si>
    <t>Енисей-Олива</t>
  </si>
  <si>
    <t>По критерию мать-жеребёнок</t>
  </si>
  <si>
    <t>Меньше всего сходства между двумя жеребятами</t>
  </si>
  <si>
    <t>Индекс Жаккара</t>
  </si>
  <si>
    <t>Индекс Сёренсена</t>
  </si>
  <si>
    <t>Больше всего сходства между Аржааном и Оливой</t>
  </si>
  <si>
    <t xml:space="preserve">Филипп-Рица (мать - жеребёнок) </t>
  </si>
  <si>
    <t>Min</t>
  </si>
  <si>
    <t>Аржаан-Олива (мать-жеребёнок)</t>
  </si>
  <si>
    <t>Max</t>
  </si>
  <si>
    <t>Филипп-Аржаан (жеребёнок-жеребёнок)</t>
  </si>
  <si>
    <t>Рица-Олива (Арль-Хортобадь)</t>
  </si>
  <si>
    <t>По критерию происхождения</t>
  </si>
  <si>
    <t>Меньше всего сходства между лошадьми из Венгрии и Франции</t>
  </si>
  <si>
    <t>Олива-Саба (Арль-Хортобадь)</t>
  </si>
  <si>
    <t>Больше всего сходства между французской и русской лошадьми</t>
  </si>
  <si>
    <t>Саба-Рица (Хортобадь-Хортобадь)</t>
  </si>
  <si>
    <t>Енисей-Саба (Оренбург - Хортобадь)</t>
  </si>
  <si>
    <t>Енисей-Рица (Оренбург - Хортобадь)</t>
  </si>
  <si>
    <t>Енисей-Олива (Оренбург - Арль)</t>
  </si>
  <si>
    <t xml:space="preserve">Equus caballus </t>
  </si>
  <si>
    <t>Equus ferus 1</t>
  </si>
  <si>
    <t xml:space="preserve">Equus ferus </t>
  </si>
  <si>
    <t>Equus ferus 2</t>
  </si>
  <si>
    <t>Equus caballus 1</t>
  </si>
  <si>
    <t>Equus caballus 2</t>
  </si>
  <si>
    <t>Легенда</t>
  </si>
  <si>
    <t>Paraisotrichopsis composita</t>
  </si>
  <si>
    <t xml:space="preserve">домашняя лошадь </t>
  </si>
  <si>
    <t>лошадь Пржевальского Оренбург</t>
  </si>
  <si>
    <t>лошадь Пржевальского Аскания-Нова</t>
  </si>
  <si>
    <t>Didesmis spiralis</t>
  </si>
  <si>
    <t>лошадь Пржевальского ленинградский зоопарк</t>
  </si>
  <si>
    <t>Wolskana tokarensis</t>
  </si>
  <si>
    <t>домашняя лошадь Аскания-Нова</t>
  </si>
  <si>
    <t>домашняя лошадь Капчагай (Казахстан)</t>
  </si>
  <si>
    <t>Rhizotricha beckeri</t>
  </si>
  <si>
    <t>Blepharocorys uncinata</t>
  </si>
  <si>
    <t>Blepharocorys valvata</t>
  </si>
  <si>
    <t>Blepharocorys cardionucleata</t>
  </si>
  <si>
    <t>Ochoterenaia appendiculata</t>
  </si>
  <si>
    <t>Charonnautes equi</t>
  </si>
  <si>
    <t>Cycloposthium dentiferum</t>
  </si>
  <si>
    <t>Cycloposthium affine</t>
  </si>
  <si>
    <t>Cycloposthium piscicauda</t>
  </si>
  <si>
    <t>Cycloposthium corrugatum</t>
  </si>
  <si>
    <t>Cycloposthium scutigerum</t>
  </si>
  <si>
    <t>Cycloposthium plicatocaudatum</t>
  </si>
  <si>
    <t>Tripalmaria dogieli</t>
  </si>
  <si>
    <t>Ditoxum funinucleum</t>
  </si>
  <si>
    <t>Ditoxum brevinucleatum</t>
  </si>
  <si>
    <t>Ditoxum gravinucleatum</t>
  </si>
  <si>
    <t>Triadinium magnum</t>
  </si>
  <si>
    <t>Gassovskiella galea</t>
  </si>
  <si>
    <t>Cochliatoxum periachtum</t>
  </si>
  <si>
    <t>Tetratoxum excavatum</t>
  </si>
  <si>
    <t>Spirodinium nanum</t>
  </si>
  <si>
    <t>Spirodinium equi</t>
  </si>
  <si>
    <t>Spirodinium magnum</t>
  </si>
  <si>
    <t>Allantosoma intestinale</t>
  </si>
  <si>
    <t>Allantosoma cucumis</t>
  </si>
  <si>
    <t xml:space="preserve"> Arcosoma lineare</t>
  </si>
  <si>
    <t xml:space="preserve"> Arcosoma brevicorniger</t>
  </si>
  <si>
    <t xml:space="preserve"> Arcosoma dicorniger</t>
  </si>
  <si>
    <t>Allantoxena biseriale</t>
  </si>
  <si>
    <t>Allantoxena japonensis</t>
  </si>
  <si>
    <t>Strelkowella urunbasiensis</t>
  </si>
  <si>
    <t>Alloiozona trizona</t>
  </si>
  <si>
    <t>Blepharoconus cervicalis</t>
  </si>
  <si>
    <t>Blepharoconus hemiciliatus</t>
  </si>
  <si>
    <t>Blepharosphaera intestinalis</t>
  </si>
  <si>
    <t>Blepharosphaera ellipsoidalis</t>
  </si>
  <si>
    <t>Blepharosphaera citriformis</t>
  </si>
  <si>
    <t>Blepharosphaera ceratotherii</t>
  </si>
  <si>
    <t>Holophryoides ovalis</t>
  </si>
  <si>
    <t>Blepharozoum zonatum</t>
  </si>
  <si>
    <t>Hemiprorodon gymnoposthium</t>
  </si>
  <si>
    <t>Blepharoprosthium pireum</t>
  </si>
  <si>
    <t>Blepharoprosthium polytrichum</t>
  </si>
  <si>
    <t>Bundleia piriformis</t>
  </si>
  <si>
    <t>Bundleia vorax</t>
  </si>
  <si>
    <t>Bundleia asymmetrica</t>
  </si>
  <si>
    <t>Bundleia benbrooki</t>
  </si>
  <si>
    <t>Bundleia infl ata</t>
  </si>
  <si>
    <t>Bundleia elongata</t>
  </si>
  <si>
    <t>Bundleia triangularis</t>
  </si>
  <si>
    <t>Prorodonopsis coli</t>
  </si>
  <si>
    <t>Sulcoarcus pellucidulus</t>
  </si>
  <si>
    <t>Equus caballus -Equus ferus</t>
  </si>
  <si>
    <t>Equus ferus-Equus ferus 2</t>
  </si>
  <si>
    <t>Equus ferus- Equus ferus 2</t>
  </si>
  <si>
    <t>Equus caballus 1 -Equus ferus</t>
  </si>
  <si>
    <t>Equus caballus 2 -Equus ferus</t>
  </si>
  <si>
    <r>
      <rPr>
        <rFont val="Calibri"/>
        <b/>
        <i/>
        <color theme="1"/>
      </rPr>
      <t xml:space="preserve">Equus ferus </t>
    </r>
    <r>
      <rPr>
        <rFont val="Calibri"/>
        <i/>
        <color theme="1"/>
      </rPr>
      <t>-Equus caballus</t>
    </r>
  </si>
  <si>
    <r>
      <rPr>
        <rFont val="Calibri"/>
        <b/>
        <i/>
        <color theme="1"/>
      </rPr>
      <t xml:space="preserve">Equus ferus </t>
    </r>
    <r>
      <rPr>
        <rFont val="Calibri"/>
        <i/>
        <color theme="1"/>
      </rPr>
      <t>-Equus ferus 1</t>
    </r>
  </si>
  <si>
    <r>
      <rPr>
        <rFont val="Calibri"/>
        <b/>
        <i/>
        <color theme="1"/>
      </rPr>
      <t xml:space="preserve">Equus ferus </t>
    </r>
    <r>
      <rPr>
        <rFont val="Calibri"/>
        <i/>
        <color theme="1"/>
      </rPr>
      <t>-Equus ferus 2</t>
    </r>
  </si>
  <si>
    <r>
      <rPr>
        <rFont val="Calibri"/>
        <b/>
        <i/>
        <color theme="1"/>
      </rPr>
      <t xml:space="preserve">Equus ferus </t>
    </r>
    <r>
      <rPr>
        <rFont val="Calibri"/>
        <i/>
        <color theme="1"/>
      </rPr>
      <t>-Equus caballus 1</t>
    </r>
  </si>
  <si>
    <r>
      <rPr>
        <rFont val="Calibri"/>
        <b/>
        <i/>
        <color theme="1"/>
      </rPr>
      <t xml:space="preserve">Equus ferus </t>
    </r>
    <r>
      <rPr>
        <rFont val="Calibri"/>
        <i/>
        <color theme="1"/>
      </rPr>
      <t>-Equus caballus 2</t>
    </r>
  </si>
  <si>
    <t>Содержание</t>
  </si>
  <si>
    <t>Or</t>
  </si>
  <si>
    <t>Вольный</t>
  </si>
  <si>
    <t>Fr</t>
  </si>
  <si>
    <t>Hu</t>
  </si>
  <si>
    <t>Паприка</t>
  </si>
  <si>
    <t>Эниф</t>
  </si>
  <si>
    <t>Буда</t>
  </si>
  <si>
    <t>Лаванда</t>
  </si>
  <si>
    <t>Сангрия</t>
  </si>
  <si>
    <t>Большой</t>
  </si>
  <si>
    <t>B. angusta</t>
  </si>
  <si>
    <t>S. confusum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</si>
</sst>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u/>
      <sz val="11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FF"/>
      <name val="Calibri"/>
      <scheme val="minor"/>
    </font>
    <font>
      <i/>
      <color theme="1"/>
      <name val="Calibri"/>
      <scheme val="minor"/>
    </font>
    <font>
      <i/>
      <sz val="11.0"/>
      <color rgb="FFFF0000"/>
      <name val="Calibri"/>
    </font>
    <font>
      <i/>
      <sz val="11.0"/>
      <color rgb="FF000000"/>
      <name val="Calibri"/>
    </font>
    <font>
      <color rgb="FFFF0000"/>
      <name val="Calibri"/>
      <scheme val="minor"/>
    </font>
    <font>
      <i/>
      <color rgb="FFFF0000"/>
      <name val="Calibri"/>
      <scheme val="minor"/>
    </font>
    <font>
      <i/>
      <color rgb="FF000000"/>
      <name val="Calibri"/>
      <scheme val="minor"/>
    </font>
    <font>
      <i/>
      <color rgb="FF0000FF"/>
      <name val="Calibri"/>
      <scheme val="minor"/>
    </font>
    <font>
      <i/>
      <sz val="11.0"/>
      <color theme="1"/>
      <name val="Calibri"/>
      <scheme val="minor"/>
    </font>
    <font>
      <i/>
      <u/>
      <color rgb="FF0000FF"/>
    </font>
    <font>
      <color rgb="FF000000"/>
      <name val="Calibri"/>
      <scheme val="minor"/>
    </font>
    <font>
      <b/>
      <i/>
      <sz val="11.0"/>
      <color theme="1"/>
      <name val="Calibri"/>
    </font>
    <font>
      <b/>
      <i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4" xfId="0" applyAlignment="1" applyFont="1" applyNumberFormat="1">
      <alignment horizontal="center"/>
    </xf>
    <xf borderId="0" fillId="0" fontId="6" numFmtId="4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4" xfId="0" applyAlignment="1" applyFont="1" applyNumberFormat="1">
      <alignment horizontal="center" readingOrder="0"/>
    </xf>
    <xf borderId="0" fillId="0" fontId="11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6" numFmtId="4" xfId="0" applyAlignment="1" applyFont="1" applyNumberFormat="1">
      <alignment horizontal="center" readingOrder="0"/>
    </xf>
    <xf borderId="0" fillId="0" fontId="16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17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0" fontId="18" numFmtId="0" xfId="0" applyFont="1"/>
    <xf borderId="0" fillId="0" fontId="5" numFmtId="0" xfId="0" applyAlignment="1" applyFont="1">
      <alignment horizontal="right"/>
    </xf>
    <xf borderId="0" fillId="0" fontId="6" numFmtId="0" xfId="0" applyAlignment="1" applyFont="1">
      <alignment horizontal="right" readingOrder="0"/>
    </xf>
    <xf borderId="0" fillId="0" fontId="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Font="1"/>
    <xf borderId="0" fillId="0" fontId="4" numFmtId="0" xfId="0" applyAlignment="1" applyFont="1">
      <alignment vertical="bottom"/>
    </xf>
    <xf borderId="0" fillId="4" fontId="18" numFmtId="0" xfId="0" applyAlignment="1" applyFill="1" applyFont="1">
      <alignment readingOrder="0" vertical="bottom"/>
    </xf>
    <xf borderId="0" fillId="5" fontId="3" numFmtId="0" xfId="0" applyAlignment="1" applyFill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4" xfId="0" applyAlignment="1" applyFont="1" applyNumberFormat="1">
      <alignment horizontal="right" readingOrder="0"/>
    </xf>
    <xf borderId="0" fillId="0" fontId="17" numFmtId="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Font="1"/>
    <xf borderId="0" fillId="0" fontId="18" numFmtId="0" xfId="0" applyAlignment="1" applyFont="1">
      <alignment readingOrder="0" vertical="bottom"/>
    </xf>
    <xf borderId="0" fillId="0" fontId="8" numFmtId="4" xfId="0" applyAlignment="1" applyFont="1" applyNumberFormat="1">
      <alignment readingOrder="0"/>
    </xf>
    <xf borderId="0" fillId="0" fontId="8" numFmtId="4" xfId="0" applyAlignment="1" applyFont="1" applyNumberFormat="1">
      <alignment horizontal="right" readingOrder="0"/>
    </xf>
    <xf borderId="0" fillId="0" fontId="1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'Енисей ♂'!$B$1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'Енисей ♂'!$A$2:$A$9</c:f>
            </c:strRef>
          </c:cat>
          <c:val>
            <c:numRef>
              <c:f>'Енисей ♂'!$B$2:$B$9</c:f>
              <c:numCache/>
            </c:numRef>
          </c:val>
        </c:ser>
        <c:ser>
          <c:idx val="1"/>
          <c:order val="1"/>
          <c:tx>
            <c:strRef>
              <c:f>'Енисей ♂'!$C$1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'Енисей ♂'!$A$2:$A$9</c:f>
            </c:strRef>
          </c:cat>
          <c:val>
            <c:numRef>
              <c:f>'Енисей ♂'!$C$2:$C$9</c:f>
              <c:numCache/>
            </c:numRef>
          </c:val>
        </c:ser>
        <c:ser>
          <c:idx val="2"/>
          <c:order val="2"/>
          <c:tx>
            <c:strRef>
              <c:f>'Енисей ♂'!$D$1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'Енисей ♂'!$A$2:$A$9</c:f>
            </c:strRef>
          </c:cat>
          <c:val>
            <c:numRef>
              <c:f>'Енисей ♂'!$D$2:$D$9</c:f>
              <c:numCache/>
            </c:numRef>
          </c:val>
        </c:ser>
        <c:overlap val="100"/>
        <c:axId val="1472101353"/>
        <c:axId val="1746979333"/>
      </c:barChart>
      <c:catAx>
        <c:axId val="1472101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979333"/>
      </c:catAx>
      <c:valAx>
        <c:axId val="1746979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101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'Енисей ♂'!$F$2:$F$9</c:f>
              <c:numCache/>
            </c:numRef>
          </c:val>
          <c:smooth val="0"/>
        </c:ser>
        <c:axId val="1032082710"/>
        <c:axId val="1301139708"/>
      </c:lineChart>
      <c:catAx>
        <c:axId val="1032082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139708"/>
      </c:catAx>
      <c:valAx>
        <c:axId val="1301139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082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'Олива ♀ Fr'!$B$1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'Олива ♀ Fr'!$A$2:$A$8</c:f>
            </c:strRef>
          </c:cat>
          <c:val>
            <c:numRef>
              <c:f>'Олива ♀ Fr'!$B$2:$B$8</c:f>
              <c:numCache/>
            </c:numRef>
          </c:val>
        </c:ser>
        <c:ser>
          <c:idx val="1"/>
          <c:order val="1"/>
          <c:tx>
            <c:strRef>
              <c:f>'Олива ♀ Fr'!$C$1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'Олива ♀ Fr'!$A$2:$A$8</c:f>
            </c:strRef>
          </c:cat>
          <c:val>
            <c:numRef>
              <c:f>'Олива ♀ Fr'!$C$2:$C$8</c:f>
              <c:numCache/>
            </c:numRef>
          </c:val>
        </c:ser>
        <c:ser>
          <c:idx val="2"/>
          <c:order val="2"/>
          <c:tx>
            <c:strRef>
              <c:f>'Олива ♀ Fr'!$D$1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'Олива ♀ Fr'!$A$2:$A$8</c:f>
            </c:strRef>
          </c:cat>
          <c:val>
            <c:numRef>
              <c:f>'Олива ♀ Fr'!$D$2:$D$8</c:f>
              <c:numCache/>
            </c:numRef>
          </c:val>
        </c:ser>
        <c:overlap val="100"/>
        <c:axId val="1237708010"/>
        <c:axId val="1666732463"/>
      </c:barChart>
      <c:catAx>
        <c:axId val="1237708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732463"/>
      </c:catAx>
      <c:valAx>
        <c:axId val="1666732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708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'Олива ♀ Fr'!$F$2:$F$8</c:f>
              <c:numCache/>
            </c:numRef>
          </c:val>
          <c:smooth val="0"/>
        </c:ser>
        <c:axId val="170499062"/>
        <c:axId val="1965269220"/>
      </c:lineChart>
      <c:catAx>
        <c:axId val="170499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269220"/>
      </c:catAx>
      <c:valAx>
        <c:axId val="1965269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499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'Рица ♀'!$B$1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'Рица ♀'!$A$2:$A$12</c:f>
            </c:strRef>
          </c:cat>
          <c:val>
            <c:numRef>
              <c:f>'Рица ♀'!$B$2:$B$12</c:f>
              <c:numCache/>
            </c:numRef>
          </c:val>
        </c:ser>
        <c:ser>
          <c:idx val="1"/>
          <c:order val="1"/>
          <c:tx>
            <c:strRef>
              <c:f>'Рица ♀'!$C$1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'Рица ♀'!$A$2:$A$12</c:f>
            </c:strRef>
          </c:cat>
          <c:val>
            <c:numRef>
              <c:f>'Рица ♀'!$C$2:$C$12</c:f>
              <c:numCache/>
            </c:numRef>
          </c:val>
        </c:ser>
        <c:ser>
          <c:idx val="2"/>
          <c:order val="2"/>
          <c:tx>
            <c:strRef>
              <c:f>'Рица ♀'!$D$1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'Рица ♀'!$A$2:$A$12</c:f>
            </c:strRef>
          </c:cat>
          <c:val>
            <c:numRef>
              <c:f>'Рица ♀'!$D$2:$D$12</c:f>
              <c:numCache/>
            </c:numRef>
          </c:val>
        </c:ser>
        <c:overlap val="100"/>
        <c:axId val="1726805664"/>
        <c:axId val="652428859"/>
      </c:barChart>
      <c:catAx>
        <c:axId val="172680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428859"/>
      </c:catAx>
      <c:valAx>
        <c:axId val="652428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805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'Рица ♀'!$F$2:$F$12</c:f>
              <c:numCache/>
            </c:numRef>
          </c:val>
          <c:smooth val="0"/>
        </c:ser>
        <c:axId val="903441783"/>
        <c:axId val="200055052"/>
      </c:lineChart>
      <c:catAx>
        <c:axId val="903441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55052"/>
      </c:catAx>
      <c:valAx>
        <c:axId val="200055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441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'Саба ♀'!$B$1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'Саба ♀'!$A$2:$A$11</c:f>
            </c:strRef>
          </c:cat>
          <c:val>
            <c:numRef>
              <c:f>'Саба ♀'!$B$2:$B$11</c:f>
              <c:numCache/>
            </c:numRef>
          </c:val>
        </c:ser>
        <c:ser>
          <c:idx val="1"/>
          <c:order val="1"/>
          <c:tx>
            <c:strRef>
              <c:f>'Саба ♀'!$C$1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'Саба ♀'!$A$2:$A$11</c:f>
            </c:strRef>
          </c:cat>
          <c:val>
            <c:numRef>
              <c:f>'Саба ♀'!$C$2:$C$11</c:f>
              <c:numCache/>
            </c:numRef>
          </c:val>
        </c:ser>
        <c:ser>
          <c:idx val="2"/>
          <c:order val="2"/>
          <c:tx>
            <c:strRef>
              <c:f>'Саба ♀'!$D$1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'Саба ♀'!$A$2:$A$11</c:f>
            </c:strRef>
          </c:cat>
          <c:val>
            <c:numRef>
              <c:f>'Саба ♀'!$D$2:$D$11</c:f>
              <c:numCache/>
            </c:numRef>
          </c:val>
        </c:ser>
        <c:overlap val="100"/>
        <c:axId val="1847313743"/>
        <c:axId val="1052705592"/>
      </c:barChart>
      <c:catAx>
        <c:axId val="1847313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705592"/>
      </c:catAx>
      <c:valAx>
        <c:axId val="1052705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313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'Саба ♀'!$F$2:$F$11</c:f>
              <c:numCache/>
            </c:numRef>
          </c:val>
          <c:smooth val="0"/>
        </c:ser>
        <c:axId val="992268359"/>
        <c:axId val="2043437228"/>
      </c:lineChart>
      <c:catAx>
        <c:axId val="992268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437228"/>
      </c:catAx>
      <c:valAx>
        <c:axId val="2043437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268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'Филипп ♂'!$B$1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'Филипп ♂'!$A$2:$A$12</c:f>
            </c:strRef>
          </c:cat>
          <c:val>
            <c:numRef>
              <c:f>'Филипп ♂'!$B$2:$B$12</c:f>
              <c:numCache/>
            </c:numRef>
          </c:val>
        </c:ser>
        <c:ser>
          <c:idx val="1"/>
          <c:order val="1"/>
          <c:tx>
            <c:strRef>
              <c:f>'Филипп ♂'!$C$1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'Филипп ♂'!$A$2:$A$12</c:f>
            </c:strRef>
          </c:cat>
          <c:val>
            <c:numRef>
              <c:f>'Филипп ♂'!$C$2:$C$12</c:f>
              <c:numCache/>
            </c:numRef>
          </c:val>
        </c:ser>
        <c:ser>
          <c:idx val="2"/>
          <c:order val="2"/>
          <c:tx>
            <c:strRef>
              <c:f>'Филипп ♂'!$D$1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'Филипп ♂'!$A$2:$A$12</c:f>
            </c:strRef>
          </c:cat>
          <c:val>
            <c:numRef>
              <c:f>'Филипп ♂'!$D$2:$D$12</c:f>
              <c:numCache/>
            </c:numRef>
          </c:val>
        </c:ser>
        <c:overlap val="100"/>
        <c:axId val="859620679"/>
        <c:axId val="1755926673"/>
      </c:barChart>
      <c:catAx>
        <c:axId val="859620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926673"/>
      </c:catAx>
      <c:valAx>
        <c:axId val="1755926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620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'Филипп ♂'!$F$2:$F$13</c:f>
              <c:numCache/>
            </c:numRef>
          </c:val>
          <c:smooth val="0"/>
        </c:ser>
        <c:axId val="729898896"/>
        <c:axId val="1477121318"/>
      </c:lineChart>
      <c:catAx>
        <c:axId val="72989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121318"/>
      </c:catAx>
      <c:valAx>
        <c:axId val="1477121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898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'Аржаан ♂'!$B$1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'Аржаан ♂'!$A$2:$A$13</c:f>
            </c:strRef>
          </c:cat>
          <c:val>
            <c:numRef>
              <c:f>'Аржаан ♂'!$B$2:$B$13</c:f>
              <c:numCache/>
            </c:numRef>
          </c:val>
        </c:ser>
        <c:ser>
          <c:idx val="1"/>
          <c:order val="1"/>
          <c:tx>
            <c:strRef>
              <c:f>'Аржаан ♂'!$C$1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'Аржаан ♂'!$A$2:$A$13</c:f>
            </c:strRef>
          </c:cat>
          <c:val>
            <c:numRef>
              <c:f>'Аржаан ♂'!$C$2:$C$13</c:f>
              <c:numCache/>
            </c:numRef>
          </c:val>
        </c:ser>
        <c:ser>
          <c:idx val="2"/>
          <c:order val="2"/>
          <c:tx>
            <c:strRef>
              <c:f>'Аржаан ♂'!$D$1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'Аржаан ♂'!$A$2:$A$13</c:f>
            </c:strRef>
          </c:cat>
          <c:val>
            <c:numRef>
              <c:f>'Аржаан ♂'!$D$2:$D$13</c:f>
              <c:numCache/>
            </c:numRef>
          </c:val>
        </c:ser>
        <c:overlap val="100"/>
        <c:axId val="838734562"/>
        <c:axId val="1664675306"/>
      </c:barChart>
      <c:catAx>
        <c:axId val="838734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675306"/>
      </c:catAx>
      <c:valAx>
        <c:axId val="1664675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734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'Аржаан ♂'!$E$2:$E$12</c:f>
              <c:numCache/>
            </c:numRef>
          </c:val>
          <c:smooth val="0"/>
        </c:ser>
        <c:axId val="1418767455"/>
        <c:axId val="845632236"/>
      </c:lineChart>
      <c:catAx>
        <c:axId val="1418767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632236"/>
      </c:catAx>
      <c:valAx>
        <c:axId val="845632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767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'Арга ♀'!$B$1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'Арга ♀'!$A$2:$A$10</c:f>
            </c:strRef>
          </c:cat>
          <c:val>
            <c:numRef>
              <c:f>'Арга ♀'!$B$2:$B$10</c:f>
              <c:numCache/>
            </c:numRef>
          </c:val>
        </c:ser>
        <c:ser>
          <c:idx val="1"/>
          <c:order val="1"/>
          <c:tx>
            <c:strRef>
              <c:f>'Арга ♀'!$C$1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'Арга ♀'!$A$2:$A$10</c:f>
            </c:strRef>
          </c:cat>
          <c:val>
            <c:numRef>
              <c:f>'Арга ♀'!$C$2:$C$10</c:f>
              <c:numCache/>
            </c:numRef>
          </c:val>
        </c:ser>
        <c:ser>
          <c:idx val="2"/>
          <c:order val="2"/>
          <c:tx>
            <c:strRef>
              <c:f>'Арга ♀'!$D$1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'Арга ♀'!$A$2:$A$10</c:f>
            </c:strRef>
          </c:cat>
          <c:val>
            <c:numRef>
              <c:f>'Арга ♀'!$D$2:$D$10</c:f>
              <c:numCache/>
            </c:numRef>
          </c:val>
        </c:ser>
        <c:overlap val="100"/>
        <c:axId val="771556102"/>
        <c:axId val="262235887"/>
      </c:barChart>
      <c:catAx>
        <c:axId val="771556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235887"/>
      </c:catAx>
      <c:valAx>
        <c:axId val="262235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556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'Арга ♀'!$F$2:$F$10</c:f>
              <c:numCache/>
            </c:numRef>
          </c:val>
          <c:smooth val="0"/>
        </c:ser>
        <c:axId val="148886759"/>
        <c:axId val="1969948595"/>
      </c:lineChart>
      <c:catAx>
        <c:axId val="148886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948595"/>
      </c:catAx>
      <c:valAx>
        <c:axId val="1969948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86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'Шикра ♀'!$B$1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'Шикра ♀'!$A$2:$A$14</c:f>
            </c:strRef>
          </c:cat>
          <c:val>
            <c:numRef>
              <c:f>'Шикра ♀'!$B$2:$B$14</c:f>
              <c:numCache/>
            </c:numRef>
          </c:val>
        </c:ser>
        <c:ser>
          <c:idx val="1"/>
          <c:order val="1"/>
          <c:tx>
            <c:strRef>
              <c:f>'Шикра ♀'!$C$1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'Шикра ♀'!$A$2:$A$14</c:f>
            </c:strRef>
          </c:cat>
          <c:val>
            <c:numRef>
              <c:f>'Шикра ♀'!$C$2:$C$14</c:f>
              <c:numCache/>
            </c:numRef>
          </c:val>
        </c:ser>
        <c:ser>
          <c:idx val="2"/>
          <c:order val="2"/>
          <c:tx>
            <c:strRef>
              <c:f>'Шикра ♀'!$D$1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'Шикра ♀'!$A$2:$A$14</c:f>
            </c:strRef>
          </c:cat>
          <c:val>
            <c:numRef>
              <c:f>'Шикра ♀'!$D$2:$D$14</c:f>
              <c:numCache/>
            </c:numRef>
          </c:val>
        </c:ser>
        <c:overlap val="100"/>
        <c:axId val="1973138618"/>
        <c:axId val="1210631920"/>
      </c:barChart>
      <c:catAx>
        <c:axId val="1973138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631920"/>
      </c:catAx>
      <c:valAx>
        <c:axId val="1210631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138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'Шикра ♀'!$F$2:$F$14</c:f>
              <c:numCache/>
            </c:numRef>
          </c:val>
          <c:smooth val="0"/>
        </c:ser>
        <c:axId val="639054951"/>
        <c:axId val="1902821777"/>
      </c:lineChart>
      <c:catAx>
        <c:axId val="639054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821777"/>
      </c:catAx>
      <c:valAx>
        <c:axId val="1902821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054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'Количественный анализ2'!$B$2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анализ2'!$B$3:$B$11</c:f>
              <c:numCache/>
            </c:numRef>
          </c:val>
          <c:smooth val="0"/>
        </c:ser>
        <c:ser>
          <c:idx val="1"/>
          <c:order val="1"/>
          <c:tx>
            <c:strRef>
              <c:f>'Количественный анализ2'!$C$2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анализ2'!$C$3:$C$11</c:f>
              <c:numCache/>
            </c:numRef>
          </c:val>
          <c:smooth val="0"/>
        </c:ser>
        <c:ser>
          <c:idx val="2"/>
          <c:order val="2"/>
          <c:tx>
            <c:strRef>
              <c:f>'Количественный анализ2'!$D$2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анализ2'!$D$3:$D$11</c:f>
              <c:numCache/>
            </c:numRef>
          </c:val>
          <c:smooth val="0"/>
        </c:ser>
        <c:ser>
          <c:idx val="3"/>
          <c:order val="3"/>
          <c:tx>
            <c:strRef>
              <c:f>'Количественный анализ2'!$E$2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анализ2'!$E$3:$E$11</c:f>
              <c:numCache/>
            </c:numRef>
          </c:val>
          <c:smooth val="0"/>
        </c:ser>
        <c:ser>
          <c:idx val="4"/>
          <c:order val="4"/>
          <c:tx>
            <c:strRef>
              <c:f>'Количественный анализ2'!$F$2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анализ2'!$F$3:$F$11</c:f>
              <c:numCache/>
            </c:numRef>
          </c:val>
          <c:smooth val="0"/>
        </c:ser>
        <c:ser>
          <c:idx val="5"/>
          <c:order val="5"/>
          <c:tx>
            <c:strRef>
              <c:f>'Количественный анализ2'!$G$2</c:f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анализ2'!$G$3:$G$11</c:f>
              <c:numCache/>
            </c:numRef>
          </c:val>
          <c:smooth val="0"/>
        </c:ser>
        <c:ser>
          <c:idx val="6"/>
          <c:order val="6"/>
          <c:tx>
            <c:strRef>
              <c:f>'Количественный анализ2'!$H$2</c:f>
            </c:strRef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анализ2'!$H$3:$H$11</c:f>
              <c:numCache/>
            </c:numRef>
          </c:val>
          <c:smooth val="0"/>
        </c:ser>
        <c:ser>
          <c:idx val="7"/>
          <c:order val="7"/>
          <c:tx>
            <c:strRef>
              <c:f>'Количественный анализ2'!$I$2</c:f>
            </c:strRef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анализ2'!$I$3:$I$11</c:f>
              <c:numCache/>
            </c:numRef>
          </c:val>
          <c:smooth val="0"/>
        </c:ser>
        <c:ser>
          <c:idx val="8"/>
          <c:order val="8"/>
          <c:tx>
            <c:strRef>
              <c:f>'Количественный анализ2'!$J$2</c:f>
            </c:strRef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анализ2'!$J$3:$J$11</c:f>
              <c:numCache/>
            </c:numRef>
          </c:val>
          <c:smooth val="0"/>
        </c:ser>
        <c:ser>
          <c:idx val="9"/>
          <c:order val="9"/>
          <c:tx>
            <c:strRef>
              <c:f>'Количественный анализ2'!$K$2</c:f>
            </c:strRef>
          </c:tx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анализ2'!$K$3:$K$11</c:f>
              <c:numCache/>
            </c:numRef>
          </c:val>
          <c:smooth val="0"/>
        </c:ser>
        <c:ser>
          <c:idx val="10"/>
          <c:order val="10"/>
          <c:tx>
            <c:strRef>
              <c:f>'Количественный анализ2'!$L$2</c:f>
            </c:strRef>
          </c:tx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анализ2'!$L$3:$L$11</c:f>
              <c:numCache/>
            </c:numRef>
          </c:val>
          <c:smooth val="0"/>
        </c:ser>
        <c:ser>
          <c:idx val="11"/>
          <c:order val="11"/>
          <c:tx>
            <c:strRef>
              <c:f>'Количественный анализ2'!$M$2</c:f>
            </c:strRef>
          </c:tx>
          <c:spPr>
            <a:ln cmpd="sng">
              <a:solidFill>
                <a:srgbClr val="F9B67E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анализ2'!$M$3:$M$11</c:f>
              <c:numCache/>
            </c:numRef>
          </c:val>
          <c:smooth val="0"/>
        </c:ser>
        <c:ser>
          <c:idx val="12"/>
          <c:order val="12"/>
          <c:tx>
            <c:strRef>
              <c:f>'Количественный анализ2'!$N$2</c:f>
            </c:strRef>
          </c:tx>
          <c:spPr>
            <a:ln cmpd="sng">
              <a:solidFill>
                <a:srgbClr val="B9CDE5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анализ2'!$N$3:$N$11</c:f>
              <c:numCache/>
            </c:numRef>
          </c:val>
          <c:smooth val="0"/>
        </c:ser>
        <c:ser>
          <c:idx val="13"/>
          <c:order val="13"/>
          <c:tx>
            <c:strRef>
              <c:f>'Количественный анализ2'!$O$2</c:f>
            </c:strRef>
          </c:tx>
          <c:spPr>
            <a:ln cmpd="sng">
              <a:solidFill>
                <a:srgbClr val="E6B9B8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анализ2'!$O$3:$O$11</c:f>
              <c:numCache/>
            </c:numRef>
          </c:val>
          <c:smooth val="0"/>
        </c:ser>
        <c:ser>
          <c:idx val="14"/>
          <c:order val="14"/>
          <c:tx>
            <c:strRef>
              <c:f>'Количественный анализ2'!$P$2</c:f>
            </c:strRef>
          </c:tx>
          <c:spPr>
            <a:ln cmpd="sng">
              <a:solidFill>
                <a:srgbClr val="D7E4BD"/>
              </a:solidFill>
            </a:ln>
          </c:spPr>
          <c:marker>
            <c:symbol val="none"/>
          </c:marker>
          <c:cat>
            <c:strRef>
              <c:f>'Количественный анализ2'!$A$3:$A$11</c:f>
            </c:strRef>
          </c:cat>
          <c:val>
            <c:numRef>
              <c:f>'Количественный анализ2'!$P$3:$P$11</c:f>
              <c:numCache/>
            </c:numRef>
          </c:val>
          <c:smooth val="0"/>
        </c:ser>
        <c:axId val="1141345520"/>
        <c:axId val="262225128"/>
      </c:lineChart>
      <c:catAx>
        <c:axId val="11413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225128"/>
      </c:catAx>
      <c:valAx>
        <c:axId val="262225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345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'Для отчёта'!$B$46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отчёта'!$B$47:$B$60</c:f>
              <c:numCache/>
            </c:numRef>
          </c:val>
        </c:ser>
        <c:ser>
          <c:idx val="1"/>
          <c:order val="1"/>
          <c:tx>
            <c:strRef>
              <c:f>'Для отчёта'!$C$46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отчёта'!$C$47:$C$60</c:f>
              <c:numCache/>
            </c:numRef>
          </c:val>
        </c:ser>
        <c:ser>
          <c:idx val="2"/>
          <c:order val="2"/>
          <c:tx>
            <c:strRef>
              <c:f>'Для отчёта'!$D$46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отчёта'!$D$47:$D$60</c:f>
              <c:numCache/>
            </c:numRef>
          </c:val>
        </c:ser>
        <c:ser>
          <c:idx val="3"/>
          <c:order val="3"/>
          <c:tx>
            <c:strRef>
              <c:f>'Для отчёта'!$E$46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отчёта'!$E$47:$E$60</c:f>
              <c:numCache/>
            </c:numRef>
          </c:val>
        </c:ser>
        <c:ser>
          <c:idx val="4"/>
          <c:order val="4"/>
          <c:tx>
            <c:strRef>
              <c:f>'Для отчёта'!$F$46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отчёта'!$F$47:$F$60</c:f>
              <c:numCache/>
            </c:numRef>
          </c:val>
        </c:ser>
        <c:ser>
          <c:idx val="5"/>
          <c:order val="5"/>
          <c:tx>
            <c:strRef>
              <c:f>'Для отчёта'!$G$46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отчёта'!$G$47:$G$60</c:f>
              <c:numCache/>
            </c:numRef>
          </c:val>
        </c:ser>
        <c:ser>
          <c:idx val="6"/>
          <c:order val="6"/>
          <c:tx>
            <c:strRef>
              <c:f>'Для отчёта'!$H$46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отчёта'!$H$47:$H$60</c:f>
              <c:numCache/>
            </c:numRef>
          </c:val>
        </c:ser>
        <c:ser>
          <c:idx val="7"/>
          <c:order val="7"/>
          <c:tx>
            <c:strRef>
              <c:f>'Для отчёта'!$I$46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отчёта'!$I$47:$I$60</c:f>
              <c:numCache/>
            </c:numRef>
          </c:val>
        </c:ser>
        <c:ser>
          <c:idx val="8"/>
          <c:order val="8"/>
          <c:tx>
            <c:strRef>
              <c:f>'Для отчёта'!$J$46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отчёта'!$J$47:$J$60</c:f>
              <c:numCache/>
            </c:numRef>
          </c:val>
        </c:ser>
        <c:ser>
          <c:idx val="9"/>
          <c:order val="9"/>
          <c:tx>
            <c:strRef>
              <c:f>'Для отчёта'!$K$46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отчёта'!$K$47:$K$60</c:f>
              <c:numCache/>
            </c:numRef>
          </c:val>
        </c:ser>
        <c:ser>
          <c:idx val="10"/>
          <c:order val="10"/>
          <c:tx>
            <c:strRef>
              <c:f>'Для отчёта'!$L$46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отчёта'!$L$47:$L$60</c:f>
              <c:numCache/>
            </c:numRef>
          </c:val>
        </c:ser>
        <c:ser>
          <c:idx val="11"/>
          <c:order val="11"/>
          <c:tx>
            <c:strRef>
              <c:f>'Для отчёта'!$M$46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отчёта'!$M$47:$M$60</c:f>
              <c:numCache/>
            </c:numRef>
          </c:val>
        </c:ser>
        <c:ser>
          <c:idx val="12"/>
          <c:order val="12"/>
          <c:tx>
            <c:strRef>
              <c:f>'Для отчёта'!$N$46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отчёта'!$N$47:$N$60</c:f>
              <c:numCache/>
            </c:numRef>
          </c:val>
        </c:ser>
        <c:ser>
          <c:idx val="13"/>
          <c:order val="13"/>
          <c:tx>
            <c:strRef>
              <c:f>'Для отчёта'!$O$46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отчёта'!$O$47:$O$60</c:f>
              <c:numCache/>
            </c:numRef>
          </c:val>
        </c:ser>
        <c:ser>
          <c:idx val="14"/>
          <c:order val="14"/>
          <c:tx>
            <c:strRef>
              <c:f>'Для отчёта'!$P$46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отчёта'!$P$47:$P$60</c:f>
              <c:numCache/>
            </c:numRef>
          </c:val>
        </c:ser>
        <c:ser>
          <c:idx val="15"/>
          <c:order val="15"/>
          <c:tx>
            <c:strRef>
              <c:f>'Для отчёта'!$Q$46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отчёта'!$Q$47:$Q$60</c:f>
              <c:numCache/>
            </c:numRef>
          </c:val>
        </c:ser>
        <c:ser>
          <c:idx val="16"/>
          <c:order val="16"/>
          <c:tx>
            <c:strRef>
              <c:f>'Для отчёта'!$R$46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'Для отчёта'!$A$47:$A$60</c:f>
            </c:strRef>
          </c:cat>
          <c:val>
            <c:numRef>
              <c:f>'Для отчёта'!$R$47:$R$60</c:f>
              <c:numCache/>
            </c:numRef>
          </c:val>
        </c:ser>
        <c:overlap val="100"/>
        <c:axId val="1252649797"/>
        <c:axId val="757203191"/>
      </c:barChart>
      <c:catAx>
        <c:axId val="1252649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757203191"/>
      </c:catAx>
      <c:valAx>
        <c:axId val="757203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649797"/>
      </c:valAx>
    </c:plotArea>
    <c:legend>
      <c:legendPos val="r"/>
      <c:legendEntry>
        <c:idx val="16"/>
        <c:txPr>
          <a:bodyPr/>
          <a:lstStyle/>
          <a:p>
            <a:pPr lvl="0">
              <a:defRPr i="1"/>
            </a:pPr>
          </a:p>
        </c:txPr>
      </c:legendEntry>
      <c:overlay val="0"/>
      <c:txPr>
        <a:bodyPr/>
        <a:lstStyle/>
        <a:p>
          <a:pPr lvl="0">
            <a:defRPr b="0" i="1" sz="2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180975</xdr:rowOff>
    </xdr:from>
    <xdr:ext cx="5705475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638175</xdr:colOff>
      <xdr:row>10</xdr:row>
      <xdr:rowOff>180975</xdr:rowOff>
    </xdr:from>
    <xdr:ext cx="5629275" cy="34956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5695950" cy="35147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762000</xdr:colOff>
      <xdr:row>8</xdr:row>
      <xdr:rowOff>180975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171450</xdr:rowOff>
    </xdr:from>
    <xdr:ext cx="5781675" cy="358140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809625</xdr:colOff>
      <xdr:row>12</xdr:row>
      <xdr:rowOff>180975</xdr:rowOff>
    </xdr:from>
    <xdr:ext cx="5724525" cy="356235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180975</xdr:rowOff>
    </xdr:from>
    <xdr:ext cx="5524500" cy="36099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952500</xdr:colOff>
      <xdr:row>11</xdr:row>
      <xdr:rowOff>180975</xdr:rowOff>
    </xdr:from>
    <xdr:ext cx="5800725" cy="36099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0</xdr:rowOff>
    </xdr:from>
    <xdr:ext cx="5715000" cy="359092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962025</xdr:colOff>
      <xdr:row>14</xdr:row>
      <xdr:rowOff>0</xdr:rowOff>
    </xdr:from>
    <xdr:ext cx="5772150" cy="359092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6858000" cy="4000500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1276350</xdr:colOff>
      <xdr:row>13</xdr:row>
      <xdr:rowOff>0</xdr:rowOff>
    </xdr:from>
    <xdr:ext cx="6429375" cy="4000500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9525</xdr:rowOff>
    </xdr:from>
    <xdr:ext cx="5486400" cy="340042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11</xdr:row>
      <xdr:rowOff>9525</xdr:rowOff>
    </xdr:from>
    <xdr:ext cx="5486400" cy="340042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5800725" cy="3590925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504825</xdr:colOff>
      <xdr:row>15</xdr:row>
      <xdr:rowOff>0</xdr:rowOff>
    </xdr:from>
    <xdr:ext cx="5800725" cy="359092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942975</xdr:colOff>
      <xdr:row>14</xdr:row>
      <xdr:rowOff>9525</xdr:rowOff>
    </xdr:from>
    <xdr:ext cx="4819650" cy="2971800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60</xdr:row>
      <xdr:rowOff>171450</xdr:rowOff>
    </xdr:from>
    <xdr:ext cx="9124950" cy="564832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psv4.userapi.com/c909328/u75973924/docs/d48/6ff6432e5cb9/20240911_130810.jpg?extra=qd9AL9duxgh6ECiwE1hGuVItbiUwBasjvZpACRHKRo_ztJcl8aTohr8PUIwcKt_EBL3J3TwsTq8SrGDAixo36MoYsbHf-35v3wtn8jGNXehxOkNG1WyC5Xwhirfj_XshRONwYi0PhD4THpURlIc8C4M6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4.14"/>
    <col customWidth="1" min="3" max="3" width="13.71"/>
    <col customWidth="1" min="4" max="4" width="12.43"/>
    <col customWidth="1" min="5" max="5" width="8.71"/>
    <col customWidth="1" min="6" max="6" width="19.71"/>
    <col customWidth="1" min="7" max="8" width="8.71"/>
    <col customWidth="1" min="9" max="9" width="25.29"/>
    <col customWidth="1" min="10" max="11" width="8.71"/>
    <col customWidth="1" min="12" max="12" width="17.29"/>
    <col customWidth="1" min="13" max="13" width="25.29"/>
    <col customWidth="1" min="14" max="2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I1" s="4" t="s">
        <v>7</v>
      </c>
      <c r="L1" s="4" t="s">
        <v>8</v>
      </c>
      <c r="M1" s="5" t="s">
        <v>9</v>
      </c>
      <c r="N1" s="4" t="s">
        <v>10</v>
      </c>
    </row>
    <row r="2">
      <c r="A2" s="6" t="s">
        <v>11</v>
      </c>
      <c r="B2" s="7">
        <v>1.0</v>
      </c>
      <c r="C2" s="7">
        <v>0.0</v>
      </c>
      <c r="D2" s="7">
        <v>0.0</v>
      </c>
      <c r="E2" s="8">
        <f t="shared" ref="E2:E9" si="1">AVERAGE(B2:D2)</f>
        <v>0.3333333333</v>
      </c>
      <c r="F2" s="8">
        <f t="shared" ref="F2:F9" si="2">4*E2</f>
        <v>1.333333333</v>
      </c>
      <c r="G2" s="9">
        <f>SUM(F2:F9)</f>
        <v>689.3333333</v>
      </c>
      <c r="I2" s="10" t="s">
        <v>12</v>
      </c>
      <c r="L2" s="10" t="s">
        <v>13</v>
      </c>
      <c r="M2" s="6" t="s">
        <v>11</v>
      </c>
      <c r="N2" s="11" t="s">
        <v>14</v>
      </c>
    </row>
    <row r="3">
      <c r="A3" s="6" t="s">
        <v>15</v>
      </c>
      <c r="B3" s="7">
        <v>1.0</v>
      </c>
      <c r="C3" s="7">
        <v>0.0</v>
      </c>
      <c r="D3" s="7">
        <v>1.0</v>
      </c>
      <c r="E3" s="8">
        <f t="shared" si="1"/>
        <v>0.6666666667</v>
      </c>
      <c r="F3" s="8">
        <f t="shared" si="2"/>
        <v>2.666666667</v>
      </c>
      <c r="I3" s="6"/>
      <c r="M3" s="6" t="s">
        <v>15</v>
      </c>
    </row>
    <row r="4">
      <c r="A4" s="6" t="s">
        <v>16</v>
      </c>
      <c r="B4" s="7">
        <v>14.0</v>
      </c>
      <c r="C4" s="12">
        <v>1.0</v>
      </c>
      <c r="D4" s="7">
        <v>3.0</v>
      </c>
      <c r="E4" s="8">
        <f t="shared" si="1"/>
        <v>6</v>
      </c>
      <c r="F4" s="8">
        <f t="shared" si="2"/>
        <v>24</v>
      </c>
      <c r="I4" s="6"/>
      <c r="M4" s="6" t="s">
        <v>16</v>
      </c>
    </row>
    <row r="5">
      <c r="A5" s="6" t="s">
        <v>17</v>
      </c>
      <c r="B5" s="7">
        <v>7.0</v>
      </c>
      <c r="C5" s="7">
        <v>8.0</v>
      </c>
      <c r="D5" s="7">
        <v>5.0</v>
      </c>
      <c r="E5" s="8">
        <f t="shared" si="1"/>
        <v>6.666666667</v>
      </c>
      <c r="F5" s="8">
        <f t="shared" si="2"/>
        <v>26.66666667</v>
      </c>
      <c r="I5" s="6"/>
      <c r="M5" s="6" t="s">
        <v>17</v>
      </c>
    </row>
    <row r="6">
      <c r="A6" s="6" t="s">
        <v>18</v>
      </c>
      <c r="B6" s="7">
        <v>19.0</v>
      </c>
      <c r="C6" s="7">
        <v>3.0</v>
      </c>
      <c r="D6" s="7">
        <v>6.0</v>
      </c>
      <c r="E6" s="8">
        <f t="shared" si="1"/>
        <v>9.333333333</v>
      </c>
      <c r="F6" s="8">
        <f t="shared" si="2"/>
        <v>37.33333333</v>
      </c>
      <c r="I6" s="6"/>
      <c r="M6" s="6" t="s">
        <v>18</v>
      </c>
    </row>
    <row r="7">
      <c r="A7" s="6" t="s">
        <v>19</v>
      </c>
      <c r="B7" s="7">
        <v>36.0</v>
      </c>
      <c r="C7" s="7">
        <v>24.0</v>
      </c>
      <c r="D7" s="7">
        <v>30.0</v>
      </c>
      <c r="E7" s="8">
        <f t="shared" si="1"/>
        <v>30</v>
      </c>
      <c r="F7" s="8">
        <f t="shared" si="2"/>
        <v>120</v>
      </c>
      <c r="I7" s="6"/>
      <c r="M7" s="6" t="s">
        <v>19</v>
      </c>
    </row>
    <row r="8">
      <c r="A8" s="6" t="s">
        <v>20</v>
      </c>
      <c r="B8" s="7">
        <v>52.0</v>
      </c>
      <c r="C8" s="7">
        <v>63.0</v>
      </c>
      <c r="D8" s="7">
        <v>49.0</v>
      </c>
      <c r="E8" s="8">
        <f t="shared" si="1"/>
        <v>54.66666667</v>
      </c>
      <c r="F8" s="8">
        <f t="shared" si="2"/>
        <v>218.6666667</v>
      </c>
      <c r="I8" s="6"/>
      <c r="M8" s="6" t="s">
        <v>20</v>
      </c>
    </row>
    <row r="9">
      <c r="A9" s="6" t="s">
        <v>21</v>
      </c>
      <c r="B9" s="7">
        <v>77.0</v>
      </c>
      <c r="C9" s="7">
        <v>68.0</v>
      </c>
      <c r="D9" s="7">
        <v>49.0</v>
      </c>
      <c r="E9" s="8">
        <f t="shared" si="1"/>
        <v>64.66666667</v>
      </c>
      <c r="F9" s="8">
        <f t="shared" si="2"/>
        <v>258.6666667</v>
      </c>
      <c r="I9" s="6"/>
      <c r="M9" s="13" t="s">
        <v>22</v>
      </c>
    </row>
    <row r="10">
      <c r="M10" s="13" t="s">
        <v>23</v>
      </c>
    </row>
    <row r="11">
      <c r="M11" s="13" t="s">
        <v>24</v>
      </c>
    </row>
    <row r="12">
      <c r="M12" s="14" t="s">
        <v>25</v>
      </c>
    </row>
    <row r="13">
      <c r="M13" s="13" t="s">
        <v>26</v>
      </c>
    </row>
    <row r="14">
      <c r="M14" s="13" t="s">
        <v>27</v>
      </c>
    </row>
    <row r="16">
      <c r="M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5.43"/>
    <col customWidth="1" min="3" max="3" width="12.14"/>
    <col customWidth="1" min="4" max="4" width="11.86"/>
    <col customWidth="1" min="5" max="5" width="8.71"/>
    <col customWidth="1" min="6" max="6" width="19.86"/>
    <col customWidth="1" min="7" max="8" width="8.71"/>
    <col customWidth="1" min="9" max="9" width="24.71"/>
    <col customWidth="1" min="10" max="10" width="8.71"/>
    <col customWidth="1" min="11" max="11" width="15.71"/>
    <col customWidth="1" min="12" max="12" width="17.14"/>
    <col customWidth="1" min="13" max="13" width="24.71"/>
    <col customWidth="1" min="14" max="2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I1" s="4" t="s">
        <v>7</v>
      </c>
      <c r="K1" s="4"/>
      <c r="L1" s="4" t="s">
        <v>8</v>
      </c>
      <c r="M1" s="5" t="s">
        <v>9</v>
      </c>
      <c r="N1" s="4" t="s">
        <v>10</v>
      </c>
    </row>
    <row r="2">
      <c r="A2" s="6" t="s">
        <v>16</v>
      </c>
      <c r="B2" s="7">
        <v>2.0</v>
      </c>
      <c r="C2" s="7">
        <v>0.0</v>
      </c>
      <c r="D2" s="7">
        <v>0.0</v>
      </c>
      <c r="E2" s="8">
        <f t="shared" ref="E2:E8" si="1">AVERAGE(B2:D2)</f>
        <v>0.6666666667</v>
      </c>
      <c r="F2" s="8">
        <f t="shared" ref="F2:F8" si="2">4*E2</f>
        <v>2.666666667</v>
      </c>
      <c r="G2" s="9">
        <f>SUM(F2:F8)</f>
        <v>856</v>
      </c>
      <c r="I2" s="10" t="s">
        <v>12</v>
      </c>
      <c r="L2" s="10" t="s">
        <v>28</v>
      </c>
      <c r="M2" s="6" t="s">
        <v>11</v>
      </c>
      <c r="N2" s="11" t="s">
        <v>29</v>
      </c>
    </row>
    <row r="3">
      <c r="A3" s="6" t="s">
        <v>15</v>
      </c>
      <c r="B3" s="7">
        <v>6.0</v>
      </c>
      <c r="C3" s="7">
        <v>3.0</v>
      </c>
      <c r="D3" s="7">
        <v>2.0</v>
      </c>
      <c r="E3" s="8">
        <f t="shared" si="1"/>
        <v>3.666666667</v>
      </c>
      <c r="F3" s="8">
        <f t="shared" si="2"/>
        <v>14.66666667</v>
      </c>
      <c r="I3" s="6"/>
      <c r="M3" s="6" t="s">
        <v>25</v>
      </c>
    </row>
    <row r="4">
      <c r="A4" s="6" t="s">
        <v>17</v>
      </c>
      <c r="B4" s="7">
        <v>5.0</v>
      </c>
      <c r="C4" s="7">
        <v>14.0</v>
      </c>
      <c r="D4" s="7">
        <v>18.0</v>
      </c>
      <c r="E4" s="8">
        <f t="shared" si="1"/>
        <v>12.33333333</v>
      </c>
      <c r="F4" s="8">
        <f t="shared" si="2"/>
        <v>49.33333333</v>
      </c>
      <c r="I4" s="6"/>
      <c r="M4" s="6" t="s">
        <v>16</v>
      </c>
    </row>
    <row r="5">
      <c r="A5" s="6" t="s">
        <v>18</v>
      </c>
      <c r="B5" s="7">
        <v>6.0</v>
      </c>
      <c r="C5" s="7">
        <v>3.0</v>
      </c>
      <c r="D5" s="7">
        <v>4.0</v>
      </c>
      <c r="E5" s="8">
        <f t="shared" si="1"/>
        <v>4.333333333</v>
      </c>
      <c r="F5" s="8">
        <f t="shared" si="2"/>
        <v>17.33333333</v>
      </c>
      <c r="I5" s="6"/>
      <c r="M5" s="6" t="s">
        <v>15</v>
      </c>
    </row>
    <row r="6">
      <c r="A6" s="6" t="s">
        <v>19</v>
      </c>
      <c r="B6" s="7">
        <v>35.0</v>
      </c>
      <c r="C6" s="7">
        <v>37.0</v>
      </c>
      <c r="D6" s="7">
        <v>37.0</v>
      </c>
      <c r="E6" s="8">
        <f t="shared" si="1"/>
        <v>36.33333333</v>
      </c>
      <c r="F6" s="8">
        <f t="shared" si="2"/>
        <v>145.3333333</v>
      </c>
      <c r="I6" s="6"/>
      <c r="M6" s="6" t="s">
        <v>18</v>
      </c>
    </row>
    <row r="7">
      <c r="A7" s="6" t="s">
        <v>20</v>
      </c>
      <c r="B7" s="7">
        <v>47.0</v>
      </c>
      <c r="C7" s="7">
        <v>61.0</v>
      </c>
      <c r="D7" s="7">
        <v>67.0</v>
      </c>
      <c r="E7" s="8">
        <f t="shared" si="1"/>
        <v>58.33333333</v>
      </c>
      <c r="F7" s="8">
        <f t="shared" si="2"/>
        <v>233.3333333</v>
      </c>
      <c r="I7" s="6"/>
      <c r="M7" s="6" t="s">
        <v>17</v>
      </c>
    </row>
    <row r="8">
      <c r="A8" s="6" t="s">
        <v>21</v>
      </c>
      <c r="B8" s="7">
        <v>108.0</v>
      </c>
      <c r="C8" s="7">
        <v>88.0</v>
      </c>
      <c r="D8" s="7">
        <v>99.0</v>
      </c>
      <c r="E8" s="8">
        <f t="shared" si="1"/>
        <v>98.33333333</v>
      </c>
      <c r="F8" s="8">
        <f t="shared" si="2"/>
        <v>393.3333333</v>
      </c>
      <c r="I8" s="6"/>
      <c r="M8" s="6" t="s">
        <v>19</v>
      </c>
    </row>
    <row r="9">
      <c r="A9" s="6"/>
      <c r="B9" s="7"/>
      <c r="C9" s="7"/>
      <c r="D9" s="7"/>
      <c r="E9" s="8"/>
      <c r="F9" s="8"/>
      <c r="I9" s="6"/>
      <c r="M9" s="6" t="s">
        <v>20</v>
      </c>
    </row>
    <row r="10">
      <c r="A10" s="6"/>
      <c r="B10" s="7"/>
      <c r="C10" s="7"/>
      <c r="D10" s="7"/>
      <c r="E10" s="8"/>
      <c r="F10" s="8"/>
      <c r="I10" s="6"/>
      <c r="M10" s="13" t="s">
        <v>22</v>
      </c>
    </row>
    <row r="11">
      <c r="A11" s="6"/>
      <c r="I11" s="15"/>
      <c r="M11" s="13" t="s">
        <v>24</v>
      </c>
    </row>
    <row r="12">
      <c r="I12" s="15"/>
      <c r="M12" s="13" t="s">
        <v>23</v>
      </c>
    </row>
    <row r="13">
      <c r="I13" s="15"/>
      <c r="M13" s="13" t="s">
        <v>26</v>
      </c>
    </row>
    <row r="14">
      <c r="M14" s="13" t="s">
        <v>27</v>
      </c>
    </row>
    <row r="15">
      <c r="I15" s="15"/>
      <c r="M15" s="16" t="s">
        <v>30</v>
      </c>
    </row>
    <row r="17">
      <c r="M17" s="11"/>
    </row>
    <row r="21" ht="15.75" customHeight="1">
      <c r="M21" s="17"/>
    </row>
    <row r="22" ht="15.75" customHeight="1">
      <c r="M22" s="1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14"/>
    <col customWidth="1" min="3" max="3" width="12.57"/>
    <col customWidth="1" min="4" max="4" width="12.14"/>
    <col customWidth="1" min="5" max="5" width="12.71"/>
    <col customWidth="1" min="6" max="6" width="23.86"/>
    <col customWidth="1" min="7" max="7" width="14.57"/>
    <col customWidth="1" min="8" max="14" width="8.71"/>
    <col customWidth="1" min="15" max="15" width="13.43"/>
    <col customWidth="1" min="16" max="17" width="8.71"/>
    <col customWidth="1" min="18" max="18" width="15.71"/>
    <col customWidth="1" min="1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8" t="s">
        <v>5</v>
      </c>
      <c r="G1" s="4" t="s">
        <v>6</v>
      </c>
      <c r="O1" s="4" t="s">
        <v>7</v>
      </c>
      <c r="P1" s="19"/>
      <c r="R1" s="4" t="s">
        <v>8</v>
      </c>
      <c r="S1" s="5" t="s">
        <v>9</v>
      </c>
      <c r="V1" s="4" t="s">
        <v>10</v>
      </c>
    </row>
    <row r="2">
      <c r="A2" s="14" t="s">
        <v>25</v>
      </c>
      <c r="B2" s="20">
        <v>0.0</v>
      </c>
      <c r="C2" s="20">
        <v>4.0</v>
      </c>
      <c r="D2" s="20">
        <v>3.0</v>
      </c>
      <c r="E2" s="8">
        <f t="shared" ref="E2:E12" si="1">AVERAGE(B2:D2)</f>
        <v>2.333333333</v>
      </c>
      <c r="F2" s="8">
        <f t="shared" ref="F2:F12" si="2">4*E2</f>
        <v>9.333333333</v>
      </c>
      <c r="G2" s="9">
        <f>SUM(F2:F12)</f>
        <v>101.3333333</v>
      </c>
      <c r="O2" s="10" t="s">
        <v>31</v>
      </c>
      <c r="R2" s="10" t="s">
        <v>32</v>
      </c>
      <c r="S2" s="6" t="s">
        <v>11</v>
      </c>
      <c r="V2" s="10" t="s">
        <v>33</v>
      </c>
    </row>
    <row r="3">
      <c r="A3" s="6" t="s">
        <v>11</v>
      </c>
      <c r="B3" s="20">
        <v>0.0</v>
      </c>
      <c r="C3" s="20">
        <v>0.0</v>
      </c>
      <c r="D3" s="20">
        <v>2.0</v>
      </c>
      <c r="E3" s="8">
        <f t="shared" si="1"/>
        <v>0.6666666667</v>
      </c>
      <c r="F3" s="8">
        <f t="shared" si="2"/>
        <v>2.666666667</v>
      </c>
      <c r="S3" s="6" t="s">
        <v>25</v>
      </c>
      <c r="V3" s="10" t="s">
        <v>34</v>
      </c>
    </row>
    <row r="4">
      <c r="A4" s="6" t="s">
        <v>16</v>
      </c>
      <c r="B4" s="20">
        <v>0.0</v>
      </c>
      <c r="C4" s="20">
        <v>2.0</v>
      </c>
      <c r="D4" s="20">
        <v>0.0</v>
      </c>
      <c r="E4" s="8">
        <f t="shared" si="1"/>
        <v>0.6666666667</v>
      </c>
      <c r="F4" s="8">
        <f t="shared" si="2"/>
        <v>2.666666667</v>
      </c>
      <c r="S4" s="6" t="s">
        <v>16</v>
      </c>
    </row>
    <row r="5">
      <c r="A5" s="6" t="s">
        <v>17</v>
      </c>
      <c r="B5" s="20">
        <v>0.0</v>
      </c>
      <c r="C5" s="20">
        <v>1.0</v>
      </c>
      <c r="D5" s="20">
        <v>2.0</v>
      </c>
      <c r="E5" s="8">
        <f t="shared" si="1"/>
        <v>1</v>
      </c>
      <c r="F5" s="8">
        <f t="shared" si="2"/>
        <v>4</v>
      </c>
      <c r="S5" s="6" t="s">
        <v>15</v>
      </c>
    </row>
    <row r="6">
      <c r="A6" s="14" t="s">
        <v>35</v>
      </c>
      <c r="B6" s="20">
        <v>0.0</v>
      </c>
      <c r="C6" s="20">
        <v>2.0</v>
      </c>
      <c r="D6" s="20">
        <v>3.0</v>
      </c>
      <c r="E6" s="8">
        <f t="shared" si="1"/>
        <v>1.666666667</v>
      </c>
      <c r="F6" s="8">
        <f t="shared" si="2"/>
        <v>6.666666667</v>
      </c>
      <c r="S6" s="6" t="s">
        <v>18</v>
      </c>
    </row>
    <row r="7">
      <c r="A7" s="6" t="s">
        <v>18</v>
      </c>
      <c r="B7" s="20">
        <v>1.0</v>
      </c>
      <c r="C7" s="20">
        <v>0.0</v>
      </c>
      <c r="D7" s="20">
        <v>1.0</v>
      </c>
      <c r="E7" s="8">
        <f t="shared" si="1"/>
        <v>0.6666666667</v>
      </c>
      <c r="F7" s="8">
        <f t="shared" si="2"/>
        <v>2.666666667</v>
      </c>
      <c r="S7" s="6" t="s">
        <v>17</v>
      </c>
    </row>
    <row r="8">
      <c r="A8" s="6" t="s">
        <v>19</v>
      </c>
      <c r="B8" s="20">
        <v>0.0</v>
      </c>
      <c r="C8" s="20">
        <v>0.0</v>
      </c>
      <c r="D8" s="20">
        <v>1.0</v>
      </c>
      <c r="E8" s="8">
        <f t="shared" si="1"/>
        <v>0.3333333333</v>
      </c>
      <c r="F8" s="8">
        <f t="shared" si="2"/>
        <v>1.333333333</v>
      </c>
      <c r="S8" s="6" t="s">
        <v>19</v>
      </c>
    </row>
    <row r="9">
      <c r="A9" s="6" t="s">
        <v>20</v>
      </c>
      <c r="B9" s="20">
        <v>3.0</v>
      </c>
      <c r="C9" s="20">
        <v>2.0</v>
      </c>
      <c r="D9" s="20">
        <v>6.0</v>
      </c>
      <c r="E9" s="8">
        <f t="shared" si="1"/>
        <v>3.666666667</v>
      </c>
      <c r="F9" s="8">
        <f t="shared" si="2"/>
        <v>14.66666667</v>
      </c>
      <c r="S9" s="6" t="s">
        <v>20</v>
      </c>
    </row>
    <row r="10">
      <c r="A10" s="13" t="s">
        <v>36</v>
      </c>
      <c r="B10" s="20">
        <v>2.0</v>
      </c>
      <c r="C10" s="20">
        <v>3.0</v>
      </c>
      <c r="D10" s="20">
        <v>6.0</v>
      </c>
      <c r="E10" s="8">
        <f t="shared" si="1"/>
        <v>3.666666667</v>
      </c>
      <c r="F10" s="8">
        <f t="shared" si="2"/>
        <v>14.66666667</v>
      </c>
      <c r="S10" s="14" t="s">
        <v>26</v>
      </c>
    </row>
    <row r="11">
      <c r="A11" s="13" t="s">
        <v>23</v>
      </c>
      <c r="B11" s="20">
        <v>3.0</v>
      </c>
      <c r="C11" s="20">
        <v>3.0</v>
      </c>
      <c r="D11" s="20">
        <v>4.0</v>
      </c>
      <c r="E11" s="8">
        <f t="shared" si="1"/>
        <v>3.333333333</v>
      </c>
      <c r="F11" s="8">
        <f t="shared" si="2"/>
        <v>13.33333333</v>
      </c>
      <c r="S11" s="14" t="s">
        <v>35</v>
      </c>
    </row>
    <row r="12">
      <c r="A12" s="13" t="s">
        <v>21</v>
      </c>
      <c r="B12" s="20">
        <v>6.0</v>
      </c>
      <c r="C12" s="20">
        <v>6.0</v>
      </c>
      <c r="D12" s="20">
        <v>10.0</v>
      </c>
      <c r="E12" s="8">
        <f t="shared" si="1"/>
        <v>7.333333333</v>
      </c>
      <c r="F12" s="8">
        <f t="shared" si="2"/>
        <v>29.33333333</v>
      </c>
      <c r="S12" s="13" t="s">
        <v>30</v>
      </c>
    </row>
    <row r="13">
      <c r="E13" s="21"/>
      <c r="F13" s="8"/>
      <c r="S13" s="13" t="s">
        <v>37</v>
      </c>
    </row>
    <row r="14">
      <c r="E14" s="21"/>
      <c r="F14" s="8"/>
      <c r="S14" s="13" t="s">
        <v>22</v>
      </c>
    </row>
    <row r="15">
      <c r="E15" s="21"/>
      <c r="F15" s="8"/>
      <c r="S15" s="13" t="s">
        <v>23</v>
      </c>
    </row>
    <row r="16">
      <c r="E16" s="21"/>
      <c r="F16" s="8"/>
    </row>
    <row r="17">
      <c r="E17" s="21"/>
      <c r="F17" s="8"/>
    </row>
    <row r="18">
      <c r="E18" s="21"/>
      <c r="F18" s="8"/>
    </row>
    <row r="19">
      <c r="E19" s="21"/>
      <c r="F19" s="8"/>
    </row>
    <row r="20" ht="15.75" customHeight="1">
      <c r="E20" s="21"/>
      <c r="F20" s="8"/>
    </row>
    <row r="21" ht="15.75" customHeight="1">
      <c r="E21" s="21"/>
      <c r="F21" s="8"/>
    </row>
    <row r="22" ht="15.75" customHeight="1">
      <c r="E22" s="21"/>
      <c r="F22" s="8"/>
    </row>
    <row r="23" ht="15.75" customHeight="1">
      <c r="E23" s="21"/>
      <c r="F23" s="8"/>
    </row>
    <row r="24" ht="15.75" customHeight="1">
      <c r="E24" s="21"/>
      <c r="F24" s="8"/>
    </row>
    <row r="25" ht="15.75" customHeight="1">
      <c r="E25" s="21"/>
      <c r="F25" s="8"/>
    </row>
    <row r="26" ht="15.75" customHeight="1">
      <c r="E26" s="21"/>
      <c r="F26" s="8"/>
    </row>
    <row r="27" ht="15.75" customHeight="1">
      <c r="E27" s="21"/>
      <c r="F27" s="8"/>
    </row>
    <row r="28" ht="15.75" customHeight="1">
      <c r="E28" s="21"/>
      <c r="F28" s="8"/>
    </row>
    <row r="29" ht="15.75" customHeight="1">
      <c r="E29" s="21"/>
      <c r="F29" s="8"/>
    </row>
    <row r="30" ht="15.75" customHeight="1">
      <c r="E30" s="21"/>
      <c r="F30" s="8"/>
    </row>
    <row r="31" ht="15.75" customHeight="1">
      <c r="E31" s="21"/>
      <c r="F31" s="8"/>
    </row>
    <row r="32" ht="15.75" customHeight="1">
      <c r="E32" s="21"/>
      <c r="F32" s="8"/>
    </row>
    <row r="33" ht="15.75" customHeight="1">
      <c r="E33" s="21"/>
      <c r="F33" s="8"/>
    </row>
    <row r="34" ht="15.75" customHeight="1">
      <c r="E34" s="21"/>
      <c r="F34" s="8"/>
    </row>
    <row r="35" ht="15.75" customHeight="1">
      <c r="E35" s="21"/>
      <c r="F35" s="8"/>
    </row>
    <row r="36" ht="15.75" customHeight="1">
      <c r="E36" s="21"/>
      <c r="F36" s="8"/>
    </row>
    <row r="37" ht="15.75" customHeight="1">
      <c r="E37" s="21"/>
      <c r="F37" s="8"/>
    </row>
    <row r="38" ht="15.75" customHeight="1">
      <c r="E38" s="21"/>
      <c r="F38" s="8"/>
    </row>
    <row r="39" ht="15.75" customHeight="1">
      <c r="E39" s="21"/>
      <c r="F39" s="8"/>
    </row>
    <row r="40" ht="15.75" customHeight="1">
      <c r="E40" s="21"/>
      <c r="F40" s="8"/>
    </row>
    <row r="41" ht="15.75" customHeight="1">
      <c r="E41" s="21"/>
      <c r="F41" s="8"/>
    </row>
    <row r="42" ht="15.75" customHeight="1">
      <c r="E42" s="21"/>
      <c r="F42" s="8"/>
    </row>
    <row r="43" ht="15.75" customHeight="1">
      <c r="E43" s="21"/>
      <c r="F43" s="8"/>
    </row>
    <row r="44" ht="15.75" customHeight="1">
      <c r="E44" s="21"/>
      <c r="F44" s="8"/>
    </row>
    <row r="45" ht="15.75" customHeight="1">
      <c r="E45" s="21"/>
      <c r="F45" s="8"/>
    </row>
    <row r="46" ht="15.75" customHeight="1">
      <c r="E46" s="21"/>
      <c r="F46" s="8"/>
    </row>
    <row r="47" ht="15.75" customHeight="1">
      <c r="E47" s="21"/>
      <c r="F47" s="8"/>
    </row>
    <row r="48" ht="15.75" customHeight="1">
      <c r="E48" s="21"/>
      <c r="F48" s="8"/>
    </row>
    <row r="49" ht="15.75" customHeight="1">
      <c r="E49" s="21"/>
      <c r="F49" s="8"/>
    </row>
    <row r="50" ht="15.75" customHeight="1">
      <c r="E50" s="21"/>
      <c r="F50" s="8"/>
    </row>
    <row r="51" ht="15.75" customHeight="1">
      <c r="E51" s="21"/>
      <c r="F51" s="8"/>
    </row>
    <row r="52" ht="15.75" customHeight="1">
      <c r="E52" s="21"/>
      <c r="F52" s="8"/>
    </row>
    <row r="53" ht="15.75" customHeight="1">
      <c r="E53" s="21"/>
      <c r="F53" s="8"/>
    </row>
    <row r="54" ht="15.75" customHeight="1">
      <c r="E54" s="21"/>
      <c r="F54" s="8"/>
    </row>
    <row r="55" ht="15.75" customHeight="1">
      <c r="E55" s="21"/>
      <c r="F55" s="8"/>
    </row>
    <row r="56" ht="15.75" customHeight="1">
      <c r="E56" s="21"/>
      <c r="F56" s="8"/>
    </row>
    <row r="57" ht="15.75" customHeight="1">
      <c r="E57" s="21"/>
      <c r="F57" s="8"/>
    </row>
    <row r="58" ht="15.75" customHeight="1">
      <c r="E58" s="21"/>
      <c r="F58" s="8"/>
    </row>
    <row r="59" ht="15.75" customHeight="1">
      <c r="E59" s="21"/>
      <c r="F59" s="8"/>
    </row>
    <row r="60" ht="15.75" customHeight="1">
      <c r="E60" s="21"/>
      <c r="F60" s="8"/>
    </row>
    <row r="61" ht="15.75" customHeight="1">
      <c r="E61" s="21"/>
      <c r="F61" s="8"/>
    </row>
    <row r="62" ht="15.75" customHeight="1">
      <c r="E62" s="21"/>
      <c r="F62" s="8"/>
    </row>
    <row r="63" ht="15.75" customHeight="1">
      <c r="E63" s="21"/>
      <c r="F63" s="8"/>
    </row>
    <row r="64" ht="15.75" customHeight="1">
      <c r="E64" s="21"/>
      <c r="F64" s="8"/>
    </row>
    <row r="65" ht="15.75" customHeight="1">
      <c r="E65" s="21"/>
      <c r="F65" s="8"/>
    </row>
    <row r="66" ht="15.75" customHeight="1">
      <c r="E66" s="21"/>
      <c r="F66" s="8"/>
    </row>
    <row r="67" ht="15.75" customHeight="1">
      <c r="E67" s="21"/>
      <c r="F67" s="8"/>
    </row>
    <row r="68" ht="15.75" customHeight="1">
      <c r="E68" s="21"/>
      <c r="F68" s="8"/>
    </row>
    <row r="69" ht="15.75" customHeight="1">
      <c r="E69" s="21"/>
      <c r="F69" s="8"/>
    </row>
    <row r="70" ht="15.75" customHeight="1">
      <c r="E70" s="21"/>
      <c r="F70" s="8"/>
    </row>
    <row r="71" ht="15.75" customHeight="1">
      <c r="E71" s="21"/>
      <c r="F71" s="8"/>
    </row>
    <row r="72" ht="15.75" customHeight="1">
      <c r="E72" s="21"/>
      <c r="F72" s="8"/>
    </row>
    <row r="73" ht="15.75" customHeight="1">
      <c r="E73" s="21"/>
      <c r="F73" s="8"/>
    </row>
    <row r="74" ht="15.75" customHeight="1">
      <c r="E74" s="21"/>
      <c r="F74" s="8"/>
    </row>
    <row r="75" ht="15.75" customHeight="1">
      <c r="E75" s="21"/>
      <c r="F75" s="8"/>
    </row>
    <row r="76" ht="15.75" customHeight="1">
      <c r="E76" s="21"/>
      <c r="F76" s="8"/>
    </row>
    <row r="77" ht="15.75" customHeight="1">
      <c r="E77" s="21"/>
      <c r="F77" s="8"/>
    </row>
    <row r="78" ht="15.75" customHeight="1">
      <c r="E78" s="21"/>
      <c r="F78" s="8"/>
    </row>
    <row r="79" ht="15.75" customHeight="1">
      <c r="E79" s="21"/>
      <c r="F79" s="8"/>
    </row>
    <row r="80" ht="15.75" customHeight="1">
      <c r="E80" s="21"/>
      <c r="F80" s="8"/>
    </row>
    <row r="81" ht="15.75" customHeight="1">
      <c r="E81" s="21"/>
      <c r="F81" s="8"/>
    </row>
    <row r="82" ht="15.75" customHeight="1">
      <c r="E82" s="21"/>
      <c r="F82" s="8"/>
    </row>
    <row r="83" ht="15.75" customHeight="1">
      <c r="E83" s="21"/>
      <c r="F83" s="8"/>
    </row>
    <row r="84" ht="15.75" customHeight="1">
      <c r="E84" s="21"/>
      <c r="F84" s="8"/>
    </row>
    <row r="85" ht="15.75" customHeight="1">
      <c r="E85" s="21"/>
      <c r="F85" s="8"/>
    </row>
    <row r="86" ht="15.75" customHeight="1">
      <c r="E86" s="21"/>
      <c r="F86" s="8"/>
    </row>
    <row r="87" ht="15.75" customHeight="1">
      <c r="E87" s="21"/>
      <c r="F87" s="8"/>
    </row>
    <row r="88" ht="15.75" customHeight="1">
      <c r="E88" s="21"/>
      <c r="F88" s="8"/>
    </row>
    <row r="89" ht="15.75" customHeight="1">
      <c r="E89" s="21"/>
      <c r="F89" s="8"/>
    </row>
    <row r="90" ht="15.75" customHeight="1">
      <c r="E90" s="21"/>
      <c r="F90" s="8"/>
    </row>
    <row r="91" ht="15.75" customHeight="1">
      <c r="E91" s="21"/>
      <c r="F91" s="8"/>
    </row>
    <row r="92" ht="15.75" customHeight="1">
      <c r="E92" s="21"/>
      <c r="F92" s="8"/>
    </row>
    <row r="93" ht="15.75" customHeight="1">
      <c r="E93" s="21"/>
      <c r="F93" s="8"/>
    </row>
    <row r="94" ht="15.75" customHeight="1">
      <c r="E94" s="21"/>
      <c r="F94" s="8"/>
    </row>
    <row r="95" ht="15.75" customHeight="1">
      <c r="E95" s="21"/>
      <c r="F95" s="8"/>
    </row>
    <row r="96" ht="15.75" customHeight="1">
      <c r="E96" s="21"/>
      <c r="F96" s="8"/>
    </row>
    <row r="97" ht="15.75" customHeight="1">
      <c r="E97" s="21"/>
      <c r="F97" s="8"/>
    </row>
    <row r="98" ht="15.75" customHeight="1">
      <c r="E98" s="21"/>
      <c r="F98" s="8"/>
    </row>
    <row r="99" ht="15.75" customHeight="1">
      <c r="E99" s="21"/>
      <c r="F99" s="8"/>
    </row>
    <row r="100" ht="15.75" customHeight="1">
      <c r="E100" s="21"/>
      <c r="F100" s="8"/>
    </row>
    <row r="101" ht="15.75" customHeight="1">
      <c r="E101" s="21"/>
      <c r="F101" s="8"/>
    </row>
    <row r="102" ht="15.75" customHeight="1">
      <c r="E102" s="21"/>
      <c r="F102" s="8"/>
    </row>
    <row r="103" ht="15.75" customHeight="1">
      <c r="E103" s="21"/>
      <c r="F103" s="8"/>
    </row>
    <row r="104" ht="15.75" customHeight="1">
      <c r="E104" s="21"/>
      <c r="F104" s="8"/>
    </row>
    <row r="105" ht="15.75" customHeight="1">
      <c r="E105" s="21"/>
      <c r="F105" s="8"/>
    </row>
    <row r="106" ht="15.75" customHeight="1">
      <c r="E106" s="21"/>
      <c r="F106" s="8"/>
    </row>
    <row r="107" ht="15.75" customHeight="1">
      <c r="E107" s="21"/>
      <c r="F107" s="8"/>
    </row>
    <row r="108" ht="15.75" customHeight="1">
      <c r="E108" s="21"/>
      <c r="F108" s="8"/>
    </row>
    <row r="109" ht="15.75" customHeight="1">
      <c r="E109" s="21"/>
      <c r="F109" s="8"/>
    </row>
    <row r="110" ht="15.75" customHeight="1">
      <c r="E110" s="21"/>
      <c r="F110" s="8"/>
    </row>
    <row r="111" ht="15.75" customHeight="1">
      <c r="E111" s="21"/>
      <c r="F111" s="8"/>
    </row>
    <row r="112" ht="15.75" customHeight="1">
      <c r="E112" s="21"/>
      <c r="F112" s="8"/>
    </row>
    <row r="113" ht="15.75" customHeight="1">
      <c r="E113" s="21"/>
      <c r="F113" s="8"/>
    </row>
    <row r="114" ht="15.75" customHeight="1">
      <c r="E114" s="21"/>
      <c r="F114" s="8"/>
    </row>
    <row r="115" ht="15.75" customHeight="1">
      <c r="E115" s="21"/>
      <c r="F115" s="8"/>
    </row>
    <row r="116" ht="15.75" customHeight="1">
      <c r="E116" s="21"/>
      <c r="F116" s="8"/>
    </row>
    <row r="117" ht="15.75" customHeight="1">
      <c r="E117" s="21"/>
      <c r="F117" s="8"/>
    </row>
    <row r="118" ht="15.75" customHeight="1">
      <c r="E118" s="21"/>
      <c r="F118" s="8"/>
    </row>
    <row r="119" ht="15.75" customHeight="1">
      <c r="E119" s="21"/>
      <c r="F119" s="8"/>
    </row>
    <row r="120" ht="15.75" customHeight="1">
      <c r="E120" s="21"/>
      <c r="F120" s="8"/>
    </row>
    <row r="121" ht="15.75" customHeight="1">
      <c r="E121" s="21"/>
      <c r="F121" s="8"/>
    </row>
    <row r="122" ht="15.75" customHeight="1">
      <c r="E122" s="21"/>
      <c r="F122" s="8"/>
    </row>
    <row r="123" ht="15.75" customHeight="1">
      <c r="E123" s="21"/>
      <c r="F123" s="8"/>
    </row>
    <row r="124" ht="15.75" customHeight="1">
      <c r="E124" s="21"/>
      <c r="F124" s="8"/>
    </row>
    <row r="125" ht="15.75" customHeight="1">
      <c r="E125" s="21"/>
      <c r="F125" s="8"/>
    </row>
    <row r="126" ht="15.75" customHeight="1">
      <c r="E126" s="21"/>
      <c r="F126" s="8"/>
    </row>
    <row r="127" ht="15.75" customHeight="1">
      <c r="E127" s="21"/>
      <c r="F127" s="8"/>
    </row>
    <row r="128" ht="15.75" customHeight="1">
      <c r="E128" s="21"/>
      <c r="F128" s="8"/>
    </row>
    <row r="129" ht="15.75" customHeight="1">
      <c r="E129" s="21"/>
      <c r="F129" s="8"/>
    </row>
    <row r="130" ht="15.75" customHeight="1">
      <c r="E130" s="21"/>
      <c r="F130" s="8"/>
    </row>
    <row r="131" ht="15.75" customHeight="1">
      <c r="E131" s="21"/>
      <c r="F131" s="8"/>
    </row>
    <row r="132" ht="15.75" customHeight="1">
      <c r="E132" s="21"/>
      <c r="F132" s="8"/>
    </row>
    <row r="133" ht="15.75" customHeight="1">
      <c r="E133" s="21"/>
      <c r="F133" s="8"/>
    </row>
    <row r="134" ht="15.75" customHeight="1">
      <c r="E134" s="21"/>
      <c r="F134" s="8"/>
    </row>
    <row r="135" ht="15.75" customHeight="1">
      <c r="E135" s="21"/>
      <c r="F135" s="8"/>
    </row>
    <row r="136" ht="15.75" customHeight="1">
      <c r="E136" s="21"/>
      <c r="F136" s="8"/>
    </row>
    <row r="137" ht="15.75" customHeight="1">
      <c r="E137" s="21"/>
      <c r="F137" s="8"/>
    </row>
    <row r="138" ht="15.75" customHeight="1">
      <c r="E138" s="21"/>
      <c r="F138" s="8"/>
    </row>
    <row r="139" ht="15.75" customHeight="1">
      <c r="E139" s="21"/>
      <c r="F139" s="8"/>
    </row>
    <row r="140" ht="15.75" customHeight="1">
      <c r="E140" s="21"/>
      <c r="F140" s="8"/>
    </row>
    <row r="141" ht="15.75" customHeight="1">
      <c r="E141" s="21"/>
      <c r="F141" s="8"/>
    </row>
    <row r="142" ht="15.75" customHeight="1">
      <c r="E142" s="21"/>
      <c r="F142" s="8"/>
    </row>
    <row r="143" ht="15.75" customHeight="1">
      <c r="E143" s="21"/>
      <c r="F143" s="8"/>
    </row>
    <row r="144" ht="15.75" customHeight="1">
      <c r="E144" s="21"/>
      <c r="F144" s="8"/>
    </row>
    <row r="145" ht="15.75" customHeight="1">
      <c r="E145" s="21"/>
      <c r="F145" s="8"/>
    </row>
    <row r="146" ht="15.75" customHeight="1">
      <c r="E146" s="21"/>
      <c r="F146" s="8"/>
    </row>
    <row r="147" ht="15.75" customHeight="1">
      <c r="E147" s="21"/>
      <c r="F147" s="8"/>
    </row>
    <row r="148" ht="15.75" customHeight="1">
      <c r="E148" s="21"/>
      <c r="F148" s="8"/>
    </row>
    <row r="149" ht="15.75" customHeight="1">
      <c r="E149" s="21"/>
      <c r="F149" s="8"/>
    </row>
    <row r="150" ht="15.75" customHeight="1">
      <c r="E150" s="21"/>
      <c r="F150" s="8"/>
    </row>
    <row r="151" ht="15.75" customHeight="1">
      <c r="E151" s="21"/>
      <c r="F151" s="8"/>
    </row>
    <row r="152" ht="15.75" customHeight="1">
      <c r="E152" s="21"/>
      <c r="F152" s="8"/>
    </row>
    <row r="153" ht="15.75" customHeight="1">
      <c r="E153" s="21"/>
      <c r="F153" s="8"/>
    </row>
    <row r="154" ht="15.75" customHeight="1">
      <c r="E154" s="21"/>
      <c r="F154" s="8"/>
    </row>
    <row r="155" ht="15.75" customHeight="1">
      <c r="E155" s="21"/>
      <c r="F155" s="8"/>
    </row>
    <row r="156" ht="15.75" customHeight="1">
      <c r="E156" s="21"/>
      <c r="F156" s="8"/>
    </row>
    <row r="157" ht="15.75" customHeight="1">
      <c r="E157" s="21"/>
      <c r="F157" s="8"/>
    </row>
    <row r="158" ht="15.75" customHeight="1">
      <c r="E158" s="21"/>
      <c r="F158" s="8"/>
    </row>
    <row r="159" ht="15.75" customHeight="1">
      <c r="E159" s="21"/>
      <c r="F159" s="8"/>
    </row>
    <row r="160" ht="15.75" customHeight="1">
      <c r="E160" s="21"/>
      <c r="F160" s="8"/>
    </row>
    <row r="161" ht="15.75" customHeight="1">
      <c r="E161" s="21"/>
      <c r="F161" s="8"/>
    </row>
    <row r="162" ht="15.75" customHeight="1">
      <c r="E162" s="21"/>
      <c r="F162" s="8"/>
    </row>
    <row r="163" ht="15.75" customHeight="1">
      <c r="E163" s="21"/>
      <c r="F163" s="8"/>
    </row>
    <row r="164" ht="15.75" customHeight="1">
      <c r="E164" s="21"/>
      <c r="F164" s="8"/>
    </row>
    <row r="165" ht="15.75" customHeight="1">
      <c r="E165" s="21"/>
      <c r="F165" s="8"/>
    </row>
    <row r="166" ht="15.75" customHeight="1">
      <c r="E166" s="21"/>
      <c r="F166" s="8"/>
    </row>
    <row r="167" ht="15.75" customHeight="1">
      <c r="E167" s="21"/>
      <c r="F167" s="8"/>
    </row>
    <row r="168" ht="15.75" customHeight="1">
      <c r="E168" s="21"/>
      <c r="F168" s="8"/>
    </row>
    <row r="169" ht="15.75" customHeight="1">
      <c r="E169" s="21"/>
      <c r="F169" s="8"/>
    </row>
    <row r="170" ht="15.75" customHeight="1">
      <c r="E170" s="21"/>
      <c r="F170" s="8"/>
    </row>
    <row r="171" ht="15.75" customHeight="1">
      <c r="E171" s="21"/>
      <c r="F171" s="8"/>
    </row>
    <row r="172" ht="15.75" customHeight="1">
      <c r="E172" s="21"/>
      <c r="F172" s="8"/>
    </row>
    <row r="173" ht="15.75" customHeight="1">
      <c r="E173" s="21"/>
      <c r="F173" s="8"/>
    </row>
    <row r="174" ht="15.75" customHeight="1">
      <c r="E174" s="21"/>
      <c r="F174" s="8"/>
    </row>
    <row r="175" ht="15.75" customHeight="1">
      <c r="E175" s="21"/>
      <c r="F175" s="8"/>
    </row>
    <row r="176" ht="15.75" customHeight="1">
      <c r="E176" s="21"/>
      <c r="F176" s="8"/>
    </row>
    <row r="177" ht="15.75" customHeight="1">
      <c r="E177" s="21"/>
      <c r="F177" s="8"/>
    </row>
    <row r="178" ht="15.75" customHeight="1">
      <c r="E178" s="21"/>
      <c r="F178" s="8"/>
    </row>
    <row r="179" ht="15.75" customHeight="1">
      <c r="E179" s="21"/>
      <c r="F179" s="8"/>
    </row>
    <row r="180" ht="15.75" customHeight="1">
      <c r="E180" s="21"/>
      <c r="F180" s="8"/>
    </row>
    <row r="181" ht="15.75" customHeight="1">
      <c r="E181" s="21"/>
      <c r="F181" s="8"/>
    </row>
    <row r="182" ht="15.75" customHeight="1">
      <c r="E182" s="21"/>
      <c r="F182" s="8"/>
    </row>
    <row r="183" ht="15.75" customHeight="1">
      <c r="E183" s="21"/>
      <c r="F183" s="8"/>
    </row>
    <row r="184" ht="15.75" customHeight="1">
      <c r="E184" s="21"/>
      <c r="F184" s="8"/>
    </row>
    <row r="185" ht="15.75" customHeight="1">
      <c r="E185" s="21"/>
      <c r="F185" s="8"/>
    </row>
    <row r="186" ht="15.75" customHeight="1">
      <c r="E186" s="21"/>
      <c r="F186" s="8"/>
    </row>
    <row r="187" ht="15.75" customHeight="1">
      <c r="E187" s="21"/>
      <c r="F187" s="8"/>
    </row>
    <row r="188" ht="15.75" customHeight="1">
      <c r="E188" s="21"/>
      <c r="F188" s="8"/>
    </row>
    <row r="189" ht="15.75" customHeight="1">
      <c r="E189" s="21"/>
      <c r="F189" s="8"/>
    </row>
    <row r="190" ht="15.75" customHeight="1">
      <c r="E190" s="21"/>
      <c r="F190" s="8"/>
    </row>
    <row r="191" ht="15.75" customHeight="1">
      <c r="E191" s="21"/>
      <c r="F191" s="8"/>
    </row>
    <row r="192" ht="15.75" customHeight="1">
      <c r="E192" s="21"/>
      <c r="F192" s="8"/>
    </row>
    <row r="193" ht="15.75" customHeight="1">
      <c r="E193" s="21"/>
      <c r="F193" s="8"/>
    </row>
    <row r="194" ht="15.75" customHeight="1">
      <c r="E194" s="21"/>
      <c r="F194" s="8"/>
    </row>
    <row r="195" ht="15.75" customHeight="1">
      <c r="E195" s="21"/>
      <c r="F195" s="8"/>
    </row>
    <row r="196" ht="15.75" customHeight="1">
      <c r="E196" s="21"/>
      <c r="F196" s="8"/>
    </row>
    <row r="197" ht="15.75" customHeight="1">
      <c r="E197" s="21"/>
      <c r="F197" s="8"/>
    </row>
    <row r="198" ht="15.75" customHeight="1">
      <c r="E198" s="21"/>
      <c r="F198" s="8"/>
    </row>
    <row r="199" ht="15.75" customHeight="1">
      <c r="E199" s="21"/>
      <c r="F199" s="8"/>
    </row>
    <row r="200" ht="15.75" customHeight="1">
      <c r="E200" s="21"/>
      <c r="F200" s="8"/>
    </row>
    <row r="201" ht="15.75" customHeight="1">
      <c r="E201" s="21"/>
      <c r="F201" s="8"/>
    </row>
    <row r="202" ht="15.75" customHeight="1">
      <c r="E202" s="21"/>
      <c r="F202" s="8"/>
    </row>
    <row r="203" ht="15.75" customHeight="1">
      <c r="E203" s="21"/>
      <c r="F203" s="8"/>
    </row>
    <row r="204" ht="15.75" customHeight="1">
      <c r="E204" s="21"/>
      <c r="F204" s="8"/>
    </row>
    <row r="205" ht="15.75" customHeight="1">
      <c r="E205" s="21"/>
      <c r="F205" s="8"/>
    </row>
    <row r="206" ht="15.75" customHeight="1">
      <c r="E206" s="21"/>
      <c r="F206" s="8"/>
    </row>
    <row r="207" ht="15.75" customHeight="1">
      <c r="E207" s="21"/>
      <c r="F207" s="8"/>
    </row>
    <row r="208" ht="15.75" customHeight="1">
      <c r="E208" s="21"/>
      <c r="F208" s="8"/>
    </row>
    <row r="209" ht="15.75" customHeight="1">
      <c r="E209" s="21"/>
      <c r="F209" s="8"/>
    </row>
    <row r="210" ht="15.75" customHeight="1">
      <c r="E210" s="21"/>
      <c r="F210" s="8"/>
    </row>
    <row r="211" ht="15.75" customHeight="1">
      <c r="E211" s="21"/>
      <c r="F211" s="8"/>
    </row>
    <row r="212" ht="15.75" customHeight="1">
      <c r="E212" s="21"/>
      <c r="F212" s="8"/>
    </row>
    <row r="213" ht="15.75" customHeight="1">
      <c r="E213" s="21"/>
      <c r="F213" s="8"/>
    </row>
    <row r="214" ht="15.75" customHeight="1">
      <c r="E214" s="21"/>
      <c r="F214" s="8"/>
    </row>
    <row r="215" ht="15.75" customHeight="1">
      <c r="E215" s="21"/>
      <c r="F215" s="8"/>
    </row>
    <row r="216" ht="15.75" customHeight="1">
      <c r="E216" s="21"/>
      <c r="F216" s="8"/>
    </row>
    <row r="217" ht="15.75" customHeight="1">
      <c r="E217" s="21"/>
      <c r="F217" s="8"/>
    </row>
    <row r="218" ht="15.75" customHeight="1">
      <c r="E218" s="21"/>
      <c r="F218" s="8"/>
    </row>
    <row r="219" ht="15.75" customHeight="1">
      <c r="E219" s="21"/>
      <c r="F219" s="8"/>
    </row>
    <row r="220" ht="15.75" customHeight="1">
      <c r="E220" s="21"/>
      <c r="F220" s="8"/>
    </row>
    <row r="221" ht="15.75" customHeight="1">
      <c r="E221" s="21"/>
      <c r="F221" s="8"/>
    </row>
    <row r="222" ht="15.75" customHeight="1">
      <c r="E222" s="21"/>
      <c r="F222" s="8"/>
    </row>
    <row r="223" ht="15.75" customHeight="1">
      <c r="E223" s="21"/>
      <c r="F223" s="8"/>
    </row>
    <row r="224" ht="15.75" customHeight="1">
      <c r="E224" s="21"/>
      <c r="F224" s="8"/>
    </row>
    <row r="225" ht="15.75" customHeight="1">
      <c r="E225" s="21"/>
      <c r="F225" s="8"/>
    </row>
    <row r="226" ht="15.75" customHeight="1">
      <c r="E226" s="21"/>
      <c r="F226" s="8"/>
    </row>
    <row r="227" ht="15.75" customHeight="1">
      <c r="E227" s="21"/>
      <c r="F227" s="8"/>
    </row>
    <row r="228" ht="15.75" customHeight="1">
      <c r="E228" s="21"/>
      <c r="F228" s="8"/>
    </row>
    <row r="229" ht="15.75" customHeight="1">
      <c r="E229" s="21"/>
      <c r="F229" s="8"/>
    </row>
    <row r="230" ht="15.75" customHeight="1">
      <c r="E230" s="21"/>
      <c r="F230" s="8"/>
    </row>
    <row r="231" ht="15.75" customHeight="1">
      <c r="E231" s="21"/>
      <c r="F231" s="8"/>
    </row>
    <row r="232" ht="15.75" customHeight="1">
      <c r="E232" s="21"/>
      <c r="F232" s="8"/>
    </row>
    <row r="233" ht="15.75" customHeight="1">
      <c r="E233" s="21"/>
      <c r="F233" s="8"/>
    </row>
    <row r="234" ht="15.75" customHeight="1">
      <c r="E234" s="21"/>
      <c r="F234" s="8"/>
    </row>
    <row r="235" ht="15.75" customHeight="1">
      <c r="E235" s="21"/>
      <c r="F235" s="8"/>
    </row>
    <row r="236" ht="15.75" customHeight="1">
      <c r="E236" s="21"/>
      <c r="F236" s="8"/>
    </row>
    <row r="237" ht="15.75" customHeight="1">
      <c r="E237" s="21"/>
      <c r="F237" s="8"/>
    </row>
    <row r="238" ht="15.75" customHeight="1">
      <c r="E238" s="21"/>
      <c r="F238" s="8"/>
    </row>
    <row r="239" ht="15.75" customHeight="1">
      <c r="E239" s="21"/>
      <c r="F239" s="8"/>
    </row>
    <row r="240" ht="15.75" customHeight="1">
      <c r="E240" s="21"/>
      <c r="F240" s="8"/>
    </row>
    <row r="241" ht="15.75" customHeight="1">
      <c r="E241" s="21"/>
      <c r="F241" s="8"/>
    </row>
    <row r="242" ht="15.75" customHeight="1">
      <c r="E242" s="21"/>
      <c r="F242" s="8"/>
    </row>
    <row r="243" ht="15.75" customHeight="1">
      <c r="E243" s="21"/>
      <c r="F243" s="8"/>
    </row>
    <row r="244" ht="15.75" customHeight="1">
      <c r="E244" s="21"/>
      <c r="F244" s="8"/>
    </row>
    <row r="245" ht="15.75" customHeight="1">
      <c r="E245" s="21"/>
      <c r="F245" s="8"/>
    </row>
    <row r="246" ht="15.75" customHeight="1">
      <c r="E246" s="21"/>
      <c r="F246" s="8"/>
    </row>
    <row r="247" ht="15.75" customHeight="1">
      <c r="E247" s="21"/>
      <c r="F247" s="8"/>
    </row>
    <row r="248" ht="15.75" customHeight="1">
      <c r="E248" s="21"/>
      <c r="F248" s="8"/>
    </row>
    <row r="249" ht="15.75" customHeight="1">
      <c r="E249" s="21"/>
      <c r="F249" s="8"/>
    </row>
    <row r="250" ht="15.75" customHeight="1">
      <c r="E250" s="21"/>
      <c r="F250" s="8"/>
    </row>
    <row r="251" ht="15.75" customHeight="1">
      <c r="E251" s="21"/>
      <c r="F251" s="8"/>
    </row>
    <row r="252" ht="15.75" customHeight="1">
      <c r="E252" s="21"/>
      <c r="F252" s="8"/>
    </row>
    <row r="253" ht="15.75" customHeight="1">
      <c r="E253" s="21"/>
      <c r="F253" s="8"/>
    </row>
    <row r="254" ht="15.75" customHeight="1">
      <c r="E254" s="21"/>
      <c r="F254" s="8"/>
    </row>
    <row r="255" ht="15.75" customHeight="1">
      <c r="E255" s="21"/>
      <c r="F255" s="8"/>
    </row>
    <row r="256" ht="15.75" customHeight="1">
      <c r="E256" s="21"/>
      <c r="F256" s="8"/>
    </row>
    <row r="257" ht="15.75" customHeight="1">
      <c r="E257" s="21"/>
      <c r="F257" s="8"/>
    </row>
    <row r="258" ht="15.75" customHeight="1">
      <c r="E258" s="21"/>
      <c r="F258" s="8"/>
    </row>
    <row r="259" ht="15.75" customHeight="1">
      <c r="E259" s="21"/>
      <c r="F259" s="8"/>
    </row>
    <row r="260" ht="15.75" customHeight="1">
      <c r="E260" s="21"/>
      <c r="F260" s="8"/>
    </row>
    <row r="261" ht="15.75" customHeight="1">
      <c r="E261" s="21"/>
      <c r="F261" s="8"/>
    </row>
    <row r="262" ht="15.75" customHeight="1">
      <c r="E262" s="21"/>
      <c r="F262" s="8"/>
    </row>
    <row r="263" ht="15.75" customHeight="1">
      <c r="E263" s="21"/>
      <c r="F263" s="8"/>
    </row>
    <row r="264" ht="15.75" customHeight="1">
      <c r="E264" s="21"/>
      <c r="F264" s="8"/>
    </row>
    <row r="265" ht="15.75" customHeight="1">
      <c r="E265" s="21"/>
      <c r="F265" s="8"/>
    </row>
    <row r="266" ht="15.75" customHeight="1">
      <c r="E266" s="21"/>
      <c r="F266" s="8"/>
    </row>
    <row r="267" ht="15.75" customHeight="1">
      <c r="E267" s="21"/>
      <c r="F267" s="8"/>
    </row>
    <row r="268" ht="15.75" customHeight="1">
      <c r="E268" s="21"/>
      <c r="F268" s="8"/>
    </row>
    <row r="269" ht="15.75" customHeight="1">
      <c r="E269" s="21"/>
      <c r="F269" s="8"/>
    </row>
    <row r="270" ht="15.75" customHeight="1">
      <c r="E270" s="21"/>
      <c r="F270" s="8"/>
    </row>
    <row r="271" ht="15.75" customHeight="1">
      <c r="E271" s="21"/>
      <c r="F271" s="8"/>
    </row>
    <row r="272" ht="15.75" customHeight="1">
      <c r="E272" s="21"/>
      <c r="F272" s="8"/>
    </row>
    <row r="273" ht="15.75" customHeight="1">
      <c r="E273" s="21"/>
      <c r="F273" s="8"/>
    </row>
    <row r="274" ht="15.75" customHeight="1">
      <c r="E274" s="21"/>
      <c r="F274" s="8"/>
    </row>
    <row r="275" ht="15.75" customHeight="1">
      <c r="E275" s="21"/>
      <c r="F275" s="8"/>
    </row>
    <row r="276" ht="15.75" customHeight="1">
      <c r="E276" s="21"/>
      <c r="F276" s="8"/>
    </row>
    <row r="277" ht="15.75" customHeight="1">
      <c r="E277" s="21"/>
      <c r="F277" s="8"/>
    </row>
    <row r="278" ht="15.75" customHeight="1">
      <c r="E278" s="21"/>
      <c r="F278" s="8"/>
    </row>
    <row r="279" ht="15.75" customHeight="1">
      <c r="E279" s="21"/>
      <c r="F279" s="8"/>
    </row>
    <row r="280" ht="15.75" customHeight="1">
      <c r="E280" s="21"/>
      <c r="F280" s="8"/>
    </row>
    <row r="281" ht="15.75" customHeight="1">
      <c r="E281" s="21"/>
      <c r="F281" s="8"/>
    </row>
    <row r="282" ht="15.75" customHeight="1">
      <c r="E282" s="21"/>
      <c r="F282" s="8"/>
    </row>
    <row r="283" ht="15.75" customHeight="1">
      <c r="E283" s="21"/>
      <c r="F283" s="8"/>
    </row>
    <row r="284" ht="15.75" customHeight="1">
      <c r="E284" s="21"/>
      <c r="F284" s="8"/>
    </row>
    <row r="285" ht="15.75" customHeight="1">
      <c r="E285" s="21"/>
      <c r="F285" s="8"/>
    </row>
    <row r="286" ht="15.75" customHeight="1">
      <c r="E286" s="21"/>
      <c r="F286" s="8"/>
    </row>
    <row r="287" ht="15.75" customHeight="1">
      <c r="E287" s="21"/>
      <c r="F287" s="8"/>
    </row>
    <row r="288" ht="15.75" customHeight="1">
      <c r="E288" s="21"/>
      <c r="F288" s="8"/>
    </row>
    <row r="289" ht="15.75" customHeight="1">
      <c r="E289" s="21"/>
      <c r="F289" s="8"/>
    </row>
    <row r="290" ht="15.75" customHeight="1">
      <c r="E290" s="21"/>
      <c r="F290" s="8"/>
    </row>
    <row r="291" ht="15.75" customHeight="1">
      <c r="E291" s="21"/>
      <c r="F291" s="8"/>
    </row>
    <row r="292" ht="15.75" customHeight="1">
      <c r="E292" s="21"/>
      <c r="F292" s="8"/>
    </row>
    <row r="293" ht="15.75" customHeight="1">
      <c r="E293" s="21"/>
      <c r="F293" s="8"/>
    </row>
    <row r="294" ht="15.75" customHeight="1">
      <c r="E294" s="21"/>
      <c r="F294" s="8"/>
    </row>
    <row r="295" ht="15.75" customHeight="1">
      <c r="E295" s="21"/>
      <c r="F295" s="8"/>
    </row>
    <row r="296" ht="15.75" customHeight="1">
      <c r="E296" s="21"/>
      <c r="F296" s="8"/>
    </row>
    <row r="297" ht="15.75" customHeight="1">
      <c r="E297" s="21"/>
      <c r="F297" s="8"/>
    </row>
    <row r="298" ht="15.75" customHeight="1">
      <c r="E298" s="21"/>
      <c r="F298" s="8"/>
    </row>
    <row r="299" ht="15.75" customHeight="1">
      <c r="E299" s="21"/>
      <c r="F299" s="8"/>
    </row>
    <row r="300" ht="15.75" customHeight="1">
      <c r="E300" s="21"/>
      <c r="F300" s="8"/>
    </row>
    <row r="301" ht="15.75" customHeight="1">
      <c r="E301" s="21"/>
      <c r="F301" s="8"/>
    </row>
    <row r="302" ht="15.75" customHeight="1">
      <c r="E302" s="21"/>
      <c r="F302" s="8"/>
    </row>
    <row r="303" ht="15.75" customHeight="1">
      <c r="E303" s="21"/>
      <c r="F303" s="8"/>
    </row>
    <row r="304" ht="15.75" customHeight="1">
      <c r="E304" s="21"/>
      <c r="F304" s="8"/>
    </row>
    <row r="305" ht="15.75" customHeight="1">
      <c r="E305" s="21"/>
      <c r="F305" s="8"/>
    </row>
    <row r="306" ht="15.75" customHeight="1">
      <c r="E306" s="21"/>
      <c r="F306" s="8"/>
    </row>
    <row r="307" ht="15.75" customHeight="1">
      <c r="E307" s="21"/>
      <c r="F307" s="8"/>
    </row>
    <row r="308" ht="15.75" customHeight="1">
      <c r="E308" s="21"/>
      <c r="F308" s="8"/>
    </row>
    <row r="309" ht="15.75" customHeight="1">
      <c r="E309" s="21"/>
      <c r="F309" s="8"/>
    </row>
    <row r="310" ht="15.75" customHeight="1">
      <c r="E310" s="21"/>
      <c r="F310" s="8"/>
    </row>
    <row r="311" ht="15.75" customHeight="1">
      <c r="E311" s="21"/>
      <c r="F311" s="8"/>
    </row>
    <row r="312" ht="15.75" customHeight="1">
      <c r="E312" s="21"/>
      <c r="F312" s="8"/>
    </row>
    <row r="313" ht="15.75" customHeight="1">
      <c r="E313" s="21"/>
      <c r="F313" s="8"/>
    </row>
    <row r="314" ht="15.75" customHeight="1">
      <c r="E314" s="21"/>
      <c r="F314" s="8"/>
    </row>
    <row r="315" ht="15.75" customHeight="1">
      <c r="E315" s="21"/>
      <c r="F315" s="8"/>
    </row>
    <row r="316" ht="15.75" customHeight="1">
      <c r="E316" s="21"/>
      <c r="F316" s="8"/>
    </row>
    <row r="317" ht="15.75" customHeight="1">
      <c r="E317" s="21"/>
      <c r="F317" s="8"/>
    </row>
    <row r="318" ht="15.75" customHeight="1">
      <c r="E318" s="21"/>
      <c r="F318" s="8"/>
    </row>
    <row r="319" ht="15.75" customHeight="1">
      <c r="E319" s="21"/>
      <c r="F319" s="8"/>
    </row>
    <row r="320" ht="15.75" customHeight="1">
      <c r="E320" s="21"/>
      <c r="F320" s="8"/>
    </row>
    <row r="321" ht="15.75" customHeight="1">
      <c r="E321" s="21"/>
      <c r="F321" s="8"/>
    </row>
    <row r="322" ht="15.75" customHeight="1">
      <c r="E322" s="21"/>
      <c r="F322" s="8"/>
    </row>
    <row r="323" ht="15.75" customHeight="1">
      <c r="E323" s="21"/>
      <c r="F323" s="8"/>
    </row>
    <row r="324" ht="15.75" customHeight="1">
      <c r="E324" s="21"/>
      <c r="F324" s="8"/>
    </row>
    <row r="325" ht="15.75" customHeight="1">
      <c r="E325" s="21"/>
      <c r="F325" s="8"/>
    </row>
    <row r="326" ht="15.75" customHeight="1">
      <c r="E326" s="21"/>
      <c r="F326" s="8"/>
    </row>
    <row r="327" ht="15.75" customHeight="1">
      <c r="E327" s="21"/>
      <c r="F327" s="8"/>
    </row>
    <row r="328" ht="15.75" customHeight="1">
      <c r="E328" s="21"/>
      <c r="F328" s="8"/>
    </row>
    <row r="329" ht="15.75" customHeight="1">
      <c r="E329" s="21"/>
      <c r="F329" s="8"/>
    </row>
    <row r="330" ht="15.75" customHeight="1">
      <c r="E330" s="21"/>
      <c r="F330" s="8"/>
    </row>
    <row r="331" ht="15.75" customHeight="1">
      <c r="E331" s="21"/>
      <c r="F331" s="8"/>
    </row>
    <row r="332" ht="15.75" customHeight="1">
      <c r="E332" s="21"/>
      <c r="F332" s="8"/>
    </row>
    <row r="333" ht="15.75" customHeight="1">
      <c r="E333" s="21"/>
      <c r="F333" s="8"/>
    </row>
    <row r="334" ht="15.75" customHeight="1">
      <c r="E334" s="21"/>
      <c r="F334" s="8"/>
    </row>
    <row r="335" ht="15.75" customHeight="1">
      <c r="E335" s="21"/>
      <c r="F335" s="8"/>
    </row>
    <row r="336" ht="15.75" customHeight="1">
      <c r="E336" s="21"/>
      <c r="F336" s="8"/>
    </row>
    <row r="337" ht="15.75" customHeight="1">
      <c r="E337" s="21"/>
      <c r="F337" s="8"/>
    </row>
    <row r="338" ht="15.75" customHeight="1">
      <c r="E338" s="21"/>
      <c r="F338" s="8"/>
    </row>
    <row r="339" ht="15.75" customHeight="1">
      <c r="E339" s="21"/>
      <c r="F339" s="8"/>
    </row>
    <row r="340" ht="15.75" customHeight="1">
      <c r="E340" s="21"/>
      <c r="F340" s="8"/>
    </row>
    <row r="341" ht="15.75" customHeight="1">
      <c r="E341" s="21"/>
      <c r="F341" s="8"/>
    </row>
    <row r="342" ht="15.75" customHeight="1">
      <c r="E342" s="21"/>
      <c r="F342" s="8"/>
    </row>
    <row r="343" ht="15.75" customHeight="1">
      <c r="E343" s="21"/>
      <c r="F343" s="8"/>
    </row>
    <row r="344" ht="15.75" customHeight="1">
      <c r="E344" s="21"/>
      <c r="F344" s="8"/>
    </row>
    <row r="345" ht="15.75" customHeight="1">
      <c r="E345" s="21"/>
      <c r="F345" s="8"/>
    </row>
    <row r="346" ht="15.75" customHeight="1">
      <c r="E346" s="21"/>
      <c r="F346" s="8"/>
    </row>
    <row r="347" ht="15.75" customHeight="1">
      <c r="E347" s="21"/>
      <c r="F347" s="8"/>
    </row>
    <row r="348" ht="15.75" customHeight="1">
      <c r="E348" s="21"/>
      <c r="F348" s="8"/>
    </row>
    <row r="349" ht="15.75" customHeight="1">
      <c r="E349" s="21"/>
      <c r="F349" s="8"/>
    </row>
    <row r="350" ht="15.75" customHeight="1">
      <c r="E350" s="21"/>
      <c r="F350" s="8"/>
    </row>
    <row r="351" ht="15.75" customHeight="1">
      <c r="E351" s="21"/>
      <c r="F351" s="8"/>
    </row>
    <row r="352" ht="15.75" customHeight="1">
      <c r="E352" s="21"/>
      <c r="F352" s="8"/>
    </row>
    <row r="353" ht="15.75" customHeight="1">
      <c r="E353" s="21"/>
      <c r="F353" s="8"/>
    </row>
    <row r="354" ht="15.75" customHeight="1">
      <c r="E354" s="21"/>
      <c r="F354" s="8"/>
    </row>
    <row r="355" ht="15.75" customHeight="1">
      <c r="E355" s="21"/>
      <c r="F355" s="8"/>
    </row>
    <row r="356" ht="15.75" customHeight="1">
      <c r="E356" s="21"/>
      <c r="F356" s="8"/>
    </row>
    <row r="357" ht="15.75" customHeight="1">
      <c r="E357" s="21"/>
      <c r="F357" s="8"/>
    </row>
    <row r="358" ht="15.75" customHeight="1">
      <c r="E358" s="21"/>
      <c r="F358" s="8"/>
    </row>
    <row r="359" ht="15.75" customHeight="1">
      <c r="E359" s="21"/>
      <c r="F359" s="8"/>
    </row>
    <row r="360" ht="15.75" customHeight="1">
      <c r="E360" s="21"/>
      <c r="F360" s="8"/>
    </row>
    <row r="361" ht="15.75" customHeight="1">
      <c r="E361" s="21"/>
      <c r="F361" s="8"/>
    </row>
    <row r="362" ht="15.75" customHeight="1">
      <c r="E362" s="21"/>
      <c r="F362" s="8"/>
    </row>
    <row r="363" ht="15.75" customHeight="1">
      <c r="E363" s="21"/>
      <c r="F363" s="8"/>
    </row>
    <row r="364" ht="15.75" customHeight="1">
      <c r="E364" s="21"/>
      <c r="F364" s="8"/>
    </row>
    <row r="365" ht="15.75" customHeight="1">
      <c r="E365" s="21"/>
      <c r="F365" s="8"/>
    </row>
    <row r="366" ht="15.75" customHeight="1">
      <c r="E366" s="21"/>
      <c r="F366" s="8"/>
    </row>
    <row r="367" ht="15.75" customHeight="1">
      <c r="E367" s="21"/>
      <c r="F367" s="8"/>
    </row>
    <row r="368" ht="15.75" customHeight="1">
      <c r="E368" s="21"/>
      <c r="F368" s="8"/>
    </row>
    <row r="369" ht="15.75" customHeight="1">
      <c r="E369" s="21"/>
      <c r="F369" s="8"/>
    </row>
    <row r="370" ht="15.75" customHeight="1">
      <c r="E370" s="21"/>
      <c r="F370" s="8"/>
    </row>
    <row r="371" ht="15.75" customHeight="1">
      <c r="E371" s="21"/>
      <c r="F371" s="8"/>
    </row>
    <row r="372" ht="15.75" customHeight="1">
      <c r="E372" s="21"/>
      <c r="F372" s="8"/>
    </row>
    <row r="373" ht="15.75" customHeight="1">
      <c r="E373" s="21"/>
      <c r="F373" s="8"/>
    </row>
    <row r="374" ht="15.75" customHeight="1">
      <c r="E374" s="21"/>
      <c r="F374" s="8"/>
    </row>
    <row r="375" ht="15.75" customHeight="1">
      <c r="E375" s="21"/>
      <c r="F375" s="8"/>
    </row>
    <row r="376" ht="15.75" customHeight="1">
      <c r="E376" s="21"/>
      <c r="F376" s="8"/>
    </row>
    <row r="377" ht="15.75" customHeight="1">
      <c r="E377" s="21"/>
      <c r="F377" s="8"/>
    </row>
    <row r="378" ht="15.75" customHeight="1">
      <c r="E378" s="21"/>
      <c r="F378" s="8"/>
    </row>
    <row r="379" ht="15.75" customHeight="1">
      <c r="E379" s="21"/>
      <c r="F379" s="8"/>
    </row>
    <row r="380" ht="15.75" customHeight="1">
      <c r="E380" s="21"/>
      <c r="F380" s="8"/>
    </row>
    <row r="381" ht="15.75" customHeight="1">
      <c r="E381" s="21"/>
      <c r="F381" s="8"/>
    </row>
    <row r="382" ht="15.75" customHeight="1">
      <c r="E382" s="21"/>
      <c r="F382" s="8"/>
    </row>
    <row r="383" ht="15.75" customHeight="1">
      <c r="E383" s="21"/>
      <c r="F383" s="8"/>
    </row>
    <row r="384" ht="15.75" customHeight="1">
      <c r="E384" s="21"/>
      <c r="F384" s="8"/>
    </row>
    <row r="385" ht="15.75" customHeight="1">
      <c r="E385" s="21"/>
      <c r="F385" s="8"/>
    </row>
    <row r="386" ht="15.75" customHeight="1">
      <c r="E386" s="21"/>
      <c r="F386" s="8"/>
    </row>
    <row r="387" ht="15.75" customHeight="1">
      <c r="E387" s="21"/>
      <c r="F387" s="8"/>
    </row>
    <row r="388" ht="15.75" customHeight="1">
      <c r="E388" s="21"/>
      <c r="F388" s="8"/>
    </row>
    <row r="389" ht="15.75" customHeight="1">
      <c r="E389" s="21"/>
      <c r="F389" s="8"/>
    </row>
    <row r="390" ht="15.75" customHeight="1">
      <c r="E390" s="21"/>
      <c r="F390" s="8"/>
    </row>
    <row r="391" ht="15.75" customHeight="1">
      <c r="E391" s="21"/>
      <c r="F391" s="8"/>
    </row>
    <row r="392" ht="15.75" customHeight="1">
      <c r="E392" s="21"/>
      <c r="F392" s="8"/>
    </row>
    <row r="393" ht="15.75" customHeight="1">
      <c r="E393" s="21"/>
      <c r="F393" s="8"/>
    </row>
    <row r="394" ht="15.75" customHeight="1">
      <c r="E394" s="21"/>
      <c r="F394" s="8"/>
    </row>
    <row r="395" ht="15.75" customHeight="1">
      <c r="E395" s="21"/>
      <c r="F395" s="8"/>
    </row>
    <row r="396" ht="15.75" customHeight="1">
      <c r="E396" s="21"/>
      <c r="F396" s="8"/>
    </row>
    <row r="397" ht="15.75" customHeight="1">
      <c r="E397" s="21"/>
      <c r="F397" s="8"/>
    </row>
    <row r="398" ht="15.75" customHeight="1">
      <c r="E398" s="21"/>
      <c r="F398" s="8"/>
    </row>
    <row r="399" ht="15.75" customHeight="1">
      <c r="E399" s="21"/>
      <c r="F399" s="8"/>
    </row>
    <row r="400" ht="15.75" customHeight="1">
      <c r="E400" s="21"/>
      <c r="F400" s="8"/>
    </row>
    <row r="401" ht="15.75" customHeight="1">
      <c r="E401" s="21"/>
      <c r="F401" s="8"/>
    </row>
    <row r="402" ht="15.75" customHeight="1">
      <c r="E402" s="21"/>
      <c r="F402" s="8"/>
    </row>
    <row r="403" ht="15.75" customHeight="1">
      <c r="E403" s="21"/>
      <c r="F403" s="8"/>
    </row>
    <row r="404" ht="15.75" customHeight="1">
      <c r="E404" s="21"/>
      <c r="F404" s="8"/>
    </row>
    <row r="405" ht="15.75" customHeight="1">
      <c r="E405" s="21"/>
      <c r="F405" s="8"/>
    </row>
    <row r="406" ht="15.75" customHeight="1">
      <c r="E406" s="21"/>
      <c r="F406" s="8"/>
    </row>
    <row r="407" ht="15.75" customHeight="1">
      <c r="E407" s="21"/>
      <c r="F407" s="8"/>
    </row>
    <row r="408" ht="15.75" customHeight="1">
      <c r="E408" s="21"/>
      <c r="F408" s="8"/>
    </row>
    <row r="409" ht="15.75" customHeight="1">
      <c r="E409" s="21"/>
      <c r="F409" s="8"/>
    </row>
    <row r="410" ht="15.75" customHeight="1">
      <c r="E410" s="21"/>
      <c r="F410" s="8"/>
    </row>
    <row r="411" ht="15.75" customHeight="1">
      <c r="E411" s="21"/>
      <c r="F411" s="8"/>
    </row>
    <row r="412" ht="15.75" customHeight="1">
      <c r="E412" s="21"/>
      <c r="F412" s="8"/>
    </row>
    <row r="413" ht="15.75" customHeight="1">
      <c r="E413" s="21"/>
      <c r="F413" s="8"/>
    </row>
    <row r="414" ht="15.75" customHeight="1">
      <c r="E414" s="21"/>
      <c r="F414" s="8"/>
    </row>
    <row r="415" ht="15.75" customHeight="1">
      <c r="E415" s="21"/>
      <c r="F415" s="8"/>
    </row>
    <row r="416" ht="15.75" customHeight="1">
      <c r="E416" s="21"/>
      <c r="F416" s="8"/>
    </row>
    <row r="417" ht="15.75" customHeight="1">
      <c r="E417" s="21"/>
      <c r="F417" s="8"/>
    </row>
    <row r="418" ht="15.75" customHeight="1">
      <c r="E418" s="21"/>
      <c r="F418" s="8"/>
    </row>
    <row r="419" ht="15.75" customHeight="1">
      <c r="E419" s="21"/>
      <c r="F419" s="8"/>
    </row>
    <row r="420" ht="15.75" customHeight="1">
      <c r="E420" s="21"/>
      <c r="F420" s="8"/>
    </row>
    <row r="421" ht="15.75" customHeight="1">
      <c r="E421" s="21"/>
      <c r="F421" s="8"/>
    </row>
    <row r="422" ht="15.75" customHeight="1">
      <c r="E422" s="21"/>
      <c r="F422" s="8"/>
    </row>
    <row r="423" ht="15.75" customHeight="1">
      <c r="E423" s="21"/>
      <c r="F423" s="8"/>
    </row>
    <row r="424" ht="15.75" customHeight="1">
      <c r="E424" s="21"/>
      <c r="F424" s="8"/>
    </row>
    <row r="425" ht="15.75" customHeight="1">
      <c r="E425" s="21"/>
      <c r="F425" s="8"/>
    </row>
    <row r="426" ht="15.75" customHeight="1">
      <c r="E426" s="21"/>
      <c r="F426" s="8"/>
    </row>
    <row r="427" ht="15.75" customHeight="1">
      <c r="E427" s="21"/>
      <c r="F427" s="8"/>
    </row>
    <row r="428" ht="15.75" customHeight="1">
      <c r="E428" s="21"/>
      <c r="F428" s="8"/>
    </row>
    <row r="429" ht="15.75" customHeight="1">
      <c r="E429" s="21"/>
      <c r="F429" s="8"/>
    </row>
    <row r="430" ht="15.75" customHeight="1">
      <c r="E430" s="21"/>
      <c r="F430" s="8"/>
    </row>
    <row r="431" ht="15.75" customHeight="1">
      <c r="E431" s="21"/>
      <c r="F431" s="8"/>
    </row>
    <row r="432" ht="15.75" customHeight="1">
      <c r="E432" s="21"/>
      <c r="F432" s="8"/>
    </row>
    <row r="433" ht="15.75" customHeight="1">
      <c r="E433" s="21"/>
      <c r="F433" s="8"/>
    </row>
    <row r="434" ht="15.75" customHeight="1">
      <c r="E434" s="21"/>
      <c r="F434" s="8"/>
    </row>
    <row r="435" ht="15.75" customHeight="1">
      <c r="E435" s="21"/>
      <c r="F435" s="8"/>
    </row>
    <row r="436" ht="15.75" customHeight="1">
      <c r="E436" s="21"/>
      <c r="F436" s="8"/>
    </row>
    <row r="437" ht="15.75" customHeight="1">
      <c r="E437" s="21"/>
      <c r="F437" s="8"/>
    </row>
    <row r="438" ht="15.75" customHeight="1">
      <c r="E438" s="21"/>
      <c r="F438" s="8"/>
    </row>
    <row r="439" ht="15.75" customHeight="1">
      <c r="E439" s="21"/>
      <c r="F439" s="8"/>
    </row>
    <row r="440" ht="15.75" customHeight="1">
      <c r="E440" s="21"/>
      <c r="F440" s="8"/>
    </row>
    <row r="441" ht="15.75" customHeight="1">
      <c r="E441" s="21"/>
      <c r="F441" s="8"/>
    </row>
    <row r="442" ht="15.75" customHeight="1">
      <c r="E442" s="21"/>
      <c r="F442" s="8"/>
    </row>
    <row r="443" ht="15.75" customHeight="1">
      <c r="E443" s="21"/>
      <c r="F443" s="8"/>
    </row>
    <row r="444" ht="15.75" customHeight="1">
      <c r="E444" s="21"/>
      <c r="F444" s="8"/>
    </row>
    <row r="445" ht="15.75" customHeight="1">
      <c r="E445" s="21"/>
      <c r="F445" s="8"/>
    </row>
    <row r="446" ht="15.75" customHeight="1">
      <c r="E446" s="21"/>
      <c r="F446" s="8"/>
    </row>
    <row r="447" ht="15.75" customHeight="1">
      <c r="E447" s="21"/>
      <c r="F447" s="8"/>
    </row>
    <row r="448" ht="15.75" customHeight="1">
      <c r="E448" s="21"/>
      <c r="F448" s="8"/>
    </row>
    <row r="449" ht="15.75" customHeight="1">
      <c r="E449" s="21"/>
      <c r="F449" s="8"/>
    </row>
    <row r="450" ht="15.75" customHeight="1">
      <c r="E450" s="21"/>
      <c r="F450" s="8"/>
    </row>
    <row r="451" ht="15.75" customHeight="1">
      <c r="E451" s="21"/>
      <c r="F451" s="8"/>
    </row>
    <row r="452" ht="15.75" customHeight="1">
      <c r="E452" s="21"/>
      <c r="F452" s="8"/>
    </row>
    <row r="453" ht="15.75" customHeight="1">
      <c r="E453" s="21"/>
      <c r="F453" s="8"/>
    </row>
    <row r="454" ht="15.75" customHeight="1">
      <c r="E454" s="21"/>
      <c r="F454" s="8"/>
    </row>
    <row r="455" ht="15.75" customHeight="1">
      <c r="E455" s="21"/>
      <c r="F455" s="8"/>
    </row>
    <row r="456" ht="15.75" customHeight="1">
      <c r="E456" s="21"/>
      <c r="F456" s="8"/>
    </row>
    <row r="457" ht="15.75" customHeight="1">
      <c r="E457" s="21"/>
      <c r="F457" s="8"/>
    </row>
    <row r="458" ht="15.75" customHeight="1">
      <c r="E458" s="21"/>
      <c r="F458" s="8"/>
    </row>
    <row r="459" ht="15.75" customHeight="1">
      <c r="E459" s="21"/>
      <c r="F459" s="8"/>
    </row>
    <row r="460" ht="15.75" customHeight="1">
      <c r="E460" s="21"/>
      <c r="F460" s="8"/>
    </row>
    <row r="461" ht="15.75" customHeight="1">
      <c r="E461" s="21"/>
      <c r="F461" s="8"/>
    </row>
    <row r="462" ht="15.75" customHeight="1">
      <c r="E462" s="21"/>
      <c r="F462" s="8"/>
    </row>
    <row r="463" ht="15.75" customHeight="1">
      <c r="E463" s="21"/>
      <c r="F463" s="8"/>
    </row>
    <row r="464" ht="15.75" customHeight="1">
      <c r="E464" s="21"/>
      <c r="F464" s="8"/>
    </row>
    <row r="465" ht="15.75" customHeight="1">
      <c r="E465" s="21"/>
      <c r="F465" s="8"/>
    </row>
    <row r="466" ht="15.75" customHeight="1">
      <c r="E466" s="21"/>
      <c r="F466" s="8"/>
    </row>
    <row r="467" ht="15.75" customHeight="1">
      <c r="E467" s="21"/>
      <c r="F467" s="8"/>
    </row>
    <row r="468" ht="15.75" customHeight="1">
      <c r="E468" s="21"/>
      <c r="F468" s="8"/>
    </row>
    <row r="469" ht="15.75" customHeight="1">
      <c r="E469" s="21"/>
      <c r="F469" s="8"/>
    </row>
    <row r="470" ht="15.75" customHeight="1">
      <c r="E470" s="21"/>
      <c r="F470" s="8"/>
    </row>
    <row r="471" ht="15.75" customHeight="1">
      <c r="E471" s="21"/>
      <c r="F471" s="8"/>
    </row>
    <row r="472" ht="15.75" customHeight="1">
      <c r="E472" s="21"/>
      <c r="F472" s="8"/>
    </row>
    <row r="473" ht="15.75" customHeight="1">
      <c r="E473" s="21"/>
      <c r="F473" s="8"/>
    </row>
    <row r="474" ht="15.75" customHeight="1">
      <c r="E474" s="21"/>
      <c r="F474" s="8"/>
    </row>
    <row r="475" ht="15.75" customHeight="1">
      <c r="E475" s="21"/>
      <c r="F475" s="8"/>
    </row>
    <row r="476" ht="15.75" customHeight="1">
      <c r="E476" s="21"/>
      <c r="F476" s="8"/>
    </row>
    <row r="477" ht="15.75" customHeight="1">
      <c r="E477" s="21"/>
      <c r="F477" s="8"/>
    </row>
    <row r="478" ht="15.75" customHeight="1">
      <c r="E478" s="21"/>
      <c r="F478" s="8"/>
    </row>
    <row r="479" ht="15.75" customHeight="1">
      <c r="E479" s="21"/>
      <c r="F479" s="8"/>
    </row>
    <row r="480" ht="15.75" customHeight="1">
      <c r="E480" s="21"/>
      <c r="F480" s="8"/>
    </row>
    <row r="481" ht="15.75" customHeight="1">
      <c r="E481" s="21"/>
      <c r="F481" s="8"/>
    </row>
    <row r="482" ht="15.75" customHeight="1">
      <c r="E482" s="21"/>
      <c r="F482" s="8"/>
    </row>
    <row r="483" ht="15.75" customHeight="1">
      <c r="E483" s="21"/>
      <c r="F483" s="8"/>
    </row>
    <row r="484" ht="15.75" customHeight="1">
      <c r="E484" s="21"/>
      <c r="F484" s="8"/>
    </row>
    <row r="485" ht="15.75" customHeight="1">
      <c r="E485" s="21"/>
      <c r="F485" s="8"/>
    </row>
    <row r="486" ht="15.75" customHeight="1">
      <c r="E486" s="21"/>
      <c r="F486" s="8"/>
    </row>
    <row r="487" ht="15.75" customHeight="1">
      <c r="E487" s="21"/>
      <c r="F487" s="8"/>
    </row>
    <row r="488" ht="15.75" customHeight="1">
      <c r="E488" s="21"/>
      <c r="F488" s="8"/>
    </row>
    <row r="489" ht="15.75" customHeight="1">
      <c r="E489" s="21"/>
      <c r="F489" s="8"/>
    </row>
    <row r="490" ht="15.75" customHeight="1">
      <c r="E490" s="21"/>
      <c r="F490" s="8"/>
    </row>
    <row r="491" ht="15.75" customHeight="1">
      <c r="E491" s="21"/>
      <c r="F491" s="8"/>
    </row>
    <row r="492" ht="15.75" customHeight="1">
      <c r="E492" s="21"/>
      <c r="F492" s="8"/>
    </row>
    <row r="493" ht="15.75" customHeight="1">
      <c r="E493" s="21"/>
      <c r="F493" s="8"/>
    </row>
    <row r="494" ht="15.75" customHeight="1">
      <c r="E494" s="21"/>
      <c r="F494" s="8"/>
    </row>
    <row r="495" ht="15.75" customHeight="1">
      <c r="E495" s="21"/>
      <c r="F495" s="8"/>
    </row>
    <row r="496" ht="15.75" customHeight="1">
      <c r="E496" s="21"/>
      <c r="F496" s="8"/>
    </row>
    <row r="497" ht="15.75" customHeight="1">
      <c r="E497" s="21"/>
      <c r="F497" s="8"/>
    </row>
    <row r="498" ht="15.75" customHeight="1">
      <c r="E498" s="21"/>
      <c r="F498" s="8"/>
    </row>
    <row r="499" ht="15.75" customHeight="1">
      <c r="E499" s="21"/>
      <c r="F499" s="8"/>
    </row>
    <row r="500" ht="15.75" customHeight="1">
      <c r="E500" s="21"/>
      <c r="F500" s="8"/>
    </row>
    <row r="501" ht="15.75" customHeight="1">
      <c r="E501" s="21"/>
      <c r="F501" s="8"/>
    </row>
    <row r="502" ht="15.75" customHeight="1">
      <c r="E502" s="21"/>
      <c r="F502" s="8"/>
    </row>
    <row r="503" ht="15.75" customHeight="1">
      <c r="E503" s="21"/>
      <c r="F503" s="8"/>
    </row>
    <row r="504" ht="15.75" customHeight="1">
      <c r="E504" s="21"/>
      <c r="F504" s="8"/>
    </row>
    <row r="505" ht="15.75" customHeight="1">
      <c r="E505" s="21"/>
      <c r="F505" s="8"/>
    </row>
    <row r="506" ht="15.75" customHeight="1">
      <c r="E506" s="21"/>
      <c r="F506" s="8"/>
    </row>
    <row r="507" ht="15.75" customHeight="1">
      <c r="E507" s="21"/>
      <c r="F507" s="8"/>
    </row>
    <row r="508" ht="15.75" customHeight="1">
      <c r="E508" s="21"/>
      <c r="F508" s="8"/>
    </row>
    <row r="509" ht="15.75" customHeight="1">
      <c r="E509" s="21"/>
      <c r="F509" s="8"/>
    </row>
    <row r="510" ht="15.75" customHeight="1">
      <c r="E510" s="21"/>
      <c r="F510" s="8"/>
    </row>
    <row r="511" ht="15.75" customHeight="1">
      <c r="E511" s="21"/>
      <c r="F511" s="8"/>
    </row>
    <row r="512" ht="15.75" customHeight="1">
      <c r="E512" s="21"/>
      <c r="F512" s="8"/>
    </row>
    <row r="513" ht="15.75" customHeight="1">
      <c r="E513" s="21"/>
      <c r="F513" s="8"/>
    </row>
    <row r="514" ht="15.75" customHeight="1">
      <c r="E514" s="21"/>
      <c r="F514" s="8"/>
    </row>
    <row r="515" ht="15.75" customHeight="1">
      <c r="E515" s="21"/>
      <c r="F515" s="8"/>
    </row>
    <row r="516" ht="15.75" customHeight="1">
      <c r="E516" s="21"/>
      <c r="F516" s="8"/>
    </row>
    <row r="517" ht="15.75" customHeight="1">
      <c r="E517" s="21"/>
      <c r="F517" s="8"/>
    </row>
    <row r="518" ht="15.75" customHeight="1">
      <c r="E518" s="21"/>
      <c r="F518" s="8"/>
    </row>
    <row r="519" ht="15.75" customHeight="1">
      <c r="E519" s="21"/>
      <c r="F519" s="8"/>
    </row>
    <row r="520" ht="15.75" customHeight="1">
      <c r="E520" s="21"/>
      <c r="F520" s="8"/>
    </row>
    <row r="521" ht="15.75" customHeight="1">
      <c r="E521" s="21"/>
      <c r="F521" s="8"/>
    </row>
    <row r="522" ht="15.75" customHeight="1">
      <c r="E522" s="21"/>
      <c r="F522" s="8"/>
    </row>
    <row r="523" ht="15.75" customHeight="1">
      <c r="E523" s="21"/>
      <c r="F523" s="8"/>
    </row>
    <row r="524" ht="15.75" customHeight="1">
      <c r="E524" s="21"/>
      <c r="F524" s="8"/>
    </row>
    <row r="525" ht="15.75" customHeight="1">
      <c r="E525" s="21"/>
      <c r="F525" s="8"/>
    </row>
    <row r="526" ht="15.75" customHeight="1">
      <c r="E526" s="21"/>
      <c r="F526" s="8"/>
    </row>
    <row r="527" ht="15.75" customHeight="1">
      <c r="E527" s="21"/>
      <c r="F527" s="8"/>
    </row>
    <row r="528" ht="15.75" customHeight="1">
      <c r="E528" s="21"/>
      <c r="F528" s="8"/>
    </row>
    <row r="529" ht="15.75" customHeight="1">
      <c r="E529" s="21"/>
      <c r="F529" s="8"/>
    </row>
    <row r="530" ht="15.75" customHeight="1">
      <c r="E530" s="21"/>
      <c r="F530" s="8"/>
    </row>
    <row r="531" ht="15.75" customHeight="1">
      <c r="E531" s="21"/>
      <c r="F531" s="8"/>
    </row>
    <row r="532" ht="15.75" customHeight="1">
      <c r="E532" s="21"/>
      <c r="F532" s="8"/>
    </row>
    <row r="533" ht="15.75" customHeight="1">
      <c r="E533" s="21"/>
      <c r="F533" s="8"/>
    </row>
    <row r="534" ht="15.75" customHeight="1">
      <c r="E534" s="21"/>
      <c r="F534" s="8"/>
    </row>
    <row r="535" ht="15.75" customHeight="1">
      <c r="E535" s="21"/>
      <c r="F535" s="8"/>
    </row>
    <row r="536" ht="15.75" customHeight="1">
      <c r="E536" s="21"/>
      <c r="F536" s="8"/>
    </row>
    <row r="537" ht="15.75" customHeight="1">
      <c r="E537" s="21"/>
      <c r="F537" s="8"/>
    </row>
    <row r="538" ht="15.75" customHeight="1">
      <c r="E538" s="21"/>
      <c r="F538" s="8"/>
    </row>
    <row r="539" ht="15.75" customHeight="1">
      <c r="E539" s="21"/>
      <c r="F539" s="8"/>
    </row>
    <row r="540" ht="15.75" customHeight="1">
      <c r="E540" s="21"/>
      <c r="F540" s="8"/>
    </row>
    <row r="541" ht="15.75" customHeight="1">
      <c r="E541" s="21"/>
      <c r="F541" s="8"/>
    </row>
    <row r="542" ht="15.75" customHeight="1">
      <c r="E542" s="21"/>
      <c r="F542" s="8"/>
    </row>
    <row r="543" ht="15.75" customHeight="1">
      <c r="E543" s="21"/>
      <c r="F543" s="8"/>
    </row>
    <row r="544" ht="15.75" customHeight="1">
      <c r="E544" s="21"/>
      <c r="F544" s="8"/>
    </row>
    <row r="545" ht="15.75" customHeight="1">
      <c r="E545" s="21"/>
      <c r="F545" s="8"/>
    </row>
    <row r="546" ht="15.75" customHeight="1">
      <c r="E546" s="21"/>
      <c r="F546" s="8"/>
    </row>
    <row r="547" ht="15.75" customHeight="1">
      <c r="E547" s="21"/>
      <c r="F547" s="8"/>
    </row>
    <row r="548" ht="15.75" customHeight="1">
      <c r="E548" s="21"/>
      <c r="F548" s="8"/>
    </row>
    <row r="549" ht="15.75" customHeight="1">
      <c r="E549" s="21"/>
      <c r="F549" s="8"/>
    </row>
    <row r="550" ht="15.75" customHeight="1">
      <c r="E550" s="21"/>
      <c r="F550" s="8"/>
    </row>
    <row r="551" ht="15.75" customHeight="1">
      <c r="E551" s="21"/>
      <c r="F551" s="8"/>
    </row>
    <row r="552" ht="15.75" customHeight="1">
      <c r="E552" s="21"/>
      <c r="F552" s="8"/>
    </row>
    <row r="553" ht="15.75" customHeight="1">
      <c r="E553" s="21"/>
      <c r="F553" s="8"/>
    </row>
    <row r="554" ht="15.75" customHeight="1">
      <c r="E554" s="21"/>
      <c r="F554" s="8"/>
    </row>
    <row r="555" ht="15.75" customHeight="1">
      <c r="E555" s="21"/>
      <c r="F555" s="8"/>
    </row>
    <row r="556" ht="15.75" customHeight="1">
      <c r="E556" s="21"/>
      <c r="F556" s="8"/>
    </row>
    <row r="557" ht="15.75" customHeight="1">
      <c r="E557" s="21"/>
      <c r="F557" s="8"/>
    </row>
    <row r="558" ht="15.75" customHeight="1">
      <c r="E558" s="21"/>
      <c r="F558" s="8"/>
    </row>
    <row r="559" ht="15.75" customHeight="1">
      <c r="E559" s="21"/>
      <c r="F559" s="8"/>
    </row>
    <row r="560" ht="15.75" customHeight="1">
      <c r="E560" s="21"/>
      <c r="F560" s="8"/>
    </row>
    <row r="561" ht="15.75" customHeight="1">
      <c r="E561" s="21"/>
      <c r="F561" s="8"/>
    </row>
    <row r="562" ht="15.75" customHeight="1">
      <c r="E562" s="21"/>
      <c r="F562" s="8"/>
    </row>
    <row r="563" ht="15.75" customHeight="1">
      <c r="E563" s="21"/>
      <c r="F563" s="8"/>
    </row>
    <row r="564" ht="15.75" customHeight="1">
      <c r="E564" s="21"/>
      <c r="F564" s="8"/>
    </row>
    <row r="565" ht="15.75" customHeight="1">
      <c r="E565" s="21"/>
      <c r="F565" s="8"/>
    </row>
    <row r="566" ht="15.75" customHeight="1">
      <c r="E566" s="21"/>
      <c r="F566" s="8"/>
    </row>
    <row r="567" ht="15.75" customHeight="1">
      <c r="E567" s="21"/>
      <c r="F567" s="8"/>
    </row>
    <row r="568" ht="15.75" customHeight="1">
      <c r="E568" s="21"/>
      <c r="F568" s="8"/>
    </row>
    <row r="569" ht="15.75" customHeight="1">
      <c r="E569" s="21"/>
      <c r="F569" s="8"/>
    </row>
    <row r="570" ht="15.75" customHeight="1">
      <c r="E570" s="21"/>
      <c r="F570" s="8"/>
    </row>
    <row r="571" ht="15.75" customHeight="1">
      <c r="E571" s="21"/>
      <c r="F571" s="8"/>
    </row>
    <row r="572" ht="15.75" customHeight="1">
      <c r="E572" s="21"/>
      <c r="F572" s="8"/>
    </row>
    <row r="573" ht="15.75" customHeight="1">
      <c r="E573" s="21"/>
      <c r="F573" s="8"/>
    </row>
    <row r="574" ht="15.75" customHeight="1">
      <c r="E574" s="21"/>
      <c r="F574" s="8"/>
    </row>
    <row r="575" ht="15.75" customHeight="1">
      <c r="E575" s="21"/>
      <c r="F575" s="8"/>
    </row>
    <row r="576" ht="15.75" customHeight="1">
      <c r="E576" s="21"/>
      <c r="F576" s="8"/>
    </row>
    <row r="577" ht="15.75" customHeight="1">
      <c r="E577" s="21"/>
      <c r="F577" s="8"/>
    </row>
    <row r="578" ht="15.75" customHeight="1">
      <c r="E578" s="21"/>
      <c r="F578" s="8"/>
    </row>
    <row r="579" ht="15.75" customHeight="1">
      <c r="E579" s="21"/>
      <c r="F579" s="8"/>
    </row>
    <row r="580" ht="15.75" customHeight="1">
      <c r="E580" s="21"/>
      <c r="F580" s="8"/>
    </row>
    <row r="581" ht="15.75" customHeight="1">
      <c r="E581" s="21"/>
      <c r="F581" s="8"/>
    </row>
    <row r="582" ht="15.75" customHeight="1">
      <c r="E582" s="21"/>
      <c r="F582" s="8"/>
    </row>
    <row r="583" ht="15.75" customHeight="1">
      <c r="E583" s="21"/>
      <c r="F583" s="8"/>
    </row>
    <row r="584" ht="15.75" customHeight="1">
      <c r="E584" s="21"/>
      <c r="F584" s="8"/>
    </row>
    <row r="585" ht="15.75" customHeight="1">
      <c r="E585" s="21"/>
      <c r="F585" s="8"/>
    </row>
    <row r="586" ht="15.75" customHeight="1">
      <c r="E586" s="21"/>
      <c r="F586" s="8"/>
    </row>
    <row r="587" ht="15.75" customHeight="1">
      <c r="E587" s="21"/>
      <c r="F587" s="8"/>
    </row>
    <row r="588" ht="15.75" customHeight="1">
      <c r="E588" s="21"/>
      <c r="F588" s="8"/>
    </row>
    <row r="589" ht="15.75" customHeight="1">
      <c r="E589" s="21"/>
      <c r="F589" s="8"/>
    </row>
    <row r="590" ht="15.75" customHeight="1">
      <c r="E590" s="21"/>
      <c r="F590" s="8"/>
    </row>
    <row r="591" ht="15.75" customHeight="1">
      <c r="E591" s="21"/>
      <c r="F591" s="8"/>
    </row>
    <row r="592" ht="15.75" customHeight="1">
      <c r="E592" s="21"/>
      <c r="F592" s="8"/>
    </row>
    <row r="593" ht="15.75" customHeight="1">
      <c r="E593" s="21"/>
      <c r="F593" s="8"/>
    </row>
    <row r="594" ht="15.75" customHeight="1">
      <c r="E594" s="21"/>
      <c r="F594" s="8"/>
    </row>
    <row r="595" ht="15.75" customHeight="1">
      <c r="E595" s="21"/>
      <c r="F595" s="8"/>
    </row>
    <row r="596" ht="15.75" customHeight="1">
      <c r="E596" s="21"/>
      <c r="F596" s="8"/>
    </row>
    <row r="597" ht="15.75" customHeight="1">
      <c r="E597" s="21"/>
      <c r="F597" s="8"/>
    </row>
    <row r="598" ht="15.75" customHeight="1">
      <c r="E598" s="21"/>
      <c r="F598" s="8"/>
    </row>
    <row r="599" ht="15.75" customHeight="1">
      <c r="E599" s="21"/>
      <c r="F599" s="8"/>
    </row>
    <row r="600" ht="15.75" customHeight="1">
      <c r="E600" s="21"/>
      <c r="F600" s="8"/>
    </row>
    <row r="601" ht="15.75" customHeight="1">
      <c r="E601" s="21"/>
      <c r="F601" s="8"/>
    </row>
    <row r="602" ht="15.75" customHeight="1">
      <c r="E602" s="21"/>
      <c r="F602" s="8"/>
    </row>
    <row r="603" ht="15.75" customHeight="1">
      <c r="E603" s="21"/>
      <c r="F603" s="8"/>
    </row>
    <row r="604" ht="15.75" customHeight="1">
      <c r="E604" s="21"/>
      <c r="F604" s="8"/>
    </row>
    <row r="605" ht="15.75" customHeight="1">
      <c r="E605" s="21"/>
      <c r="F605" s="8"/>
    </row>
    <row r="606" ht="15.75" customHeight="1">
      <c r="E606" s="21"/>
      <c r="F606" s="8"/>
    </row>
    <row r="607" ht="15.75" customHeight="1">
      <c r="E607" s="21"/>
      <c r="F607" s="8"/>
    </row>
    <row r="608" ht="15.75" customHeight="1">
      <c r="E608" s="21"/>
      <c r="F608" s="8"/>
    </row>
    <row r="609" ht="15.75" customHeight="1">
      <c r="E609" s="21"/>
      <c r="F609" s="8"/>
    </row>
    <row r="610" ht="15.75" customHeight="1">
      <c r="E610" s="21"/>
      <c r="F610" s="8"/>
    </row>
    <row r="611" ht="15.75" customHeight="1">
      <c r="E611" s="21"/>
      <c r="F611" s="8"/>
    </row>
    <row r="612" ht="15.75" customHeight="1">
      <c r="E612" s="21"/>
      <c r="F612" s="8"/>
    </row>
    <row r="613" ht="15.75" customHeight="1">
      <c r="E613" s="21"/>
      <c r="F613" s="8"/>
    </row>
    <row r="614" ht="15.75" customHeight="1">
      <c r="E614" s="21"/>
      <c r="F614" s="8"/>
    </row>
    <row r="615" ht="15.75" customHeight="1">
      <c r="E615" s="21"/>
      <c r="F615" s="8"/>
    </row>
    <row r="616" ht="15.75" customHeight="1">
      <c r="E616" s="21"/>
      <c r="F616" s="8"/>
    </row>
    <row r="617" ht="15.75" customHeight="1">
      <c r="E617" s="21"/>
      <c r="F617" s="8"/>
    </row>
    <row r="618" ht="15.75" customHeight="1">
      <c r="E618" s="21"/>
      <c r="F618" s="8"/>
    </row>
    <row r="619" ht="15.75" customHeight="1">
      <c r="E619" s="21"/>
      <c r="F619" s="8"/>
    </row>
    <row r="620" ht="15.75" customHeight="1">
      <c r="E620" s="21"/>
      <c r="F620" s="8"/>
    </row>
    <row r="621" ht="15.75" customHeight="1">
      <c r="E621" s="21"/>
      <c r="F621" s="8"/>
    </row>
    <row r="622" ht="15.75" customHeight="1">
      <c r="E622" s="21"/>
      <c r="F622" s="8"/>
    </row>
    <row r="623" ht="15.75" customHeight="1">
      <c r="E623" s="21"/>
      <c r="F623" s="8"/>
    </row>
    <row r="624" ht="15.75" customHeight="1">
      <c r="E624" s="21"/>
      <c r="F624" s="8"/>
    </row>
    <row r="625" ht="15.75" customHeight="1">
      <c r="E625" s="21"/>
      <c r="F625" s="8"/>
    </row>
    <row r="626" ht="15.75" customHeight="1">
      <c r="E626" s="21"/>
      <c r="F626" s="8"/>
    </row>
    <row r="627" ht="15.75" customHeight="1">
      <c r="E627" s="21"/>
      <c r="F627" s="8"/>
    </row>
    <row r="628" ht="15.75" customHeight="1">
      <c r="E628" s="21"/>
      <c r="F628" s="8"/>
    </row>
    <row r="629" ht="15.75" customHeight="1">
      <c r="E629" s="21"/>
      <c r="F629" s="8"/>
    </row>
    <row r="630" ht="15.75" customHeight="1">
      <c r="E630" s="21"/>
      <c r="F630" s="8"/>
    </row>
    <row r="631" ht="15.75" customHeight="1">
      <c r="E631" s="21"/>
      <c r="F631" s="8"/>
    </row>
    <row r="632" ht="15.75" customHeight="1">
      <c r="E632" s="21"/>
      <c r="F632" s="8"/>
    </row>
    <row r="633" ht="15.75" customHeight="1">
      <c r="E633" s="21"/>
      <c r="F633" s="8"/>
    </row>
    <row r="634" ht="15.75" customHeight="1">
      <c r="E634" s="21"/>
      <c r="F634" s="8"/>
    </row>
    <row r="635" ht="15.75" customHeight="1">
      <c r="E635" s="21"/>
      <c r="F635" s="8"/>
    </row>
    <row r="636" ht="15.75" customHeight="1">
      <c r="E636" s="21"/>
      <c r="F636" s="8"/>
    </row>
    <row r="637" ht="15.75" customHeight="1">
      <c r="E637" s="21"/>
      <c r="F637" s="8"/>
    </row>
    <row r="638" ht="15.75" customHeight="1">
      <c r="E638" s="21"/>
      <c r="F638" s="8"/>
    </row>
    <row r="639" ht="15.75" customHeight="1">
      <c r="E639" s="21"/>
      <c r="F639" s="8"/>
    </row>
    <row r="640" ht="15.75" customHeight="1">
      <c r="E640" s="21"/>
      <c r="F640" s="8"/>
    </row>
    <row r="641" ht="15.75" customHeight="1">
      <c r="E641" s="21"/>
      <c r="F641" s="8"/>
    </row>
    <row r="642" ht="15.75" customHeight="1">
      <c r="E642" s="21"/>
      <c r="F642" s="8"/>
    </row>
    <row r="643" ht="15.75" customHeight="1">
      <c r="E643" s="21"/>
      <c r="F643" s="8"/>
    </row>
    <row r="644" ht="15.75" customHeight="1">
      <c r="E644" s="21"/>
      <c r="F644" s="8"/>
    </row>
    <row r="645" ht="15.75" customHeight="1">
      <c r="E645" s="21"/>
      <c r="F645" s="8"/>
    </row>
    <row r="646" ht="15.75" customHeight="1">
      <c r="E646" s="21"/>
      <c r="F646" s="8"/>
    </row>
    <row r="647" ht="15.75" customHeight="1">
      <c r="E647" s="21"/>
      <c r="F647" s="8"/>
    </row>
    <row r="648" ht="15.75" customHeight="1">
      <c r="E648" s="21"/>
      <c r="F648" s="8"/>
    </row>
    <row r="649" ht="15.75" customHeight="1">
      <c r="E649" s="21"/>
      <c r="F649" s="8"/>
    </row>
    <row r="650" ht="15.75" customHeight="1">
      <c r="E650" s="21"/>
      <c r="F650" s="8"/>
    </row>
    <row r="651" ht="15.75" customHeight="1">
      <c r="E651" s="21"/>
      <c r="F651" s="8"/>
    </row>
    <row r="652" ht="15.75" customHeight="1">
      <c r="E652" s="21"/>
      <c r="F652" s="8"/>
    </row>
    <row r="653" ht="15.75" customHeight="1">
      <c r="E653" s="21"/>
      <c r="F653" s="8"/>
    </row>
    <row r="654" ht="15.75" customHeight="1">
      <c r="E654" s="21"/>
      <c r="F654" s="8"/>
    </row>
    <row r="655" ht="15.75" customHeight="1">
      <c r="E655" s="21"/>
      <c r="F655" s="8"/>
    </row>
    <row r="656" ht="15.75" customHeight="1">
      <c r="E656" s="21"/>
      <c r="F656" s="8"/>
    </row>
    <row r="657" ht="15.75" customHeight="1">
      <c r="E657" s="21"/>
      <c r="F657" s="8"/>
    </row>
    <row r="658" ht="15.75" customHeight="1">
      <c r="E658" s="21"/>
      <c r="F658" s="8"/>
    </row>
    <row r="659" ht="15.75" customHeight="1">
      <c r="E659" s="21"/>
      <c r="F659" s="8"/>
    </row>
    <row r="660" ht="15.75" customHeight="1">
      <c r="E660" s="21"/>
      <c r="F660" s="8"/>
    </row>
    <row r="661" ht="15.75" customHeight="1">
      <c r="E661" s="21"/>
      <c r="F661" s="8"/>
    </row>
    <row r="662" ht="15.75" customHeight="1">
      <c r="E662" s="21"/>
      <c r="F662" s="8"/>
    </row>
    <row r="663" ht="15.75" customHeight="1">
      <c r="E663" s="21"/>
      <c r="F663" s="8"/>
    </row>
    <row r="664" ht="15.75" customHeight="1">
      <c r="E664" s="21"/>
      <c r="F664" s="8"/>
    </row>
    <row r="665" ht="15.75" customHeight="1">
      <c r="E665" s="21"/>
      <c r="F665" s="8"/>
    </row>
    <row r="666" ht="15.75" customHeight="1">
      <c r="E666" s="21"/>
      <c r="F666" s="8"/>
    </row>
    <row r="667" ht="15.75" customHeight="1">
      <c r="E667" s="21"/>
      <c r="F667" s="8"/>
    </row>
    <row r="668" ht="15.75" customHeight="1">
      <c r="E668" s="21"/>
      <c r="F668" s="8"/>
    </row>
    <row r="669" ht="15.75" customHeight="1">
      <c r="E669" s="21"/>
      <c r="F669" s="8"/>
    </row>
    <row r="670" ht="15.75" customHeight="1">
      <c r="E670" s="21"/>
      <c r="F670" s="8"/>
    </row>
    <row r="671" ht="15.75" customHeight="1">
      <c r="E671" s="21"/>
      <c r="F671" s="8"/>
    </row>
    <row r="672" ht="15.75" customHeight="1">
      <c r="E672" s="21"/>
      <c r="F672" s="8"/>
    </row>
    <row r="673" ht="15.75" customHeight="1">
      <c r="E673" s="21"/>
      <c r="F673" s="8"/>
    </row>
    <row r="674" ht="15.75" customHeight="1">
      <c r="E674" s="21"/>
      <c r="F674" s="8"/>
    </row>
    <row r="675" ht="15.75" customHeight="1">
      <c r="E675" s="21"/>
      <c r="F675" s="8"/>
    </row>
    <row r="676" ht="15.75" customHeight="1">
      <c r="E676" s="21"/>
      <c r="F676" s="8"/>
    </row>
    <row r="677" ht="15.75" customHeight="1">
      <c r="E677" s="21"/>
      <c r="F677" s="8"/>
    </row>
    <row r="678" ht="15.75" customHeight="1">
      <c r="E678" s="21"/>
      <c r="F678" s="8"/>
    </row>
    <row r="679" ht="15.75" customHeight="1">
      <c r="E679" s="21"/>
      <c r="F679" s="8"/>
    </row>
    <row r="680" ht="15.75" customHeight="1">
      <c r="E680" s="21"/>
      <c r="F680" s="8"/>
    </row>
    <row r="681" ht="15.75" customHeight="1">
      <c r="E681" s="21"/>
      <c r="F681" s="8"/>
    </row>
    <row r="682" ht="15.75" customHeight="1">
      <c r="E682" s="21"/>
      <c r="F682" s="8"/>
    </row>
    <row r="683" ht="15.75" customHeight="1">
      <c r="E683" s="21"/>
      <c r="F683" s="8"/>
    </row>
    <row r="684" ht="15.75" customHeight="1">
      <c r="E684" s="21"/>
      <c r="F684" s="8"/>
    </row>
    <row r="685" ht="15.75" customHeight="1">
      <c r="E685" s="21"/>
      <c r="F685" s="8"/>
    </row>
    <row r="686" ht="15.75" customHeight="1">
      <c r="E686" s="21"/>
      <c r="F686" s="8"/>
    </row>
    <row r="687" ht="15.75" customHeight="1">
      <c r="E687" s="21"/>
      <c r="F687" s="8"/>
    </row>
    <row r="688" ht="15.75" customHeight="1">
      <c r="E688" s="21"/>
      <c r="F688" s="8"/>
    </row>
    <row r="689" ht="15.75" customHeight="1">
      <c r="E689" s="21"/>
      <c r="F689" s="8"/>
    </row>
    <row r="690" ht="15.75" customHeight="1">
      <c r="E690" s="21"/>
      <c r="F690" s="8"/>
    </row>
    <row r="691" ht="15.75" customHeight="1">
      <c r="E691" s="21"/>
      <c r="F691" s="8"/>
    </row>
    <row r="692" ht="15.75" customHeight="1">
      <c r="E692" s="21"/>
      <c r="F692" s="8"/>
    </row>
    <row r="693" ht="15.75" customHeight="1">
      <c r="E693" s="21"/>
      <c r="F693" s="8"/>
    </row>
    <row r="694" ht="15.75" customHeight="1">
      <c r="E694" s="21"/>
      <c r="F694" s="8"/>
    </row>
    <row r="695" ht="15.75" customHeight="1">
      <c r="E695" s="21"/>
      <c r="F695" s="8"/>
    </row>
    <row r="696" ht="15.75" customHeight="1">
      <c r="E696" s="21"/>
      <c r="F696" s="8"/>
    </row>
    <row r="697" ht="15.75" customHeight="1">
      <c r="E697" s="21"/>
      <c r="F697" s="8"/>
    </row>
    <row r="698" ht="15.75" customHeight="1">
      <c r="E698" s="21"/>
      <c r="F698" s="8"/>
    </row>
    <row r="699" ht="15.75" customHeight="1">
      <c r="E699" s="21"/>
      <c r="F699" s="8"/>
    </row>
    <row r="700" ht="15.75" customHeight="1">
      <c r="E700" s="21"/>
      <c r="F700" s="8"/>
    </row>
    <row r="701" ht="15.75" customHeight="1">
      <c r="E701" s="21"/>
      <c r="F701" s="8"/>
    </row>
    <row r="702" ht="15.75" customHeight="1">
      <c r="E702" s="21"/>
      <c r="F702" s="8"/>
    </row>
    <row r="703" ht="15.75" customHeight="1">
      <c r="E703" s="21"/>
      <c r="F703" s="8"/>
    </row>
    <row r="704" ht="15.75" customHeight="1">
      <c r="E704" s="21"/>
      <c r="F704" s="8"/>
    </row>
    <row r="705" ht="15.75" customHeight="1">
      <c r="E705" s="21"/>
      <c r="F705" s="8"/>
    </row>
    <row r="706" ht="15.75" customHeight="1">
      <c r="E706" s="21"/>
      <c r="F706" s="8"/>
    </row>
    <row r="707" ht="15.75" customHeight="1">
      <c r="E707" s="21"/>
      <c r="F707" s="8"/>
    </row>
    <row r="708" ht="15.75" customHeight="1">
      <c r="E708" s="21"/>
      <c r="F708" s="8"/>
    </row>
    <row r="709" ht="15.75" customHeight="1">
      <c r="E709" s="21"/>
      <c r="F709" s="8"/>
    </row>
    <row r="710" ht="15.75" customHeight="1">
      <c r="E710" s="21"/>
      <c r="F710" s="8"/>
    </row>
    <row r="711" ht="15.75" customHeight="1">
      <c r="E711" s="21"/>
      <c r="F711" s="8"/>
    </row>
    <row r="712" ht="15.75" customHeight="1">
      <c r="E712" s="21"/>
      <c r="F712" s="8"/>
    </row>
    <row r="713" ht="15.75" customHeight="1">
      <c r="E713" s="21"/>
      <c r="F713" s="8"/>
    </row>
    <row r="714" ht="15.75" customHeight="1">
      <c r="E714" s="21"/>
      <c r="F714" s="8"/>
    </row>
    <row r="715" ht="15.75" customHeight="1">
      <c r="E715" s="21"/>
      <c r="F715" s="8"/>
    </row>
    <row r="716" ht="15.75" customHeight="1">
      <c r="E716" s="21"/>
      <c r="F716" s="8"/>
    </row>
    <row r="717" ht="15.75" customHeight="1">
      <c r="E717" s="21"/>
      <c r="F717" s="8"/>
    </row>
    <row r="718" ht="15.75" customHeight="1">
      <c r="E718" s="21"/>
      <c r="F718" s="8"/>
    </row>
    <row r="719" ht="15.75" customHeight="1">
      <c r="E719" s="21"/>
      <c r="F719" s="8"/>
    </row>
    <row r="720" ht="15.75" customHeight="1">
      <c r="E720" s="21"/>
      <c r="F720" s="8"/>
    </row>
    <row r="721" ht="15.75" customHeight="1">
      <c r="E721" s="21"/>
      <c r="F721" s="8"/>
    </row>
    <row r="722" ht="15.75" customHeight="1">
      <c r="E722" s="21"/>
      <c r="F722" s="8"/>
    </row>
    <row r="723" ht="15.75" customHeight="1">
      <c r="E723" s="21"/>
      <c r="F723" s="8"/>
    </row>
    <row r="724" ht="15.75" customHeight="1">
      <c r="E724" s="21"/>
      <c r="F724" s="8"/>
    </row>
    <row r="725" ht="15.75" customHeight="1">
      <c r="E725" s="21"/>
      <c r="F725" s="8"/>
    </row>
    <row r="726" ht="15.75" customHeight="1">
      <c r="E726" s="21"/>
      <c r="F726" s="8"/>
    </row>
    <row r="727" ht="15.75" customHeight="1">
      <c r="E727" s="21"/>
      <c r="F727" s="8"/>
    </row>
    <row r="728" ht="15.75" customHeight="1">
      <c r="E728" s="21"/>
      <c r="F728" s="8"/>
    </row>
    <row r="729" ht="15.75" customHeight="1">
      <c r="E729" s="21"/>
      <c r="F729" s="8"/>
    </row>
    <row r="730" ht="15.75" customHeight="1">
      <c r="E730" s="21"/>
      <c r="F730" s="8"/>
    </row>
    <row r="731" ht="15.75" customHeight="1">
      <c r="E731" s="21"/>
      <c r="F731" s="8"/>
    </row>
    <row r="732" ht="15.75" customHeight="1">
      <c r="E732" s="21"/>
      <c r="F732" s="8"/>
    </row>
    <row r="733" ht="15.75" customHeight="1">
      <c r="E733" s="21"/>
      <c r="F733" s="8"/>
    </row>
    <row r="734" ht="15.75" customHeight="1">
      <c r="E734" s="21"/>
      <c r="F734" s="8"/>
    </row>
    <row r="735" ht="15.75" customHeight="1">
      <c r="E735" s="21"/>
      <c r="F735" s="8"/>
    </row>
    <row r="736" ht="15.75" customHeight="1">
      <c r="E736" s="21"/>
      <c r="F736" s="8"/>
    </row>
    <row r="737" ht="15.75" customHeight="1">
      <c r="E737" s="21"/>
      <c r="F737" s="8"/>
    </row>
    <row r="738" ht="15.75" customHeight="1">
      <c r="E738" s="21"/>
      <c r="F738" s="8"/>
    </row>
    <row r="739" ht="15.75" customHeight="1">
      <c r="E739" s="21"/>
      <c r="F739" s="8"/>
    </row>
    <row r="740" ht="15.75" customHeight="1">
      <c r="E740" s="21"/>
      <c r="F740" s="8"/>
    </row>
    <row r="741" ht="15.75" customHeight="1">
      <c r="E741" s="21"/>
      <c r="F741" s="8"/>
    </row>
    <row r="742" ht="15.75" customHeight="1">
      <c r="E742" s="21"/>
      <c r="F742" s="8"/>
    </row>
    <row r="743" ht="15.75" customHeight="1">
      <c r="E743" s="21"/>
      <c r="F743" s="8"/>
    </row>
    <row r="744" ht="15.75" customHeight="1">
      <c r="E744" s="21"/>
      <c r="F744" s="8"/>
    </row>
    <row r="745" ht="15.75" customHeight="1">
      <c r="E745" s="21"/>
      <c r="F745" s="8"/>
    </row>
    <row r="746" ht="15.75" customHeight="1">
      <c r="E746" s="21"/>
      <c r="F746" s="8"/>
    </row>
    <row r="747" ht="15.75" customHeight="1">
      <c r="E747" s="21"/>
      <c r="F747" s="8"/>
    </row>
    <row r="748" ht="15.75" customHeight="1">
      <c r="E748" s="21"/>
      <c r="F748" s="8"/>
    </row>
    <row r="749" ht="15.75" customHeight="1">
      <c r="E749" s="21"/>
      <c r="F749" s="8"/>
    </row>
    <row r="750" ht="15.75" customHeight="1">
      <c r="E750" s="21"/>
      <c r="F750" s="8"/>
    </row>
    <row r="751" ht="15.75" customHeight="1">
      <c r="E751" s="21"/>
      <c r="F751" s="8"/>
    </row>
    <row r="752" ht="15.75" customHeight="1">
      <c r="E752" s="21"/>
      <c r="F752" s="8"/>
    </row>
    <row r="753" ht="15.75" customHeight="1">
      <c r="E753" s="21"/>
      <c r="F753" s="8"/>
    </row>
    <row r="754" ht="15.75" customHeight="1">
      <c r="E754" s="21"/>
      <c r="F754" s="8"/>
    </row>
    <row r="755" ht="15.75" customHeight="1">
      <c r="E755" s="21"/>
      <c r="F755" s="8"/>
    </row>
    <row r="756" ht="15.75" customHeight="1">
      <c r="E756" s="21"/>
      <c r="F756" s="8"/>
    </row>
    <row r="757" ht="15.75" customHeight="1">
      <c r="E757" s="21"/>
      <c r="F757" s="8"/>
    </row>
    <row r="758" ht="15.75" customHeight="1">
      <c r="E758" s="21"/>
      <c r="F758" s="8"/>
    </row>
    <row r="759" ht="15.75" customHeight="1">
      <c r="E759" s="21"/>
      <c r="F759" s="8"/>
    </row>
    <row r="760" ht="15.75" customHeight="1">
      <c r="E760" s="21"/>
      <c r="F760" s="8"/>
    </row>
    <row r="761" ht="15.75" customHeight="1">
      <c r="E761" s="21"/>
      <c r="F761" s="8"/>
    </row>
    <row r="762" ht="15.75" customHeight="1">
      <c r="E762" s="21"/>
      <c r="F762" s="8"/>
    </row>
    <row r="763" ht="15.75" customHeight="1">
      <c r="E763" s="21"/>
      <c r="F763" s="8"/>
    </row>
    <row r="764" ht="15.75" customHeight="1">
      <c r="E764" s="21"/>
      <c r="F764" s="8"/>
    </row>
    <row r="765" ht="15.75" customHeight="1">
      <c r="E765" s="21"/>
      <c r="F765" s="8"/>
    </row>
    <row r="766" ht="15.75" customHeight="1">
      <c r="E766" s="21"/>
      <c r="F766" s="8"/>
    </row>
    <row r="767" ht="15.75" customHeight="1">
      <c r="E767" s="21"/>
      <c r="F767" s="8"/>
    </row>
    <row r="768" ht="15.75" customHeight="1">
      <c r="E768" s="21"/>
      <c r="F768" s="8"/>
    </row>
    <row r="769" ht="15.75" customHeight="1">
      <c r="E769" s="21"/>
      <c r="F769" s="8"/>
    </row>
    <row r="770" ht="15.75" customHeight="1">
      <c r="E770" s="21"/>
      <c r="F770" s="8"/>
    </row>
    <row r="771" ht="15.75" customHeight="1">
      <c r="E771" s="21"/>
      <c r="F771" s="8"/>
    </row>
    <row r="772" ht="15.75" customHeight="1">
      <c r="E772" s="21"/>
      <c r="F772" s="8"/>
    </row>
    <row r="773" ht="15.75" customHeight="1">
      <c r="E773" s="21"/>
      <c r="F773" s="8"/>
    </row>
    <row r="774" ht="15.75" customHeight="1">
      <c r="E774" s="21"/>
      <c r="F774" s="8"/>
    </row>
    <row r="775" ht="15.75" customHeight="1">
      <c r="E775" s="21"/>
      <c r="F775" s="8"/>
    </row>
    <row r="776" ht="15.75" customHeight="1">
      <c r="E776" s="21"/>
      <c r="F776" s="8"/>
    </row>
    <row r="777" ht="15.75" customHeight="1">
      <c r="E777" s="21"/>
      <c r="F777" s="8"/>
    </row>
    <row r="778" ht="15.75" customHeight="1">
      <c r="E778" s="21"/>
      <c r="F778" s="8"/>
    </row>
    <row r="779" ht="15.75" customHeight="1">
      <c r="E779" s="21"/>
      <c r="F779" s="8"/>
    </row>
    <row r="780" ht="15.75" customHeight="1">
      <c r="E780" s="21"/>
      <c r="F780" s="8"/>
    </row>
    <row r="781" ht="15.75" customHeight="1">
      <c r="E781" s="21"/>
      <c r="F781" s="8"/>
    </row>
    <row r="782" ht="15.75" customHeight="1">
      <c r="E782" s="21"/>
      <c r="F782" s="8"/>
    </row>
    <row r="783" ht="15.75" customHeight="1">
      <c r="E783" s="21"/>
      <c r="F783" s="8"/>
    </row>
    <row r="784" ht="15.75" customHeight="1">
      <c r="E784" s="21"/>
      <c r="F784" s="8"/>
    </row>
    <row r="785" ht="15.75" customHeight="1">
      <c r="E785" s="21"/>
      <c r="F785" s="8"/>
    </row>
    <row r="786" ht="15.75" customHeight="1">
      <c r="E786" s="21"/>
      <c r="F786" s="8"/>
    </row>
    <row r="787" ht="15.75" customHeight="1">
      <c r="E787" s="21"/>
      <c r="F787" s="8"/>
    </row>
    <row r="788" ht="15.75" customHeight="1">
      <c r="E788" s="21"/>
      <c r="F788" s="8"/>
    </row>
    <row r="789" ht="15.75" customHeight="1">
      <c r="E789" s="21"/>
      <c r="F789" s="8"/>
    </row>
    <row r="790" ht="15.75" customHeight="1">
      <c r="E790" s="21"/>
      <c r="F790" s="8"/>
    </row>
    <row r="791" ht="15.75" customHeight="1">
      <c r="E791" s="21"/>
      <c r="F791" s="8"/>
    </row>
    <row r="792" ht="15.75" customHeight="1">
      <c r="E792" s="21"/>
      <c r="F792" s="8"/>
    </row>
    <row r="793" ht="15.75" customHeight="1">
      <c r="E793" s="21"/>
      <c r="F793" s="8"/>
    </row>
    <row r="794" ht="15.75" customHeight="1">
      <c r="E794" s="21"/>
      <c r="F794" s="8"/>
    </row>
    <row r="795" ht="15.75" customHeight="1">
      <c r="E795" s="21"/>
      <c r="F795" s="8"/>
    </row>
    <row r="796" ht="15.75" customHeight="1">
      <c r="E796" s="21"/>
      <c r="F796" s="8"/>
    </row>
    <row r="797" ht="15.75" customHeight="1">
      <c r="E797" s="21"/>
      <c r="F797" s="8"/>
    </row>
    <row r="798" ht="15.75" customHeight="1">
      <c r="E798" s="21"/>
      <c r="F798" s="8"/>
    </row>
    <row r="799" ht="15.75" customHeight="1">
      <c r="E799" s="21"/>
      <c r="F799" s="8"/>
    </row>
    <row r="800" ht="15.75" customHeight="1">
      <c r="E800" s="21"/>
      <c r="F800" s="8"/>
    </row>
    <row r="801" ht="15.75" customHeight="1">
      <c r="E801" s="21"/>
      <c r="F801" s="8"/>
    </row>
    <row r="802" ht="15.75" customHeight="1">
      <c r="E802" s="21"/>
      <c r="F802" s="8"/>
    </row>
    <row r="803" ht="15.75" customHeight="1">
      <c r="E803" s="21"/>
      <c r="F803" s="8"/>
    </row>
    <row r="804" ht="15.75" customHeight="1">
      <c r="E804" s="21"/>
      <c r="F804" s="8"/>
    </row>
    <row r="805" ht="15.75" customHeight="1">
      <c r="E805" s="21"/>
      <c r="F805" s="8"/>
    </row>
    <row r="806" ht="15.75" customHeight="1">
      <c r="E806" s="21"/>
      <c r="F806" s="8"/>
    </row>
    <row r="807" ht="15.75" customHeight="1">
      <c r="E807" s="21"/>
      <c r="F807" s="8"/>
    </row>
    <row r="808" ht="15.75" customHeight="1">
      <c r="E808" s="21"/>
      <c r="F808" s="8"/>
    </row>
    <row r="809" ht="15.75" customHeight="1">
      <c r="E809" s="21"/>
      <c r="F809" s="8"/>
    </row>
    <row r="810" ht="15.75" customHeight="1">
      <c r="E810" s="21"/>
      <c r="F810" s="8"/>
    </row>
    <row r="811" ht="15.75" customHeight="1">
      <c r="E811" s="21"/>
      <c r="F811" s="8"/>
    </row>
    <row r="812" ht="15.75" customHeight="1">
      <c r="E812" s="21"/>
      <c r="F812" s="8"/>
    </row>
    <row r="813" ht="15.75" customHeight="1">
      <c r="E813" s="21"/>
      <c r="F813" s="8"/>
    </row>
    <row r="814" ht="15.75" customHeight="1">
      <c r="E814" s="21"/>
      <c r="F814" s="8"/>
    </row>
    <row r="815" ht="15.75" customHeight="1">
      <c r="E815" s="21"/>
      <c r="F815" s="8"/>
    </row>
    <row r="816" ht="15.75" customHeight="1">
      <c r="E816" s="21"/>
      <c r="F816" s="8"/>
    </row>
    <row r="817" ht="15.75" customHeight="1">
      <c r="E817" s="21"/>
      <c r="F817" s="8"/>
    </row>
    <row r="818" ht="15.75" customHeight="1">
      <c r="E818" s="21"/>
      <c r="F818" s="8"/>
    </row>
    <row r="819" ht="15.75" customHeight="1">
      <c r="E819" s="21"/>
      <c r="F819" s="8"/>
    </row>
    <row r="820" ht="15.75" customHeight="1">
      <c r="E820" s="21"/>
      <c r="F820" s="8"/>
    </row>
    <row r="821" ht="15.75" customHeight="1">
      <c r="E821" s="21"/>
      <c r="F821" s="8"/>
    </row>
    <row r="822" ht="15.75" customHeight="1">
      <c r="E822" s="21"/>
      <c r="F822" s="8"/>
    </row>
    <row r="823" ht="15.75" customHeight="1">
      <c r="E823" s="21"/>
      <c r="F823" s="8"/>
    </row>
    <row r="824" ht="15.75" customHeight="1">
      <c r="E824" s="21"/>
      <c r="F824" s="8"/>
    </row>
    <row r="825" ht="15.75" customHeight="1">
      <c r="E825" s="21"/>
      <c r="F825" s="8"/>
    </row>
    <row r="826" ht="15.75" customHeight="1">
      <c r="E826" s="21"/>
      <c r="F826" s="8"/>
    </row>
    <row r="827" ht="15.75" customHeight="1">
      <c r="E827" s="21"/>
      <c r="F827" s="8"/>
    </row>
    <row r="828" ht="15.75" customHeight="1">
      <c r="E828" s="21"/>
      <c r="F828" s="8"/>
    </row>
    <row r="829" ht="15.75" customHeight="1">
      <c r="E829" s="21"/>
      <c r="F829" s="8"/>
    </row>
    <row r="830" ht="15.75" customHeight="1">
      <c r="E830" s="21"/>
      <c r="F830" s="8"/>
    </row>
    <row r="831" ht="15.75" customHeight="1">
      <c r="E831" s="21"/>
      <c r="F831" s="8"/>
    </row>
    <row r="832" ht="15.75" customHeight="1">
      <c r="E832" s="21"/>
      <c r="F832" s="8"/>
    </row>
    <row r="833" ht="15.75" customHeight="1">
      <c r="E833" s="21"/>
      <c r="F833" s="8"/>
    </row>
    <row r="834" ht="15.75" customHeight="1">
      <c r="E834" s="21"/>
      <c r="F834" s="8"/>
    </row>
    <row r="835" ht="15.75" customHeight="1">
      <c r="E835" s="21"/>
      <c r="F835" s="8"/>
    </row>
    <row r="836" ht="15.75" customHeight="1">
      <c r="E836" s="21"/>
      <c r="F836" s="8"/>
    </row>
    <row r="837" ht="15.75" customHeight="1">
      <c r="E837" s="21"/>
      <c r="F837" s="8"/>
    </row>
    <row r="838" ht="15.75" customHeight="1">
      <c r="E838" s="21"/>
      <c r="F838" s="8"/>
    </row>
    <row r="839" ht="15.75" customHeight="1">
      <c r="E839" s="21"/>
      <c r="F839" s="8"/>
    </row>
    <row r="840" ht="15.75" customHeight="1">
      <c r="E840" s="21"/>
      <c r="F840" s="8"/>
    </row>
    <row r="841" ht="15.75" customHeight="1">
      <c r="E841" s="21"/>
      <c r="F841" s="8"/>
    </row>
    <row r="842" ht="15.75" customHeight="1">
      <c r="E842" s="21"/>
      <c r="F842" s="8"/>
    </row>
    <row r="843" ht="15.75" customHeight="1">
      <c r="E843" s="21"/>
      <c r="F843" s="8"/>
    </row>
    <row r="844" ht="15.75" customHeight="1">
      <c r="E844" s="21"/>
      <c r="F844" s="8"/>
    </row>
    <row r="845" ht="15.75" customHeight="1">
      <c r="E845" s="21"/>
      <c r="F845" s="8"/>
    </row>
    <row r="846" ht="15.75" customHeight="1">
      <c r="E846" s="21"/>
      <c r="F846" s="8"/>
    </row>
    <row r="847" ht="15.75" customHeight="1">
      <c r="E847" s="21"/>
      <c r="F847" s="8"/>
    </row>
    <row r="848" ht="15.75" customHeight="1">
      <c r="E848" s="21"/>
      <c r="F848" s="8"/>
    </row>
    <row r="849" ht="15.75" customHeight="1">
      <c r="E849" s="21"/>
      <c r="F849" s="8"/>
    </row>
    <row r="850" ht="15.75" customHeight="1">
      <c r="E850" s="21"/>
      <c r="F850" s="8"/>
    </row>
    <row r="851" ht="15.75" customHeight="1">
      <c r="E851" s="21"/>
      <c r="F851" s="8"/>
    </row>
    <row r="852" ht="15.75" customHeight="1">
      <c r="E852" s="21"/>
      <c r="F852" s="8"/>
    </row>
    <row r="853" ht="15.75" customHeight="1">
      <c r="E853" s="21"/>
      <c r="F853" s="8"/>
    </row>
    <row r="854" ht="15.75" customHeight="1">
      <c r="E854" s="21"/>
      <c r="F854" s="8"/>
    </row>
    <row r="855" ht="15.75" customHeight="1">
      <c r="E855" s="21"/>
      <c r="F855" s="8"/>
    </row>
    <row r="856" ht="15.75" customHeight="1">
      <c r="E856" s="21"/>
      <c r="F856" s="8"/>
    </row>
    <row r="857" ht="15.75" customHeight="1">
      <c r="E857" s="21"/>
      <c r="F857" s="8"/>
    </row>
    <row r="858" ht="15.75" customHeight="1">
      <c r="E858" s="21"/>
      <c r="F858" s="8"/>
    </row>
    <row r="859" ht="15.75" customHeight="1">
      <c r="E859" s="21"/>
      <c r="F859" s="8"/>
    </row>
    <row r="860" ht="15.75" customHeight="1">
      <c r="E860" s="21"/>
      <c r="F860" s="8"/>
    </row>
    <row r="861" ht="15.75" customHeight="1">
      <c r="E861" s="21"/>
      <c r="F861" s="8"/>
    </row>
    <row r="862" ht="15.75" customHeight="1">
      <c r="E862" s="21"/>
      <c r="F862" s="8"/>
    </row>
    <row r="863" ht="15.75" customHeight="1">
      <c r="E863" s="21"/>
      <c r="F863" s="8"/>
    </row>
    <row r="864" ht="15.75" customHeight="1">
      <c r="E864" s="21"/>
      <c r="F864" s="8"/>
    </row>
    <row r="865" ht="15.75" customHeight="1">
      <c r="E865" s="21"/>
      <c r="F865" s="8"/>
    </row>
    <row r="866" ht="15.75" customHeight="1">
      <c r="E866" s="21"/>
      <c r="F866" s="8"/>
    </row>
    <row r="867" ht="15.75" customHeight="1">
      <c r="E867" s="21"/>
      <c r="F867" s="8"/>
    </row>
    <row r="868" ht="15.75" customHeight="1">
      <c r="E868" s="21"/>
      <c r="F868" s="8"/>
    </row>
    <row r="869" ht="15.75" customHeight="1">
      <c r="E869" s="21"/>
      <c r="F869" s="8"/>
    </row>
    <row r="870" ht="15.75" customHeight="1">
      <c r="E870" s="21"/>
      <c r="F870" s="8"/>
    </row>
    <row r="871" ht="15.75" customHeight="1">
      <c r="E871" s="21"/>
      <c r="F871" s="8"/>
    </row>
    <row r="872" ht="15.75" customHeight="1">
      <c r="E872" s="21"/>
      <c r="F872" s="8"/>
    </row>
    <row r="873" ht="15.75" customHeight="1">
      <c r="E873" s="21"/>
      <c r="F873" s="8"/>
    </row>
    <row r="874" ht="15.75" customHeight="1">
      <c r="E874" s="21"/>
      <c r="F874" s="8"/>
    </row>
    <row r="875" ht="15.75" customHeight="1">
      <c r="E875" s="21"/>
      <c r="F875" s="8"/>
    </row>
    <row r="876" ht="15.75" customHeight="1">
      <c r="E876" s="21"/>
      <c r="F876" s="8"/>
    </row>
    <row r="877" ht="15.75" customHeight="1">
      <c r="E877" s="21"/>
      <c r="F877" s="8"/>
    </row>
    <row r="878" ht="15.75" customHeight="1">
      <c r="E878" s="21"/>
      <c r="F878" s="8"/>
    </row>
    <row r="879" ht="15.75" customHeight="1">
      <c r="E879" s="21"/>
      <c r="F879" s="8"/>
    </row>
    <row r="880" ht="15.75" customHeight="1">
      <c r="E880" s="21"/>
      <c r="F880" s="8"/>
    </row>
    <row r="881" ht="15.75" customHeight="1">
      <c r="E881" s="21"/>
      <c r="F881" s="8"/>
    </row>
    <row r="882" ht="15.75" customHeight="1">
      <c r="E882" s="21"/>
      <c r="F882" s="8"/>
    </row>
    <row r="883" ht="15.75" customHeight="1">
      <c r="E883" s="21"/>
      <c r="F883" s="8"/>
    </row>
    <row r="884" ht="15.75" customHeight="1">
      <c r="E884" s="21"/>
      <c r="F884" s="8"/>
    </row>
    <row r="885" ht="15.75" customHeight="1">
      <c r="E885" s="21"/>
      <c r="F885" s="8"/>
    </row>
    <row r="886" ht="15.75" customHeight="1">
      <c r="E886" s="21"/>
      <c r="F886" s="8"/>
    </row>
    <row r="887" ht="15.75" customHeight="1">
      <c r="E887" s="21"/>
      <c r="F887" s="8"/>
    </row>
    <row r="888" ht="15.75" customHeight="1">
      <c r="E888" s="21"/>
      <c r="F888" s="8"/>
    </row>
    <row r="889" ht="15.75" customHeight="1">
      <c r="E889" s="21"/>
      <c r="F889" s="8"/>
    </row>
    <row r="890" ht="15.75" customHeight="1">
      <c r="E890" s="21"/>
      <c r="F890" s="8"/>
    </row>
    <row r="891" ht="15.75" customHeight="1">
      <c r="E891" s="21"/>
      <c r="F891" s="8"/>
    </row>
    <row r="892" ht="15.75" customHeight="1">
      <c r="E892" s="21"/>
      <c r="F892" s="8"/>
    </row>
    <row r="893" ht="15.75" customHeight="1">
      <c r="E893" s="21"/>
      <c r="F893" s="8"/>
    </row>
    <row r="894" ht="15.75" customHeight="1">
      <c r="E894" s="21"/>
      <c r="F894" s="8"/>
    </row>
    <row r="895" ht="15.75" customHeight="1">
      <c r="E895" s="21"/>
      <c r="F895" s="8"/>
    </row>
    <row r="896" ht="15.75" customHeight="1">
      <c r="E896" s="21"/>
      <c r="F896" s="8"/>
    </row>
    <row r="897" ht="15.75" customHeight="1">
      <c r="E897" s="21"/>
      <c r="F897" s="8"/>
    </row>
    <row r="898" ht="15.75" customHeight="1">
      <c r="E898" s="21"/>
      <c r="F898" s="8"/>
    </row>
    <row r="899" ht="15.75" customHeight="1">
      <c r="E899" s="21"/>
      <c r="F899" s="8"/>
    </row>
    <row r="900" ht="15.75" customHeight="1">
      <c r="E900" s="21"/>
      <c r="F900" s="8"/>
    </row>
    <row r="901" ht="15.75" customHeight="1">
      <c r="E901" s="21"/>
      <c r="F901" s="8"/>
    </row>
    <row r="902" ht="15.75" customHeight="1">
      <c r="E902" s="21"/>
      <c r="F902" s="8"/>
    </row>
    <row r="903" ht="15.75" customHeight="1">
      <c r="E903" s="21"/>
      <c r="F903" s="8"/>
    </row>
    <row r="904" ht="15.75" customHeight="1">
      <c r="E904" s="21"/>
      <c r="F904" s="8"/>
    </row>
    <row r="905" ht="15.75" customHeight="1">
      <c r="E905" s="21"/>
      <c r="F905" s="8"/>
    </row>
    <row r="906" ht="15.75" customHeight="1">
      <c r="E906" s="21"/>
      <c r="F906" s="8"/>
    </row>
    <row r="907" ht="15.75" customHeight="1">
      <c r="E907" s="21"/>
      <c r="F907" s="8"/>
    </row>
    <row r="908" ht="15.75" customHeight="1">
      <c r="E908" s="21"/>
      <c r="F908" s="8"/>
    </row>
    <row r="909" ht="15.75" customHeight="1">
      <c r="E909" s="21"/>
      <c r="F909" s="8"/>
    </row>
    <row r="910" ht="15.75" customHeight="1">
      <c r="E910" s="21"/>
      <c r="F910" s="8"/>
    </row>
    <row r="911" ht="15.75" customHeight="1">
      <c r="E911" s="21"/>
      <c r="F911" s="8"/>
    </row>
    <row r="912" ht="15.75" customHeight="1">
      <c r="E912" s="21"/>
      <c r="F912" s="8"/>
    </row>
    <row r="913" ht="15.75" customHeight="1">
      <c r="E913" s="21"/>
      <c r="F913" s="8"/>
    </row>
    <row r="914" ht="15.75" customHeight="1">
      <c r="E914" s="21"/>
      <c r="F914" s="8"/>
    </row>
    <row r="915" ht="15.75" customHeight="1">
      <c r="E915" s="21"/>
      <c r="F915" s="8"/>
    </row>
    <row r="916" ht="15.75" customHeight="1">
      <c r="E916" s="21"/>
      <c r="F916" s="8"/>
    </row>
    <row r="917" ht="15.75" customHeight="1">
      <c r="E917" s="21"/>
      <c r="F917" s="8"/>
    </row>
    <row r="918" ht="15.75" customHeight="1">
      <c r="E918" s="21"/>
      <c r="F918" s="8"/>
    </row>
    <row r="919" ht="15.75" customHeight="1">
      <c r="E919" s="21"/>
      <c r="F919" s="8"/>
    </row>
    <row r="920" ht="15.75" customHeight="1">
      <c r="E920" s="21"/>
      <c r="F920" s="8"/>
    </row>
    <row r="921" ht="15.75" customHeight="1">
      <c r="E921" s="21"/>
      <c r="F921" s="8"/>
    </row>
    <row r="922" ht="15.75" customHeight="1">
      <c r="E922" s="21"/>
      <c r="F922" s="8"/>
    </row>
    <row r="923" ht="15.75" customHeight="1">
      <c r="E923" s="21"/>
      <c r="F923" s="8"/>
    </row>
    <row r="924" ht="15.75" customHeight="1">
      <c r="E924" s="21"/>
      <c r="F924" s="8"/>
    </row>
    <row r="925" ht="15.75" customHeight="1">
      <c r="E925" s="21"/>
      <c r="F925" s="8"/>
    </row>
    <row r="926" ht="15.75" customHeight="1">
      <c r="E926" s="21"/>
      <c r="F926" s="8"/>
    </row>
    <row r="927" ht="15.75" customHeight="1">
      <c r="E927" s="21"/>
      <c r="F927" s="8"/>
    </row>
    <row r="928" ht="15.75" customHeight="1">
      <c r="E928" s="21"/>
      <c r="F928" s="8"/>
    </row>
    <row r="929" ht="15.75" customHeight="1">
      <c r="E929" s="21"/>
      <c r="F929" s="8"/>
    </row>
    <row r="930" ht="15.75" customHeight="1">
      <c r="E930" s="21"/>
      <c r="F930" s="8"/>
    </row>
    <row r="931" ht="15.75" customHeight="1">
      <c r="E931" s="21"/>
      <c r="F931" s="8"/>
    </row>
    <row r="932" ht="15.75" customHeight="1">
      <c r="E932" s="21"/>
      <c r="F932" s="8"/>
    </row>
    <row r="933" ht="15.75" customHeight="1">
      <c r="E933" s="21"/>
      <c r="F933" s="8"/>
    </row>
    <row r="934" ht="15.75" customHeight="1">
      <c r="E934" s="21"/>
      <c r="F934" s="8"/>
    </row>
    <row r="935" ht="15.75" customHeight="1">
      <c r="E935" s="21"/>
      <c r="F935" s="8"/>
    </row>
    <row r="936" ht="15.75" customHeight="1">
      <c r="E936" s="21"/>
      <c r="F936" s="8"/>
    </row>
    <row r="937" ht="15.75" customHeight="1">
      <c r="E937" s="21"/>
      <c r="F937" s="8"/>
    </row>
    <row r="938" ht="15.75" customHeight="1">
      <c r="E938" s="21"/>
      <c r="F938" s="8"/>
    </row>
    <row r="939" ht="15.75" customHeight="1">
      <c r="E939" s="21"/>
      <c r="F939" s="8"/>
    </row>
    <row r="940" ht="15.75" customHeight="1">
      <c r="E940" s="21"/>
      <c r="F940" s="8"/>
    </row>
    <row r="941" ht="15.75" customHeight="1">
      <c r="E941" s="21"/>
      <c r="F941" s="8"/>
    </row>
    <row r="942" ht="15.75" customHeight="1">
      <c r="E942" s="21"/>
      <c r="F942" s="8"/>
    </row>
    <row r="943" ht="15.75" customHeight="1">
      <c r="E943" s="21"/>
      <c r="F943" s="8"/>
    </row>
    <row r="944" ht="15.75" customHeight="1">
      <c r="E944" s="21"/>
      <c r="F944" s="8"/>
    </row>
    <row r="945" ht="15.75" customHeight="1">
      <c r="E945" s="21"/>
      <c r="F945" s="8"/>
    </row>
    <row r="946" ht="15.75" customHeight="1">
      <c r="E946" s="21"/>
      <c r="F946" s="8"/>
    </row>
    <row r="947" ht="15.75" customHeight="1">
      <c r="E947" s="21"/>
      <c r="F947" s="8"/>
    </row>
    <row r="948" ht="15.75" customHeight="1">
      <c r="E948" s="21"/>
      <c r="F948" s="8"/>
    </row>
    <row r="949" ht="15.75" customHeight="1">
      <c r="E949" s="21"/>
      <c r="F949" s="8"/>
    </row>
    <row r="950" ht="15.75" customHeight="1">
      <c r="E950" s="21"/>
      <c r="F950" s="8"/>
    </row>
    <row r="951" ht="15.75" customHeight="1">
      <c r="E951" s="21"/>
      <c r="F951" s="8"/>
    </row>
    <row r="952" ht="15.75" customHeight="1">
      <c r="E952" s="21"/>
      <c r="F952" s="8"/>
    </row>
    <row r="953" ht="15.75" customHeight="1">
      <c r="E953" s="21"/>
      <c r="F953" s="8"/>
    </row>
    <row r="954" ht="15.75" customHeight="1">
      <c r="E954" s="21"/>
      <c r="F954" s="8"/>
    </row>
    <row r="955" ht="15.75" customHeight="1">
      <c r="E955" s="21"/>
      <c r="F955" s="8"/>
    </row>
    <row r="956" ht="15.75" customHeight="1">
      <c r="E956" s="21"/>
      <c r="F956" s="8"/>
    </row>
    <row r="957" ht="15.75" customHeight="1">
      <c r="E957" s="21"/>
      <c r="F957" s="8"/>
    </row>
    <row r="958" ht="15.75" customHeight="1">
      <c r="E958" s="21"/>
      <c r="F958" s="8"/>
    </row>
    <row r="959" ht="15.75" customHeight="1">
      <c r="E959" s="21"/>
      <c r="F959" s="8"/>
    </row>
    <row r="960" ht="15.75" customHeight="1">
      <c r="E960" s="21"/>
      <c r="F960" s="8"/>
    </row>
    <row r="961" ht="15.75" customHeight="1">
      <c r="E961" s="21"/>
      <c r="F961" s="8"/>
    </row>
    <row r="962" ht="15.75" customHeight="1">
      <c r="E962" s="21"/>
      <c r="F962" s="8"/>
    </row>
    <row r="963" ht="15.75" customHeight="1">
      <c r="E963" s="21"/>
      <c r="F963" s="8"/>
    </row>
    <row r="964" ht="15.75" customHeight="1">
      <c r="E964" s="21"/>
      <c r="F964" s="8"/>
    </row>
    <row r="965" ht="15.75" customHeight="1">
      <c r="E965" s="21"/>
      <c r="F965" s="8"/>
    </row>
    <row r="966" ht="15.75" customHeight="1">
      <c r="E966" s="21"/>
      <c r="F966" s="8"/>
    </row>
    <row r="967" ht="15.75" customHeight="1">
      <c r="E967" s="21"/>
      <c r="F967" s="8"/>
    </row>
    <row r="968" ht="15.75" customHeight="1">
      <c r="E968" s="21"/>
      <c r="F968" s="8"/>
    </row>
    <row r="969" ht="15.75" customHeight="1">
      <c r="E969" s="21"/>
      <c r="F969" s="8"/>
    </row>
    <row r="970" ht="15.75" customHeight="1">
      <c r="E970" s="21"/>
      <c r="F970" s="8"/>
    </row>
    <row r="971" ht="15.75" customHeight="1">
      <c r="E971" s="21"/>
      <c r="F971" s="8"/>
    </row>
    <row r="972" ht="15.75" customHeight="1">
      <c r="E972" s="21"/>
      <c r="F972" s="8"/>
    </row>
    <row r="973" ht="15.75" customHeight="1">
      <c r="E973" s="21"/>
      <c r="F973" s="8"/>
    </row>
    <row r="974" ht="15.75" customHeight="1">
      <c r="E974" s="21"/>
      <c r="F974" s="8"/>
    </row>
    <row r="975" ht="15.75" customHeight="1">
      <c r="E975" s="21"/>
      <c r="F975" s="8"/>
    </row>
    <row r="976" ht="15.75" customHeight="1">
      <c r="E976" s="21"/>
      <c r="F976" s="8"/>
    </row>
    <row r="977" ht="15.75" customHeight="1">
      <c r="E977" s="21"/>
      <c r="F977" s="8"/>
    </row>
    <row r="978" ht="15.75" customHeight="1">
      <c r="E978" s="21"/>
      <c r="F978" s="8"/>
    </row>
    <row r="979" ht="15.75" customHeight="1">
      <c r="E979" s="21"/>
      <c r="F979" s="8"/>
    </row>
    <row r="980" ht="15.75" customHeight="1">
      <c r="E980" s="21"/>
      <c r="F980" s="8"/>
    </row>
    <row r="981" ht="15.75" customHeight="1">
      <c r="E981" s="21"/>
      <c r="F981" s="8"/>
    </row>
    <row r="982" ht="15.75" customHeight="1">
      <c r="E982" s="21"/>
      <c r="F982" s="8"/>
    </row>
    <row r="983" ht="15.75" customHeight="1">
      <c r="E983" s="21"/>
      <c r="F983" s="8"/>
    </row>
    <row r="984" ht="15.75" customHeight="1">
      <c r="E984" s="21"/>
      <c r="F984" s="8"/>
    </row>
    <row r="985" ht="15.75" customHeight="1">
      <c r="E985" s="21"/>
      <c r="F985" s="8"/>
    </row>
    <row r="986" ht="15.75" customHeight="1">
      <c r="E986" s="21"/>
      <c r="F986" s="8"/>
    </row>
    <row r="987" ht="15.75" customHeight="1">
      <c r="E987" s="21"/>
      <c r="F987" s="8"/>
    </row>
    <row r="988" ht="15.75" customHeight="1">
      <c r="E988" s="21"/>
      <c r="F988" s="8"/>
    </row>
    <row r="989" ht="15.75" customHeight="1">
      <c r="E989" s="21"/>
      <c r="F989" s="8"/>
    </row>
    <row r="990" ht="15.75" customHeight="1">
      <c r="E990" s="21"/>
      <c r="F990" s="8"/>
    </row>
    <row r="991" ht="15.75" customHeight="1">
      <c r="E991" s="21"/>
      <c r="F991" s="8"/>
    </row>
    <row r="992" ht="15.75" customHeight="1">
      <c r="E992" s="21"/>
      <c r="F992" s="8"/>
    </row>
    <row r="993" ht="15.75" customHeight="1">
      <c r="E993" s="21"/>
      <c r="F993" s="8"/>
    </row>
    <row r="994" ht="15.75" customHeight="1">
      <c r="E994" s="21"/>
      <c r="F994" s="8"/>
    </row>
    <row r="995" ht="15.75" customHeight="1">
      <c r="E995" s="21"/>
      <c r="F995" s="8"/>
    </row>
    <row r="996" ht="15.75" customHeight="1">
      <c r="E996" s="21"/>
      <c r="F996" s="8"/>
    </row>
    <row r="997" ht="15.75" customHeight="1">
      <c r="E997" s="21"/>
      <c r="F997" s="8"/>
    </row>
    <row r="998" ht="15.75" customHeight="1">
      <c r="E998" s="21"/>
      <c r="F998" s="8"/>
    </row>
    <row r="999" ht="15.75" customHeight="1">
      <c r="E999" s="21"/>
      <c r="F999" s="8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6" max="6" width="19.14"/>
    <col customWidth="1" min="12" max="12" width="16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8" t="s">
        <v>5</v>
      </c>
      <c r="G1" s="4" t="s">
        <v>6</v>
      </c>
      <c r="I1" s="4" t="s">
        <v>7</v>
      </c>
      <c r="K1" s="4"/>
      <c r="L1" s="4" t="s">
        <v>8</v>
      </c>
      <c r="M1" s="5" t="s">
        <v>9</v>
      </c>
      <c r="O1" s="4" t="s">
        <v>10</v>
      </c>
    </row>
    <row r="2">
      <c r="A2" s="6" t="s">
        <v>11</v>
      </c>
      <c r="B2" s="20">
        <v>1.0</v>
      </c>
      <c r="C2" s="20">
        <v>0.0</v>
      </c>
      <c r="D2" s="20">
        <v>1.0</v>
      </c>
      <c r="E2" s="8">
        <f t="shared" ref="E2:E11" si="1">AVERAGE(B2:D2)</f>
        <v>0.6666666667</v>
      </c>
      <c r="F2" s="8">
        <f t="shared" ref="F2:F11" si="2">E2*4</f>
        <v>2.666666667</v>
      </c>
      <c r="G2" s="9">
        <f>SUM(F2:F11)</f>
        <v>172</v>
      </c>
      <c r="I2" s="10" t="s">
        <v>12</v>
      </c>
      <c r="L2" s="10" t="s">
        <v>38</v>
      </c>
      <c r="M2" s="6" t="s">
        <v>17</v>
      </c>
      <c r="O2" s="22" t="s">
        <v>39</v>
      </c>
    </row>
    <row r="3">
      <c r="A3" s="6" t="s">
        <v>16</v>
      </c>
      <c r="B3" s="20">
        <v>1.0</v>
      </c>
      <c r="C3" s="20">
        <v>0.0</v>
      </c>
      <c r="D3" s="20">
        <v>0.0</v>
      </c>
      <c r="E3" s="8">
        <f t="shared" si="1"/>
        <v>0.3333333333</v>
      </c>
      <c r="F3" s="8">
        <f t="shared" si="2"/>
        <v>1.333333333</v>
      </c>
      <c r="M3" s="14" t="s">
        <v>35</v>
      </c>
    </row>
    <row r="4">
      <c r="A4" s="14" t="s">
        <v>35</v>
      </c>
      <c r="B4" s="20">
        <v>0.0</v>
      </c>
      <c r="C4" s="20">
        <v>2.0</v>
      </c>
      <c r="D4" s="20">
        <v>0.0</v>
      </c>
      <c r="E4" s="8">
        <f t="shared" si="1"/>
        <v>0.6666666667</v>
      </c>
      <c r="F4" s="8">
        <f t="shared" si="2"/>
        <v>2.666666667</v>
      </c>
      <c r="M4" s="13" t="s">
        <v>20</v>
      </c>
    </row>
    <row r="5">
      <c r="A5" s="13" t="s">
        <v>20</v>
      </c>
      <c r="B5" s="20">
        <v>1.0</v>
      </c>
      <c r="C5" s="20">
        <v>7.0</v>
      </c>
      <c r="D5" s="20">
        <v>5.0</v>
      </c>
      <c r="E5" s="8">
        <f t="shared" si="1"/>
        <v>4.333333333</v>
      </c>
      <c r="F5" s="8">
        <f t="shared" si="2"/>
        <v>17.33333333</v>
      </c>
      <c r="M5" s="13" t="s">
        <v>23</v>
      </c>
    </row>
    <row r="6">
      <c r="A6" s="13" t="s">
        <v>23</v>
      </c>
      <c r="B6" s="20">
        <v>3.0</v>
      </c>
      <c r="C6" s="20">
        <v>3.0</v>
      </c>
      <c r="D6" s="20">
        <v>3.0</v>
      </c>
      <c r="E6" s="8">
        <f t="shared" si="1"/>
        <v>3</v>
      </c>
      <c r="F6" s="8">
        <f t="shared" si="2"/>
        <v>12</v>
      </c>
      <c r="M6" s="6" t="s">
        <v>11</v>
      </c>
    </row>
    <row r="7">
      <c r="A7" s="6" t="s">
        <v>19</v>
      </c>
      <c r="B7" s="20">
        <v>4.0</v>
      </c>
      <c r="C7" s="20">
        <v>4.0</v>
      </c>
      <c r="D7" s="20">
        <v>5.0</v>
      </c>
      <c r="E7" s="8">
        <f t="shared" si="1"/>
        <v>4.333333333</v>
      </c>
      <c r="F7" s="8">
        <f t="shared" si="2"/>
        <v>17.33333333</v>
      </c>
      <c r="M7" s="6" t="s">
        <v>25</v>
      </c>
    </row>
    <row r="8">
      <c r="A8" s="6" t="s">
        <v>15</v>
      </c>
      <c r="B8" s="20">
        <v>5.0</v>
      </c>
      <c r="C8" s="20">
        <v>1.0</v>
      </c>
      <c r="D8" s="20">
        <v>2.0</v>
      </c>
      <c r="E8" s="8">
        <f t="shared" si="1"/>
        <v>2.666666667</v>
      </c>
      <c r="F8" s="8">
        <f t="shared" si="2"/>
        <v>10.66666667</v>
      </c>
      <c r="M8" s="13" t="s">
        <v>22</v>
      </c>
    </row>
    <row r="9">
      <c r="A9" s="23" t="s">
        <v>36</v>
      </c>
      <c r="B9" s="20">
        <v>6.0</v>
      </c>
      <c r="C9" s="20">
        <v>2.0</v>
      </c>
      <c r="D9" s="20">
        <v>1.0</v>
      </c>
      <c r="E9" s="8">
        <f t="shared" si="1"/>
        <v>3</v>
      </c>
      <c r="F9" s="8">
        <f t="shared" si="2"/>
        <v>12</v>
      </c>
      <c r="M9" s="6" t="s">
        <v>18</v>
      </c>
    </row>
    <row r="10">
      <c r="A10" s="6" t="s">
        <v>17</v>
      </c>
      <c r="B10" s="20">
        <v>9.0</v>
      </c>
      <c r="C10" s="20">
        <v>5.0</v>
      </c>
      <c r="D10" s="20">
        <v>4.0</v>
      </c>
      <c r="E10" s="8">
        <f t="shared" si="1"/>
        <v>6</v>
      </c>
      <c r="F10" s="8">
        <f t="shared" si="2"/>
        <v>24</v>
      </c>
      <c r="M10" s="6" t="s">
        <v>19</v>
      </c>
    </row>
    <row r="11">
      <c r="A11" s="13" t="s">
        <v>21</v>
      </c>
      <c r="B11" s="20">
        <v>21.0</v>
      </c>
      <c r="C11" s="20">
        <v>16.0</v>
      </c>
      <c r="D11" s="20">
        <v>17.0</v>
      </c>
      <c r="E11" s="8">
        <f t="shared" si="1"/>
        <v>18</v>
      </c>
      <c r="F11" s="8">
        <f t="shared" si="2"/>
        <v>72</v>
      </c>
      <c r="M11" s="13" t="s">
        <v>27</v>
      </c>
    </row>
    <row r="12">
      <c r="M12" s="6" t="s">
        <v>16</v>
      </c>
    </row>
    <row r="13">
      <c r="M13" s="6" t="s">
        <v>15</v>
      </c>
    </row>
    <row r="14">
      <c r="M14" s="23" t="s">
        <v>36</v>
      </c>
    </row>
    <row r="15">
      <c r="M15" s="23"/>
    </row>
    <row r="16">
      <c r="M16" s="22"/>
    </row>
    <row r="17">
      <c r="M17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6" max="6" width="18.43"/>
    <col customWidth="1" min="12" max="12" width="16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8" t="s">
        <v>5</v>
      </c>
      <c r="G1" s="4" t="s">
        <v>6</v>
      </c>
      <c r="I1" s="4" t="s">
        <v>7</v>
      </c>
      <c r="J1" s="4" t="s">
        <v>40</v>
      </c>
      <c r="K1" s="4" t="s">
        <v>41</v>
      </c>
      <c r="L1" s="4" t="s">
        <v>8</v>
      </c>
      <c r="M1" s="5" t="s">
        <v>9</v>
      </c>
      <c r="O1" s="4" t="s">
        <v>10</v>
      </c>
    </row>
    <row r="2">
      <c r="A2" s="14" t="s">
        <v>42</v>
      </c>
      <c r="B2" s="20">
        <v>1.0</v>
      </c>
      <c r="C2" s="20">
        <v>0.0</v>
      </c>
      <c r="D2" s="20">
        <v>0.0</v>
      </c>
      <c r="E2" s="8">
        <f t="shared" ref="E2:E12" si="1">AVERAGE(B2:D2)</f>
        <v>0.3333333333</v>
      </c>
      <c r="F2" s="8">
        <f t="shared" ref="F2:F12" si="2">E2*4</f>
        <v>1.333333333</v>
      </c>
      <c r="G2" s="9">
        <f>SUM(F2:F12)</f>
        <v>174.6666667</v>
      </c>
      <c r="I2" s="10" t="s">
        <v>31</v>
      </c>
      <c r="J2" s="10" t="s">
        <v>43</v>
      </c>
      <c r="K2" s="10" t="s">
        <v>44</v>
      </c>
      <c r="L2" s="10" t="s">
        <v>45</v>
      </c>
      <c r="M2" s="6" t="s">
        <v>25</v>
      </c>
      <c r="O2" s="22" t="s">
        <v>46</v>
      </c>
    </row>
    <row r="3">
      <c r="A3" s="6" t="s">
        <v>16</v>
      </c>
      <c r="B3" s="20">
        <v>0.0</v>
      </c>
      <c r="C3" s="20">
        <v>1.0</v>
      </c>
      <c r="D3" s="20">
        <v>1.0</v>
      </c>
      <c r="E3" s="8">
        <f t="shared" si="1"/>
        <v>0.6666666667</v>
      </c>
      <c r="F3" s="8">
        <f t="shared" si="2"/>
        <v>2.666666667</v>
      </c>
      <c r="M3" s="6" t="s">
        <v>18</v>
      </c>
    </row>
    <row r="4">
      <c r="A4" s="13" t="s">
        <v>11</v>
      </c>
      <c r="B4" s="20">
        <v>1.0</v>
      </c>
      <c r="C4" s="20">
        <v>1.0</v>
      </c>
      <c r="D4" s="20">
        <v>0.0</v>
      </c>
      <c r="E4" s="8">
        <f t="shared" si="1"/>
        <v>0.6666666667</v>
      </c>
      <c r="F4" s="8">
        <f t="shared" si="2"/>
        <v>2.666666667</v>
      </c>
      <c r="M4" s="13" t="s">
        <v>24</v>
      </c>
    </row>
    <row r="5">
      <c r="A5" s="13" t="s">
        <v>47</v>
      </c>
      <c r="B5" s="20">
        <v>1.0</v>
      </c>
      <c r="C5" s="20">
        <v>0.0</v>
      </c>
      <c r="D5" s="20">
        <v>3.0</v>
      </c>
      <c r="E5" s="8">
        <f t="shared" si="1"/>
        <v>1.333333333</v>
      </c>
      <c r="F5" s="8">
        <f t="shared" si="2"/>
        <v>5.333333333</v>
      </c>
      <c r="M5" s="13" t="s">
        <v>11</v>
      </c>
    </row>
    <row r="6">
      <c r="A6" s="13" t="s">
        <v>23</v>
      </c>
      <c r="B6" s="20">
        <v>2.0</v>
      </c>
      <c r="C6" s="20">
        <v>7.0</v>
      </c>
      <c r="D6" s="20">
        <v>0.0</v>
      </c>
      <c r="E6" s="8">
        <f t="shared" si="1"/>
        <v>3</v>
      </c>
      <c r="F6" s="8">
        <f t="shared" si="2"/>
        <v>12</v>
      </c>
      <c r="M6" s="13" t="s">
        <v>22</v>
      </c>
    </row>
    <row r="7">
      <c r="A7" s="14" t="s">
        <v>35</v>
      </c>
      <c r="B7" s="20">
        <v>5.0</v>
      </c>
      <c r="C7" s="20">
        <v>3.0</v>
      </c>
      <c r="D7" s="20">
        <v>4.0</v>
      </c>
      <c r="E7" s="8">
        <f t="shared" si="1"/>
        <v>4</v>
      </c>
      <c r="F7" s="8">
        <f t="shared" si="2"/>
        <v>16</v>
      </c>
      <c r="M7" s="14" t="s">
        <v>35</v>
      </c>
    </row>
    <row r="8">
      <c r="A8" s="14" t="s">
        <v>17</v>
      </c>
      <c r="B8" s="20">
        <v>5.0</v>
      </c>
      <c r="C8" s="20">
        <v>4.0</v>
      </c>
      <c r="D8" s="20">
        <v>5.0</v>
      </c>
      <c r="E8" s="8">
        <f t="shared" si="1"/>
        <v>4.666666667</v>
      </c>
      <c r="F8" s="8">
        <f t="shared" si="2"/>
        <v>18.66666667</v>
      </c>
      <c r="M8" s="6" t="s">
        <v>16</v>
      </c>
    </row>
    <row r="9">
      <c r="A9" s="6" t="s">
        <v>19</v>
      </c>
      <c r="B9" s="20">
        <v>7.0</v>
      </c>
      <c r="C9" s="20">
        <v>9.0</v>
      </c>
      <c r="D9" s="20">
        <v>10.0</v>
      </c>
      <c r="E9" s="8">
        <f t="shared" si="1"/>
        <v>8.666666667</v>
      </c>
      <c r="F9" s="8">
        <f t="shared" si="2"/>
        <v>34.66666667</v>
      </c>
      <c r="M9" s="6" t="s">
        <v>19</v>
      </c>
    </row>
    <row r="10">
      <c r="A10" s="13" t="s">
        <v>20</v>
      </c>
      <c r="B10" s="20">
        <v>9.0</v>
      </c>
      <c r="C10" s="20">
        <v>5.0</v>
      </c>
      <c r="D10" s="20">
        <v>8.0</v>
      </c>
      <c r="E10" s="8">
        <f t="shared" si="1"/>
        <v>7.333333333</v>
      </c>
      <c r="F10" s="8">
        <f t="shared" si="2"/>
        <v>29.33333333</v>
      </c>
      <c r="M10" s="14" t="s">
        <v>48</v>
      </c>
    </row>
    <row r="11">
      <c r="A11" s="13" t="s">
        <v>36</v>
      </c>
      <c r="B11" s="20">
        <v>10.0</v>
      </c>
      <c r="C11" s="20">
        <v>2.0</v>
      </c>
      <c r="D11" s="20">
        <v>5.0</v>
      </c>
      <c r="E11" s="8">
        <f t="shared" si="1"/>
        <v>5.666666667</v>
      </c>
      <c r="F11" s="8">
        <f t="shared" si="2"/>
        <v>22.66666667</v>
      </c>
      <c r="M11" s="13" t="s">
        <v>47</v>
      </c>
    </row>
    <row r="12">
      <c r="A12" s="13" t="s">
        <v>21</v>
      </c>
      <c r="B12" s="20">
        <v>11.0</v>
      </c>
      <c r="C12" s="20">
        <v>6.0</v>
      </c>
      <c r="D12" s="20">
        <v>5.0</v>
      </c>
      <c r="E12" s="8">
        <f t="shared" si="1"/>
        <v>7.333333333</v>
      </c>
      <c r="F12" s="8">
        <f t="shared" si="2"/>
        <v>29.33333333</v>
      </c>
      <c r="M12" s="13" t="s">
        <v>23</v>
      </c>
    </row>
    <row r="13">
      <c r="M13" s="14" t="s">
        <v>17</v>
      </c>
    </row>
    <row r="14">
      <c r="M14" s="13" t="s">
        <v>36</v>
      </c>
    </row>
    <row r="15">
      <c r="M15" s="13" t="s">
        <v>20</v>
      </c>
    </row>
    <row r="18">
      <c r="M18" s="22"/>
    </row>
    <row r="19">
      <c r="M19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6" max="6" width="19.29"/>
    <col customWidth="1" min="12" max="12" width="17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18" t="s">
        <v>5</v>
      </c>
      <c r="G1" s="4" t="s">
        <v>6</v>
      </c>
      <c r="I1" s="4" t="s">
        <v>7</v>
      </c>
      <c r="J1" s="4" t="s">
        <v>40</v>
      </c>
      <c r="K1" s="4" t="s">
        <v>41</v>
      </c>
      <c r="L1" s="4" t="s">
        <v>8</v>
      </c>
      <c r="M1" s="5" t="s">
        <v>9</v>
      </c>
      <c r="O1" s="4" t="s">
        <v>10</v>
      </c>
    </row>
    <row r="2">
      <c r="A2" s="6" t="s">
        <v>25</v>
      </c>
      <c r="B2" s="20">
        <v>1.0</v>
      </c>
      <c r="C2" s="20">
        <v>1.0</v>
      </c>
      <c r="D2" s="20">
        <v>1.0</v>
      </c>
      <c r="E2" s="8">
        <f t="shared" ref="E2:E12" si="1">AVERAGE(B2:D2)</f>
        <v>1</v>
      </c>
      <c r="F2" s="8">
        <f t="shared" ref="F2:F12" si="2">E2*4</f>
        <v>4</v>
      </c>
      <c r="G2" s="9">
        <f>SUM(F2:F12)</f>
        <v>398.6666667</v>
      </c>
      <c r="I2" s="10" t="s">
        <v>12</v>
      </c>
      <c r="J2" s="10" t="s">
        <v>49</v>
      </c>
      <c r="K2" s="10" t="s">
        <v>44</v>
      </c>
      <c r="L2" s="10" t="s">
        <v>45</v>
      </c>
      <c r="M2" s="6" t="s">
        <v>17</v>
      </c>
    </row>
    <row r="3">
      <c r="A3" s="14" t="s">
        <v>11</v>
      </c>
      <c r="B3" s="20">
        <v>3.0</v>
      </c>
      <c r="C3" s="20">
        <v>2.0</v>
      </c>
      <c r="D3" s="20">
        <v>1.0</v>
      </c>
      <c r="E3" s="8">
        <f t="shared" si="1"/>
        <v>2</v>
      </c>
      <c r="F3" s="8">
        <f t="shared" si="2"/>
        <v>8</v>
      </c>
      <c r="M3" s="6" t="s">
        <v>25</v>
      </c>
    </row>
    <row r="4">
      <c r="A4" s="6" t="s">
        <v>16</v>
      </c>
      <c r="B4" s="20">
        <v>3.0</v>
      </c>
      <c r="C4" s="20">
        <v>0.0</v>
      </c>
      <c r="D4" s="20">
        <v>3.0</v>
      </c>
      <c r="E4" s="8">
        <f t="shared" si="1"/>
        <v>2</v>
      </c>
      <c r="F4" s="8">
        <f t="shared" si="2"/>
        <v>8</v>
      </c>
      <c r="M4" s="6" t="s">
        <v>18</v>
      </c>
    </row>
    <row r="5">
      <c r="A5" s="13" t="s">
        <v>15</v>
      </c>
      <c r="B5" s="20">
        <v>2.0</v>
      </c>
      <c r="C5" s="20">
        <v>4.0</v>
      </c>
      <c r="D5" s="20">
        <v>2.0</v>
      </c>
      <c r="E5" s="8">
        <f t="shared" si="1"/>
        <v>2.666666667</v>
      </c>
      <c r="F5" s="8">
        <f t="shared" si="2"/>
        <v>10.66666667</v>
      </c>
      <c r="M5" s="13" t="s">
        <v>20</v>
      </c>
    </row>
    <row r="6">
      <c r="A6" s="13" t="s">
        <v>30</v>
      </c>
      <c r="B6" s="20">
        <v>2.0</v>
      </c>
      <c r="C6" s="20">
        <v>1.0</v>
      </c>
      <c r="D6" s="20">
        <v>2.0</v>
      </c>
      <c r="E6" s="8">
        <f t="shared" si="1"/>
        <v>1.666666667</v>
      </c>
      <c r="F6" s="8">
        <f t="shared" si="2"/>
        <v>6.666666667</v>
      </c>
      <c r="M6" s="6" t="s">
        <v>16</v>
      </c>
    </row>
    <row r="7">
      <c r="A7" s="13" t="s">
        <v>50</v>
      </c>
      <c r="B7" s="20">
        <v>3.0</v>
      </c>
      <c r="C7" s="20">
        <v>2.0</v>
      </c>
      <c r="D7" s="20">
        <v>3.0</v>
      </c>
      <c r="E7" s="8">
        <f t="shared" si="1"/>
        <v>2.666666667</v>
      </c>
      <c r="F7" s="8">
        <f t="shared" si="2"/>
        <v>10.66666667</v>
      </c>
      <c r="M7" s="13" t="s">
        <v>22</v>
      </c>
    </row>
    <row r="8">
      <c r="A8" s="6" t="s">
        <v>18</v>
      </c>
      <c r="B8" s="20">
        <v>3.0</v>
      </c>
      <c r="C8" s="20">
        <v>1.0</v>
      </c>
      <c r="D8" s="20">
        <v>4.0</v>
      </c>
      <c r="E8" s="8">
        <f t="shared" si="1"/>
        <v>2.666666667</v>
      </c>
      <c r="F8" s="8">
        <f t="shared" si="2"/>
        <v>10.66666667</v>
      </c>
      <c r="M8" s="13" t="s">
        <v>48</v>
      </c>
    </row>
    <row r="9">
      <c r="A9" s="6" t="s">
        <v>17</v>
      </c>
      <c r="B9" s="20">
        <v>15.0</v>
      </c>
      <c r="C9" s="20">
        <v>5.0</v>
      </c>
      <c r="D9" s="20">
        <v>4.0</v>
      </c>
      <c r="E9" s="8">
        <f t="shared" si="1"/>
        <v>8</v>
      </c>
      <c r="F9" s="8">
        <f t="shared" si="2"/>
        <v>32</v>
      </c>
      <c r="M9" s="6" t="s">
        <v>19</v>
      </c>
    </row>
    <row r="10">
      <c r="A10" s="13" t="s">
        <v>20</v>
      </c>
      <c r="B10" s="20">
        <v>27.0</v>
      </c>
      <c r="C10" s="20">
        <v>20.0</v>
      </c>
      <c r="D10" s="20">
        <v>4.0</v>
      </c>
      <c r="E10" s="8">
        <f t="shared" si="1"/>
        <v>17</v>
      </c>
      <c r="F10" s="8">
        <f t="shared" si="2"/>
        <v>68</v>
      </c>
      <c r="M10" s="14" t="s">
        <v>11</v>
      </c>
    </row>
    <row r="11">
      <c r="A11" s="6" t="s">
        <v>19</v>
      </c>
      <c r="B11" s="20">
        <v>29.0</v>
      </c>
      <c r="C11" s="20">
        <v>37.0</v>
      </c>
      <c r="D11" s="20">
        <v>13.0</v>
      </c>
      <c r="E11" s="8">
        <f t="shared" si="1"/>
        <v>26.33333333</v>
      </c>
      <c r="F11" s="8">
        <f t="shared" si="2"/>
        <v>105.3333333</v>
      </c>
      <c r="M11" s="13" t="s">
        <v>30</v>
      </c>
    </row>
    <row r="12">
      <c r="A12" s="13" t="s">
        <v>21</v>
      </c>
      <c r="B12" s="20">
        <v>48.0</v>
      </c>
      <c r="C12" s="20">
        <v>33.0</v>
      </c>
      <c r="D12" s="20">
        <v>20.0</v>
      </c>
      <c r="E12" s="8">
        <f t="shared" si="1"/>
        <v>33.66666667</v>
      </c>
      <c r="F12" s="8">
        <f t="shared" si="2"/>
        <v>134.6666667</v>
      </c>
      <c r="M12" s="13" t="s">
        <v>50</v>
      </c>
    </row>
    <row r="13">
      <c r="A13" s="4"/>
      <c r="E13" s="9"/>
      <c r="F13" s="9"/>
      <c r="M13" s="14"/>
    </row>
    <row r="14">
      <c r="A14" s="13"/>
      <c r="E14" s="9"/>
      <c r="F14" s="9"/>
      <c r="M14" s="13"/>
    </row>
    <row r="15">
      <c r="E15" s="9"/>
      <c r="F15" s="9"/>
      <c r="M15" s="13"/>
    </row>
    <row r="16">
      <c r="E16" s="9"/>
      <c r="F16" s="9"/>
    </row>
    <row r="17">
      <c r="E17" s="9"/>
      <c r="F17" s="9"/>
    </row>
    <row r="18">
      <c r="E18" s="9"/>
      <c r="F18" s="9"/>
    </row>
    <row r="19">
      <c r="E19" s="9"/>
      <c r="F19" s="9"/>
    </row>
    <row r="20">
      <c r="E20" s="9"/>
      <c r="F20" s="9"/>
    </row>
    <row r="21">
      <c r="E21" s="9"/>
      <c r="F21" s="9"/>
    </row>
    <row r="22">
      <c r="E22" s="9"/>
      <c r="F22" s="9"/>
    </row>
    <row r="23">
      <c r="E23" s="9"/>
      <c r="F23" s="9"/>
    </row>
    <row r="24">
      <c r="E24" s="9"/>
      <c r="F24" s="9"/>
    </row>
    <row r="25">
      <c r="E25" s="9"/>
      <c r="F25" s="9"/>
    </row>
    <row r="26">
      <c r="E26" s="9"/>
      <c r="F26" s="9"/>
    </row>
    <row r="27">
      <c r="E27" s="9"/>
      <c r="F27" s="9"/>
    </row>
    <row r="28">
      <c r="E28" s="9"/>
      <c r="F28" s="9"/>
    </row>
    <row r="29">
      <c r="E29" s="9"/>
      <c r="F29" s="9"/>
    </row>
    <row r="30">
      <c r="E30" s="9"/>
      <c r="F30" s="9"/>
    </row>
    <row r="31">
      <c r="E31" s="9"/>
      <c r="F31" s="9"/>
    </row>
    <row r="32">
      <c r="E32" s="9"/>
      <c r="F32" s="9"/>
    </row>
    <row r="33">
      <c r="E33" s="9"/>
      <c r="F33" s="9"/>
    </row>
    <row r="34">
      <c r="E34" s="9"/>
      <c r="F34" s="9"/>
    </row>
    <row r="35">
      <c r="E35" s="9"/>
      <c r="F35" s="9"/>
    </row>
    <row r="36">
      <c r="E36" s="9"/>
      <c r="F36" s="9"/>
    </row>
    <row r="37">
      <c r="E37" s="9"/>
      <c r="F37" s="9"/>
    </row>
    <row r="38">
      <c r="E38" s="9"/>
      <c r="F38" s="9"/>
    </row>
    <row r="39">
      <c r="E39" s="9"/>
      <c r="F39" s="9"/>
    </row>
    <row r="40">
      <c r="E40" s="9"/>
      <c r="F40" s="9"/>
    </row>
    <row r="41">
      <c r="E41" s="9"/>
      <c r="F41" s="9"/>
    </row>
    <row r="42">
      <c r="E42" s="9"/>
      <c r="F42" s="9"/>
    </row>
    <row r="43">
      <c r="E43" s="9"/>
      <c r="F43" s="9"/>
    </row>
    <row r="44">
      <c r="E44" s="9"/>
      <c r="F44" s="9"/>
    </row>
    <row r="45">
      <c r="E45" s="9"/>
      <c r="F45" s="9"/>
    </row>
    <row r="46">
      <c r="E46" s="9"/>
      <c r="F46" s="9"/>
    </row>
    <row r="47">
      <c r="E47" s="9"/>
      <c r="F47" s="9"/>
    </row>
    <row r="48">
      <c r="E48" s="9"/>
      <c r="F48" s="9"/>
    </row>
    <row r="49">
      <c r="E49" s="9"/>
      <c r="F49" s="9"/>
    </row>
    <row r="50">
      <c r="E50" s="9"/>
      <c r="F50" s="9"/>
    </row>
    <row r="51">
      <c r="E51" s="9"/>
      <c r="F51" s="9"/>
    </row>
    <row r="52">
      <c r="E52" s="9"/>
      <c r="F52" s="9"/>
    </row>
    <row r="53">
      <c r="E53" s="9"/>
      <c r="F53" s="9"/>
    </row>
    <row r="54">
      <c r="E54" s="9"/>
      <c r="F54" s="9"/>
    </row>
    <row r="55">
      <c r="E55" s="9"/>
      <c r="F55" s="9"/>
    </row>
    <row r="56">
      <c r="E56" s="9"/>
      <c r="F56" s="9"/>
    </row>
    <row r="57">
      <c r="E57" s="9"/>
      <c r="F57" s="9"/>
    </row>
    <row r="58">
      <c r="E58" s="9"/>
      <c r="F58" s="9"/>
    </row>
    <row r="59">
      <c r="E59" s="9"/>
      <c r="F59" s="9"/>
    </row>
    <row r="60">
      <c r="E60" s="9"/>
      <c r="F60" s="9"/>
    </row>
    <row r="61">
      <c r="E61" s="9"/>
      <c r="F61" s="9"/>
    </row>
    <row r="62">
      <c r="E62" s="9"/>
      <c r="F62" s="9"/>
    </row>
    <row r="63">
      <c r="E63" s="9"/>
      <c r="F63" s="9"/>
    </row>
    <row r="64">
      <c r="E64" s="9"/>
      <c r="F64" s="9"/>
    </row>
    <row r="65">
      <c r="E65" s="9"/>
      <c r="F65" s="9"/>
    </row>
    <row r="66">
      <c r="E66" s="9"/>
      <c r="F66" s="9"/>
    </row>
    <row r="67">
      <c r="E67" s="9"/>
      <c r="F67" s="9"/>
    </row>
    <row r="68">
      <c r="E68" s="9"/>
      <c r="F68" s="9"/>
    </row>
    <row r="69">
      <c r="E69" s="9"/>
      <c r="F69" s="9"/>
    </row>
    <row r="70">
      <c r="E70" s="9"/>
      <c r="F70" s="9"/>
    </row>
    <row r="71">
      <c r="E71" s="9"/>
      <c r="F71" s="9"/>
    </row>
    <row r="72">
      <c r="E72" s="9"/>
      <c r="F72" s="9"/>
    </row>
    <row r="73">
      <c r="E73" s="9"/>
      <c r="F73" s="9"/>
    </row>
    <row r="74">
      <c r="E74" s="9"/>
      <c r="F74" s="9"/>
    </row>
    <row r="75">
      <c r="E75" s="9"/>
      <c r="F75" s="9"/>
    </row>
    <row r="76">
      <c r="E76" s="9"/>
      <c r="F76" s="9"/>
    </row>
    <row r="77">
      <c r="E77" s="9"/>
      <c r="F77" s="9"/>
    </row>
    <row r="78">
      <c r="E78" s="9"/>
      <c r="F78" s="9"/>
    </row>
    <row r="79">
      <c r="E79" s="9"/>
      <c r="F79" s="9"/>
    </row>
    <row r="80">
      <c r="E80" s="9"/>
      <c r="F80" s="9"/>
    </row>
    <row r="81">
      <c r="E81" s="9"/>
      <c r="F81" s="9"/>
    </row>
    <row r="82">
      <c r="E82" s="9"/>
      <c r="F82" s="9"/>
    </row>
    <row r="83">
      <c r="E83" s="9"/>
      <c r="F83" s="9"/>
    </row>
    <row r="84">
      <c r="E84" s="9"/>
      <c r="F84" s="9"/>
    </row>
    <row r="85">
      <c r="E85" s="9"/>
      <c r="F85" s="9"/>
    </row>
    <row r="86">
      <c r="E86" s="9"/>
      <c r="F86" s="9"/>
    </row>
    <row r="87">
      <c r="E87" s="9"/>
      <c r="F87" s="9"/>
    </row>
    <row r="88">
      <c r="E88" s="9"/>
      <c r="F88" s="9"/>
    </row>
    <row r="89">
      <c r="E89" s="9"/>
      <c r="F89" s="9"/>
    </row>
    <row r="90">
      <c r="E90" s="9"/>
      <c r="F90" s="9"/>
    </row>
    <row r="91">
      <c r="E91" s="9"/>
      <c r="F91" s="9"/>
    </row>
    <row r="92">
      <c r="E92" s="9"/>
      <c r="F92" s="9"/>
    </row>
    <row r="93">
      <c r="E93" s="9"/>
      <c r="F93" s="9"/>
    </row>
    <row r="94">
      <c r="E94" s="9"/>
      <c r="F94" s="9"/>
    </row>
    <row r="95">
      <c r="E95" s="9"/>
      <c r="F95" s="9"/>
    </row>
    <row r="96">
      <c r="E96" s="9"/>
      <c r="F96" s="9"/>
    </row>
    <row r="97">
      <c r="E97" s="9"/>
      <c r="F97" s="9"/>
    </row>
    <row r="98">
      <c r="E98" s="9"/>
      <c r="F98" s="9"/>
    </row>
    <row r="99">
      <c r="E99" s="9"/>
      <c r="F99" s="9"/>
    </row>
    <row r="100">
      <c r="E100" s="9"/>
      <c r="F100" s="9"/>
    </row>
    <row r="101">
      <c r="E101" s="9"/>
      <c r="F101" s="9"/>
    </row>
    <row r="102">
      <c r="E102" s="9"/>
      <c r="F102" s="9"/>
    </row>
    <row r="103">
      <c r="E103" s="9"/>
      <c r="F103" s="9"/>
    </row>
    <row r="104">
      <c r="E104" s="9"/>
      <c r="F104" s="9"/>
    </row>
    <row r="105">
      <c r="E105" s="9"/>
      <c r="F105" s="9"/>
    </row>
    <row r="106">
      <c r="E106" s="9"/>
      <c r="F106" s="9"/>
    </row>
    <row r="107">
      <c r="E107" s="9"/>
      <c r="F107" s="9"/>
    </row>
    <row r="108">
      <c r="E108" s="9"/>
      <c r="F108" s="9"/>
    </row>
    <row r="109">
      <c r="E109" s="9"/>
      <c r="F109" s="9"/>
    </row>
    <row r="110">
      <c r="E110" s="9"/>
      <c r="F110" s="9"/>
    </row>
    <row r="111">
      <c r="E111" s="9"/>
      <c r="F111" s="9"/>
    </row>
    <row r="112">
      <c r="E112" s="9"/>
      <c r="F112" s="9"/>
    </row>
    <row r="113">
      <c r="E113" s="9"/>
      <c r="F113" s="9"/>
    </row>
    <row r="114">
      <c r="E114" s="9"/>
      <c r="F114" s="9"/>
    </row>
    <row r="115">
      <c r="E115" s="9"/>
      <c r="F115" s="9"/>
    </row>
    <row r="116">
      <c r="E116" s="9"/>
      <c r="F116" s="9"/>
    </row>
    <row r="117">
      <c r="E117" s="9"/>
      <c r="F117" s="9"/>
    </row>
    <row r="118">
      <c r="E118" s="9"/>
      <c r="F118" s="9"/>
    </row>
    <row r="119">
      <c r="E119" s="9"/>
      <c r="F119" s="9"/>
    </row>
    <row r="120">
      <c r="E120" s="9"/>
      <c r="F120" s="9"/>
    </row>
    <row r="121">
      <c r="E121" s="9"/>
      <c r="F121" s="9"/>
    </row>
    <row r="122">
      <c r="E122" s="9"/>
      <c r="F122" s="9"/>
    </row>
    <row r="123">
      <c r="E123" s="9"/>
      <c r="F123" s="9"/>
    </row>
    <row r="124">
      <c r="E124" s="9"/>
      <c r="F124" s="9"/>
    </row>
    <row r="125">
      <c r="E125" s="9"/>
      <c r="F125" s="9"/>
    </row>
    <row r="126">
      <c r="E126" s="9"/>
      <c r="F126" s="9"/>
    </row>
    <row r="127">
      <c r="E127" s="9"/>
      <c r="F127" s="9"/>
    </row>
    <row r="128">
      <c r="E128" s="9"/>
      <c r="F128" s="9"/>
    </row>
    <row r="129">
      <c r="E129" s="9"/>
      <c r="F129" s="9"/>
    </row>
    <row r="130">
      <c r="E130" s="9"/>
      <c r="F130" s="9"/>
    </row>
    <row r="131">
      <c r="E131" s="9"/>
      <c r="F131" s="9"/>
    </row>
    <row r="132">
      <c r="E132" s="9"/>
      <c r="F132" s="9"/>
    </row>
    <row r="133">
      <c r="E133" s="9"/>
      <c r="F133" s="9"/>
    </row>
    <row r="134">
      <c r="E134" s="9"/>
      <c r="F134" s="9"/>
    </row>
    <row r="135">
      <c r="E135" s="9"/>
      <c r="F135" s="9"/>
    </row>
    <row r="136">
      <c r="E136" s="9"/>
      <c r="F136" s="9"/>
    </row>
    <row r="137">
      <c r="E137" s="9"/>
      <c r="F137" s="9"/>
    </row>
    <row r="138">
      <c r="E138" s="9"/>
      <c r="F138" s="9"/>
    </row>
    <row r="139">
      <c r="E139" s="9"/>
      <c r="F139" s="9"/>
    </row>
    <row r="140">
      <c r="E140" s="9"/>
      <c r="F140" s="9"/>
    </row>
    <row r="141">
      <c r="E141" s="9"/>
      <c r="F141" s="9"/>
    </row>
    <row r="142">
      <c r="E142" s="9"/>
      <c r="F142" s="9"/>
    </row>
    <row r="143">
      <c r="E143" s="9"/>
      <c r="F143" s="9"/>
    </row>
    <row r="144">
      <c r="E144" s="9"/>
      <c r="F144" s="9"/>
    </row>
    <row r="145">
      <c r="E145" s="9"/>
      <c r="F145" s="9"/>
    </row>
    <row r="146">
      <c r="E146" s="9"/>
      <c r="F146" s="9"/>
    </row>
    <row r="147">
      <c r="E147" s="9"/>
      <c r="F147" s="9"/>
    </row>
    <row r="148">
      <c r="E148" s="9"/>
      <c r="F148" s="9"/>
    </row>
    <row r="149">
      <c r="E149" s="9"/>
      <c r="F149" s="9"/>
    </row>
    <row r="150">
      <c r="E150" s="9"/>
      <c r="F150" s="9"/>
    </row>
    <row r="151">
      <c r="E151" s="9"/>
      <c r="F151" s="9"/>
    </row>
    <row r="152">
      <c r="E152" s="9"/>
      <c r="F152" s="9"/>
    </row>
    <row r="153">
      <c r="E153" s="9"/>
      <c r="F153" s="9"/>
    </row>
    <row r="154">
      <c r="E154" s="9"/>
      <c r="F154" s="9"/>
    </row>
    <row r="155">
      <c r="E155" s="9"/>
      <c r="F155" s="9"/>
    </row>
    <row r="156">
      <c r="E156" s="9"/>
      <c r="F156" s="9"/>
    </row>
    <row r="157">
      <c r="E157" s="9"/>
      <c r="F157" s="9"/>
    </row>
    <row r="158">
      <c r="E158" s="9"/>
      <c r="F158" s="9"/>
    </row>
    <row r="159">
      <c r="E159" s="9"/>
      <c r="F159" s="9"/>
    </row>
    <row r="160">
      <c r="E160" s="9"/>
      <c r="F160" s="9"/>
    </row>
    <row r="161">
      <c r="E161" s="9"/>
      <c r="F161" s="9"/>
    </row>
    <row r="162">
      <c r="E162" s="9"/>
      <c r="F162" s="9"/>
    </row>
    <row r="163">
      <c r="E163" s="9"/>
      <c r="F163" s="9"/>
    </row>
    <row r="164">
      <c r="E164" s="9"/>
      <c r="F164" s="9"/>
    </row>
    <row r="165">
      <c r="E165" s="9"/>
      <c r="F165" s="9"/>
    </row>
    <row r="166">
      <c r="E166" s="9"/>
      <c r="F166" s="9"/>
    </row>
    <row r="167">
      <c r="E167" s="9"/>
      <c r="F167" s="9"/>
    </row>
    <row r="168">
      <c r="E168" s="9"/>
      <c r="F168" s="9"/>
    </row>
    <row r="169">
      <c r="E169" s="9"/>
      <c r="F169" s="9"/>
    </row>
    <row r="170">
      <c r="E170" s="9"/>
      <c r="F170" s="9"/>
    </row>
    <row r="171">
      <c r="E171" s="9"/>
      <c r="F171" s="9"/>
    </row>
    <row r="172">
      <c r="E172" s="9"/>
      <c r="F172" s="9"/>
    </row>
    <row r="173">
      <c r="E173" s="9"/>
      <c r="F173" s="9"/>
    </row>
    <row r="174">
      <c r="E174" s="9"/>
      <c r="F174" s="9"/>
    </row>
    <row r="175">
      <c r="E175" s="9"/>
      <c r="F175" s="9"/>
    </row>
    <row r="176">
      <c r="E176" s="9"/>
      <c r="F176" s="9"/>
    </row>
    <row r="177">
      <c r="E177" s="9"/>
      <c r="F177" s="9"/>
    </row>
    <row r="178">
      <c r="E178" s="9"/>
      <c r="F178" s="9"/>
    </row>
    <row r="179">
      <c r="E179" s="9"/>
      <c r="F179" s="9"/>
    </row>
    <row r="180">
      <c r="E180" s="9"/>
      <c r="F180" s="9"/>
    </row>
    <row r="181">
      <c r="E181" s="9"/>
      <c r="F181" s="9"/>
    </row>
    <row r="182">
      <c r="E182" s="9"/>
      <c r="F182" s="9"/>
    </row>
    <row r="183">
      <c r="E183" s="9"/>
      <c r="F183" s="9"/>
    </row>
    <row r="184">
      <c r="E184" s="9"/>
      <c r="F184" s="9"/>
    </row>
    <row r="185">
      <c r="E185" s="9"/>
      <c r="F185" s="9"/>
    </row>
    <row r="186">
      <c r="E186" s="9"/>
      <c r="F186" s="9"/>
    </row>
    <row r="187">
      <c r="E187" s="9"/>
      <c r="F187" s="9"/>
    </row>
    <row r="188">
      <c r="E188" s="9"/>
      <c r="F188" s="9"/>
    </row>
    <row r="189">
      <c r="E189" s="9"/>
      <c r="F189" s="9"/>
    </row>
    <row r="190">
      <c r="E190" s="9"/>
      <c r="F190" s="9"/>
    </row>
    <row r="191">
      <c r="E191" s="9"/>
      <c r="F191" s="9"/>
    </row>
    <row r="192">
      <c r="E192" s="9"/>
      <c r="F192" s="9"/>
    </row>
    <row r="193">
      <c r="E193" s="9"/>
      <c r="F193" s="9"/>
    </row>
    <row r="194">
      <c r="E194" s="9"/>
      <c r="F194" s="9"/>
    </row>
    <row r="195">
      <c r="E195" s="9"/>
      <c r="F195" s="9"/>
    </row>
    <row r="196">
      <c r="E196" s="9"/>
      <c r="F196" s="9"/>
    </row>
    <row r="197">
      <c r="E197" s="9"/>
      <c r="F197" s="9"/>
    </row>
    <row r="198">
      <c r="E198" s="9"/>
      <c r="F198" s="9"/>
    </row>
    <row r="199">
      <c r="E199" s="9"/>
      <c r="F199" s="9"/>
    </row>
    <row r="200">
      <c r="E200" s="9"/>
      <c r="F200" s="9"/>
    </row>
    <row r="201">
      <c r="E201" s="9"/>
      <c r="F201" s="9"/>
    </row>
    <row r="202">
      <c r="E202" s="9"/>
      <c r="F202" s="9"/>
    </row>
    <row r="203">
      <c r="E203" s="9"/>
      <c r="F203" s="9"/>
    </row>
    <row r="204">
      <c r="E204" s="9"/>
      <c r="F204" s="9"/>
    </row>
    <row r="205">
      <c r="E205" s="9"/>
      <c r="F205" s="9"/>
    </row>
    <row r="206">
      <c r="E206" s="9"/>
      <c r="F206" s="9"/>
    </row>
    <row r="207">
      <c r="E207" s="9"/>
      <c r="F207" s="9"/>
    </row>
    <row r="208">
      <c r="E208" s="9"/>
      <c r="F208" s="9"/>
    </row>
    <row r="209">
      <c r="E209" s="9"/>
      <c r="F209" s="9"/>
    </row>
    <row r="210">
      <c r="E210" s="9"/>
      <c r="F210" s="9"/>
    </row>
    <row r="211">
      <c r="E211" s="9"/>
      <c r="F211" s="9"/>
    </row>
    <row r="212">
      <c r="E212" s="9"/>
      <c r="F212" s="9"/>
    </row>
    <row r="213">
      <c r="E213" s="9"/>
      <c r="F213" s="9"/>
    </row>
    <row r="214">
      <c r="E214" s="9"/>
      <c r="F214" s="9"/>
    </row>
    <row r="215">
      <c r="E215" s="9"/>
      <c r="F215" s="9"/>
    </row>
    <row r="216">
      <c r="E216" s="9"/>
      <c r="F216" s="9"/>
    </row>
    <row r="217">
      <c r="E217" s="9"/>
      <c r="F217" s="9"/>
    </row>
    <row r="218">
      <c r="E218" s="9"/>
      <c r="F218" s="9"/>
    </row>
    <row r="219">
      <c r="E219" s="9"/>
      <c r="F219" s="9"/>
    </row>
    <row r="220">
      <c r="E220" s="9"/>
      <c r="F220" s="9"/>
    </row>
    <row r="221">
      <c r="E221" s="9"/>
      <c r="F221" s="9"/>
    </row>
    <row r="222">
      <c r="E222" s="9"/>
      <c r="F222" s="9"/>
    </row>
    <row r="223">
      <c r="E223" s="9"/>
      <c r="F223" s="9"/>
    </row>
    <row r="224">
      <c r="E224" s="9"/>
      <c r="F224" s="9"/>
    </row>
    <row r="225">
      <c r="E225" s="9"/>
      <c r="F225" s="9"/>
    </row>
    <row r="226">
      <c r="E226" s="9"/>
      <c r="F226" s="9"/>
    </row>
    <row r="227">
      <c r="E227" s="9"/>
      <c r="F227" s="9"/>
    </row>
    <row r="228">
      <c r="E228" s="9"/>
      <c r="F228" s="9"/>
    </row>
    <row r="229">
      <c r="E229" s="9"/>
      <c r="F229" s="9"/>
    </row>
    <row r="230">
      <c r="E230" s="9"/>
      <c r="F230" s="9"/>
    </row>
    <row r="231">
      <c r="E231" s="9"/>
      <c r="F231" s="9"/>
    </row>
    <row r="232">
      <c r="E232" s="9"/>
      <c r="F232" s="9"/>
    </row>
    <row r="233">
      <c r="E233" s="9"/>
      <c r="F233" s="9"/>
    </row>
    <row r="234">
      <c r="E234" s="9"/>
      <c r="F234" s="9"/>
    </row>
    <row r="235">
      <c r="E235" s="9"/>
      <c r="F235" s="9"/>
    </row>
    <row r="236">
      <c r="E236" s="9"/>
      <c r="F236" s="9"/>
    </row>
    <row r="237">
      <c r="E237" s="9"/>
      <c r="F237" s="9"/>
    </row>
    <row r="238">
      <c r="E238" s="9"/>
      <c r="F238" s="9"/>
    </row>
    <row r="239">
      <c r="E239" s="9"/>
      <c r="F239" s="9"/>
    </row>
    <row r="240">
      <c r="E240" s="9"/>
      <c r="F240" s="9"/>
    </row>
    <row r="241">
      <c r="E241" s="9"/>
      <c r="F241" s="9"/>
    </row>
    <row r="242">
      <c r="E242" s="9"/>
      <c r="F242" s="9"/>
    </row>
    <row r="243">
      <c r="E243" s="9"/>
      <c r="F243" s="9"/>
    </row>
    <row r="244">
      <c r="E244" s="9"/>
      <c r="F244" s="9"/>
    </row>
    <row r="245">
      <c r="E245" s="9"/>
      <c r="F245" s="9"/>
    </row>
    <row r="246">
      <c r="E246" s="9"/>
      <c r="F246" s="9"/>
    </row>
    <row r="247">
      <c r="E247" s="9"/>
      <c r="F247" s="9"/>
    </row>
    <row r="248">
      <c r="E248" s="9"/>
      <c r="F248" s="9"/>
    </row>
    <row r="249">
      <c r="E249" s="9"/>
      <c r="F249" s="9"/>
    </row>
    <row r="250">
      <c r="E250" s="9"/>
      <c r="F250" s="9"/>
    </row>
    <row r="251">
      <c r="E251" s="9"/>
      <c r="F251" s="9"/>
    </row>
    <row r="252">
      <c r="E252" s="9"/>
      <c r="F252" s="9"/>
    </row>
    <row r="253">
      <c r="E253" s="9"/>
      <c r="F253" s="9"/>
    </row>
    <row r="254">
      <c r="E254" s="9"/>
      <c r="F254" s="9"/>
    </row>
    <row r="255">
      <c r="E255" s="9"/>
      <c r="F255" s="9"/>
    </row>
    <row r="256">
      <c r="E256" s="9"/>
      <c r="F256" s="9"/>
    </row>
    <row r="257">
      <c r="E257" s="9"/>
      <c r="F257" s="9"/>
    </row>
    <row r="258">
      <c r="E258" s="9"/>
      <c r="F258" s="9"/>
    </row>
    <row r="259">
      <c r="E259" s="9"/>
      <c r="F259" s="9"/>
    </row>
    <row r="260">
      <c r="E260" s="9"/>
      <c r="F260" s="9"/>
    </row>
    <row r="261">
      <c r="E261" s="9"/>
      <c r="F261" s="9"/>
    </row>
    <row r="262">
      <c r="E262" s="9"/>
      <c r="F262" s="9"/>
    </row>
    <row r="263">
      <c r="E263" s="9"/>
      <c r="F263" s="9"/>
    </row>
    <row r="264">
      <c r="E264" s="9"/>
      <c r="F264" s="9"/>
    </row>
    <row r="265">
      <c r="E265" s="9"/>
      <c r="F265" s="9"/>
    </row>
    <row r="266">
      <c r="E266" s="9"/>
      <c r="F266" s="9"/>
    </row>
    <row r="267">
      <c r="E267" s="9"/>
      <c r="F267" s="9"/>
    </row>
    <row r="268">
      <c r="E268" s="9"/>
      <c r="F268" s="9"/>
    </row>
    <row r="269">
      <c r="E269" s="9"/>
      <c r="F269" s="9"/>
    </row>
    <row r="270">
      <c r="E270" s="9"/>
      <c r="F270" s="9"/>
    </row>
    <row r="271">
      <c r="E271" s="9"/>
      <c r="F271" s="9"/>
    </row>
    <row r="272">
      <c r="E272" s="9"/>
      <c r="F272" s="9"/>
    </row>
    <row r="273">
      <c r="E273" s="9"/>
      <c r="F273" s="9"/>
    </row>
    <row r="274">
      <c r="E274" s="9"/>
      <c r="F274" s="9"/>
    </row>
    <row r="275">
      <c r="E275" s="9"/>
      <c r="F275" s="9"/>
    </row>
    <row r="276">
      <c r="E276" s="9"/>
      <c r="F276" s="9"/>
    </row>
    <row r="277">
      <c r="E277" s="9"/>
      <c r="F277" s="9"/>
    </row>
    <row r="278">
      <c r="E278" s="9"/>
      <c r="F278" s="9"/>
    </row>
    <row r="279">
      <c r="E279" s="9"/>
      <c r="F279" s="9"/>
    </row>
    <row r="280">
      <c r="E280" s="9"/>
      <c r="F280" s="9"/>
    </row>
    <row r="281">
      <c r="E281" s="9"/>
      <c r="F281" s="9"/>
    </row>
    <row r="282">
      <c r="E282" s="9"/>
      <c r="F282" s="9"/>
    </row>
    <row r="283">
      <c r="E283" s="9"/>
      <c r="F283" s="9"/>
    </row>
    <row r="284">
      <c r="E284" s="9"/>
      <c r="F284" s="9"/>
    </row>
    <row r="285">
      <c r="E285" s="9"/>
      <c r="F285" s="9"/>
    </row>
    <row r="286">
      <c r="E286" s="9"/>
      <c r="F286" s="9"/>
    </row>
    <row r="287">
      <c r="E287" s="9"/>
      <c r="F287" s="9"/>
    </row>
    <row r="288">
      <c r="E288" s="9"/>
      <c r="F288" s="9"/>
    </row>
    <row r="289">
      <c r="E289" s="9"/>
      <c r="F289" s="9"/>
    </row>
    <row r="290">
      <c r="E290" s="9"/>
      <c r="F290" s="9"/>
    </row>
    <row r="291">
      <c r="E291" s="9"/>
      <c r="F291" s="9"/>
    </row>
    <row r="292">
      <c r="E292" s="9"/>
      <c r="F292" s="9"/>
    </row>
    <row r="293">
      <c r="E293" s="9"/>
      <c r="F293" s="9"/>
    </row>
    <row r="294">
      <c r="E294" s="9"/>
      <c r="F294" s="9"/>
    </row>
    <row r="295">
      <c r="E295" s="9"/>
      <c r="F295" s="9"/>
    </row>
    <row r="296">
      <c r="E296" s="9"/>
      <c r="F296" s="9"/>
    </row>
    <row r="297">
      <c r="E297" s="9"/>
      <c r="F297" s="9"/>
    </row>
    <row r="298">
      <c r="E298" s="9"/>
      <c r="F298" s="9"/>
    </row>
    <row r="299">
      <c r="E299" s="9"/>
      <c r="F299" s="9"/>
    </row>
    <row r="300">
      <c r="E300" s="9"/>
      <c r="F300" s="9"/>
    </row>
    <row r="301">
      <c r="E301" s="9"/>
      <c r="F301" s="9"/>
    </row>
    <row r="302">
      <c r="E302" s="9"/>
      <c r="F302" s="9"/>
    </row>
    <row r="303">
      <c r="E303" s="9"/>
      <c r="F303" s="9"/>
    </row>
    <row r="304">
      <c r="E304" s="9"/>
      <c r="F304" s="9"/>
    </row>
    <row r="305">
      <c r="E305" s="9"/>
      <c r="F305" s="9"/>
    </row>
    <row r="306">
      <c r="E306" s="9"/>
      <c r="F306" s="9"/>
    </row>
    <row r="307">
      <c r="E307" s="9"/>
      <c r="F307" s="9"/>
    </row>
    <row r="308">
      <c r="E308" s="9"/>
      <c r="F308" s="9"/>
    </row>
    <row r="309">
      <c r="E309" s="9"/>
      <c r="F309" s="9"/>
    </row>
    <row r="310">
      <c r="E310" s="9"/>
      <c r="F310" s="9"/>
    </row>
    <row r="311">
      <c r="E311" s="9"/>
      <c r="F311" s="9"/>
    </row>
    <row r="312">
      <c r="E312" s="9"/>
      <c r="F312" s="9"/>
    </row>
    <row r="313">
      <c r="E313" s="9"/>
      <c r="F313" s="9"/>
    </row>
    <row r="314">
      <c r="E314" s="9"/>
      <c r="F314" s="9"/>
    </row>
    <row r="315">
      <c r="E315" s="9"/>
      <c r="F315" s="9"/>
    </row>
    <row r="316">
      <c r="E316" s="9"/>
      <c r="F316" s="9"/>
    </row>
    <row r="317">
      <c r="E317" s="9"/>
      <c r="F317" s="9"/>
    </row>
    <row r="318">
      <c r="E318" s="9"/>
      <c r="F318" s="9"/>
    </row>
    <row r="319">
      <c r="E319" s="9"/>
      <c r="F319" s="9"/>
    </row>
    <row r="320">
      <c r="E320" s="9"/>
      <c r="F320" s="9"/>
    </row>
    <row r="321">
      <c r="E321" s="9"/>
      <c r="F321" s="9"/>
    </row>
    <row r="322">
      <c r="E322" s="9"/>
      <c r="F322" s="9"/>
    </row>
    <row r="323">
      <c r="E323" s="9"/>
      <c r="F323" s="9"/>
    </row>
    <row r="324">
      <c r="E324" s="9"/>
      <c r="F324" s="9"/>
    </row>
    <row r="325">
      <c r="E325" s="9"/>
      <c r="F325" s="9"/>
    </row>
    <row r="326">
      <c r="E326" s="9"/>
      <c r="F326" s="9"/>
    </row>
    <row r="327">
      <c r="E327" s="9"/>
      <c r="F327" s="9"/>
    </row>
    <row r="328">
      <c r="E328" s="9"/>
      <c r="F328" s="9"/>
    </row>
    <row r="329">
      <c r="E329" s="9"/>
      <c r="F329" s="9"/>
    </row>
    <row r="330">
      <c r="E330" s="9"/>
      <c r="F330" s="9"/>
    </row>
    <row r="331">
      <c r="E331" s="9"/>
      <c r="F331" s="9"/>
    </row>
    <row r="332">
      <c r="E332" s="9"/>
      <c r="F332" s="9"/>
    </row>
    <row r="333">
      <c r="E333" s="9"/>
      <c r="F333" s="9"/>
    </row>
    <row r="334">
      <c r="E334" s="9"/>
      <c r="F334" s="9"/>
    </row>
    <row r="335">
      <c r="E335" s="9"/>
      <c r="F335" s="9"/>
    </row>
    <row r="336">
      <c r="E336" s="9"/>
      <c r="F336" s="9"/>
    </row>
    <row r="337">
      <c r="E337" s="9"/>
      <c r="F337" s="9"/>
    </row>
    <row r="338">
      <c r="E338" s="9"/>
      <c r="F338" s="9"/>
    </row>
    <row r="339">
      <c r="E339" s="9"/>
      <c r="F339" s="9"/>
    </row>
    <row r="340">
      <c r="E340" s="9"/>
      <c r="F340" s="9"/>
    </row>
    <row r="341">
      <c r="E341" s="9"/>
      <c r="F341" s="9"/>
    </row>
    <row r="342">
      <c r="E342" s="9"/>
      <c r="F342" s="9"/>
    </row>
    <row r="343">
      <c r="E343" s="9"/>
      <c r="F343" s="9"/>
    </row>
    <row r="344">
      <c r="E344" s="9"/>
      <c r="F344" s="9"/>
    </row>
    <row r="345">
      <c r="E345" s="9"/>
      <c r="F345" s="9"/>
    </row>
    <row r="346">
      <c r="E346" s="9"/>
      <c r="F346" s="9"/>
    </row>
    <row r="347">
      <c r="E347" s="9"/>
      <c r="F347" s="9"/>
    </row>
    <row r="348">
      <c r="E348" s="9"/>
      <c r="F348" s="9"/>
    </row>
    <row r="349">
      <c r="E349" s="9"/>
      <c r="F349" s="9"/>
    </row>
    <row r="350">
      <c r="E350" s="9"/>
      <c r="F350" s="9"/>
    </row>
    <row r="351">
      <c r="E351" s="9"/>
      <c r="F351" s="9"/>
    </row>
    <row r="352">
      <c r="E352" s="9"/>
      <c r="F352" s="9"/>
    </row>
    <row r="353">
      <c r="E353" s="9"/>
      <c r="F353" s="9"/>
    </row>
    <row r="354">
      <c r="E354" s="9"/>
      <c r="F354" s="9"/>
    </row>
    <row r="355">
      <c r="E355" s="9"/>
      <c r="F355" s="9"/>
    </row>
    <row r="356">
      <c r="E356" s="9"/>
      <c r="F356" s="9"/>
    </row>
    <row r="357">
      <c r="E357" s="9"/>
      <c r="F357" s="9"/>
    </row>
    <row r="358">
      <c r="E358" s="9"/>
      <c r="F358" s="9"/>
    </row>
    <row r="359">
      <c r="E359" s="9"/>
      <c r="F359" s="9"/>
    </row>
    <row r="360">
      <c r="E360" s="9"/>
      <c r="F360" s="9"/>
    </row>
    <row r="361">
      <c r="E361" s="9"/>
      <c r="F361" s="9"/>
    </row>
    <row r="362">
      <c r="E362" s="9"/>
      <c r="F362" s="9"/>
    </row>
    <row r="363">
      <c r="E363" s="9"/>
      <c r="F363" s="9"/>
    </row>
    <row r="364">
      <c r="E364" s="9"/>
      <c r="F364" s="9"/>
    </row>
    <row r="365">
      <c r="E365" s="9"/>
      <c r="F365" s="9"/>
    </row>
    <row r="366">
      <c r="E366" s="9"/>
      <c r="F366" s="9"/>
    </row>
    <row r="367">
      <c r="E367" s="9"/>
      <c r="F367" s="9"/>
    </row>
    <row r="368">
      <c r="E368" s="9"/>
      <c r="F368" s="9"/>
    </row>
    <row r="369">
      <c r="E369" s="9"/>
      <c r="F369" s="9"/>
    </row>
    <row r="370">
      <c r="E370" s="9"/>
      <c r="F370" s="9"/>
    </row>
    <row r="371">
      <c r="E371" s="9"/>
      <c r="F371" s="9"/>
    </row>
    <row r="372">
      <c r="E372" s="9"/>
      <c r="F372" s="9"/>
    </row>
    <row r="373">
      <c r="E373" s="9"/>
      <c r="F373" s="9"/>
    </row>
    <row r="374">
      <c r="E374" s="9"/>
      <c r="F374" s="9"/>
    </row>
    <row r="375">
      <c r="E375" s="9"/>
      <c r="F375" s="9"/>
    </row>
    <row r="376">
      <c r="E376" s="9"/>
      <c r="F376" s="9"/>
    </row>
    <row r="377">
      <c r="E377" s="9"/>
      <c r="F377" s="9"/>
    </row>
    <row r="378">
      <c r="E378" s="9"/>
      <c r="F378" s="9"/>
    </row>
    <row r="379">
      <c r="E379" s="9"/>
      <c r="F379" s="9"/>
    </row>
    <row r="380">
      <c r="E380" s="9"/>
      <c r="F380" s="9"/>
    </row>
    <row r="381">
      <c r="E381" s="9"/>
      <c r="F381" s="9"/>
    </row>
    <row r="382">
      <c r="E382" s="9"/>
      <c r="F382" s="9"/>
    </row>
    <row r="383">
      <c r="E383" s="9"/>
      <c r="F383" s="9"/>
    </row>
    <row r="384">
      <c r="E384" s="9"/>
      <c r="F384" s="9"/>
    </row>
    <row r="385">
      <c r="E385" s="9"/>
      <c r="F385" s="9"/>
    </row>
    <row r="386">
      <c r="E386" s="9"/>
      <c r="F386" s="9"/>
    </row>
    <row r="387">
      <c r="E387" s="9"/>
      <c r="F387" s="9"/>
    </row>
    <row r="388">
      <c r="E388" s="9"/>
      <c r="F388" s="9"/>
    </row>
    <row r="389">
      <c r="E389" s="9"/>
      <c r="F389" s="9"/>
    </row>
    <row r="390">
      <c r="E390" s="9"/>
      <c r="F390" s="9"/>
    </row>
    <row r="391">
      <c r="E391" s="9"/>
      <c r="F391" s="9"/>
    </row>
    <row r="392">
      <c r="E392" s="9"/>
      <c r="F392" s="9"/>
    </row>
    <row r="393">
      <c r="E393" s="9"/>
      <c r="F393" s="9"/>
    </row>
    <row r="394">
      <c r="E394" s="9"/>
      <c r="F394" s="9"/>
    </row>
    <row r="395">
      <c r="E395" s="9"/>
      <c r="F395" s="9"/>
    </row>
    <row r="396">
      <c r="E396" s="9"/>
      <c r="F396" s="9"/>
    </row>
    <row r="397">
      <c r="E397" s="9"/>
      <c r="F397" s="9"/>
    </row>
    <row r="398">
      <c r="E398" s="9"/>
      <c r="F398" s="9"/>
    </row>
    <row r="399">
      <c r="E399" s="9"/>
      <c r="F399" s="9"/>
    </row>
    <row r="400">
      <c r="E400" s="9"/>
      <c r="F400" s="9"/>
    </row>
    <row r="401">
      <c r="E401" s="9"/>
      <c r="F401" s="9"/>
    </row>
    <row r="402">
      <c r="E402" s="9"/>
      <c r="F402" s="9"/>
    </row>
    <row r="403">
      <c r="E403" s="9"/>
      <c r="F403" s="9"/>
    </row>
    <row r="404">
      <c r="E404" s="9"/>
      <c r="F404" s="9"/>
    </row>
    <row r="405">
      <c r="E405" s="9"/>
      <c r="F405" s="9"/>
    </row>
    <row r="406">
      <c r="E406" s="9"/>
      <c r="F406" s="9"/>
    </row>
    <row r="407">
      <c r="E407" s="9"/>
      <c r="F407" s="9"/>
    </row>
    <row r="408">
      <c r="E408" s="9"/>
      <c r="F408" s="9"/>
    </row>
    <row r="409">
      <c r="E409" s="9"/>
      <c r="F409" s="9"/>
    </row>
    <row r="410">
      <c r="E410" s="9"/>
      <c r="F410" s="9"/>
    </row>
    <row r="411">
      <c r="E411" s="9"/>
      <c r="F411" s="9"/>
    </row>
    <row r="412">
      <c r="E412" s="9"/>
      <c r="F412" s="9"/>
    </row>
    <row r="413">
      <c r="E413" s="9"/>
      <c r="F413" s="9"/>
    </row>
    <row r="414">
      <c r="E414" s="9"/>
      <c r="F414" s="9"/>
    </row>
    <row r="415">
      <c r="E415" s="9"/>
      <c r="F415" s="9"/>
    </row>
    <row r="416">
      <c r="E416" s="9"/>
      <c r="F416" s="9"/>
    </row>
    <row r="417">
      <c r="E417" s="9"/>
      <c r="F417" s="9"/>
    </row>
    <row r="418">
      <c r="E418" s="9"/>
      <c r="F418" s="9"/>
    </row>
    <row r="419">
      <c r="E419" s="9"/>
      <c r="F419" s="9"/>
    </row>
    <row r="420">
      <c r="E420" s="9"/>
      <c r="F420" s="9"/>
    </row>
    <row r="421">
      <c r="E421" s="9"/>
      <c r="F421" s="9"/>
    </row>
    <row r="422">
      <c r="E422" s="9"/>
      <c r="F422" s="9"/>
    </row>
    <row r="423">
      <c r="E423" s="9"/>
      <c r="F423" s="9"/>
    </row>
    <row r="424">
      <c r="E424" s="9"/>
      <c r="F424" s="9"/>
    </row>
    <row r="425">
      <c r="E425" s="9"/>
      <c r="F425" s="9"/>
    </row>
    <row r="426">
      <c r="E426" s="9"/>
      <c r="F426" s="9"/>
    </row>
    <row r="427">
      <c r="E427" s="9"/>
      <c r="F427" s="9"/>
    </row>
    <row r="428">
      <c r="E428" s="9"/>
      <c r="F428" s="9"/>
    </row>
    <row r="429">
      <c r="E429" s="9"/>
      <c r="F429" s="9"/>
    </row>
    <row r="430">
      <c r="E430" s="9"/>
      <c r="F430" s="9"/>
    </row>
    <row r="431">
      <c r="E431" s="9"/>
      <c r="F431" s="9"/>
    </row>
    <row r="432">
      <c r="E432" s="9"/>
      <c r="F432" s="9"/>
    </row>
    <row r="433">
      <c r="E433" s="9"/>
      <c r="F433" s="9"/>
    </row>
    <row r="434">
      <c r="E434" s="9"/>
      <c r="F434" s="9"/>
    </row>
    <row r="435">
      <c r="E435" s="9"/>
      <c r="F435" s="9"/>
    </row>
    <row r="436">
      <c r="E436" s="9"/>
      <c r="F436" s="9"/>
    </row>
    <row r="437">
      <c r="E437" s="9"/>
      <c r="F437" s="9"/>
    </row>
    <row r="438">
      <c r="E438" s="9"/>
      <c r="F438" s="9"/>
    </row>
    <row r="439">
      <c r="E439" s="9"/>
      <c r="F439" s="9"/>
    </row>
    <row r="440">
      <c r="E440" s="9"/>
      <c r="F440" s="9"/>
    </row>
    <row r="441">
      <c r="E441" s="9"/>
      <c r="F441" s="9"/>
    </row>
    <row r="442">
      <c r="E442" s="9"/>
      <c r="F442" s="9"/>
    </row>
    <row r="443">
      <c r="E443" s="9"/>
      <c r="F443" s="9"/>
    </row>
    <row r="444">
      <c r="E444" s="9"/>
      <c r="F444" s="9"/>
    </row>
    <row r="445">
      <c r="E445" s="9"/>
      <c r="F445" s="9"/>
    </row>
    <row r="446">
      <c r="E446" s="9"/>
      <c r="F446" s="9"/>
    </row>
    <row r="447">
      <c r="E447" s="9"/>
      <c r="F447" s="9"/>
    </row>
    <row r="448">
      <c r="E448" s="9"/>
      <c r="F448" s="9"/>
    </row>
    <row r="449">
      <c r="E449" s="9"/>
      <c r="F449" s="9"/>
    </row>
    <row r="450">
      <c r="E450" s="9"/>
      <c r="F450" s="9"/>
    </row>
    <row r="451">
      <c r="E451" s="9"/>
      <c r="F451" s="9"/>
    </row>
    <row r="452">
      <c r="E452" s="9"/>
      <c r="F452" s="9"/>
    </row>
    <row r="453">
      <c r="E453" s="9"/>
      <c r="F453" s="9"/>
    </row>
    <row r="454">
      <c r="E454" s="9"/>
      <c r="F454" s="9"/>
    </row>
    <row r="455">
      <c r="E455" s="9"/>
      <c r="F455" s="9"/>
    </row>
    <row r="456">
      <c r="E456" s="9"/>
      <c r="F456" s="9"/>
    </row>
    <row r="457">
      <c r="E457" s="9"/>
      <c r="F457" s="9"/>
    </row>
    <row r="458">
      <c r="E458" s="9"/>
      <c r="F458" s="9"/>
    </row>
    <row r="459">
      <c r="E459" s="9"/>
      <c r="F459" s="9"/>
    </row>
    <row r="460">
      <c r="E460" s="9"/>
      <c r="F460" s="9"/>
    </row>
    <row r="461">
      <c r="E461" s="9"/>
      <c r="F461" s="9"/>
    </row>
    <row r="462">
      <c r="E462" s="9"/>
      <c r="F462" s="9"/>
    </row>
    <row r="463">
      <c r="E463" s="9"/>
      <c r="F463" s="9"/>
    </row>
    <row r="464">
      <c r="E464" s="9"/>
      <c r="F464" s="9"/>
    </row>
    <row r="465">
      <c r="E465" s="9"/>
      <c r="F465" s="9"/>
    </row>
    <row r="466">
      <c r="E466" s="9"/>
      <c r="F466" s="9"/>
    </row>
    <row r="467">
      <c r="E467" s="9"/>
      <c r="F467" s="9"/>
    </row>
    <row r="468">
      <c r="E468" s="9"/>
      <c r="F468" s="9"/>
    </row>
    <row r="469">
      <c r="E469" s="9"/>
      <c r="F469" s="9"/>
    </row>
    <row r="470">
      <c r="E470" s="9"/>
      <c r="F470" s="9"/>
    </row>
    <row r="471">
      <c r="E471" s="9"/>
      <c r="F471" s="9"/>
    </row>
    <row r="472">
      <c r="E472" s="9"/>
      <c r="F472" s="9"/>
    </row>
    <row r="473">
      <c r="E473" s="9"/>
      <c r="F473" s="9"/>
    </row>
    <row r="474">
      <c r="E474" s="9"/>
      <c r="F474" s="9"/>
    </row>
    <row r="475">
      <c r="E475" s="9"/>
      <c r="F475" s="9"/>
    </row>
    <row r="476">
      <c r="E476" s="9"/>
      <c r="F476" s="9"/>
    </row>
    <row r="477">
      <c r="E477" s="9"/>
      <c r="F477" s="9"/>
    </row>
    <row r="478">
      <c r="E478" s="9"/>
      <c r="F478" s="9"/>
    </row>
    <row r="479">
      <c r="E479" s="9"/>
      <c r="F479" s="9"/>
    </row>
    <row r="480">
      <c r="E480" s="9"/>
      <c r="F480" s="9"/>
    </row>
    <row r="481">
      <c r="E481" s="9"/>
      <c r="F481" s="9"/>
    </row>
    <row r="482">
      <c r="E482" s="9"/>
      <c r="F482" s="9"/>
    </row>
    <row r="483">
      <c r="E483" s="9"/>
      <c r="F483" s="9"/>
    </row>
    <row r="484">
      <c r="E484" s="9"/>
      <c r="F484" s="9"/>
    </row>
    <row r="485">
      <c r="E485" s="9"/>
      <c r="F485" s="9"/>
    </row>
    <row r="486">
      <c r="E486" s="9"/>
      <c r="F486" s="9"/>
    </row>
    <row r="487">
      <c r="E487" s="9"/>
      <c r="F487" s="9"/>
    </row>
    <row r="488">
      <c r="E488" s="9"/>
      <c r="F488" s="9"/>
    </row>
    <row r="489">
      <c r="E489" s="9"/>
      <c r="F489" s="9"/>
    </row>
    <row r="490">
      <c r="E490" s="9"/>
      <c r="F490" s="9"/>
    </row>
    <row r="491">
      <c r="E491" s="9"/>
      <c r="F491" s="9"/>
    </row>
    <row r="492">
      <c r="E492" s="9"/>
      <c r="F492" s="9"/>
    </row>
    <row r="493">
      <c r="E493" s="9"/>
      <c r="F493" s="9"/>
    </row>
    <row r="494">
      <c r="E494" s="9"/>
      <c r="F494" s="9"/>
    </row>
    <row r="495">
      <c r="E495" s="9"/>
      <c r="F495" s="9"/>
    </row>
    <row r="496">
      <c r="E496" s="9"/>
      <c r="F496" s="9"/>
    </row>
    <row r="497">
      <c r="E497" s="9"/>
      <c r="F497" s="9"/>
    </row>
    <row r="498">
      <c r="E498" s="9"/>
      <c r="F498" s="9"/>
    </row>
    <row r="499">
      <c r="E499" s="9"/>
      <c r="F499" s="9"/>
    </row>
    <row r="500">
      <c r="E500" s="9"/>
      <c r="F500" s="9"/>
    </row>
    <row r="501">
      <c r="E501" s="9"/>
      <c r="F501" s="9"/>
    </row>
    <row r="502">
      <c r="E502" s="9"/>
      <c r="F502" s="9"/>
    </row>
    <row r="503">
      <c r="E503" s="9"/>
      <c r="F503" s="9"/>
    </row>
    <row r="504">
      <c r="E504" s="9"/>
      <c r="F504" s="9"/>
    </row>
    <row r="505">
      <c r="E505" s="9"/>
      <c r="F505" s="9"/>
    </row>
    <row r="506">
      <c r="E506" s="9"/>
      <c r="F506" s="9"/>
    </row>
    <row r="507">
      <c r="E507" s="9"/>
      <c r="F507" s="9"/>
    </row>
    <row r="508">
      <c r="E508" s="9"/>
      <c r="F508" s="9"/>
    </row>
    <row r="509">
      <c r="E509" s="9"/>
      <c r="F509" s="9"/>
    </row>
    <row r="510">
      <c r="E510" s="9"/>
      <c r="F510" s="9"/>
    </row>
    <row r="511">
      <c r="E511" s="9"/>
      <c r="F511" s="9"/>
    </row>
    <row r="512">
      <c r="E512" s="9"/>
      <c r="F512" s="9"/>
    </row>
    <row r="513">
      <c r="E513" s="9"/>
      <c r="F513" s="9"/>
    </row>
    <row r="514">
      <c r="E514" s="9"/>
      <c r="F514" s="9"/>
    </row>
    <row r="515">
      <c r="E515" s="9"/>
      <c r="F515" s="9"/>
    </row>
    <row r="516">
      <c r="E516" s="9"/>
      <c r="F516" s="9"/>
    </row>
    <row r="517">
      <c r="E517" s="9"/>
      <c r="F517" s="9"/>
    </row>
    <row r="518">
      <c r="E518" s="9"/>
      <c r="F518" s="9"/>
    </row>
    <row r="519">
      <c r="E519" s="9"/>
      <c r="F519" s="9"/>
    </row>
    <row r="520">
      <c r="E520" s="9"/>
      <c r="F520" s="9"/>
    </row>
    <row r="521">
      <c r="E521" s="9"/>
      <c r="F521" s="9"/>
    </row>
    <row r="522">
      <c r="E522" s="9"/>
      <c r="F522" s="9"/>
    </row>
    <row r="523">
      <c r="E523" s="9"/>
      <c r="F523" s="9"/>
    </row>
    <row r="524">
      <c r="E524" s="9"/>
      <c r="F524" s="9"/>
    </row>
    <row r="525">
      <c r="E525" s="9"/>
      <c r="F525" s="9"/>
    </row>
    <row r="526">
      <c r="E526" s="9"/>
      <c r="F526" s="9"/>
    </row>
    <row r="527">
      <c r="E527" s="9"/>
      <c r="F527" s="9"/>
    </row>
    <row r="528">
      <c r="E528" s="9"/>
      <c r="F528" s="9"/>
    </row>
    <row r="529">
      <c r="E529" s="9"/>
      <c r="F529" s="9"/>
    </row>
    <row r="530">
      <c r="E530" s="9"/>
      <c r="F530" s="9"/>
    </row>
    <row r="531">
      <c r="E531" s="9"/>
      <c r="F531" s="9"/>
    </row>
    <row r="532">
      <c r="E532" s="9"/>
      <c r="F532" s="9"/>
    </row>
    <row r="533">
      <c r="E533" s="9"/>
      <c r="F533" s="9"/>
    </row>
    <row r="534">
      <c r="E534" s="9"/>
      <c r="F534" s="9"/>
    </row>
    <row r="535">
      <c r="E535" s="9"/>
      <c r="F535" s="9"/>
    </row>
    <row r="536">
      <c r="E536" s="9"/>
      <c r="F536" s="9"/>
    </row>
    <row r="537">
      <c r="E537" s="9"/>
      <c r="F537" s="9"/>
    </row>
    <row r="538">
      <c r="E538" s="9"/>
      <c r="F538" s="9"/>
    </row>
    <row r="539">
      <c r="E539" s="9"/>
      <c r="F539" s="9"/>
    </row>
    <row r="540">
      <c r="E540" s="9"/>
      <c r="F540" s="9"/>
    </row>
    <row r="541">
      <c r="E541" s="9"/>
      <c r="F541" s="9"/>
    </row>
    <row r="542">
      <c r="E542" s="9"/>
      <c r="F542" s="9"/>
    </row>
    <row r="543">
      <c r="E543" s="9"/>
      <c r="F543" s="9"/>
    </row>
    <row r="544">
      <c r="E544" s="9"/>
      <c r="F544" s="9"/>
    </row>
    <row r="545">
      <c r="E545" s="9"/>
      <c r="F545" s="9"/>
    </row>
    <row r="546">
      <c r="E546" s="9"/>
      <c r="F546" s="9"/>
    </row>
    <row r="547">
      <c r="E547" s="9"/>
      <c r="F547" s="9"/>
    </row>
    <row r="548">
      <c r="E548" s="9"/>
      <c r="F548" s="9"/>
    </row>
    <row r="549">
      <c r="E549" s="9"/>
      <c r="F549" s="9"/>
    </row>
    <row r="550">
      <c r="E550" s="9"/>
      <c r="F550" s="9"/>
    </row>
    <row r="551">
      <c r="E551" s="9"/>
      <c r="F551" s="9"/>
    </row>
    <row r="552">
      <c r="E552" s="9"/>
      <c r="F552" s="9"/>
    </row>
    <row r="553">
      <c r="E553" s="9"/>
      <c r="F553" s="9"/>
    </row>
    <row r="554">
      <c r="E554" s="9"/>
      <c r="F554" s="9"/>
    </row>
    <row r="555">
      <c r="E555" s="9"/>
      <c r="F555" s="9"/>
    </row>
    <row r="556">
      <c r="E556" s="9"/>
      <c r="F556" s="9"/>
    </row>
    <row r="557">
      <c r="E557" s="9"/>
      <c r="F557" s="9"/>
    </row>
    <row r="558">
      <c r="E558" s="9"/>
      <c r="F558" s="9"/>
    </row>
    <row r="559">
      <c r="E559" s="9"/>
      <c r="F559" s="9"/>
    </row>
    <row r="560">
      <c r="E560" s="9"/>
      <c r="F560" s="9"/>
    </row>
    <row r="561">
      <c r="E561" s="9"/>
      <c r="F561" s="9"/>
    </row>
    <row r="562">
      <c r="E562" s="9"/>
      <c r="F562" s="9"/>
    </row>
    <row r="563">
      <c r="E563" s="9"/>
      <c r="F563" s="9"/>
    </row>
    <row r="564">
      <c r="E564" s="9"/>
      <c r="F564" s="9"/>
    </row>
    <row r="565">
      <c r="E565" s="9"/>
      <c r="F565" s="9"/>
    </row>
    <row r="566">
      <c r="E566" s="9"/>
      <c r="F566" s="9"/>
    </row>
    <row r="567">
      <c r="E567" s="9"/>
      <c r="F567" s="9"/>
    </row>
    <row r="568">
      <c r="E568" s="9"/>
      <c r="F568" s="9"/>
    </row>
    <row r="569">
      <c r="E569" s="9"/>
      <c r="F569" s="9"/>
    </row>
    <row r="570">
      <c r="E570" s="9"/>
      <c r="F570" s="9"/>
    </row>
    <row r="571">
      <c r="E571" s="9"/>
      <c r="F571" s="9"/>
    </row>
    <row r="572">
      <c r="E572" s="9"/>
      <c r="F572" s="9"/>
    </row>
    <row r="573">
      <c r="E573" s="9"/>
      <c r="F573" s="9"/>
    </row>
    <row r="574">
      <c r="E574" s="9"/>
      <c r="F574" s="9"/>
    </row>
    <row r="575">
      <c r="E575" s="9"/>
      <c r="F575" s="9"/>
    </row>
    <row r="576">
      <c r="E576" s="9"/>
      <c r="F576" s="9"/>
    </row>
    <row r="577">
      <c r="E577" s="9"/>
      <c r="F577" s="9"/>
    </row>
    <row r="578">
      <c r="E578" s="9"/>
      <c r="F578" s="9"/>
    </row>
    <row r="579">
      <c r="E579" s="9"/>
      <c r="F579" s="9"/>
    </row>
    <row r="580">
      <c r="E580" s="9"/>
      <c r="F580" s="9"/>
    </row>
    <row r="581">
      <c r="E581" s="9"/>
      <c r="F581" s="9"/>
    </row>
    <row r="582">
      <c r="E582" s="9"/>
      <c r="F582" s="9"/>
    </row>
    <row r="583">
      <c r="E583" s="9"/>
      <c r="F583" s="9"/>
    </row>
    <row r="584">
      <c r="E584" s="9"/>
      <c r="F584" s="9"/>
    </row>
    <row r="585">
      <c r="E585" s="9"/>
      <c r="F585" s="9"/>
    </row>
    <row r="586">
      <c r="E586" s="9"/>
      <c r="F586" s="9"/>
    </row>
    <row r="587">
      <c r="E587" s="9"/>
      <c r="F587" s="9"/>
    </row>
    <row r="588">
      <c r="E588" s="9"/>
      <c r="F588" s="9"/>
    </row>
    <row r="589">
      <c r="E589" s="9"/>
      <c r="F589" s="9"/>
    </row>
    <row r="590">
      <c r="E590" s="9"/>
      <c r="F590" s="9"/>
    </row>
    <row r="591">
      <c r="E591" s="9"/>
      <c r="F591" s="9"/>
    </row>
    <row r="592">
      <c r="E592" s="9"/>
      <c r="F592" s="9"/>
    </row>
    <row r="593">
      <c r="E593" s="9"/>
      <c r="F593" s="9"/>
    </row>
    <row r="594">
      <c r="E594" s="9"/>
      <c r="F594" s="9"/>
    </row>
    <row r="595">
      <c r="E595" s="9"/>
      <c r="F595" s="9"/>
    </row>
    <row r="596">
      <c r="E596" s="9"/>
      <c r="F596" s="9"/>
    </row>
    <row r="597">
      <c r="E597" s="9"/>
      <c r="F597" s="9"/>
    </row>
    <row r="598">
      <c r="E598" s="9"/>
      <c r="F598" s="9"/>
    </row>
    <row r="599">
      <c r="E599" s="9"/>
      <c r="F599" s="9"/>
    </row>
    <row r="600">
      <c r="E600" s="9"/>
      <c r="F600" s="9"/>
    </row>
    <row r="601">
      <c r="E601" s="9"/>
      <c r="F601" s="9"/>
    </row>
    <row r="602">
      <c r="E602" s="9"/>
      <c r="F602" s="9"/>
    </row>
    <row r="603">
      <c r="E603" s="9"/>
      <c r="F603" s="9"/>
    </row>
    <row r="604">
      <c r="E604" s="9"/>
      <c r="F604" s="9"/>
    </row>
    <row r="605">
      <c r="E605" s="9"/>
      <c r="F605" s="9"/>
    </row>
    <row r="606">
      <c r="E606" s="9"/>
      <c r="F606" s="9"/>
    </row>
    <row r="607">
      <c r="E607" s="9"/>
      <c r="F607" s="9"/>
    </row>
    <row r="608">
      <c r="E608" s="9"/>
      <c r="F608" s="9"/>
    </row>
    <row r="609">
      <c r="E609" s="9"/>
      <c r="F609" s="9"/>
    </row>
    <row r="610">
      <c r="E610" s="9"/>
      <c r="F610" s="9"/>
    </row>
    <row r="611">
      <c r="E611" s="9"/>
      <c r="F611" s="9"/>
    </row>
    <row r="612">
      <c r="E612" s="9"/>
      <c r="F612" s="9"/>
    </row>
    <row r="613">
      <c r="E613" s="9"/>
      <c r="F613" s="9"/>
    </row>
    <row r="614">
      <c r="E614" s="9"/>
      <c r="F614" s="9"/>
    </row>
    <row r="615">
      <c r="E615" s="9"/>
      <c r="F615" s="9"/>
    </row>
    <row r="616">
      <c r="E616" s="9"/>
      <c r="F616" s="9"/>
    </row>
    <row r="617">
      <c r="E617" s="9"/>
      <c r="F617" s="9"/>
    </row>
    <row r="618">
      <c r="E618" s="9"/>
      <c r="F618" s="9"/>
    </row>
    <row r="619">
      <c r="E619" s="9"/>
      <c r="F619" s="9"/>
    </row>
    <row r="620">
      <c r="E620" s="9"/>
      <c r="F620" s="9"/>
    </row>
    <row r="621">
      <c r="E621" s="9"/>
      <c r="F621" s="9"/>
    </row>
    <row r="622">
      <c r="E622" s="9"/>
      <c r="F622" s="9"/>
    </row>
    <row r="623">
      <c r="E623" s="9"/>
      <c r="F623" s="9"/>
    </row>
    <row r="624">
      <c r="E624" s="9"/>
      <c r="F624" s="9"/>
    </row>
    <row r="625">
      <c r="E625" s="9"/>
      <c r="F625" s="9"/>
    </row>
    <row r="626">
      <c r="E626" s="9"/>
      <c r="F626" s="9"/>
    </row>
    <row r="627">
      <c r="E627" s="9"/>
      <c r="F627" s="9"/>
    </row>
    <row r="628">
      <c r="E628" s="9"/>
      <c r="F628" s="9"/>
    </row>
    <row r="629">
      <c r="E629" s="9"/>
      <c r="F629" s="9"/>
    </row>
    <row r="630">
      <c r="E630" s="9"/>
      <c r="F630" s="9"/>
    </row>
    <row r="631">
      <c r="E631" s="9"/>
      <c r="F631" s="9"/>
    </row>
    <row r="632">
      <c r="E632" s="9"/>
      <c r="F632" s="9"/>
    </row>
    <row r="633">
      <c r="E633" s="9"/>
      <c r="F633" s="9"/>
    </row>
    <row r="634">
      <c r="E634" s="9"/>
      <c r="F634" s="9"/>
    </row>
    <row r="635">
      <c r="E635" s="9"/>
      <c r="F635" s="9"/>
    </row>
    <row r="636">
      <c r="E636" s="9"/>
      <c r="F636" s="9"/>
    </row>
    <row r="637">
      <c r="E637" s="9"/>
      <c r="F637" s="9"/>
    </row>
    <row r="638">
      <c r="E638" s="9"/>
      <c r="F638" s="9"/>
    </row>
    <row r="639">
      <c r="E639" s="9"/>
      <c r="F639" s="9"/>
    </row>
    <row r="640">
      <c r="E640" s="9"/>
      <c r="F640" s="9"/>
    </row>
    <row r="641">
      <c r="E641" s="9"/>
      <c r="F641" s="9"/>
    </row>
    <row r="642">
      <c r="E642" s="9"/>
      <c r="F642" s="9"/>
    </row>
    <row r="643">
      <c r="E643" s="9"/>
      <c r="F643" s="9"/>
    </row>
    <row r="644">
      <c r="E644" s="9"/>
      <c r="F644" s="9"/>
    </row>
    <row r="645">
      <c r="E645" s="9"/>
      <c r="F645" s="9"/>
    </row>
    <row r="646">
      <c r="E646" s="9"/>
      <c r="F646" s="9"/>
    </row>
    <row r="647">
      <c r="E647" s="9"/>
      <c r="F647" s="9"/>
    </row>
    <row r="648">
      <c r="E648" s="9"/>
      <c r="F648" s="9"/>
    </row>
    <row r="649">
      <c r="E649" s="9"/>
      <c r="F649" s="9"/>
    </row>
    <row r="650">
      <c r="E650" s="9"/>
      <c r="F650" s="9"/>
    </row>
    <row r="651">
      <c r="E651" s="9"/>
      <c r="F651" s="9"/>
    </row>
    <row r="652">
      <c r="E652" s="9"/>
      <c r="F652" s="9"/>
    </row>
    <row r="653">
      <c r="E653" s="9"/>
      <c r="F653" s="9"/>
    </row>
    <row r="654">
      <c r="E654" s="9"/>
      <c r="F654" s="9"/>
    </row>
    <row r="655">
      <c r="E655" s="9"/>
      <c r="F655" s="9"/>
    </row>
    <row r="656">
      <c r="E656" s="9"/>
      <c r="F656" s="9"/>
    </row>
    <row r="657">
      <c r="E657" s="9"/>
      <c r="F657" s="9"/>
    </row>
    <row r="658">
      <c r="E658" s="9"/>
      <c r="F658" s="9"/>
    </row>
    <row r="659">
      <c r="E659" s="9"/>
      <c r="F659" s="9"/>
    </row>
    <row r="660">
      <c r="E660" s="9"/>
      <c r="F660" s="9"/>
    </row>
    <row r="661">
      <c r="E661" s="9"/>
      <c r="F661" s="9"/>
    </row>
    <row r="662">
      <c r="E662" s="9"/>
      <c r="F662" s="9"/>
    </row>
    <row r="663">
      <c r="E663" s="9"/>
      <c r="F663" s="9"/>
    </row>
    <row r="664">
      <c r="E664" s="9"/>
      <c r="F664" s="9"/>
    </row>
    <row r="665">
      <c r="E665" s="9"/>
      <c r="F665" s="9"/>
    </row>
    <row r="666">
      <c r="E666" s="9"/>
      <c r="F666" s="9"/>
    </row>
    <row r="667">
      <c r="E667" s="9"/>
      <c r="F667" s="9"/>
    </row>
    <row r="668">
      <c r="E668" s="9"/>
      <c r="F668" s="9"/>
    </row>
    <row r="669">
      <c r="E669" s="9"/>
      <c r="F669" s="9"/>
    </row>
    <row r="670">
      <c r="E670" s="9"/>
      <c r="F670" s="9"/>
    </row>
    <row r="671">
      <c r="E671" s="9"/>
      <c r="F671" s="9"/>
    </row>
    <row r="672">
      <c r="E672" s="9"/>
      <c r="F672" s="9"/>
    </row>
    <row r="673">
      <c r="E673" s="9"/>
      <c r="F673" s="9"/>
    </row>
    <row r="674">
      <c r="E674" s="9"/>
      <c r="F674" s="9"/>
    </row>
    <row r="675">
      <c r="E675" s="9"/>
      <c r="F675" s="9"/>
    </row>
    <row r="676">
      <c r="E676" s="9"/>
      <c r="F676" s="9"/>
    </row>
    <row r="677">
      <c r="E677" s="9"/>
      <c r="F677" s="9"/>
    </row>
    <row r="678">
      <c r="E678" s="9"/>
      <c r="F678" s="9"/>
    </row>
    <row r="679">
      <c r="E679" s="9"/>
      <c r="F679" s="9"/>
    </row>
    <row r="680">
      <c r="E680" s="9"/>
      <c r="F680" s="9"/>
    </row>
    <row r="681">
      <c r="E681" s="9"/>
      <c r="F681" s="9"/>
    </row>
    <row r="682">
      <c r="E682" s="9"/>
      <c r="F682" s="9"/>
    </row>
    <row r="683">
      <c r="E683" s="9"/>
      <c r="F683" s="9"/>
    </row>
    <row r="684">
      <c r="E684" s="9"/>
      <c r="F684" s="9"/>
    </row>
    <row r="685">
      <c r="E685" s="9"/>
      <c r="F685" s="9"/>
    </row>
    <row r="686">
      <c r="E686" s="9"/>
      <c r="F686" s="9"/>
    </row>
    <row r="687">
      <c r="E687" s="9"/>
      <c r="F687" s="9"/>
    </row>
    <row r="688">
      <c r="E688" s="9"/>
      <c r="F688" s="9"/>
    </row>
    <row r="689">
      <c r="E689" s="9"/>
      <c r="F689" s="9"/>
    </row>
    <row r="690">
      <c r="E690" s="9"/>
      <c r="F690" s="9"/>
    </row>
    <row r="691">
      <c r="E691" s="9"/>
      <c r="F691" s="9"/>
    </row>
    <row r="692">
      <c r="E692" s="9"/>
      <c r="F692" s="9"/>
    </row>
    <row r="693">
      <c r="E693" s="9"/>
      <c r="F693" s="9"/>
    </row>
    <row r="694">
      <c r="E694" s="9"/>
      <c r="F694" s="9"/>
    </row>
    <row r="695">
      <c r="E695" s="9"/>
      <c r="F695" s="9"/>
    </row>
    <row r="696">
      <c r="E696" s="9"/>
      <c r="F696" s="9"/>
    </row>
    <row r="697">
      <c r="E697" s="9"/>
      <c r="F697" s="9"/>
    </row>
    <row r="698">
      <c r="E698" s="9"/>
      <c r="F698" s="9"/>
    </row>
    <row r="699">
      <c r="E699" s="9"/>
      <c r="F699" s="9"/>
    </row>
    <row r="700">
      <c r="E700" s="9"/>
      <c r="F700" s="9"/>
    </row>
    <row r="701">
      <c r="E701" s="9"/>
      <c r="F701" s="9"/>
    </row>
    <row r="702">
      <c r="E702" s="9"/>
      <c r="F702" s="9"/>
    </row>
    <row r="703">
      <c r="E703" s="9"/>
      <c r="F703" s="9"/>
    </row>
    <row r="704">
      <c r="E704" s="9"/>
      <c r="F704" s="9"/>
    </row>
    <row r="705">
      <c r="E705" s="9"/>
      <c r="F705" s="9"/>
    </row>
    <row r="706">
      <c r="E706" s="9"/>
      <c r="F706" s="9"/>
    </row>
    <row r="707">
      <c r="E707" s="9"/>
      <c r="F707" s="9"/>
    </row>
    <row r="708">
      <c r="E708" s="9"/>
      <c r="F708" s="9"/>
    </row>
    <row r="709">
      <c r="E709" s="9"/>
      <c r="F709" s="9"/>
    </row>
    <row r="710">
      <c r="E710" s="9"/>
      <c r="F710" s="9"/>
    </row>
    <row r="711">
      <c r="E711" s="9"/>
      <c r="F711" s="9"/>
    </row>
    <row r="712">
      <c r="E712" s="9"/>
      <c r="F712" s="9"/>
    </row>
    <row r="713">
      <c r="E713" s="9"/>
      <c r="F713" s="9"/>
    </row>
    <row r="714">
      <c r="E714" s="9"/>
      <c r="F714" s="9"/>
    </row>
    <row r="715">
      <c r="E715" s="9"/>
      <c r="F715" s="9"/>
    </row>
    <row r="716">
      <c r="E716" s="9"/>
      <c r="F716" s="9"/>
    </row>
    <row r="717">
      <c r="E717" s="9"/>
      <c r="F717" s="9"/>
    </row>
    <row r="718">
      <c r="E718" s="9"/>
      <c r="F718" s="9"/>
    </row>
    <row r="719">
      <c r="E719" s="9"/>
      <c r="F719" s="9"/>
    </row>
    <row r="720">
      <c r="E720" s="9"/>
      <c r="F720" s="9"/>
    </row>
    <row r="721">
      <c r="E721" s="9"/>
      <c r="F721" s="9"/>
    </row>
    <row r="722">
      <c r="E722" s="9"/>
      <c r="F722" s="9"/>
    </row>
    <row r="723">
      <c r="E723" s="9"/>
      <c r="F723" s="9"/>
    </row>
    <row r="724">
      <c r="E724" s="9"/>
      <c r="F724" s="9"/>
    </row>
    <row r="725">
      <c r="E725" s="9"/>
      <c r="F725" s="9"/>
    </row>
    <row r="726">
      <c r="E726" s="9"/>
      <c r="F726" s="9"/>
    </row>
    <row r="727">
      <c r="E727" s="9"/>
      <c r="F727" s="9"/>
    </row>
    <row r="728">
      <c r="E728" s="9"/>
      <c r="F728" s="9"/>
    </row>
    <row r="729">
      <c r="E729" s="9"/>
      <c r="F729" s="9"/>
    </row>
    <row r="730">
      <c r="E730" s="9"/>
      <c r="F730" s="9"/>
    </row>
    <row r="731">
      <c r="E731" s="9"/>
      <c r="F731" s="9"/>
    </row>
    <row r="732">
      <c r="E732" s="9"/>
      <c r="F732" s="9"/>
    </row>
    <row r="733">
      <c r="E733" s="9"/>
      <c r="F733" s="9"/>
    </row>
    <row r="734">
      <c r="E734" s="9"/>
      <c r="F734" s="9"/>
    </row>
    <row r="735">
      <c r="E735" s="9"/>
      <c r="F735" s="9"/>
    </row>
    <row r="736">
      <c r="E736" s="9"/>
      <c r="F736" s="9"/>
    </row>
    <row r="737">
      <c r="E737" s="9"/>
      <c r="F737" s="9"/>
    </row>
    <row r="738">
      <c r="E738" s="9"/>
      <c r="F738" s="9"/>
    </row>
    <row r="739">
      <c r="E739" s="9"/>
      <c r="F739" s="9"/>
    </row>
    <row r="740">
      <c r="E740" s="9"/>
      <c r="F740" s="9"/>
    </row>
    <row r="741">
      <c r="E741" s="9"/>
      <c r="F741" s="9"/>
    </row>
    <row r="742">
      <c r="E742" s="9"/>
      <c r="F742" s="9"/>
    </row>
    <row r="743">
      <c r="E743" s="9"/>
      <c r="F743" s="9"/>
    </row>
    <row r="744">
      <c r="E744" s="9"/>
      <c r="F744" s="9"/>
    </row>
    <row r="745">
      <c r="E745" s="9"/>
      <c r="F745" s="9"/>
    </row>
    <row r="746">
      <c r="E746" s="9"/>
      <c r="F746" s="9"/>
    </row>
    <row r="747">
      <c r="E747" s="9"/>
      <c r="F747" s="9"/>
    </row>
    <row r="748">
      <c r="E748" s="9"/>
      <c r="F748" s="9"/>
    </row>
    <row r="749">
      <c r="E749" s="9"/>
      <c r="F749" s="9"/>
    </row>
    <row r="750">
      <c r="E750" s="9"/>
      <c r="F750" s="9"/>
    </row>
    <row r="751">
      <c r="E751" s="9"/>
      <c r="F751" s="9"/>
    </row>
    <row r="752">
      <c r="E752" s="9"/>
      <c r="F752" s="9"/>
    </row>
    <row r="753">
      <c r="E753" s="9"/>
      <c r="F753" s="9"/>
    </row>
    <row r="754">
      <c r="E754" s="9"/>
      <c r="F754" s="9"/>
    </row>
    <row r="755">
      <c r="E755" s="9"/>
      <c r="F755" s="9"/>
    </row>
    <row r="756">
      <c r="E756" s="9"/>
      <c r="F756" s="9"/>
    </row>
    <row r="757">
      <c r="E757" s="9"/>
      <c r="F757" s="9"/>
    </row>
    <row r="758">
      <c r="E758" s="9"/>
      <c r="F758" s="9"/>
    </row>
    <row r="759">
      <c r="E759" s="9"/>
      <c r="F759" s="9"/>
    </row>
    <row r="760">
      <c r="E760" s="9"/>
      <c r="F760" s="9"/>
    </row>
    <row r="761">
      <c r="E761" s="9"/>
      <c r="F761" s="9"/>
    </row>
    <row r="762">
      <c r="E762" s="9"/>
      <c r="F762" s="9"/>
    </row>
    <row r="763">
      <c r="E763" s="9"/>
      <c r="F763" s="9"/>
    </row>
    <row r="764">
      <c r="E764" s="9"/>
      <c r="F764" s="9"/>
    </row>
    <row r="765">
      <c r="E765" s="9"/>
      <c r="F765" s="9"/>
    </row>
    <row r="766">
      <c r="E766" s="9"/>
      <c r="F766" s="9"/>
    </row>
    <row r="767">
      <c r="E767" s="9"/>
      <c r="F767" s="9"/>
    </row>
    <row r="768">
      <c r="E768" s="9"/>
      <c r="F768" s="9"/>
    </row>
    <row r="769">
      <c r="E769" s="9"/>
      <c r="F769" s="9"/>
    </row>
    <row r="770">
      <c r="E770" s="9"/>
      <c r="F770" s="9"/>
    </row>
    <row r="771">
      <c r="E771" s="9"/>
      <c r="F771" s="9"/>
    </row>
    <row r="772">
      <c r="E772" s="9"/>
      <c r="F772" s="9"/>
    </row>
    <row r="773">
      <c r="E773" s="9"/>
      <c r="F773" s="9"/>
    </row>
    <row r="774">
      <c r="E774" s="9"/>
      <c r="F774" s="9"/>
    </row>
    <row r="775">
      <c r="E775" s="9"/>
      <c r="F775" s="9"/>
    </row>
    <row r="776">
      <c r="E776" s="9"/>
      <c r="F776" s="9"/>
    </row>
    <row r="777">
      <c r="E777" s="9"/>
      <c r="F777" s="9"/>
    </row>
    <row r="778">
      <c r="E778" s="9"/>
      <c r="F778" s="9"/>
    </row>
    <row r="779">
      <c r="E779" s="9"/>
      <c r="F779" s="9"/>
    </row>
    <row r="780">
      <c r="E780" s="9"/>
      <c r="F780" s="9"/>
    </row>
    <row r="781">
      <c r="E781" s="9"/>
      <c r="F781" s="9"/>
    </row>
    <row r="782">
      <c r="E782" s="9"/>
      <c r="F782" s="9"/>
    </row>
    <row r="783">
      <c r="E783" s="9"/>
      <c r="F783" s="9"/>
    </row>
    <row r="784">
      <c r="E784" s="9"/>
      <c r="F784" s="9"/>
    </row>
    <row r="785">
      <c r="E785" s="9"/>
      <c r="F785" s="9"/>
    </row>
    <row r="786">
      <c r="E786" s="9"/>
      <c r="F786" s="9"/>
    </row>
    <row r="787">
      <c r="E787" s="9"/>
      <c r="F787" s="9"/>
    </row>
    <row r="788">
      <c r="E788" s="9"/>
      <c r="F788" s="9"/>
    </row>
    <row r="789">
      <c r="E789" s="9"/>
      <c r="F789" s="9"/>
    </row>
    <row r="790">
      <c r="E790" s="9"/>
      <c r="F790" s="9"/>
    </row>
    <row r="791">
      <c r="E791" s="9"/>
      <c r="F791" s="9"/>
    </row>
    <row r="792">
      <c r="E792" s="9"/>
      <c r="F792" s="9"/>
    </row>
    <row r="793">
      <c r="E793" s="9"/>
      <c r="F793" s="9"/>
    </row>
    <row r="794">
      <c r="E794" s="9"/>
      <c r="F794" s="9"/>
    </row>
    <row r="795">
      <c r="E795" s="9"/>
      <c r="F795" s="9"/>
    </row>
    <row r="796">
      <c r="E796" s="9"/>
      <c r="F796" s="9"/>
    </row>
    <row r="797">
      <c r="E797" s="9"/>
      <c r="F797" s="9"/>
    </row>
    <row r="798">
      <c r="E798" s="9"/>
      <c r="F798" s="9"/>
    </row>
    <row r="799">
      <c r="E799" s="9"/>
      <c r="F799" s="9"/>
    </row>
    <row r="800">
      <c r="E800" s="9"/>
      <c r="F800" s="9"/>
    </row>
    <row r="801">
      <c r="E801" s="9"/>
      <c r="F801" s="9"/>
    </row>
    <row r="802">
      <c r="E802" s="9"/>
      <c r="F802" s="9"/>
    </row>
    <row r="803">
      <c r="E803" s="9"/>
      <c r="F803" s="9"/>
    </row>
    <row r="804">
      <c r="E804" s="9"/>
      <c r="F804" s="9"/>
    </row>
    <row r="805">
      <c r="E805" s="9"/>
      <c r="F805" s="9"/>
    </row>
    <row r="806">
      <c r="E806" s="9"/>
      <c r="F806" s="9"/>
    </row>
    <row r="807">
      <c r="E807" s="9"/>
      <c r="F807" s="9"/>
    </row>
    <row r="808">
      <c r="E808" s="9"/>
      <c r="F808" s="9"/>
    </row>
    <row r="809">
      <c r="E809" s="9"/>
      <c r="F809" s="9"/>
    </row>
    <row r="810">
      <c r="E810" s="9"/>
      <c r="F810" s="9"/>
    </row>
    <row r="811">
      <c r="E811" s="9"/>
      <c r="F811" s="9"/>
    </row>
    <row r="812">
      <c r="E812" s="9"/>
      <c r="F812" s="9"/>
    </row>
    <row r="813">
      <c r="E813" s="9"/>
      <c r="F813" s="9"/>
    </row>
    <row r="814">
      <c r="E814" s="9"/>
      <c r="F814" s="9"/>
    </row>
    <row r="815">
      <c r="E815" s="9"/>
      <c r="F815" s="9"/>
    </row>
    <row r="816">
      <c r="E816" s="9"/>
      <c r="F816" s="9"/>
    </row>
    <row r="817">
      <c r="E817" s="9"/>
      <c r="F817" s="9"/>
    </row>
    <row r="818">
      <c r="E818" s="9"/>
      <c r="F818" s="9"/>
    </row>
    <row r="819">
      <c r="E819" s="9"/>
      <c r="F819" s="9"/>
    </row>
    <row r="820">
      <c r="E820" s="9"/>
      <c r="F820" s="9"/>
    </row>
    <row r="821">
      <c r="E821" s="9"/>
      <c r="F821" s="9"/>
    </row>
    <row r="822">
      <c r="E822" s="9"/>
      <c r="F822" s="9"/>
    </row>
    <row r="823">
      <c r="E823" s="9"/>
      <c r="F823" s="9"/>
    </row>
    <row r="824">
      <c r="E824" s="9"/>
      <c r="F824" s="9"/>
    </row>
    <row r="825">
      <c r="E825" s="9"/>
      <c r="F825" s="9"/>
    </row>
    <row r="826">
      <c r="E826" s="9"/>
      <c r="F826" s="9"/>
    </row>
    <row r="827">
      <c r="E827" s="9"/>
      <c r="F827" s="9"/>
    </row>
    <row r="828">
      <c r="E828" s="9"/>
      <c r="F828" s="9"/>
    </row>
    <row r="829">
      <c r="E829" s="9"/>
      <c r="F829" s="9"/>
    </row>
    <row r="830">
      <c r="E830" s="9"/>
      <c r="F830" s="9"/>
    </row>
    <row r="831">
      <c r="E831" s="9"/>
      <c r="F831" s="9"/>
    </row>
    <row r="832">
      <c r="E832" s="9"/>
      <c r="F832" s="9"/>
    </row>
    <row r="833">
      <c r="E833" s="9"/>
      <c r="F833" s="9"/>
    </row>
    <row r="834">
      <c r="E834" s="9"/>
      <c r="F834" s="9"/>
    </row>
    <row r="835">
      <c r="E835" s="9"/>
      <c r="F835" s="9"/>
    </row>
    <row r="836">
      <c r="E836" s="9"/>
      <c r="F836" s="9"/>
    </row>
    <row r="837">
      <c r="E837" s="9"/>
      <c r="F837" s="9"/>
    </row>
    <row r="838">
      <c r="E838" s="9"/>
      <c r="F838" s="9"/>
    </row>
    <row r="839">
      <c r="E839" s="9"/>
      <c r="F839" s="9"/>
    </row>
    <row r="840">
      <c r="E840" s="9"/>
      <c r="F840" s="9"/>
    </row>
    <row r="841">
      <c r="E841" s="9"/>
      <c r="F841" s="9"/>
    </row>
    <row r="842">
      <c r="E842" s="9"/>
      <c r="F842" s="9"/>
    </row>
    <row r="843">
      <c r="E843" s="9"/>
      <c r="F843" s="9"/>
    </row>
    <row r="844">
      <c r="E844" s="9"/>
      <c r="F844" s="9"/>
    </row>
    <row r="845">
      <c r="E845" s="9"/>
      <c r="F845" s="9"/>
    </row>
    <row r="846">
      <c r="E846" s="9"/>
      <c r="F846" s="9"/>
    </row>
    <row r="847">
      <c r="E847" s="9"/>
      <c r="F847" s="9"/>
    </row>
    <row r="848">
      <c r="E848" s="9"/>
      <c r="F848" s="9"/>
    </row>
    <row r="849">
      <c r="E849" s="9"/>
      <c r="F849" s="9"/>
    </row>
    <row r="850">
      <c r="E850" s="9"/>
      <c r="F850" s="9"/>
    </row>
    <row r="851">
      <c r="E851" s="9"/>
      <c r="F851" s="9"/>
    </row>
    <row r="852">
      <c r="E852" s="9"/>
      <c r="F852" s="9"/>
    </row>
    <row r="853">
      <c r="E853" s="9"/>
      <c r="F853" s="9"/>
    </row>
    <row r="854">
      <c r="E854" s="9"/>
      <c r="F854" s="9"/>
    </row>
    <row r="855">
      <c r="E855" s="9"/>
      <c r="F855" s="9"/>
    </row>
    <row r="856">
      <c r="E856" s="9"/>
      <c r="F856" s="9"/>
    </row>
    <row r="857">
      <c r="E857" s="9"/>
      <c r="F857" s="9"/>
    </row>
    <row r="858">
      <c r="E858" s="9"/>
      <c r="F858" s="9"/>
    </row>
    <row r="859">
      <c r="E859" s="9"/>
      <c r="F859" s="9"/>
    </row>
    <row r="860">
      <c r="E860" s="9"/>
      <c r="F860" s="9"/>
    </row>
    <row r="861">
      <c r="E861" s="9"/>
      <c r="F861" s="9"/>
    </row>
    <row r="862">
      <c r="E862" s="9"/>
      <c r="F862" s="9"/>
    </row>
    <row r="863">
      <c r="E863" s="9"/>
      <c r="F863" s="9"/>
    </row>
    <row r="864">
      <c r="E864" s="9"/>
      <c r="F864" s="9"/>
    </row>
    <row r="865">
      <c r="E865" s="9"/>
      <c r="F865" s="9"/>
    </row>
    <row r="866">
      <c r="E866" s="9"/>
      <c r="F866" s="9"/>
    </row>
    <row r="867">
      <c r="E867" s="9"/>
      <c r="F867" s="9"/>
    </row>
    <row r="868">
      <c r="E868" s="9"/>
      <c r="F868" s="9"/>
    </row>
    <row r="869">
      <c r="E869" s="9"/>
      <c r="F869" s="9"/>
    </row>
    <row r="870">
      <c r="E870" s="9"/>
      <c r="F870" s="9"/>
    </row>
    <row r="871">
      <c r="E871" s="9"/>
      <c r="F871" s="9"/>
    </row>
    <row r="872">
      <c r="E872" s="9"/>
      <c r="F872" s="9"/>
    </row>
    <row r="873">
      <c r="E873" s="9"/>
      <c r="F873" s="9"/>
    </row>
    <row r="874">
      <c r="E874" s="9"/>
      <c r="F874" s="9"/>
    </row>
    <row r="875">
      <c r="E875" s="9"/>
      <c r="F875" s="9"/>
    </row>
    <row r="876">
      <c r="E876" s="9"/>
      <c r="F876" s="9"/>
    </row>
    <row r="877">
      <c r="E877" s="9"/>
      <c r="F877" s="9"/>
    </row>
    <row r="878">
      <c r="E878" s="9"/>
      <c r="F878" s="9"/>
    </row>
    <row r="879">
      <c r="E879" s="9"/>
      <c r="F879" s="9"/>
    </row>
    <row r="880">
      <c r="E880" s="9"/>
      <c r="F880" s="9"/>
    </row>
    <row r="881">
      <c r="E881" s="9"/>
      <c r="F881" s="9"/>
    </row>
    <row r="882">
      <c r="E882" s="9"/>
      <c r="F882" s="9"/>
    </row>
    <row r="883">
      <c r="E883" s="9"/>
      <c r="F883" s="9"/>
    </row>
    <row r="884">
      <c r="E884" s="9"/>
      <c r="F884" s="9"/>
    </row>
    <row r="885">
      <c r="E885" s="9"/>
      <c r="F885" s="9"/>
    </row>
    <row r="886">
      <c r="E886" s="9"/>
      <c r="F886" s="9"/>
    </row>
    <row r="887">
      <c r="E887" s="9"/>
      <c r="F887" s="9"/>
    </row>
    <row r="888">
      <c r="E888" s="9"/>
      <c r="F888" s="9"/>
    </row>
    <row r="889">
      <c r="E889" s="9"/>
      <c r="F889" s="9"/>
    </row>
    <row r="890">
      <c r="E890" s="9"/>
      <c r="F890" s="9"/>
    </row>
    <row r="891">
      <c r="E891" s="9"/>
      <c r="F891" s="9"/>
    </row>
    <row r="892">
      <c r="E892" s="9"/>
      <c r="F892" s="9"/>
    </row>
    <row r="893">
      <c r="E893" s="9"/>
      <c r="F893" s="9"/>
    </row>
    <row r="894">
      <c r="E894" s="9"/>
      <c r="F894" s="9"/>
    </row>
    <row r="895">
      <c r="E895" s="9"/>
      <c r="F895" s="9"/>
    </row>
    <row r="896">
      <c r="E896" s="9"/>
      <c r="F896" s="9"/>
    </row>
    <row r="897">
      <c r="E897" s="9"/>
      <c r="F897" s="9"/>
    </row>
    <row r="898">
      <c r="E898" s="9"/>
      <c r="F898" s="9"/>
    </row>
    <row r="899">
      <c r="E899" s="9"/>
      <c r="F899" s="9"/>
    </row>
    <row r="900">
      <c r="E900" s="9"/>
      <c r="F900" s="9"/>
    </row>
    <row r="901">
      <c r="E901" s="9"/>
      <c r="F901" s="9"/>
    </row>
    <row r="902">
      <c r="E902" s="9"/>
      <c r="F902" s="9"/>
    </row>
    <row r="903">
      <c r="E903" s="9"/>
      <c r="F903" s="9"/>
    </row>
    <row r="904">
      <c r="E904" s="9"/>
      <c r="F904" s="9"/>
    </row>
    <row r="905">
      <c r="E905" s="9"/>
      <c r="F905" s="9"/>
    </row>
    <row r="906">
      <c r="E906" s="9"/>
      <c r="F906" s="9"/>
    </row>
    <row r="907">
      <c r="E907" s="9"/>
      <c r="F907" s="9"/>
    </row>
    <row r="908">
      <c r="E908" s="9"/>
      <c r="F908" s="9"/>
    </row>
    <row r="909">
      <c r="E909" s="9"/>
      <c r="F909" s="9"/>
    </row>
    <row r="910">
      <c r="E910" s="9"/>
      <c r="F910" s="9"/>
    </row>
    <row r="911">
      <c r="E911" s="9"/>
      <c r="F911" s="9"/>
    </row>
    <row r="912">
      <c r="E912" s="9"/>
      <c r="F912" s="9"/>
    </row>
    <row r="913">
      <c r="E913" s="9"/>
      <c r="F913" s="9"/>
    </row>
    <row r="914">
      <c r="E914" s="9"/>
      <c r="F914" s="9"/>
    </row>
    <row r="915">
      <c r="E915" s="9"/>
      <c r="F915" s="9"/>
    </row>
    <row r="916">
      <c r="E916" s="9"/>
      <c r="F916" s="9"/>
    </row>
    <row r="917">
      <c r="E917" s="9"/>
      <c r="F917" s="9"/>
    </row>
    <row r="918">
      <c r="E918" s="9"/>
      <c r="F918" s="9"/>
    </row>
    <row r="919">
      <c r="E919" s="9"/>
      <c r="F919" s="9"/>
    </row>
    <row r="920">
      <c r="E920" s="9"/>
      <c r="F920" s="9"/>
    </row>
    <row r="921">
      <c r="E921" s="9"/>
      <c r="F921" s="9"/>
    </row>
    <row r="922">
      <c r="E922" s="9"/>
      <c r="F922" s="9"/>
    </row>
    <row r="923">
      <c r="E923" s="9"/>
      <c r="F923" s="9"/>
    </row>
    <row r="924">
      <c r="E924" s="9"/>
      <c r="F924" s="9"/>
    </row>
    <row r="925">
      <c r="E925" s="9"/>
      <c r="F925" s="9"/>
    </row>
    <row r="926">
      <c r="E926" s="9"/>
      <c r="F926" s="9"/>
    </row>
    <row r="927">
      <c r="E927" s="9"/>
      <c r="F927" s="9"/>
    </row>
    <row r="928">
      <c r="E928" s="9"/>
      <c r="F928" s="9"/>
    </row>
    <row r="929">
      <c r="E929" s="9"/>
      <c r="F929" s="9"/>
    </row>
    <row r="930">
      <c r="E930" s="9"/>
      <c r="F930" s="9"/>
    </row>
    <row r="931">
      <c r="E931" s="9"/>
      <c r="F931" s="9"/>
    </row>
    <row r="932">
      <c r="E932" s="9"/>
      <c r="F932" s="9"/>
    </row>
    <row r="933">
      <c r="E933" s="9"/>
      <c r="F933" s="9"/>
    </row>
    <row r="934">
      <c r="E934" s="9"/>
      <c r="F934" s="9"/>
    </row>
    <row r="935">
      <c r="E935" s="9"/>
      <c r="F935" s="9"/>
    </row>
    <row r="936">
      <c r="E936" s="9"/>
      <c r="F936" s="9"/>
    </row>
    <row r="937">
      <c r="E937" s="9"/>
      <c r="F937" s="9"/>
    </row>
    <row r="938">
      <c r="E938" s="9"/>
      <c r="F938" s="9"/>
    </row>
    <row r="939">
      <c r="E939" s="9"/>
      <c r="F939" s="9"/>
    </row>
    <row r="940">
      <c r="E940" s="9"/>
      <c r="F940" s="9"/>
    </row>
    <row r="941">
      <c r="E941" s="9"/>
      <c r="F941" s="9"/>
    </row>
    <row r="942">
      <c r="E942" s="9"/>
      <c r="F942" s="9"/>
    </row>
    <row r="943">
      <c r="E943" s="9"/>
      <c r="F943" s="9"/>
    </row>
    <row r="944">
      <c r="E944" s="9"/>
      <c r="F944" s="9"/>
    </row>
    <row r="945">
      <c r="E945" s="9"/>
      <c r="F945" s="9"/>
    </row>
    <row r="946">
      <c r="E946" s="9"/>
      <c r="F946" s="9"/>
    </row>
    <row r="947">
      <c r="E947" s="9"/>
      <c r="F947" s="9"/>
    </row>
    <row r="948">
      <c r="E948" s="9"/>
      <c r="F948" s="9"/>
    </row>
    <row r="949">
      <c r="E949" s="9"/>
      <c r="F949" s="9"/>
    </row>
    <row r="950">
      <c r="E950" s="9"/>
      <c r="F950" s="9"/>
    </row>
    <row r="951">
      <c r="E951" s="9"/>
      <c r="F951" s="9"/>
    </row>
    <row r="952">
      <c r="E952" s="9"/>
      <c r="F952" s="9"/>
    </row>
    <row r="953">
      <c r="E953" s="9"/>
      <c r="F953" s="9"/>
    </row>
    <row r="954">
      <c r="E954" s="9"/>
      <c r="F954" s="9"/>
    </row>
    <row r="955">
      <c r="E955" s="9"/>
      <c r="F955" s="9"/>
    </row>
    <row r="956">
      <c r="E956" s="9"/>
      <c r="F956" s="9"/>
    </row>
    <row r="957">
      <c r="E957" s="9"/>
      <c r="F957" s="9"/>
    </row>
    <row r="958">
      <c r="E958" s="9"/>
      <c r="F958" s="9"/>
    </row>
    <row r="959">
      <c r="E959" s="9"/>
      <c r="F959" s="9"/>
    </row>
    <row r="960">
      <c r="E960" s="9"/>
      <c r="F960" s="9"/>
    </row>
    <row r="961">
      <c r="E961" s="9"/>
      <c r="F961" s="9"/>
    </row>
    <row r="962">
      <c r="E962" s="9"/>
      <c r="F962" s="9"/>
    </row>
    <row r="963">
      <c r="E963" s="9"/>
      <c r="F963" s="9"/>
    </row>
    <row r="964">
      <c r="E964" s="9"/>
      <c r="F964" s="9"/>
    </row>
    <row r="965">
      <c r="E965" s="9"/>
      <c r="F965" s="9"/>
    </row>
    <row r="966">
      <c r="E966" s="9"/>
      <c r="F966" s="9"/>
    </row>
    <row r="967">
      <c r="E967" s="9"/>
      <c r="F967" s="9"/>
    </row>
    <row r="968">
      <c r="E968" s="9"/>
      <c r="F968" s="9"/>
    </row>
    <row r="969">
      <c r="E969" s="9"/>
      <c r="F969" s="9"/>
    </row>
    <row r="970">
      <c r="E970" s="9"/>
      <c r="F970" s="9"/>
    </row>
    <row r="971">
      <c r="E971" s="9"/>
      <c r="F971" s="9"/>
    </row>
    <row r="972">
      <c r="E972" s="9"/>
      <c r="F972" s="9"/>
    </row>
    <row r="973">
      <c r="E973" s="9"/>
      <c r="F973" s="9"/>
    </row>
    <row r="974">
      <c r="E974" s="9"/>
      <c r="F974" s="9"/>
    </row>
    <row r="975">
      <c r="E975" s="9"/>
      <c r="F975" s="9"/>
    </row>
    <row r="976">
      <c r="E976" s="9"/>
      <c r="F976" s="9"/>
    </row>
    <row r="977">
      <c r="E977" s="9"/>
      <c r="F977" s="9"/>
    </row>
    <row r="978">
      <c r="E978" s="9"/>
      <c r="F978" s="9"/>
    </row>
    <row r="979">
      <c r="E979" s="9"/>
      <c r="F979" s="9"/>
    </row>
    <row r="980">
      <c r="E980" s="9"/>
      <c r="F980" s="9"/>
    </row>
    <row r="981">
      <c r="E981" s="9"/>
      <c r="F981" s="9"/>
    </row>
    <row r="982">
      <c r="E982" s="9"/>
      <c r="F982" s="9"/>
    </row>
    <row r="983">
      <c r="E983" s="9"/>
      <c r="F983" s="9"/>
    </row>
    <row r="984">
      <c r="E984" s="9"/>
      <c r="F984" s="9"/>
    </row>
    <row r="985">
      <c r="E985" s="9"/>
      <c r="F985" s="9"/>
    </row>
    <row r="986">
      <c r="E986" s="9"/>
      <c r="F986" s="9"/>
    </row>
    <row r="987">
      <c r="E987" s="9"/>
      <c r="F987" s="9"/>
    </row>
    <row r="988">
      <c r="E988" s="9"/>
      <c r="F988" s="9"/>
    </row>
    <row r="989">
      <c r="E989" s="9"/>
      <c r="F989" s="9"/>
    </row>
    <row r="990">
      <c r="E990" s="9"/>
      <c r="F990" s="9"/>
    </row>
    <row r="991">
      <c r="E991" s="9"/>
      <c r="F991" s="9"/>
    </row>
    <row r="992">
      <c r="E992" s="9"/>
      <c r="F992" s="9"/>
    </row>
    <row r="993">
      <c r="E993" s="9"/>
      <c r="F993" s="9"/>
    </row>
    <row r="994">
      <c r="E994" s="9"/>
      <c r="F994" s="9"/>
    </row>
    <row r="995">
      <c r="E995" s="9"/>
      <c r="F995" s="9"/>
    </row>
    <row r="996">
      <c r="E996" s="9"/>
      <c r="F996" s="9"/>
    </row>
    <row r="997">
      <c r="E997" s="9"/>
      <c r="F997" s="9"/>
    </row>
    <row r="998">
      <c r="E998" s="9"/>
      <c r="F998" s="9"/>
    </row>
    <row r="999">
      <c r="E999" s="9"/>
      <c r="F999" s="9"/>
    </row>
    <row r="1000">
      <c r="E1000" s="9"/>
      <c r="F1000" s="9"/>
    </row>
    <row r="1001">
      <c r="E1001" s="9"/>
      <c r="F1001" s="9"/>
    </row>
    <row r="1002">
      <c r="E1002" s="9"/>
      <c r="F1002" s="9"/>
    </row>
    <row r="1003">
      <c r="E1003" s="9"/>
      <c r="F1003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  <col customWidth="1" min="6" max="6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18" t="s">
        <v>5</v>
      </c>
      <c r="G1" s="4" t="s">
        <v>6</v>
      </c>
      <c r="J1" s="4" t="s">
        <v>7</v>
      </c>
      <c r="K1" s="4" t="s">
        <v>8</v>
      </c>
      <c r="L1" s="4" t="s">
        <v>8</v>
      </c>
      <c r="M1" s="5" t="s">
        <v>9</v>
      </c>
      <c r="O1" s="4" t="s">
        <v>10</v>
      </c>
    </row>
    <row r="2" ht="14.25" customHeight="1">
      <c r="A2" s="6" t="s">
        <v>18</v>
      </c>
      <c r="B2" s="24">
        <v>1.0</v>
      </c>
      <c r="C2" s="24">
        <v>2.0</v>
      </c>
      <c r="D2" s="24">
        <v>3.0</v>
      </c>
      <c r="E2" s="8">
        <f t="shared" ref="E2:E9" si="1">AVERAGE(B2:D2)</f>
        <v>2</v>
      </c>
      <c r="F2" s="8">
        <f t="shared" ref="F2:F9" si="2">E2*4</f>
        <v>8</v>
      </c>
      <c r="G2" s="9">
        <f>SUM(F2:F9)</f>
        <v>385.3333333</v>
      </c>
      <c r="J2" s="10" t="s">
        <v>31</v>
      </c>
      <c r="K2" s="10" t="s">
        <v>13</v>
      </c>
      <c r="L2" s="10" t="s">
        <v>38</v>
      </c>
      <c r="M2" s="6" t="s">
        <v>17</v>
      </c>
      <c r="O2" s="25" t="s">
        <v>51</v>
      </c>
    </row>
    <row r="3">
      <c r="A3" s="26" t="s">
        <v>42</v>
      </c>
      <c r="B3" s="24">
        <v>0.0</v>
      </c>
      <c r="C3" s="24">
        <v>2.0</v>
      </c>
      <c r="D3" s="24">
        <v>1.0</v>
      </c>
      <c r="E3" s="8">
        <f t="shared" si="1"/>
        <v>1</v>
      </c>
      <c r="F3" s="8">
        <f t="shared" si="2"/>
        <v>4</v>
      </c>
      <c r="M3" s="6" t="s">
        <v>25</v>
      </c>
      <c r="O3" s="25" t="s">
        <v>47</v>
      </c>
    </row>
    <row r="4">
      <c r="A4" s="6" t="s">
        <v>16</v>
      </c>
      <c r="B4" s="24">
        <v>0.0</v>
      </c>
      <c r="C4" s="24">
        <v>1.0</v>
      </c>
      <c r="D4" s="24">
        <v>0.0</v>
      </c>
      <c r="E4" s="8">
        <f t="shared" si="1"/>
        <v>0.3333333333</v>
      </c>
      <c r="F4" s="8">
        <f t="shared" si="2"/>
        <v>1.333333333</v>
      </c>
      <c r="M4" s="6" t="s">
        <v>18</v>
      </c>
      <c r="O4" s="25" t="s">
        <v>37</v>
      </c>
    </row>
    <row r="5">
      <c r="A5" s="6" t="s">
        <v>17</v>
      </c>
      <c r="B5" s="24">
        <v>2.0</v>
      </c>
      <c r="C5" s="24">
        <v>5.0</v>
      </c>
      <c r="D5" s="24">
        <v>8.0</v>
      </c>
      <c r="E5" s="8">
        <f t="shared" si="1"/>
        <v>5</v>
      </c>
      <c r="F5" s="8">
        <f t="shared" si="2"/>
        <v>20</v>
      </c>
      <c r="M5" s="13" t="s">
        <v>20</v>
      </c>
    </row>
    <row r="6">
      <c r="A6" s="26" t="s">
        <v>50</v>
      </c>
      <c r="B6" s="24">
        <v>2.0</v>
      </c>
      <c r="C6" s="24">
        <v>2.0</v>
      </c>
      <c r="D6" s="24">
        <v>4.0</v>
      </c>
      <c r="E6" s="8">
        <f t="shared" si="1"/>
        <v>2.666666667</v>
      </c>
      <c r="F6" s="8">
        <f t="shared" si="2"/>
        <v>10.66666667</v>
      </c>
      <c r="M6" s="6" t="s">
        <v>16</v>
      </c>
    </row>
    <row r="7">
      <c r="A7" s="6" t="s">
        <v>19</v>
      </c>
      <c r="B7" s="24">
        <v>20.0</v>
      </c>
      <c r="C7" s="24">
        <v>26.0</v>
      </c>
      <c r="D7" s="24">
        <v>29.0</v>
      </c>
      <c r="E7" s="8">
        <f t="shared" si="1"/>
        <v>25</v>
      </c>
      <c r="F7" s="8">
        <f t="shared" si="2"/>
        <v>100</v>
      </c>
      <c r="M7" s="13" t="s">
        <v>22</v>
      </c>
    </row>
    <row r="8">
      <c r="A8" s="26" t="s">
        <v>21</v>
      </c>
      <c r="B8" s="24">
        <v>23.0</v>
      </c>
      <c r="C8" s="24">
        <v>24.0</v>
      </c>
      <c r="D8" s="24">
        <v>24.0</v>
      </c>
      <c r="E8" s="8">
        <f t="shared" si="1"/>
        <v>23.66666667</v>
      </c>
      <c r="F8" s="8">
        <f t="shared" si="2"/>
        <v>94.66666667</v>
      </c>
      <c r="M8" s="13" t="s">
        <v>42</v>
      </c>
    </row>
    <row r="9">
      <c r="A9" s="26" t="s">
        <v>20</v>
      </c>
      <c r="B9" s="24">
        <v>28.0</v>
      </c>
      <c r="C9" s="24">
        <v>53.0</v>
      </c>
      <c r="D9" s="24">
        <v>29.0</v>
      </c>
      <c r="E9" s="8">
        <f t="shared" si="1"/>
        <v>36.66666667</v>
      </c>
      <c r="F9" s="8">
        <f t="shared" si="2"/>
        <v>146.6666667</v>
      </c>
      <c r="M9" s="6" t="s">
        <v>19</v>
      </c>
    </row>
    <row r="10">
      <c r="A10" s="4"/>
      <c r="M10" s="14" t="s">
        <v>11</v>
      </c>
    </row>
    <row r="11">
      <c r="M11" s="13" t="s">
        <v>50</v>
      </c>
    </row>
    <row r="12">
      <c r="M12" s="13" t="s">
        <v>26</v>
      </c>
    </row>
    <row r="13">
      <c r="M13" s="14" t="s">
        <v>22</v>
      </c>
    </row>
    <row r="14">
      <c r="M14" s="13"/>
    </row>
    <row r="15">
      <c r="M15" s="25"/>
    </row>
    <row r="16">
      <c r="M16" s="25"/>
    </row>
    <row r="17">
      <c r="M17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6" max="6" width="1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18" t="s">
        <v>5</v>
      </c>
      <c r="G1" s="4" t="s">
        <v>6</v>
      </c>
      <c r="K1" s="4" t="s">
        <v>7</v>
      </c>
      <c r="L1" s="4" t="s">
        <v>8</v>
      </c>
      <c r="M1" s="5" t="s">
        <v>9</v>
      </c>
      <c r="O1" s="4" t="s">
        <v>10</v>
      </c>
    </row>
    <row r="2">
      <c r="A2" s="6" t="s">
        <v>17</v>
      </c>
      <c r="B2" s="20">
        <v>1.0</v>
      </c>
      <c r="C2" s="20">
        <v>4.0</v>
      </c>
      <c r="D2" s="20">
        <v>2.0</v>
      </c>
      <c r="E2" s="8">
        <f t="shared" ref="E2:E13" si="1">AVERAGE(B2:D2)</f>
        <v>2.333333333</v>
      </c>
      <c r="F2" s="8">
        <f t="shared" ref="F2:F13" si="2">E2*4</f>
        <v>9.333333333</v>
      </c>
      <c r="G2" s="9">
        <f>SUM(F2:F13)</f>
        <v>214.6666667</v>
      </c>
      <c r="K2" s="10" t="s">
        <v>31</v>
      </c>
      <c r="L2" s="10" t="s">
        <v>38</v>
      </c>
      <c r="M2" s="6" t="s">
        <v>17</v>
      </c>
      <c r="O2" s="10" t="s">
        <v>33</v>
      </c>
    </row>
    <row r="3">
      <c r="A3" s="14" t="s">
        <v>52</v>
      </c>
      <c r="B3" s="20">
        <v>0.0</v>
      </c>
      <c r="C3" s="20">
        <v>1.0</v>
      </c>
      <c r="D3" s="20">
        <v>1.0</v>
      </c>
      <c r="E3" s="8">
        <f t="shared" si="1"/>
        <v>0.6666666667</v>
      </c>
      <c r="F3" s="8">
        <f t="shared" si="2"/>
        <v>2.666666667</v>
      </c>
      <c r="M3" s="14" t="s">
        <v>52</v>
      </c>
    </row>
    <row r="4">
      <c r="A4" s="13" t="s">
        <v>50</v>
      </c>
      <c r="B4" s="20">
        <v>3.0</v>
      </c>
      <c r="C4" s="20">
        <v>6.0</v>
      </c>
      <c r="D4" s="20">
        <v>2.0</v>
      </c>
      <c r="E4" s="8">
        <f t="shared" si="1"/>
        <v>3.666666667</v>
      </c>
      <c r="F4" s="8">
        <f t="shared" si="2"/>
        <v>14.66666667</v>
      </c>
      <c r="M4" s="6" t="s">
        <v>25</v>
      </c>
    </row>
    <row r="5">
      <c r="A5" s="13" t="s">
        <v>30</v>
      </c>
      <c r="B5" s="20">
        <v>4.0</v>
      </c>
      <c r="C5" s="20">
        <v>5.0</v>
      </c>
      <c r="D5" s="20">
        <v>0.0</v>
      </c>
      <c r="E5" s="8">
        <f t="shared" si="1"/>
        <v>3</v>
      </c>
      <c r="F5" s="8">
        <f t="shared" si="2"/>
        <v>12</v>
      </c>
      <c r="M5" s="6" t="s">
        <v>18</v>
      </c>
    </row>
    <row r="6">
      <c r="A6" s="6" t="s">
        <v>25</v>
      </c>
      <c r="B6" s="20">
        <v>1.0</v>
      </c>
      <c r="C6" s="20">
        <v>4.0</v>
      </c>
      <c r="D6" s="20">
        <v>0.0</v>
      </c>
      <c r="E6" s="8">
        <f t="shared" si="1"/>
        <v>1.666666667</v>
      </c>
      <c r="F6" s="8">
        <f t="shared" si="2"/>
        <v>6.666666667</v>
      </c>
      <c r="M6" s="13" t="s">
        <v>20</v>
      </c>
    </row>
    <row r="7">
      <c r="A7" s="14" t="s">
        <v>11</v>
      </c>
      <c r="B7" s="20">
        <v>4.0</v>
      </c>
      <c r="C7" s="20">
        <v>14.0</v>
      </c>
      <c r="D7" s="20">
        <v>0.0</v>
      </c>
      <c r="E7" s="8">
        <f t="shared" si="1"/>
        <v>6</v>
      </c>
      <c r="F7" s="8">
        <f t="shared" si="2"/>
        <v>24</v>
      </c>
      <c r="M7" s="6" t="s">
        <v>16</v>
      </c>
    </row>
    <row r="8">
      <c r="A8" s="6" t="s">
        <v>16</v>
      </c>
      <c r="B8" s="20">
        <v>0.0</v>
      </c>
      <c r="C8" s="20">
        <v>2.0</v>
      </c>
      <c r="D8" s="20">
        <v>0.0</v>
      </c>
      <c r="E8" s="8">
        <f t="shared" si="1"/>
        <v>0.6666666667</v>
      </c>
      <c r="F8" s="8">
        <f t="shared" si="2"/>
        <v>2.666666667</v>
      </c>
      <c r="M8" s="13" t="s">
        <v>22</v>
      </c>
    </row>
    <row r="9">
      <c r="A9" s="13" t="s">
        <v>15</v>
      </c>
      <c r="B9" s="20">
        <v>0.0</v>
      </c>
      <c r="C9" s="20">
        <v>4.0</v>
      </c>
      <c r="D9" s="20">
        <v>0.0</v>
      </c>
      <c r="E9" s="8">
        <f t="shared" si="1"/>
        <v>1.333333333</v>
      </c>
      <c r="F9" s="8">
        <f t="shared" si="2"/>
        <v>5.333333333</v>
      </c>
      <c r="M9" s="13" t="s">
        <v>15</v>
      </c>
    </row>
    <row r="10">
      <c r="A10" s="6" t="s">
        <v>18</v>
      </c>
      <c r="B10" s="20">
        <v>0.0</v>
      </c>
      <c r="C10" s="20">
        <v>7.0</v>
      </c>
      <c r="D10" s="20">
        <v>3.0</v>
      </c>
      <c r="E10" s="8">
        <f t="shared" si="1"/>
        <v>3.333333333</v>
      </c>
      <c r="F10" s="8">
        <f t="shared" si="2"/>
        <v>13.33333333</v>
      </c>
      <c r="M10" s="6" t="s">
        <v>19</v>
      </c>
    </row>
    <row r="11">
      <c r="A11" s="6" t="s">
        <v>19</v>
      </c>
      <c r="B11" s="20">
        <v>5.0</v>
      </c>
      <c r="C11" s="20">
        <v>14.0</v>
      </c>
      <c r="D11" s="20">
        <v>0.0</v>
      </c>
      <c r="E11" s="8">
        <f t="shared" si="1"/>
        <v>6.333333333</v>
      </c>
      <c r="F11" s="8">
        <f t="shared" si="2"/>
        <v>25.33333333</v>
      </c>
      <c r="M11" s="14" t="s">
        <v>11</v>
      </c>
    </row>
    <row r="12">
      <c r="A12" s="13" t="s">
        <v>20</v>
      </c>
      <c r="B12" s="20">
        <v>5.0</v>
      </c>
      <c r="C12" s="20">
        <v>16.0</v>
      </c>
      <c r="D12" s="20">
        <v>7.0</v>
      </c>
      <c r="E12" s="8">
        <f t="shared" si="1"/>
        <v>9.333333333</v>
      </c>
      <c r="F12" s="8">
        <f t="shared" si="2"/>
        <v>37.33333333</v>
      </c>
      <c r="M12" s="13" t="s">
        <v>30</v>
      </c>
    </row>
    <row r="13">
      <c r="A13" s="13" t="s">
        <v>21</v>
      </c>
      <c r="B13" s="20">
        <v>7.0</v>
      </c>
      <c r="C13" s="20">
        <v>34.0</v>
      </c>
      <c r="D13" s="20">
        <v>5.0</v>
      </c>
      <c r="E13" s="8">
        <f t="shared" si="1"/>
        <v>15.33333333</v>
      </c>
      <c r="F13" s="8">
        <f t="shared" si="2"/>
        <v>61.33333333</v>
      </c>
      <c r="M13" s="13" t="s">
        <v>50</v>
      </c>
    </row>
    <row r="14">
      <c r="A14" s="4"/>
      <c r="M14" s="14" t="s">
        <v>26</v>
      </c>
    </row>
    <row r="15">
      <c r="M15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  <col customWidth="1" min="6" max="6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18" t="s">
        <v>5</v>
      </c>
      <c r="G1" s="4" t="s">
        <v>6</v>
      </c>
      <c r="K1" s="4" t="s">
        <v>7</v>
      </c>
      <c r="L1" s="4" t="s">
        <v>8</v>
      </c>
      <c r="M1" s="5" t="s">
        <v>9</v>
      </c>
      <c r="O1" s="4" t="s">
        <v>10</v>
      </c>
    </row>
    <row r="2">
      <c r="A2" s="6" t="s">
        <v>16</v>
      </c>
      <c r="B2" s="10">
        <v>1.0</v>
      </c>
      <c r="C2" s="10">
        <v>0.0</v>
      </c>
      <c r="D2" s="10">
        <v>3.0</v>
      </c>
      <c r="E2" s="9">
        <f t="shared" ref="E2:E11" si="1">AVERAGE(B2:D2)</f>
        <v>1.333333333</v>
      </c>
      <c r="F2" s="9">
        <f t="shared" ref="F2:F11" si="2">E2*4</f>
        <v>5.333333333</v>
      </c>
      <c r="G2" s="9">
        <f>SUM(F2:F11)</f>
        <v>48</v>
      </c>
      <c r="L2" s="10" t="s">
        <v>28</v>
      </c>
      <c r="M2" s="6" t="s">
        <v>11</v>
      </c>
      <c r="O2" s="10" t="s">
        <v>53</v>
      </c>
    </row>
    <row r="3">
      <c r="A3" s="6" t="s">
        <v>17</v>
      </c>
      <c r="B3" s="10">
        <v>0.0</v>
      </c>
      <c r="C3" s="10">
        <v>1.0</v>
      </c>
      <c r="D3" s="10">
        <v>3.0</v>
      </c>
      <c r="E3" s="9">
        <f t="shared" si="1"/>
        <v>1.333333333</v>
      </c>
      <c r="F3" s="9">
        <f t="shared" si="2"/>
        <v>5.333333333</v>
      </c>
      <c r="M3" s="6" t="s">
        <v>25</v>
      </c>
      <c r="O3" s="11" t="s">
        <v>54</v>
      </c>
    </row>
    <row r="4">
      <c r="A4" s="6" t="s">
        <v>18</v>
      </c>
      <c r="B4" s="10">
        <v>1.0</v>
      </c>
      <c r="C4" s="10">
        <v>0.0</v>
      </c>
      <c r="D4" s="10">
        <v>1.0</v>
      </c>
      <c r="E4" s="9">
        <f t="shared" si="1"/>
        <v>0.6666666667</v>
      </c>
      <c r="F4" s="9">
        <f t="shared" si="2"/>
        <v>2.666666667</v>
      </c>
      <c r="M4" s="6" t="s">
        <v>16</v>
      </c>
    </row>
    <row r="5">
      <c r="A5" s="6" t="s">
        <v>19</v>
      </c>
      <c r="B5" s="10">
        <v>1.0</v>
      </c>
      <c r="C5" s="10">
        <v>0.0</v>
      </c>
      <c r="D5" s="10">
        <v>1.0</v>
      </c>
      <c r="E5" s="9">
        <f t="shared" si="1"/>
        <v>0.6666666667</v>
      </c>
      <c r="F5" s="9">
        <f t="shared" si="2"/>
        <v>2.666666667</v>
      </c>
      <c r="M5" s="6" t="s">
        <v>15</v>
      </c>
    </row>
    <row r="6">
      <c r="A6" s="6" t="s">
        <v>20</v>
      </c>
      <c r="B6" s="10">
        <v>2.0</v>
      </c>
      <c r="C6" s="10">
        <v>3.0</v>
      </c>
      <c r="D6" s="10">
        <v>1.0</v>
      </c>
      <c r="E6" s="9">
        <f t="shared" si="1"/>
        <v>2</v>
      </c>
      <c r="F6" s="9">
        <f t="shared" si="2"/>
        <v>8</v>
      </c>
      <c r="M6" s="6" t="s">
        <v>18</v>
      </c>
    </row>
    <row r="7">
      <c r="A7" s="6" t="s">
        <v>21</v>
      </c>
      <c r="B7" s="10">
        <v>3.0</v>
      </c>
      <c r="C7" s="10">
        <v>1.0</v>
      </c>
      <c r="D7" s="10">
        <v>8.0</v>
      </c>
      <c r="E7" s="9">
        <f t="shared" si="1"/>
        <v>4</v>
      </c>
      <c r="F7" s="9">
        <f t="shared" si="2"/>
        <v>16</v>
      </c>
      <c r="M7" s="6" t="s">
        <v>17</v>
      </c>
    </row>
    <row r="8">
      <c r="A8" s="6" t="s">
        <v>11</v>
      </c>
      <c r="B8" s="10">
        <v>0.0</v>
      </c>
      <c r="C8" s="10">
        <v>0.0</v>
      </c>
      <c r="D8" s="10">
        <v>1.0</v>
      </c>
      <c r="E8" s="9">
        <f t="shared" si="1"/>
        <v>0.3333333333</v>
      </c>
      <c r="F8" s="9">
        <f t="shared" si="2"/>
        <v>1.333333333</v>
      </c>
      <c r="M8" s="6" t="s">
        <v>19</v>
      </c>
    </row>
    <row r="9">
      <c r="A9" s="6" t="s">
        <v>25</v>
      </c>
      <c r="B9" s="10">
        <v>1.0</v>
      </c>
      <c r="C9" s="10">
        <v>0.0</v>
      </c>
      <c r="D9" s="10">
        <v>0.0</v>
      </c>
      <c r="E9" s="9">
        <f t="shared" si="1"/>
        <v>0.3333333333</v>
      </c>
      <c r="F9" s="9">
        <f t="shared" si="2"/>
        <v>1.333333333</v>
      </c>
      <c r="M9" s="6" t="s">
        <v>20</v>
      </c>
    </row>
    <row r="10">
      <c r="A10" s="16" t="s">
        <v>30</v>
      </c>
      <c r="B10" s="10">
        <v>1.0</v>
      </c>
      <c r="C10" s="10">
        <v>0.0</v>
      </c>
      <c r="D10" s="10">
        <v>1.0</v>
      </c>
      <c r="E10" s="9">
        <f t="shared" si="1"/>
        <v>0.6666666667</v>
      </c>
      <c r="F10" s="9">
        <f t="shared" si="2"/>
        <v>2.666666667</v>
      </c>
      <c r="M10" s="13" t="s">
        <v>22</v>
      </c>
    </row>
    <row r="11">
      <c r="A11" s="16" t="s">
        <v>30</v>
      </c>
      <c r="B11" s="10">
        <v>1.0</v>
      </c>
      <c r="C11" s="10">
        <v>0.0</v>
      </c>
      <c r="D11" s="10">
        <v>1.0</v>
      </c>
      <c r="E11" s="9">
        <f t="shared" si="1"/>
        <v>0.6666666667</v>
      </c>
      <c r="F11" s="9">
        <f t="shared" si="2"/>
        <v>2.666666667</v>
      </c>
      <c r="M11" s="13" t="s">
        <v>23</v>
      </c>
    </row>
    <row r="12">
      <c r="A12" s="13"/>
      <c r="M12" s="13" t="s">
        <v>26</v>
      </c>
    </row>
    <row r="13">
      <c r="M13" s="16" t="s">
        <v>30</v>
      </c>
    </row>
    <row r="14">
      <c r="M14" s="13"/>
    </row>
    <row r="15">
      <c r="M15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  <col customWidth="1" min="6" max="6" width="18.43"/>
    <col customWidth="1" min="12" max="12" width="16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I1" s="4" t="s">
        <v>7</v>
      </c>
      <c r="L1" s="4" t="s">
        <v>8</v>
      </c>
      <c r="M1" s="5" t="s">
        <v>9</v>
      </c>
      <c r="O1" s="4" t="s">
        <v>10</v>
      </c>
    </row>
    <row r="2">
      <c r="A2" s="6" t="s">
        <v>25</v>
      </c>
      <c r="B2" s="20">
        <v>1.0</v>
      </c>
      <c r="C2" s="20">
        <v>0.0</v>
      </c>
      <c r="D2" s="20">
        <v>1.0</v>
      </c>
      <c r="E2" s="8">
        <f t="shared" ref="E2:E6" si="1">AVERAGE(B2:D2)</f>
        <v>0.6666666667</v>
      </c>
      <c r="F2" s="8">
        <f t="shared" ref="F2:F6" si="2">E2*4</f>
        <v>2.666666667</v>
      </c>
      <c r="G2" s="9">
        <f>SUM(F2:F8)</f>
        <v>16</v>
      </c>
      <c r="I2" s="10"/>
      <c r="L2" s="19" t="s">
        <v>55</v>
      </c>
      <c r="M2" s="13" t="s">
        <v>18</v>
      </c>
      <c r="O2" s="11" t="s">
        <v>56</v>
      </c>
    </row>
    <row r="3">
      <c r="A3" s="13" t="s">
        <v>35</v>
      </c>
      <c r="B3" s="20">
        <v>1.0</v>
      </c>
      <c r="C3" s="20">
        <v>0.0</v>
      </c>
      <c r="D3" s="20">
        <v>1.0</v>
      </c>
      <c r="E3" s="8">
        <f t="shared" si="1"/>
        <v>0.6666666667</v>
      </c>
      <c r="F3" s="8">
        <f t="shared" si="2"/>
        <v>2.666666667</v>
      </c>
      <c r="M3" s="6" t="s">
        <v>25</v>
      </c>
      <c r="O3" s="10" t="s">
        <v>57</v>
      </c>
    </row>
    <row r="4">
      <c r="A4" s="13" t="s">
        <v>17</v>
      </c>
      <c r="B4" s="20">
        <v>0.0</v>
      </c>
      <c r="C4" s="20">
        <v>0.0</v>
      </c>
      <c r="D4" s="20">
        <v>1.0</v>
      </c>
      <c r="E4" s="8">
        <f t="shared" si="1"/>
        <v>0.3333333333</v>
      </c>
      <c r="F4" s="8">
        <f t="shared" si="2"/>
        <v>1.333333333</v>
      </c>
      <c r="M4" s="13" t="s">
        <v>17</v>
      </c>
      <c r="O4" s="10" t="s">
        <v>58</v>
      </c>
    </row>
    <row r="5">
      <c r="A5" s="13" t="s">
        <v>21</v>
      </c>
      <c r="B5" s="20">
        <v>1.0</v>
      </c>
      <c r="C5" s="20">
        <v>1.0</v>
      </c>
      <c r="D5" s="20">
        <v>4.0</v>
      </c>
      <c r="E5" s="8">
        <f t="shared" si="1"/>
        <v>2</v>
      </c>
      <c r="F5" s="8">
        <f t="shared" si="2"/>
        <v>8</v>
      </c>
      <c r="M5" s="23" t="s">
        <v>35</v>
      </c>
    </row>
    <row r="6">
      <c r="A6" s="13" t="s">
        <v>47</v>
      </c>
      <c r="B6" s="20">
        <v>0.0</v>
      </c>
      <c r="C6" s="20">
        <v>1.0</v>
      </c>
      <c r="D6" s="20">
        <v>0.0</v>
      </c>
      <c r="E6" s="8">
        <f t="shared" si="1"/>
        <v>0.3333333333</v>
      </c>
      <c r="F6" s="8">
        <f t="shared" si="2"/>
        <v>1.333333333</v>
      </c>
      <c r="M6" s="23" t="s">
        <v>22</v>
      </c>
    </row>
    <row r="7">
      <c r="A7" s="13"/>
      <c r="B7" s="20"/>
      <c r="C7" s="20"/>
      <c r="D7" s="20"/>
      <c r="E7" s="8"/>
      <c r="F7" s="8"/>
      <c r="M7" s="13" t="s">
        <v>47</v>
      </c>
    </row>
    <row r="8">
      <c r="A8" s="13"/>
      <c r="B8" s="20"/>
      <c r="C8" s="20"/>
      <c r="D8" s="20"/>
      <c r="E8" s="8"/>
      <c r="F8" s="8"/>
      <c r="M8" s="14" t="s">
        <v>11</v>
      </c>
    </row>
    <row r="9">
      <c r="M9" s="6" t="s">
        <v>16</v>
      </c>
    </row>
    <row r="10">
      <c r="M10" s="6"/>
    </row>
    <row r="11">
      <c r="M11" s="13"/>
    </row>
    <row r="13">
      <c r="M13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6" max="6" width="19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I1" s="4" t="s">
        <v>7</v>
      </c>
      <c r="L1" s="4" t="s">
        <v>8</v>
      </c>
      <c r="M1" s="5" t="s">
        <v>9</v>
      </c>
      <c r="O1" s="4" t="s">
        <v>10</v>
      </c>
    </row>
    <row r="2">
      <c r="A2" s="13" t="s">
        <v>20</v>
      </c>
      <c r="B2" s="20">
        <v>1.0</v>
      </c>
      <c r="C2" s="20">
        <v>0.0</v>
      </c>
      <c r="D2" s="20">
        <v>2.0</v>
      </c>
      <c r="E2" s="27">
        <f t="shared" ref="E2:E9" si="1">AVERAGE(B2:D2)</f>
        <v>1</v>
      </c>
      <c r="F2" s="8">
        <f t="shared" ref="F2:F9" si="2">E2*4</f>
        <v>4</v>
      </c>
      <c r="G2" s="9">
        <f>SUM(F2:F9)</f>
        <v>32</v>
      </c>
      <c r="L2" s="19" t="s">
        <v>55</v>
      </c>
      <c r="M2" s="13" t="s">
        <v>20</v>
      </c>
      <c r="O2" s="10" t="s">
        <v>59</v>
      </c>
    </row>
    <row r="3">
      <c r="A3" s="6" t="s">
        <v>19</v>
      </c>
      <c r="B3" s="20">
        <v>0.0</v>
      </c>
      <c r="C3" s="20">
        <v>0.0</v>
      </c>
      <c r="D3" s="20">
        <v>2.0</v>
      </c>
      <c r="E3" s="27">
        <f t="shared" si="1"/>
        <v>0.6666666667</v>
      </c>
      <c r="F3" s="8">
        <f t="shared" si="2"/>
        <v>2.666666667</v>
      </c>
      <c r="M3" s="6" t="s">
        <v>19</v>
      </c>
    </row>
    <row r="4">
      <c r="A4" s="13" t="s">
        <v>17</v>
      </c>
      <c r="B4" s="20">
        <v>1.0</v>
      </c>
      <c r="C4" s="20">
        <v>0.0</v>
      </c>
      <c r="D4" s="20">
        <v>4.0</v>
      </c>
      <c r="E4" s="27">
        <f t="shared" si="1"/>
        <v>1.666666667</v>
      </c>
      <c r="F4" s="8">
        <f t="shared" si="2"/>
        <v>6.666666667</v>
      </c>
      <c r="M4" s="13" t="s">
        <v>17</v>
      </c>
    </row>
    <row r="5">
      <c r="A5" s="13" t="s">
        <v>35</v>
      </c>
      <c r="B5" s="20">
        <v>0.0</v>
      </c>
      <c r="C5" s="20">
        <v>2.0</v>
      </c>
      <c r="D5" s="20">
        <v>0.0</v>
      </c>
      <c r="E5" s="27">
        <f t="shared" si="1"/>
        <v>0.6666666667</v>
      </c>
      <c r="F5" s="8">
        <f t="shared" si="2"/>
        <v>2.666666667</v>
      </c>
      <c r="M5" s="13" t="s">
        <v>35</v>
      </c>
    </row>
    <row r="6">
      <c r="A6" s="13" t="s">
        <v>15</v>
      </c>
      <c r="B6" s="20">
        <v>1.0</v>
      </c>
      <c r="C6" s="20">
        <v>0.0</v>
      </c>
      <c r="D6" s="20">
        <v>0.0</v>
      </c>
      <c r="E6" s="27">
        <f t="shared" si="1"/>
        <v>0.3333333333</v>
      </c>
      <c r="F6" s="8">
        <f t="shared" si="2"/>
        <v>1.333333333</v>
      </c>
      <c r="M6" s="13" t="s">
        <v>15</v>
      </c>
    </row>
    <row r="7">
      <c r="A7" s="13" t="s">
        <v>47</v>
      </c>
      <c r="B7" s="20">
        <v>1.0</v>
      </c>
      <c r="C7" s="20">
        <v>0.0</v>
      </c>
      <c r="D7" s="20">
        <v>1.0</v>
      </c>
      <c r="E7" s="27">
        <f t="shared" si="1"/>
        <v>0.6666666667</v>
      </c>
      <c r="F7" s="8">
        <f t="shared" si="2"/>
        <v>2.666666667</v>
      </c>
      <c r="M7" s="13" t="s">
        <v>47</v>
      </c>
    </row>
    <row r="8">
      <c r="A8" s="13" t="s">
        <v>21</v>
      </c>
      <c r="B8" s="20">
        <v>1.0</v>
      </c>
      <c r="C8" s="20">
        <v>3.0</v>
      </c>
      <c r="D8" s="20">
        <v>4.0</v>
      </c>
      <c r="E8" s="27">
        <f t="shared" si="1"/>
        <v>2.666666667</v>
      </c>
      <c r="F8" s="8">
        <f t="shared" si="2"/>
        <v>10.66666667</v>
      </c>
      <c r="M8" s="23" t="s">
        <v>22</v>
      </c>
    </row>
    <row r="9">
      <c r="A9" s="13" t="s">
        <v>18</v>
      </c>
      <c r="B9" s="20">
        <v>0.0</v>
      </c>
      <c r="C9" s="20">
        <v>0.0</v>
      </c>
      <c r="D9" s="20">
        <v>1.0</v>
      </c>
      <c r="E9" s="27">
        <f t="shared" si="1"/>
        <v>0.3333333333</v>
      </c>
      <c r="F9" s="8">
        <f t="shared" si="2"/>
        <v>1.333333333</v>
      </c>
      <c r="M9" s="13" t="s">
        <v>18</v>
      </c>
    </row>
    <row r="10">
      <c r="M10" s="6" t="s">
        <v>25</v>
      </c>
    </row>
    <row r="11">
      <c r="M11" s="13" t="s">
        <v>60</v>
      </c>
    </row>
    <row r="12">
      <c r="M12" s="13" t="s">
        <v>61</v>
      </c>
    </row>
    <row r="13">
      <c r="M13" s="13" t="s">
        <v>27</v>
      </c>
    </row>
    <row r="14">
      <c r="M14" s="13" t="s">
        <v>36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29"/>
    <col customWidth="1" min="6" max="6" width="18.86"/>
    <col customWidth="1" min="12" max="12" width="16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I1" s="4" t="s">
        <v>7</v>
      </c>
      <c r="L1" s="4" t="s">
        <v>8</v>
      </c>
      <c r="M1" s="5" t="s">
        <v>9</v>
      </c>
      <c r="O1" s="4" t="s">
        <v>10</v>
      </c>
    </row>
    <row r="2">
      <c r="A2" s="13" t="s">
        <v>20</v>
      </c>
      <c r="B2" s="10">
        <v>1.0</v>
      </c>
      <c r="C2" s="10">
        <v>0.0</v>
      </c>
      <c r="D2" s="10">
        <v>1.0</v>
      </c>
      <c r="E2" s="9">
        <f t="shared" ref="E2:E8" si="1">AVERAGE(B2:D2)</f>
        <v>0.6666666667</v>
      </c>
      <c r="F2" s="9">
        <f t="shared" ref="F2:F8" si="2">E2*4</f>
        <v>2.666666667</v>
      </c>
      <c r="G2" s="9">
        <f>SUM(F2:F8)</f>
        <v>26.66666667</v>
      </c>
      <c r="L2" s="10" t="s">
        <v>38</v>
      </c>
      <c r="M2" s="13" t="s">
        <v>20</v>
      </c>
      <c r="O2" s="10" t="s">
        <v>62</v>
      </c>
    </row>
    <row r="3">
      <c r="A3" s="6" t="s">
        <v>25</v>
      </c>
      <c r="B3" s="10">
        <v>1.0</v>
      </c>
      <c r="C3" s="10">
        <v>2.0</v>
      </c>
      <c r="D3" s="10">
        <v>0.0</v>
      </c>
      <c r="E3" s="9">
        <f t="shared" si="1"/>
        <v>1</v>
      </c>
      <c r="F3" s="9">
        <f t="shared" si="2"/>
        <v>4</v>
      </c>
      <c r="M3" s="6" t="s">
        <v>25</v>
      </c>
      <c r="O3" s="10" t="s">
        <v>63</v>
      </c>
    </row>
    <row r="4">
      <c r="A4" s="14" t="s">
        <v>11</v>
      </c>
      <c r="B4" s="10">
        <v>1.0</v>
      </c>
      <c r="C4" s="10">
        <v>0.0</v>
      </c>
      <c r="D4" s="10">
        <v>1.0</v>
      </c>
      <c r="E4" s="9">
        <f t="shared" si="1"/>
        <v>0.6666666667</v>
      </c>
      <c r="F4" s="9">
        <f t="shared" si="2"/>
        <v>2.666666667</v>
      </c>
      <c r="M4" s="14" t="s">
        <v>11</v>
      </c>
      <c r="O4" s="10" t="s">
        <v>64</v>
      </c>
    </row>
    <row r="5">
      <c r="A5" s="13" t="s">
        <v>17</v>
      </c>
      <c r="B5" s="10">
        <v>1.0</v>
      </c>
      <c r="C5" s="10">
        <v>4.0</v>
      </c>
      <c r="D5" s="10">
        <v>1.0</v>
      </c>
      <c r="E5" s="9">
        <f t="shared" si="1"/>
        <v>2</v>
      </c>
      <c r="F5" s="9">
        <f t="shared" si="2"/>
        <v>8</v>
      </c>
      <c r="M5" s="13" t="s">
        <v>17</v>
      </c>
    </row>
    <row r="6">
      <c r="A6" s="13" t="s">
        <v>35</v>
      </c>
      <c r="B6" s="10">
        <v>0.0</v>
      </c>
      <c r="C6" s="10">
        <v>2.0</v>
      </c>
      <c r="D6" s="10">
        <v>0.0</v>
      </c>
      <c r="E6" s="9">
        <f t="shared" si="1"/>
        <v>0.6666666667</v>
      </c>
      <c r="F6" s="9">
        <f t="shared" si="2"/>
        <v>2.666666667</v>
      </c>
      <c r="M6" s="13" t="s">
        <v>35</v>
      </c>
    </row>
    <row r="7">
      <c r="A7" s="13" t="s">
        <v>36</v>
      </c>
      <c r="B7" s="10">
        <v>1.0</v>
      </c>
      <c r="C7" s="10">
        <v>0.0</v>
      </c>
      <c r="D7" s="10">
        <v>0.0</v>
      </c>
      <c r="E7" s="9">
        <f t="shared" si="1"/>
        <v>0.3333333333</v>
      </c>
      <c r="F7" s="9">
        <f t="shared" si="2"/>
        <v>1.333333333</v>
      </c>
      <c r="M7" s="13" t="s">
        <v>36</v>
      </c>
    </row>
    <row r="8">
      <c r="A8" s="13" t="s">
        <v>21</v>
      </c>
      <c r="B8" s="10">
        <v>2.0</v>
      </c>
      <c r="C8" s="10">
        <v>0.0</v>
      </c>
      <c r="D8" s="10">
        <v>2.0</v>
      </c>
      <c r="E8" s="9">
        <f t="shared" si="1"/>
        <v>1.333333333</v>
      </c>
      <c r="F8" s="9">
        <f t="shared" si="2"/>
        <v>5.333333333</v>
      </c>
      <c r="M8" s="13" t="s">
        <v>15</v>
      </c>
    </row>
    <row r="9">
      <c r="A9" s="13"/>
      <c r="M9" s="13" t="s">
        <v>18</v>
      </c>
    </row>
    <row r="10">
      <c r="M10" s="13" t="s">
        <v>50</v>
      </c>
    </row>
    <row r="11">
      <c r="M11" s="13" t="s">
        <v>26</v>
      </c>
    </row>
    <row r="12">
      <c r="M12" s="14" t="s">
        <v>22</v>
      </c>
    </row>
    <row r="13">
      <c r="M13" s="14"/>
    </row>
    <row r="16">
      <c r="M16" s="10" t="s">
        <v>62</v>
      </c>
    </row>
    <row r="17">
      <c r="M17" s="10" t="s">
        <v>63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6" max="6" width="19.86"/>
    <col customWidth="1" min="12" max="12" width="17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I1" s="4" t="s">
        <v>7</v>
      </c>
      <c r="L1" s="4" t="s">
        <v>8</v>
      </c>
      <c r="M1" s="5" t="s">
        <v>9</v>
      </c>
      <c r="O1" s="4" t="s">
        <v>10</v>
      </c>
    </row>
    <row r="2">
      <c r="A2" s="13" t="s">
        <v>20</v>
      </c>
      <c r="B2" s="10">
        <v>1.0</v>
      </c>
      <c r="C2" s="10">
        <v>1.0</v>
      </c>
      <c r="D2" s="10">
        <v>0.0</v>
      </c>
      <c r="E2" s="9">
        <f t="shared" ref="E2:E7" si="1">AVERAGE(B2:D2)</f>
        <v>0.6666666667</v>
      </c>
      <c r="F2" s="9">
        <f t="shared" ref="F2:F7" si="2">4*E2</f>
        <v>2.666666667</v>
      </c>
      <c r="G2" s="9">
        <f>SUM(F2:F7)</f>
        <v>25.33333333</v>
      </c>
      <c r="L2" s="19" t="s">
        <v>55</v>
      </c>
      <c r="M2" s="25" t="s">
        <v>20</v>
      </c>
      <c r="O2" s="28" t="s">
        <v>65</v>
      </c>
    </row>
    <row r="3">
      <c r="A3" s="6" t="s">
        <v>25</v>
      </c>
      <c r="B3" s="10">
        <v>3.0</v>
      </c>
      <c r="C3" s="10">
        <v>6.0</v>
      </c>
      <c r="D3" s="10">
        <v>2.0</v>
      </c>
      <c r="E3" s="9">
        <f t="shared" si="1"/>
        <v>3.666666667</v>
      </c>
      <c r="F3" s="9">
        <f t="shared" si="2"/>
        <v>14.66666667</v>
      </c>
      <c r="M3" s="6" t="s">
        <v>25</v>
      </c>
      <c r="O3" s="10" t="s">
        <v>53</v>
      </c>
    </row>
    <row r="4">
      <c r="A4" s="14" t="s">
        <v>11</v>
      </c>
      <c r="B4" s="10">
        <v>2.0</v>
      </c>
      <c r="C4" s="10">
        <v>1.0</v>
      </c>
      <c r="D4" s="10">
        <v>0.0</v>
      </c>
      <c r="E4" s="9">
        <f t="shared" si="1"/>
        <v>1</v>
      </c>
      <c r="F4" s="9">
        <f t="shared" si="2"/>
        <v>4</v>
      </c>
      <c r="M4" s="14" t="s">
        <v>11</v>
      </c>
      <c r="O4" s="10" t="s">
        <v>66</v>
      </c>
    </row>
    <row r="5">
      <c r="A5" s="13" t="s">
        <v>35</v>
      </c>
      <c r="B5" s="10">
        <v>1.0</v>
      </c>
      <c r="C5" s="10">
        <v>0.0</v>
      </c>
      <c r="D5" s="10">
        <v>0.0</v>
      </c>
      <c r="E5" s="9">
        <f t="shared" si="1"/>
        <v>0.3333333333</v>
      </c>
      <c r="F5" s="9">
        <f t="shared" si="2"/>
        <v>1.333333333</v>
      </c>
      <c r="M5" s="25" t="s">
        <v>35</v>
      </c>
    </row>
    <row r="6">
      <c r="A6" s="13" t="s">
        <v>36</v>
      </c>
      <c r="B6" s="10">
        <v>1.0</v>
      </c>
      <c r="C6" s="10">
        <v>0.0</v>
      </c>
      <c r="D6" s="10">
        <v>0.0</v>
      </c>
      <c r="E6" s="9">
        <f t="shared" si="1"/>
        <v>0.3333333333</v>
      </c>
      <c r="F6" s="9">
        <f t="shared" si="2"/>
        <v>1.333333333</v>
      </c>
      <c r="M6" s="25" t="s">
        <v>36</v>
      </c>
    </row>
    <row r="7">
      <c r="A7" s="22" t="s">
        <v>67</v>
      </c>
      <c r="B7" s="10">
        <v>0.0</v>
      </c>
      <c r="C7" s="10">
        <v>1.0</v>
      </c>
      <c r="D7" s="10">
        <v>0.0</v>
      </c>
      <c r="E7" s="9">
        <f t="shared" si="1"/>
        <v>0.3333333333</v>
      </c>
      <c r="F7" s="9">
        <f t="shared" si="2"/>
        <v>1.333333333</v>
      </c>
    </row>
    <row r="8">
      <c r="M8" s="11" t="s">
        <v>68</v>
      </c>
    </row>
    <row r="13">
      <c r="M13" s="29"/>
    </row>
  </sheetData>
  <hyperlinks>
    <hyperlink r:id="rId1" ref="O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  <col customWidth="1" min="6" max="6" width="19.0"/>
    <col customWidth="1" min="12" max="12" width="16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L1" s="4" t="s">
        <v>8</v>
      </c>
      <c r="M1" s="5" t="s">
        <v>9</v>
      </c>
      <c r="O1" s="4" t="s">
        <v>10</v>
      </c>
    </row>
    <row r="2">
      <c r="A2" s="6" t="s">
        <v>20</v>
      </c>
      <c r="B2" s="10">
        <v>1.0</v>
      </c>
      <c r="C2" s="10">
        <v>2.0</v>
      </c>
      <c r="D2" s="10">
        <v>0.0</v>
      </c>
      <c r="E2" s="9">
        <f t="shared" ref="E2:E6" si="1">AVERAGE(B2:D2)</f>
        <v>1</v>
      </c>
      <c r="F2" s="9">
        <f t="shared" ref="F2:F6" si="2">E2*4</f>
        <v>4</v>
      </c>
      <c r="G2" s="9">
        <f>SUM(F2:F6)</f>
        <v>10.66666667</v>
      </c>
      <c r="L2" s="10" t="s">
        <v>69</v>
      </c>
      <c r="M2" s="6" t="s">
        <v>11</v>
      </c>
      <c r="O2" s="11" t="s">
        <v>70</v>
      </c>
    </row>
    <row r="3">
      <c r="A3" s="6" t="s">
        <v>19</v>
      </c>
      <c r="B3" s="10">
        <v>0.0</v>
      </c>
      <c r="C3" s="10">
        <v>1.0</v>
      </c>
      <c r="D3" s="10">
        <v>0.0</v>
      </c>
      <c r="E3" s="9">
        <f t="shared" si="1"/>
        <v>0.3333333333</v>
      </c>
      <c r="F3" s="9">
        <f t="shared" si="2"/>
        <v>1.333333333</v>
      </c>
      <c r="M3" s="6" t="s">
        <v>25</v>
      </c>
      <c r="O3" s="19" t="s">
        <v>71</v>
      </c>
    </row>
    <row r="4">
      <c r="A4" s="6" t="s">
        <v>11</v>
      </c>
      <c r="B4" s="10">
        <v>0.0</v>
      </c>
      <c r="C4" s="10">
        <v>0.0</v>
      </c>
      <c r="D4" s="10">
        <v>1.0</v>
      </c>
      <c r="E4" s="9">
        <f t="shared" si="1"/>
        <v>0.3333333333</v>
      </c>
      <c r="F4" s="9">
        <f t="shared" si="2"/>
        <v>1.333333333</v>
      </c>
      <c r="M4" s="6" t="s">
        <v>16</v>
      </c>
    </row>
    <row r="5">
      <c r="A5" s="6" t="s">
        <v>25</v>
      </c>
      <c r="B5" s="10">
        <v>0.0</v>
      </c>
      <c r="C5" s="10">
        <v>2.0</v>
      </c>
      <c r="D5" s="10">
        <v>0.0</v>
      </c>
      <c r="E5" s="9">
        <f t="shared" si="1"/>
        <v>0.6666666667</v>
      </c>
      <c r="F5" s="9">
        <f t="shared" si="2"/>
        <v>2.666666667</v>
      </c>
      <c r="M5" s="6" t="s">
        <v>15</v>
      </c>
    </row>
    <row r="6">
      <c r="A6" s="6" t="s">
        <v>17</v>
      </c>
      <c r="B6" s="10">
        <v>0.0</v>
      </c>
      <c r="C6" s="10">
        <v>1.0</v>
      </c>
      <c r="D6" s="10">
        <v>0.0</v>
      </c>
      <c r="E6" s="9">
        <f t="shared" si="1"/>
        <v>0.3333333333</v>
      </c>
      <c r="F6" s="9">
        <f t="shared" si="2"/>
        <v>1.333333333</v>
      </c>
      <c r="M6" s="6" t="s">
        <v>18</v>
      </c>
    </row>
    <row r="7">
      <c r="M7" s="6" t="s">
        <v>17</v>
      </c>
    </row>
    <row r="8">
      <c r="M8" s="6" t="s">
        <v>19</v>
      </c>
    </row>
    <row r="9">
      <c r="M9" s="6" t="s">
        <v>20</v>
      </c>
    </row>
    <row r="10">
      <c r="M10" s="13" t="s">
        <v>22</v>
      </c>
    </row>
    <row r="11">
      <c r="M11" s="25" t="s">
        <v>24</v>
      </c>
    </row>
    <row r="12">
      <c r="M12" s="13" t="s">
        <v>27</v>
      </c>
    </row>
    <row r="13">
      <c r="M13" s="16" t="s">
        <v>30</v>
      </c>
    </row>
    <row r="14">
      <c r="M14" s="13" t="s">
        <v>47</v>
      </c>
    </row>
    <row r="15">
      <c r="M15" s="25" t="s">
        <v>72</v>
      </c>
    </row>
    <row r="16">
      <c r="M16" s="13" t="s">
        <v>73</v>
      </c>
    </row>
    <row r="17">
      <c r="M17" s="13"/>
    </row>
    <row r="19">
      <c r="M19" s="11"/>
    </row>
    <row r="20">
      <c r="M20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24.0"/>
    <col customWidth="1" min="6" max="6" width="19.0"/>
    <col customWidth="1" min="7" max="7" width="14.14"/>
    <col customWidth="1" min="12" max="12" width="16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18" t="s">
        <v>5</v>
      </c>
      <c r="G1" s="4" t="s">
        <v>6</v>
      </c>
      <c r="L1" s="4" t="s">
        <v>8</v>
      </c>
      <c r="M1" s="5" t="s">
        <v>9</v>
      </c>
      <c r="O1" s="4" t="s">
        <v>10</v>
      </c>
    </row>
    <row r="2">
      <c r="A2" s="6" t="s">
        <v>25</v>
      </c>
      <c r="B2" s="10">
        <v>1.0</v>
      </c>
      <c r="C2" s="10">
        <v>0.0</v>
      </c>
      <c r="D2" s="10">
        <v>1.0</v>
      </c>
      <c r="E2" s="9">
        <f t="shared" ref="E2:E6" si="1">AVERAGE(B2:D2)</f>
        <v>0.6666666667</v>
      </c>
      <c r="F2" s="9">
        <f t="shared" ref="F2:F6" si="2">E2*4</f>
        <v>2.666666667</v>
      </c>
      <c r="G2" s="9">
        <f>SUM(F2:F6)</f>
        <v>25.33333333</v>
      </c>
      <c r="M2" s="6" t="s">
        <v>11</v>
      </c>
      <c r="O2" s="11" t="s">
        <v>74</v>
      </c>
    </row>
    <row r="3">
      <c r="A3" s="13" t="s">
        <v>21</v>
      </c>
      <c r="B3" s="10">
        <v>1.0</v>
      </c>
      <c r="C3" s="10">
        <v>3.0</v>
      </c>
      <c r="D3" s="10">
        <v>2.0</v>
      </c>
      <c r="E3" s="9">
        <f t="shared" si="1"/>
        <v>2</v>
      </c>
      <c r="F3" s="9">
        <f t="shared" si="2"/>
        <v>8</v>
      </c>
      <c r="M3" s="6" t="s">
        <v>25</v>
      </c>
    </row>
    <row r="4">
      <c r="A4" s="6" t="s">
        <v>19</v>
      </c>
      <c r="B4" s="10">
        <v>1.0</v>
      </c>
      <c r="C4" s="10">
        <v>2.0</v>
      </c>
      <c r="D4" s="10">
        <v>1.0</v>
      </c>
      <c r="E4" s="9">
        <f t="shared" si="1"/>
        <v>1.333333333</v>
      </c>
      <c r="F4" s="9">
        <f t="shared" si="2"/>
        <v>5.333333333</v>
      </c>
      <c r="M4" s="6" t="s">
        <v>16</v>
      </c>
    </row>
    <row r="5">
      <c r="A5" s="6" t="s">
        <v>20</v>
      </c>
      <c r="B5" s="10">
        <v>0.0</v>
      </c>
      <c r="C5" s="10">
        <v>3.0</v>
      </c>
      <c r="D5" s="10">
        <v>3.0</v>
      </c>
      <c r="E5" s="9">
        <f t="shared" si="1"/>
        <v>2</v>
      </c>
      <c r="F5" s="9">
        <f t="shared" si="2"/>
        <v>8</v>
      </c>
      <c r="M5" s="6" t="s">
        <v>15</v>
      </c>
    </row>
    <row r="6">
      <c r="A6" s="6" t="s">
        <v>17</v>
      </c>
      <c r="B6" s="10">
        <v>0.0</v>
      </c>
      <c r="C6" s="10">
        <v>0.0</v>
      </c>
      <c r="D6" s="10">
        <v>1.0</v>
      </c>
      <c r="E6" s="9">
        <f t="shared" si="1"/>
        <v>0.3333333333</v>
      </c>
      <c r="F6" s="9">
        <f t="shared" si="2"/>
        <v>1.333333333</v>
      </c>
      <c r="M6" s="6" t="s">
        <v>18</v>
      </c>
    </row>
    <row r="7">
      <c r="M7" s="6" t="s">
        <v>17</v>
      </c>
    </row>
    <row r="8">
      <c r="M8" s="6" t="s">
        <v>19</v>
      </c>
    </row>
    <row r="9">
      <c r="M9" s="6" t="s">
        <v>20</v>
      </c>
    </row>
    <row r="10">
      <c r="M10" s="25" t="s">
        <v>21</v>
      </c>
    </row>
    <row r="11">
      <c r="M11" s="13" t="s">
        <v>61</v>
      </c>
    </row>
    <row r="12">
      <c r="M12" s="13"/>
    </row>
    <row r="13">
      <c r="M13" s="13"/>
    </row>
    <row r="14">
      <c r="M14" s="13"/>
    </row>
    <row r="15">
      <c r="M15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14"/>
    <col customWidth="1" min="14" max="14" width="25.14"/>
    <col customWidth="1" min="15" max="15" width="23.43"/>
  </cols>
  <sheetData>
    <row r="1">
      <c r="B1" s="10" t="s">
        <v>75</v>
      </c>
      <c r="C1" s="10" t="s">
        <v>76</v>
      </c>
      <c r="D1" s="10" t="s">
        <v>77</v>
      </c>
      <c r="E1" s="10" t="s">
        <v>78</v>
      </c>
      <c r="F1" s="10" t="s">
        <v>43</v>
      </c>
      <c r="G1" s="10" t="s">
        <v>79</v>
      </c>
      <c r="H1" s="10" t="s">
        <v>49</v>
      </c>
      <c r="I1" s="10" t="s">
        <v>80</v>
      </c>
      <c r="K1" s="3" t="s">
        <v>81</v>
      </c>
      <c r="L1" s="3" t="s">
        <v>82</v>
      </c>
      <c r="N1" s="4" t="s">
        <v>83</v>
      </c>
      <c r="O1" s="4" t="s">
        <v>84</v>
      </c>
    </row>
    <row r="2">
      <c r="A2" s="14" t="s">
        <v>85</v>
      </c>
      <c r="B2" s="10">
        <v>174.67</v>
      </c>
      <c r="C2" s="10">
        <v>385.33</v>
      </c>
      <c r="D2" s="10">
        <v>214.67</v>
      </c>
      <c r="E2" s="10">
        <v>172.0</v>
      </c>
      <c r="F2" s="10">
        <v>101.33</v>
      </c>
      <c r="G2" s="10">
        <v>689.33</v>
      </c>
      <c r="H2" s="10">
        <v>856.0</v>
      </c>
      <c r="I2" s="10">
        <v>398.67</v>
      </c>
      <c r="K2" s="10">
        <v>174.67</v>
      </c>
      <c r="L2" s="10">
        <v>385.33</v>
      </c>
      <c r="N2" s="10">
        <v>174.67</v>
      </c>
      <c r="O2" s="10">
        <v>856.0</v>
      </c>
    </row>
    <row r="3">
      <c r="A3" s="14" t="s">
        <v>86</v>
      </c>
      <c r="B3" s="30" t="s">
        <v>87</v>
      </c>
      <c r="C3" s="31" t="s">
        <v>88</v>
      </c>
      <c r="D3" s="31" t="s">
        <v>88</v>
      </c>
      <c r="E3" s="31" t="s">
        <v>88</v>
      </c>
      <c r="F3" s="31" t="s">
        <v>88</v>
      </c>
      <c r="G3" s="32" t="s">
        <v>87</v>
      </c>
      <c r="H3" s="31" t="s">
        <v>88</v>
      </c>
      <c r="I3" s="32" t="s">
        <v>87</v>
      </c>
      <c r="K3" s="10">
        <v>689.33</v>
      </c>
      <c r="L3" s="10">
        <v>214.67</v>
      </c>
      <c r="N3" s="10">
        <v>398.67</v>
      </c>
      <c r="O3" s="10">
        <v>101.33</v>
      </c>
    </row>
    <row r="4">
      <c r="A4" s="14"/>
      <c r="K4" s="10">
        <v>398.67</v>
      </c>
      <c r="L4" s="10">
        <v>172.0</v>
      </c>
      <c r="N4" s="10">
        <v>689.33</v>
      </c>
      <c r="O4" s="10">
        <v>172.0</v>
      </c>
    </row>
    <row r="5">
      <c r="A5" s="6"/>
      <c r="L5" s="10">
        <v>101.33</v>
      </c>
      <c r="O5" s="10">
        <v>214.67</v>
      </c>
    </row>
    <row r="6">
      <c r="A6" s="14"/>
      <c r="L6" s="10">
        <v>856.0</v>
      </c>
      <c r="O6" s="10">
        <v>385.33</v>
      </c>
    </row>
    <row r="7">
      <c r="A7" s="33" t="s">
        <v>20</v>
      </c>
      <c r="B7" s="10" t="s">
        <v>89</v>
      </c>
      <c r="C7" s="10" t="s">
        <v>90</v>
      </c>
      <c r="D7" s="10" t="s">
        <v>91</v>
      </c>
      <c r="E7" s="10" t="s">
        <v>92</v>
      </c>
      <c r="F7" s="10" t="s">
        <v>93</v>
      </c>
      <c r="G7" s="10" t="s">
        <v>94</v>
      </c>
      <c r="H7" s="10" t="s">
        <v>95</v>
      </c>
      <c r="I7" s="10" t="s">
        <v>96</v>
      </c>
      <c r="K7" s="4" t="s">
        <v>97</v>
      </c>
      <c r="N7" s="4" t="s">
        <v>97</v>
      </c>
    </row>
    <row r="8">
      <c r="A8" s="6"/>
      <c r="B8" s="34">
        <v>52.0</v>
      </c>
      <c r="C8" s="34">
        <v>47.0</v>
      </c>
      <c r="D8" s="35">
        <v>3.0</v>
      </c>
      <c r="E8" s="35">
        <v>1.0</v>
      </c>
      <c r="F8" s="35">
        <v>9.0</v>
      </c>
      <c r="G8" s="20">
        <v>27.0</v>
      </c>
      <c r="H8" s="36">
        <v>28.0</v>
      </c>
      <c r="I8" s="10">
        <v>5.0</v>
      </c>
    </row>
    <row r="9">
      <c r="A9" s="6"/>
      <c r="B9" s="35">
        <v>63.0</v>
      </c>
      <c r="C9" s="35">
        <v>61.0</v>
      </c>
      <c r="D9" s="35">
        <v>2.0</v>
      </c>
      <c r="E9" s="35">
        <v>7.0</v>
      </c>
      <c r="F9" s="35">
        <v>5.0</v>
      </c>
      <c r="G9" s="10">
        <v>20.0</v>
      </c>
      <c r="H9" s="10">
        <v>53.0</v>
      </c>
      <c r="I9" s="10">
        <v>16.0</v>
      </c>
    </row>
    <row r="10">
      <c r="A10" s="13"/>
      <c r="B10" s="35">
        <v>49.0</v>
      </c>
      <c r="C10" s="35">
        <v>67.0</v>
      </c>
      <c r="D10" s="35">
        <v>6.0</v>
      </c>
      <c r="E10" s="35">
        <v>5.0</v>
      </c>
      <c r="F10" s="35">
        <v>8.0</v>
      </c>
      <c r="G10" s="10">
        <v>4.0</v>
      </c>
      <c r="H10" s="10">
        <v>29.0</v>
      </c>
      <c r="I10" s="10">
        <v>7.0</v>
      </c>
    </row>
    <row r="11">
      <c r="A11" s="13"/>
    </row>
    <row r="12">
      <c r="A12" s="37"/>
    </row>
    <row r="14">
      <c r="B14" s="3" t="s">
        <v>98</v>
      </c>
      <c r="C14" s="3" t="s">
        <v>99</v>
      </c>
    </row>
    <row r="15">
      <c r="A15" s="38" t="s">
        <v>100</v>
      </c>
      <c r="B15" s="20">
        <v>16.0</v>
      </c>
      <c r="C15" s="20" t="s">
        <v>101</v>
      </c>
    </row>
    <row r="16">
      <c r="B16" s="20">
        <v>32.0</v>
      </c>
      <c r="C16" s="20">
        <v>856.0</v>
      </c>
    </row>
    <row r="17">
      <c r="B17" s="20" t="s">
        <v>102</v>
      </c>
      <c r="C17" s="20" t="s">
        <v>103</v>
      </c>
    </row>
    <row r="18">
      <c r="B18" s="20" t="s">
        <v>104</v>
      </c>
      <c r="C18" s="20">
        <v>172.0</v>
      </c>
    </row>
    <row r="19">
      <c r="B19" s="39">
        <f>AVERAGE(B15:B18)</f>
        <v>24</v>
      </c>
      <c r="C19" s="20" t="s">
        <v>105</v>
      </c>
    </row>
    <row r="20">
      <c r="C20" s="20" t="s">
        <v>106</v>
      </c>
    </row>
    <row r="21">
      <c r="C21" s="20" t="s">
        <v>107</v>
      </c>
    </row>
    <row r="22">
      <c r="C22" s="20" t="s">
        <v>108</v>
      </c>
    </row>
    <row r="23">
      <c r="C23" s="20">
        <v>48.0</v>
      </c>
    </row>
    <row r="24">
      <c r="C24" s="20" t="s">
        <v>109</v>
      </c>
    </row>
    <row r="25">
      <c r="C25" s="20" t="s">
        <v>104</v>
      </c>
    </row>
    <row r="26">
      <c r="C26" s="39">
        <f>AVERAGE(C15:C25)</f>
        <v>358.6666667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9.86"/>
    <col customWidth="1" min="2" max="2" width="13.57"/>
    <col customWidth="1" min="3" max="3" width="14.43"/>
    <col customWidth="1" min="4" max="4" width="10.86"/>
    <col customWidth="1" min="5" max="5" width="16.86"/>
    <col customWidth="1" min="6" max="6" width="12.14"/>
    <col customWidth="1" min="7" max="7" width="14.14"/>
    <col customWidth="1" min="8" max="8" width="10.29"/>
    <col customWidth="1" min="9" max="9" width="11.14"/>
    <col customWidth="1" min="10" max="10" width="11.29"/>
    <col customWidth="1" min="15" max="16" width="12.29"/>
    <col customWidth="1" min="17" max="17" width="6.29"/>
    <col customWidth="1" min="18" max="18" width="16.14"/>
    <col customWidth="1" min="19" max="19" width="9.14"/>
    <col customWidth="1" min="20" max="20" width="19.0"/>
    <col customWidth="1" min="21" max="21" width="17.57"/>
  </cols>
  <sheetData>
    <row r="2">
      <c r="A2" s="40"/>
      <c r="B2" s="41" t="s">
        <v>110</v>
      </c>
      <c r="C2" s="41" t="s">
        <v>111</v>
      </c>
      <c r="D2" s="41" t="s">
        <v>112</v>
      </c>
      <c r="E2" s="41" t="s">
        <v>113</v>
      </c>
      <c r="F2" s="41" t="s">
        <v>114</v>
      </c>
      <c r="G2" s="41" t="s">
        <v>115</v>
      </c>
      <c r="H2" s="41" t="s">
        <v>116</v>
      </c>
      <c r="I2" s="41" t="s">
        <v>21</v>
      </c>
      <c r="J2" s="41" t="s">
        <v>117</v>
      </c>
      <c r="K2" s="41" t="s">
        <v>118</v>
      </c>
      <c r="L2" s="41" t="s">
        <v>119</v>
      </c>
      <c r="M2" s="41" t="s">
        <v>120</v>
      </c>
      <c r="N2" s="41" t="s">
        <v>121</v>
      </c>
      <c r="O2" s="41" t="s">
        <v>122</v>
      </c>
      <c r="P2" s="41" t="s">
        <v>123</v>
      </c>
      <c r="Q2" s="42" t="s">
        <v>86</v>
      </c>
      <c r="R2" s="42" t="s">
        <v>8</v>
      </c>
      <c r="S2" s="42" t="s">
        <v>124</v>
      </c>
      <c r="T2" s="42" t="s">
        <v>7</v>
      </c>
      <c r="U2" s="42" t="s">
        <v>125</v>
      </c>
    </row>
    <row r="3">
      <c r="A3" s="4" t="s">
        <v>79</v>
      </c>
      <c r="B3" s="43">
        <v>0.25</v>
      </c>
      <c r="C3" s="44">
        <v>0.33</v>
      </c>
      <c r="D3" s="43">
        <v>0.67</v>
      </c>
      <c r="E3" s="43">
        <v>6.0</v>
      </c>
      <c r="F3" s="43">
        <v>9.33</v>
      </c>
      <c r="G3" s="43">
        <v>30.01</v>
      </c>
      <c r="H3" s="43">
        <v>54.67</v>
      </c>
      <c r="I3" s="43">
        <v>64.67</v>
      </c>
      <c r="J3" s="45">
        <v>11.0</v>
      </c>
      <c r="K3" s="43">
        <v>0.25</v>
      </c>
      <c r="L3" s="43">
        <v>0.01</v>
      </c>
      <c r="M3" s="43">
        <v>6.67</v>
      </c>
      <c r="N3" s="43">
        <v>0.01</v>
      </c>
      <c r="O3" s="43">
        <v>0.01</v>
      </c>
      <c r="P3" s="43">
        <v>0.01</v>
      </c>
      <c r="Q3" s="10" t="s">
        <v>126</v>
      </c>
      <c r="R3" s="10" t="s">
        <v>127</v>
      </c>
      <c r="S3" s="20">
        <v>2.0</v>
      </c>
      <c r="T3" s="10" t="s">
        <v>128</v>
      </c>
      <c r="U3" s="10" t="s">
        <v>129</v>
      </c>
      <c r="V3" s="9">
        <f t="shared" ref="V3:V10" si="1">SUM(B3:P3)</f>
        <v>183.89</v>
      </c>
    </row>
    <row r="4">
      <c r="A4" s="4" t="s">
        <v>49</v>
      </c>
      <c r="B4" s="43">
        <v>0.25</v>
      </c>
      <c r="C4" s="43">
        <v>0.25</v>
      </c>
      <c r="D4" s="43">
        <v>3.67</v>
      </c>
      <c r="E4" s="43">
        <v>0.67</v>
      </c>
      <c r="F4" s="43">
        <v>4.33</v>
      </c>
      <c r="G4" s="43">
        <v>36.33</v>
      </c>
      <c r="H4" s="43">
        <v>58.33</v>
      </c>
      <c r="I4" s="43">
        <v>98.33</v>
      </c>
      <c r="J4" s="45">
        <v>15.0</v>
      </c>
      <c r="K4" s="45">
        <v>0.25</v>
      </c>
      <c r="L4" s="45">
        <v>20.0</v>
      </c>
      <c r="M4" s="43">
        <v>12.33</v>
      </c>
      <c r="N4" s="43">
        <v>0.01</v>
      </c>
      <c r="O4" s="43">
        <v>0.01</v>
      </c>
      <c r="P4" s="43">
        <v>0.01</v>
      </c>
      <c r="Q4" s="10" t="s">
        <v>130</v>
      </c>
      <c r="R4" s="10" t="s">
        <v>69</v>
      </c>
      <c r="S4" s="20">
        <v>11.0</v>
      </c>
      <c r="T4" s="10" t="s">
        <v>128</v>
      </c>
      <c r="U4" s="10" t="s">
        <v>129</v>
      </c>
      <c r="V4" s="9">
        <f t="shared" si="1"/>
        <v>249.77</v>
      </c>
    </row>
    <row r="5">
      <c r="A5" s="4" t="s">
        <v>43</v>
      </c>
      <c r="B5" s="43">
        <v>2.33</v>
      </c>
      <c r="C5" s="43">
        <v>0.67</v>
      </c>
      <c r="D5" s="43">
        <v>0.25</v>
      </c>
      <c r="E5" s="43">
        <v>0.67</v>
      </c>
      <c r="F5" s="43">
        <v>0.67</v>
      </c>
      <c r="G5" s="43">
        <v>0.33</v>
      </c>
      <c r="H5" s="43">
        <v>3.67</v>
      </c>
      <c r="I5" s="43">
        <v>7.33</v>
      </c>
      <c r="J5" s="43">
        <v>3.33</v>
      </c>
      <c r="K5" s="43">
        <v>0.01</v>
      </c>
      <c r="L5" s="43">
        <v>3.67</v>
      </c>
      <c r="M5" s="43">
        <v>1.0</v>
      </c>
      <c r="N5" s="43">
        <v>1.67</v>
      </c>
      <c r="O5" s="43">
        <v>0.01</v>
      </c>
      <c r="P5" s="43">
        <v>0.01</v>
      </c>
      <c r="Q5" s="10" t="s">
        <v>130</v>
      </c>
      <c r="R5" s="10" t="s">
        <v>131</v>
      </c>
      <c r="S5" s="20">
        <v>9.0</v>
      </c>
      <c r="T5" s="10" t="s">
        <v>132</v>
      </c>
      <c r="U5" s="10" t="s">
        <v>129</v>
      </c>
      <c r="V5" s="9">
        <f t="shared" si="1"/>
        <v>25.62</v>
      </c>
    </row>
    <row r="6">
      <c r="A6" s="46" t="s">
        <v>78</v>
      </c>
      <c r="B6" s="43">
        <v>0.25</v>
      </c>
      <c r="C6" s="43">
        <v>0.67</v>
      </c>
      <c r="D6" s="43">
        <v>2.67</v>
      </c>
      <c r="E6" s="43">
        <v>0.33</v>
      </c>
      <c r="F6" s="43">
        <v>0.25</v>
      </c>
      <c r="G6" s="43">
        <v>4.33</v>
      </c>
      <c r="H6" s="43">
        <v>4.33</v>
      </c>
      <c r="I6" s="43">
        <v>18.0</v>
      </c>
      <c r="J6" s="43">
        <v>3.0</v>
      </c>
      <c r="K6" s="43">
        <v>0.01</v>
      </c>
      <c r="L6" s="43">
        <v>3.0</v>
      </c>
      <c r="M6" s="43">
        <v>6.0</v>
      </c>
      <c r="N6" s="43">
        <v>0.67</v>
      </c>
      <c r="O6" s="43">
        <v>0.01</v>
      </c>
      <c r="P6" s="43">
        <v>0.01</v>
      </c>
      <c r="Q6" s="10" t="s">
        <v>130</v>
      </c>
      <c r="R6" s="10" t="s">
        <v>131</v>
      </c>
      <c r="S6" s="20">
        <v>8.0</v>
      </c>
      <c r="T6" s="10" t="s">
        <v>128</v>
      </c>
      <c r="U6" s="10" t="s">
        <v>129</v>
      </c>
      <c r="V6" s="9">
        <f t="shared" si="1"/>
        <v>43.53</v>
      </c>
    </row>
    <row r="7">
      <c r="A7" s="46" t="s">
        <v>75</v>
      </c>
      <c r="B7" s="43">
        <v>0.25</v>
      </c>
      <c r="C7" s="43">
        <v>0.67</v>
      </c>
      <c r="D7" s="43">
        <v>0.33</v>
      </c>
      <c r="E7" s="43">
        <v>0.67</v>
      </c>
      <c r="F7" s="43">
        <v>0.25</v>
      </c>
      <c r="G7" s="43">
        <v>8.67</v>
      </c>
      <c r="H7" s="43">
        <v>7.33</v>
      </c>
      <c r="I7" s="43">
        <v>7.33</v>
      </c>
      <c r="J7" s="43">
        <v>3.0</v>
      </c>
      <c r="K7" s="43">
        <v>0.25</v>
      </c>
      <c r="L7" s="43">
        <v>5.67</v>
      </c>
      <c r="M7" s="43">
        <v>4.67</v>
      </c>
      <c r="N7" s="43">
        <v>4.0</v>
      </c>
      <c r="O7" s="43">
        <v>1.33</v>
      </c>
      <c r="P7" s="43">
        <v>0.01</v>
      </c>
      <c r="Q7" s="10" t="s">
        <v>126</v>
      </c>
      <c r="R7" s="10" t="s">
        <v>127</v>
      </c>
      <c r="S7" s="20">
        <v>1.0</v>
      </c>
      <c r="T7" s="10" t="s">
        <v>132</v>
      </c>
      <c r="U7" s="10" t="s">
        <v>129</v>
      </c>
      <c r="V7" s="9">
        <f t="shared" si="1"/>
        <v>44.43</v>
      </c>
    </row>
    <row r="8">
      <c r="A8" s="46" t="s">
        <v>80</v>
      </c>
      <c r="B8" s="43">
        <v>1.0</v>
      </c>
      <c r="C8" s="43">
        <v>2.0</v>
      </c>
      <c r="D8" s="43">
        <v>2.67</v>
      </c>
      <c r="E8" s="43">
        <v>2.0</v>
      </c>
      <c r="F8" s="43">
        <v>2.67</v>
      </c>
      <c r="G8" s="43">
        <v>26.33</v>
      </c>
      <c r="H8" s="43">
        <v>17.0</v>
      </c>
      <c r="I8" s="43">
        <v>33.67</v>
      </c>
      <c r="J8" s="43">
        <v>2.67</v>
      </c>
      <c r="K8" s="43">
        <v>0.01</v>
      </c>
      <c r="L8" s="43">
        <v>1.67</v>
      </c>
      <c r="M8" s="43">
        <v>8.0</v>
      </c>
      <c r="N8" s="43">
        <v>0.01</v>
      </c>
      <c r="O8" s="43">
        <v>0.01</v>
      </c>
      <c r="P8" s="43">
        <v>0.01</v>
      </c>
      <c r="Q8" s="10" t="s">
        <v>126</v>
      </c>
      <c r="R8" s="10" t="s">
        <v>127</v>
      </c>
      <c r="S8" s="20">
        <v>1.0</v>
      </c>
      <c r="T8" s="10" t="s">
        <v>128</v>
      </c>
      <c r="U8" s="10" t="s">
        <v>129</v>
      </c>
      <c r="V8" s="9">
        <f t="shared" si="1"/>
        <v>99.72</v>
      </c>
    </row>
    <row r="9">
      <c r="A9" s="46" t="s">
        <v>76</v>
      </c>
      <c r="B9" s="43">
        <v>0.25</v>
      </c>
      <c r="C9" s="43">
        <v>0.25</v>
      </c>
      <c r="D9" s="43">
        <v>1.0</v>
      </c>
      <c r="E9" s="43">
        <v>0.33</v>
      </c>
      <c r="F9" s="43">
        <v>2.0</v>
      </c>
      <c r="G9" s="43">
        <v>25.0</v>
      </c>
      <c r="H9" s="43">
        <v>36.67</v>
      </c>
      <c r="I9" s="43">
        <v>23.67</v>
      </c>
      <c r="J9" s="43">
        <v>2.67</v>
      </c>
      <c r="K9" s="43">
        <v>0.01</v>
      </c>
      <c r="L9" s="43">
        <v>0.01</v>
      </c>
      <c r="M9" s="43">
        <v>5.0</v>
      </c>
      <c r="N9" s="43">
        <v>0.01</v>
      </c>
      <c r="O9" s="43">
        <v>0.01</v>
      </c>
      <c r="P9" s="43">
        <v>0.01</v>
      </c>
      <c r="Q9" s="10" t="s">
        <v>130</v>
      </c>
      <c r="R9" s="10" t="s">
        <v>131</v>
      </c>
      <c r="S9" s="20">
        <v>3.0</v>
      </c>
      <c r="T9" s="10" t="s">
        <v>132</v>
      </c>
      <c r="U9" s="10" t="s">
        <v>129</v>
      </c>
      <c r="V9" s="9">
        <f t="shared" si="1"/>
        <v>96.89</v>
      </c>
    </row>
    <row r="10">
      <c r="A10" s="46" t="s">
        <v>77</v>
      </c>
      <c r="B10" s="43">
        <v>1.67</v>
      </c>
      <c r="C10" s="43">
        <v>6.0</v>
      </c>
      <c r="D10" s="43">
        <v>1.33</v>
      </c>
      <c r="E10" s="43">
        <v>0.67</v>
      </c>
      <c r="F10" s="43">
        <v>3.33</v>
      </c>
      <c r="G10" s="43">
        <v>6.33</v>
      </c>
      <c r="H10" s="43">
        <v>9.33</v>
      </c>
      <c r="I10" s="43">
        <v>15.33</v>
      </c>
      <c r="J10" s="43">
        <v>3.67</v>
      </c>
      <c r="K10" s="43">
        <v>0.01</v>
      </c>
      <c r="L10" s="43">
        <v>3.0</v>
      </c>
      <c r="M10" s="43">
        <v>2.33</v>
      </c>
      <c r="N10" s="43">
        <v>0.01</v>
      </c>
      <c r="O10" s="43">
        <v>0.01</v>
      </c>
      <c r="P10" s="43">
        <v>0.67</v>
      </c>
      <c r="Q10" s="10" t="s">
        <v>130</v>
      </c>
      <c r="R10" s="10" t="s">
        <v>131</v>
      </c>
      <c r="S10" s="20">
        <v>8.0</v>
      </c>
      <c r="T10" s="10" t="s">
        <v>132</v>
      </c>
      <c r="U10" s="10" t="s">
        <v>129</v>
      </c>
      <c r="V10" s="9">
        <f t="shared" si="1"/>
        <v>53.69</v>
      </c>
    </row>
    <row r="11">
      <c r="A11" s="47" t="s">
        <v>133</v>
      </c>
      <c r="B11" s="45">
        <v>4.0</v>
      </c>
      <c r="C11" s="43">
        <v>2.67</v>
      </c>
      <c r="D11" s="43">
        <v>0.25</v>
      </c>
      <c r="E11" s="43">
        <v>0.01</v>
      </c>
      <c r="F11" s="43">
        <v>0.25</v>
      </c>
      <c r="G11" s="43">
        <v>0.01</v>
      </c>
      <c r="H11" s="43">
        <v>2.67</v>
      </c>
      <c r="I11" s="43">
        <v>5.33</v>
      </c>
      <c r="J11" s="43">
        <v>0.25</v>
      </c>
      <c r="K11" s="43">
        <v>0.01</v>
      </c>
      <c r="L11" s="43">
        <v>1.33</v>
      </c>
      <c r="M11" s="43">
        <v>8.0</v>
      </c>
      <c r="N11" s="43">
        <v>2.67</v>
      </c>
      <c r="O11" s="43">
        <v>0.01</v>
      </c>
      <c r="P11" s="43">
        <v>0.01</v>
      </c>
    </row>
    <row r="12">
      <c r="A12" s="40"/>
      <c r="J12" s="4"/>
    </row>
    <row r="13">
      <c r="A13" s="40"/>
      <c r="J13" s="4"/>
    </row>
    <row r="14">
      <c r="A14" s="40"/>
      <c r="J14" s="4"/>
    </row>
    <row r="15">
      <c r="A15" s="40"/>
      <c r="J15" s="4"/>
    </row>
    <row r="16">
      <c r="A16" s="40"/>
      <c r="J16" s="4"/>
      <c r="N16" s="13"/>
      <c r="P16" s="9"/>
    </row>
    <row r="17">
      <c r="A17" s="40"/>
      <c r="B17" s="4" t="s">
        <v>79</v>
      </c>
      <c r="C17" s="4" t="s">
        <v>49</v>
      </c>
      <c r="D17" s="4" t="s">
        <v>43</v>
      </c>
      <c r="E17" s="46" t="s">
        <v>78</v>
      </c>
      <c r="F17" s="46" t="s">
        <v>75</v>
      </c>
      <c r="G17" s="46" t="s">
        <v>80</v>
      </c>
      <c r="H17" s="46" t="s">
        <v>76</v>
      </c>
      <c r="I17" s="46" t="s">
        <v>77</v>
      </c>
      <c r="J17" s="4"/>
      <c r="K17" s="10" t="s">
        <v>134</v>
      </c>
      <c r="L17" s="9"/>
      <c r="N17" s="48"/>
      <c r="P17" s="9"/>
    </row>
    <row r="18">
      <c r="A18" s="41" t="s">
        <v>110</v>
      </c>
      <c r="B18" s="43">
        <v>0.25</v>
      </c>
      <c r="C18" s="43">
        <v>0.25</v>
      </c>
      <c r="D18" s="43">
        <v>2.33</v>
      </c>
      <c r="E18" s="43">
        <v>0.25</v>
      </c>
      <c r="F18" s="43">
        <v>0.25</v>
      </c>
      <c r="G18" s="43">
        <v>1.0</v>
      </c>
      <c r="H18" s="43">
        <v>0.25</v>
      </c>
      <c r="I18" s="43">
        <v>1.67</v>
      </c>
      <c r="J18" s="46"/>
      <c r="K18" s="10" t="s">
        <v>135</v>
      </c>
      <c r="L18" s="9"/>
      <c r="N18" s="33"/>
      <c r="P18" s="9"/>
    </row>
    <row r="19">
      <c r="A19" s="41" t="s">
        <v>111</v>
      </c>
      <c r="B19" s="44">
        <v>0.33</v>
      </c>
      <c r="C19" s="43">
        <v>0.25</v>
      </c>
      <c r="D19" s="43">
        <v>0.67</v>
      </c>
      <c r="E19" s="43">
        <v>0.67</v>
      </c>
      <c r="F19" s="43">
        <v>0.67</v>
      </c>
      <c r="G19" s="43">
        <v>2.0</v>
      </c>
      <c r="H19" s="43">
        <v>0.25</v>
      </c>
      <c r="I19" s="43">
        <v>6.0</v>
      </c>
      <c r="J19" s="46"/>
      <c r="L19" s="9"/>
      <c r="N19" s="49"/>
      <c r="P19" s="9"/>
    </row>
    <row r="20">
      <c r="A20" s="41" t="s">
        <v>112</v>
      </c>
      <c r="B20" s="43">
        <v>0.67</v>
      </c>
      <c r="C20" s="43">
        <v>3.67</v>
      </c>
      <c r="D20" s="43">
        <v>0.25</v>
      </c>
      <c r="E20" s="43">
        <v>2.67</v>
      </c>
      <c r="F20" s="43">
        <v>0.33</v>
      </c>
      <c r="G20" s="43">
        <v>2.67</v>
      </c>
      <c r="H20" s="43">
        <v>1.0</v>
      </c>
      <c r="I20" s="43">
        <v>1.33</v>
      </c>
      <c r="J20" s="46"/>
      <c r="L20" s="9"/>
      <c r="N20" s="48"/>
      <c r="P20" s="9"/>
    </row>
    <row r="21">
      <c r="A21" s="41" t="s">
        <v>113</v>
      </c>
      <c r="B21" s="43">
        <v>6.0</v>
      </c>
      <c r="C21" s="43">
        <v>0.67</v>
      </c>
      <c r="D21" s="43">
        <v>0.67</v>
      </c>
      <c r="E21" s="43">
        <v>0.33</v>
      </c>
      <c r="F21" s="43">
        <v>0.67</v>
      </c>
      <c r="G21" s="43">
        <v>2.0</v>
      </c>
      <c r="H21" s="43">
        <v>0.33</v>
      </c>
      <c r="I21" s="43">
        <v>0.67</v>
      </c>
      <c r="J21" s="46"/>
      <c r="L21" s="9"/>
      <c r="N21" s="13"/>
      <c r="P21" s="9"/>
    </row>
    <row r="22">
      <c r="A22" s="41" t="s">
        <v>114</v>
      </c>
      <c r="B22" s="43">
        <v>9.33</v>
      </c>
      <c r="C22" s="43">
        <v>4.33</v>
      </c>
      <c r="D22" s="43">
        <v>0.67</v>
      </c>
      <c r="E22" s="43">
        <v>0.25</v>
      </c>
      <c r="F22" s="43">
        <v>0.25</v>
      </c>
      <c r="G22" s="43">
        <v>2.67</v>
      </c>
      <c r="H22" s="43">
        <v>2.0</v>
      </c>
      <c r="I22" s="43">
        <v>3.33</v>
      </c>
      <c r="J22" s="46"/>
      <c r="L22" s="9"/>
      <c r="N22" s="13"/>
      <c r="P22" s="9"/>
    </row>
    <row r="23">
      <c r="A23" s="41" t="s">
        <v>115</v>
      </c>
      <c r="B23" s="43">
        <v>30.01</v>
      </c>
      <c r="C23" s="43">
        <v>36.33</v>
      </c>
      <c r="D23" s="43">
        <v>0.33</v>
      </c>
      <c r="E23" s="43">
        <v>4.33</v>
      </c>
      <c r="F23" s="43">
        <v>8.67</v>
      </c>
      <c r="G23" s="43">
        <v>26.33</v>
      </c>
      <c r="H23" s="43">
        <v>25.0</v>
      </c>
      <c r="I23" s="43">
        <v>6.33</v>
      </c>
      <c r="N23" s="13"/>
    </row>
    <row r="24">
      <c r="A24" s="41" t="s">
        <v>116</v>
      </c>
      <c r="B24" s="43">
        <v>54.67</v>
      </c>
      <c r="C24" s="43">
        <v>58.33</v>
      </c>
      <c r="D24" s="43">
        <v>3.67</v>
      </c>
      <c r="E24" s="43">
        <v>4.33</v>
      </c>
      <c r="F24" s="43">
        <v>7.33</v>
      </c>
      <c r="G24" s="43">
        <v>17.0</v>
      </c>
      <c r="H24" s="43">
        <v>36.67</v>
      </c>
      <c r="I24" s="43">
        <v>9.33</v>
      </c>
      <c r="N24" s="13"/>
    </row>
    <row r="25">
      <c r="A25" s="41" t="s">
        <v>21</v>
      </c>
      <c r="B25" s="43">
        <v>64.67</v>
      </c>
      <c r="C25" s="43">
        <v>98.33</v>
      </c>
      <c r="D25" s="43">
        <v>7.33</v>
      </c>
      <c r="E25" s="43">
        <v>18.0</v>
      </c>
      <c r="F25" s="43">
        <v>7.33</v>
      </c>
      <c r="G25" s="43">
        <v>33.67</v>
      </c>
      <c r="H25" s="43">
        <v>23.67</v>
      </c>
      <c r="I25" s="43">
        <v>15.33</v>
      </c>
      <c r="N25" s="13"/>
    </row>
    <row r="26">
      <c r="A26" s="41" t="s">
        <v>117</v>
      </c>
      <c r="B26" s="45">
        <v>11.0</v>
      </c>
      <c r="C26" s="45">
        <v>15.0</v>
      </c>
      <c r="D26" s="43">
        <v>3.33</v>
      </c>
      <c r="E26" s="43">
        <v>3.0</v>
      </c>
      <c r="F26" s="43">
        <v>3.0</v>
      </c>
      <c r="G26" s="43">
        <v>2.67</v>
      </c>
      <c r="H26" s="43">
        <v>2.67</v>
      </c>
      <c r="I26" s="43">
        <v>3.67</v>
      </c>
      <c r="N26" s="13"/>
    </row>
    <row r="27">
      <c r="A27" s="41" t="s">
        <v>118</v>
      </c>
      <c r="B27" s="43">
        <v>0.25</v>
      </c>
      <c r="C27" s="45">
        <v>0.25</v>
      </c>
      <c r="D27" s="43">
        <v>0.01</v>
      </c>
      <c r="E27" s="43">
        <v>0.01</v>
      </c>
      <c r="F27" s="43">
        <v>0.25</v>
      </c>
      <c r="G27" s="43">
        <v>0.01</v>
      </c>
      <c r="H27" s="43">
        <v>0.01</v>
      </c>
      <c r="I27" s="43">
        <v>0.01</v>
      </c>
      <c r="N27" s="13"/>
    </row>
    <row r="28">
      <c r="A28" s="41" t="s">
        <v>119</v>
      </c>
      <c r="B28" s="43">
        <v>0.01</v>
      </c>
      <c r="C28" s="45">
        <v>20.0</v>
      </c>
      <c r="D28" s="43">
        <v>3.67</v>
      </c>
      <c r="E28" s="43">
        <v>3.0</v>
      </c>
      <c r="F28" s="43">
        <v>5.67</v>
      </c>
      <c r="G28" s="43">
        <v>1.67</v>
      </c>
      <c r="H28" s="43">
        <v>0.01</v>
      </c>
      <c r="I28" s="43">
        <v>3.0</v>
      </c>
      <c r="N28" s="14"/>
    </row>
    <row r="29">
      <c r="A29" s="41" t="s">
        <v>120</v>
      </c>
      <c r="B29" s="43">
        <v>6.67</v>
      </c>
      <c r="C29" s="43">
        <v>12.33</v>
      </c>
      <c r="D29" s="43">
        <v>1.0</v>
      </c>
      <c r="E29" s="43">
        <v>6.0</v>
      </c>
      <c r="F29" s="43">
        <v>4.67</v>
      </c>
      <c r="G29" s="43">
        <v>8.0</v>
      </c>
      <c r="H29" s="43">
        <v>5.0</v>
      </c>
      <c r="I29" s="43">
        <v>2.33</v>
      </c>
    </row>
    <row r="30">
      <c r="A30" s="41" t="s">
        <v>121</v>
      </c>
      <c r="B30" s="43">
        <v>0.01</v>
      </c>
      <c r="C30" s="43">
        <v>0.01</v>
      </c>
      <c r="D30" s="43">
        <v>1.67</v>
      </c>
      <c r="E30" s="43">
        <v>0.67</v>
      </c>
      <c r="F30" s="43">
        <v>4.0</v>
      </c>
      <c r="G30" s="43">
        <v>0.01</v>
      </c>
      <c r="H30" s="43">
        <v>0.01</v>
      </c>
      <c r="I30" s="43">
        <v>0.01</v>
      </c>
    </row>
    <row r="31">
      <c r="A31" s="41" t="s">
        <v>122</v>
      </c>
      <c r="B31" s="43">
        <v>0.01</v>
      </c>
      <c r="C31" s="43">
        <v>0.01</v>
      </c>
      <c r="D31" s="43">
        <v>0.01</v>
      </c>
      <c r="E31" s="43">
        <v>0.01</v>
      </c>
      <c r="F31" s="43">
        <v>1.33</v>
      </c>
      <c r="G31" s="43">
        <v>0.01</v>
      </c>
      <c r="H31" s="43">
        <v>0.01</v>
      </c>
      <c r="I31" s="43">
        <v>0.01</v>
      </c>
    </row>
    <row r="32">
      <c r="A32" s="41" t="s">
        <v>123</v>
      </c>
      <c r="B32" s="43">
        <v>0.01</v>
      </c>
      <c r="C32" s="43">
        <v>0.01</v>
      </c>
      <c r="D32" s="43">
        <v>0.01</v>
      </c>
      <c r="E32" s="43">
        <v>0.01</v>
      </c>
      <c r="F32" s="43">
        <v>0.01</v>
      </c>
      <c r="G32" s="43">
        <v>0.01</v>
      </c>
      <c r="H32" s="43">
        <v>0.01</v>
      </c>
      <c r="I32" s="43">
        <v>0.67</v>
      </c>
    </row>
    <row r="34">
      <c r="A34" s="40"/>
      <c r="B34" s="4" t="s">
        <v>79</v>
      </c>
      <c r="C34" s="4" t="s">
        <v>49</v>
      </c>
      <c r="D34" s="4" t="s">
        <v>43</v>
      </c>
      <c r="E34" s="46" t="s">
        <v>78</v>
      </c>
      <c r="F34" s="46" t="s">
        <v>75</v>
      </c>
      <c r="G34" s="46" t="s">
        <v>80</v>
      </c>
      <c r="H34" s="46" t="s">
        <v>76</v>
      </c>
      <c r="I34" s="46" t="s">
        <v>77</v>
      </c>
    </row>
    <row r="35">
      <c r="A35" s="41" t="s">
        <v>110</v>
      </c>
      <c r="B35" s="43">
        <v>0.25</v>
      </c>
      <c r="C35" s="43">
        <v>0.25</v>
      </c>
      <c r="D35" s="43">
        <v>2.33</v>
      </c>
      <c r="E35" s="43">
        <v>0.25</v>
      </c>
      <c r="F35" s="43">
        <v>0.25</v>
      </c>
      <c r="G35" s="43">
        <v>1.0</v>
      </c>
      <c r="H35" s="43">
        <v>0.25</v>
      </c>
      <c r="I35" s="43">
        <v>1.67</v>
      </c>
    </row>
    <row r="36">
      <c r="A36" s="41" t="s">
        <v>111</v>
      </c>
      <c r="B36" s="44">
        <v>0.33</v>
      </c>
      <c r="C36" s="43">
        <v>0.25</v>
      </c>
      <c r="D36" s="43">
        <v>0.67</v>
      </c>
      <c r="E36" s="43">
        <v>0.67</v>
      </c>
      <c r="F36" s="43">
        <v>0.67</v>
      </c>
      <c r="G36" s="43">
        <v>2.0</v>
      </c>
      <c r="H36" s="43">
        <v>0.25</v>
      </c>
      <c r="I36" s="43">
        <v>6.0</v>
      </c>
    </row>
    <row r="37">
      <c r="A37" s="41" t="s">
        <v>112</v>
      </c>
      <c r="B37" s="43">
        <v>0.67</v>
      </c>
      <c r="C37" s="43">
        <v>3.67</v>
      </c>
      <c r="D37" s="43">
        <v>0.25</v>
      </c>
      <c r="E37" s="43">
        <v>2.67</v>
      </c>
      <c r="F37" s="43">
        <v>0.33</v>
      </c>
      <c r="G37" s="43">
        <v>2.67</v>
      </c>
      <c r="H37" s="43">
        <v>1.0</v>
      </c>
      <c r="I37" s="43">
        <v>1.33</v>
      </c>
    </row>
    <row r="38">
      <c r="A38" s="41" t="s">
        <v>113</v>
      </c>
      <c r="B38" s="43">
        <v>6.0</v>
      </c>
      <c r="C38" s="43">
        <v>0.67</v>
      </c>
      <c r="D38" s="43">
        <v>0.67</v>
      </c>
      <c r="E38" s="43">
        <v>0.33</v>
      </c>
      <c r="F38" s="43">
        <v>0.67</v>
      </c>
      <c r="G38" s="43">
        <v>2.0</v>
      </c>
      <c r="H38" s="43">
        <v>0.33</v>
      </c>
      <c r="I38" s="43">
        <v>0.67</v>
      </c>
    </row>
    <row r="39">
      <c r="A39" s="41" t="s">
        <v>114</v>
      </c>
      <c r="B39" s="43">
        <v>9.33</v>
      </c>
      <c r="C39" s="43">
        <v>4.33</v>
      </c>
      <c r="D39" s="43">
        <v>0.67</v>
      </c>
      <c r="E39" s="43">
        <v>0.25</v>
      </c>
      <c r="F39" s="43">
        <v>0.25</v>
      </c>
      <c r="G39" s="43">
        <v>2.67</v>
      </c>
      <c r="H39" s="43">
        <v>2.0</v>
      </c>
      <c r="I39" s="43">
        <v>3.33</v>
      </c>
    </row>
    <row r="40">
      <c r="A40" s="41" t="s">
        <v>115</v>
      </c>
      <c r="B40" s="43">
        <v>30.01</v>
      </c>
      <c r="C40" s="43">
        <v>36.33</v>
      </c>
      <c r="D40" s="43">
        <v>0.33</v>
      </c>
      <c r="E40" s="43">
        <v>4.33</v>
      </c>
      <c r="F40" s="43">
        <v>8.67</v>
      </c>
      <c r="G40" s="43">
        <v>26.33</v>
      </c>
      <c r="H40" s="43">
        <v>25.0</v>
      </c>
      <c r="I40" s="43">
        <v>6.33</v>
      </c>
    </row>
    <row r="41">
      <c r="A41" s="41" t="s">
        <v>116</v>
      </c>
      <c r="B41" s="43">
        <v>54.67</v>
      </c>
      <c r="C41" s="43">
        <v>58.33</v>
      </c>
      <c r="D41" s="43">
        <v>3.67</v>
      </c>
      <c r="E41" s="43">
        <v>4.33</v>
      </c>
      <c r="F41" s="43">
        <v>7.33</v>
      </c>
      <c r="G41" s="43">
        <v>17.0</v>
      </c>
      <c r="H41" s="43">
        <v>36.67</v>
      </c>
      <c r="I41" s="43">
        <v>9.33</v>
      </c>
    </row>
    <row r="42">
      <c r="A42" s="41" t="s">
        <v>21</v>
      </c>
      <c r="B42" s="43">
        <v>64.67</v>
      </c>
      <c r="C42" s="43">
        <v>98.33</v>
      </c>
      <c r="D42" s="43">
        <v>7.33</v>
      </c>
      <c r="E42" s="43">
        <v>18.0</v>
      </c>
      <c r="F42" s="43">
        <v>7.33</v>
      </c>
      <c r="G42" s="43">
        <v>33.67</v>
      </c>
      <c r="H42" s="43">
        <v>23.67</v>
      </c>
      <c r="I42" s="43">
        <v>15.33</v>
      </c>
    </row>
    <row r="43">
      <c r="A43" s="41" t="s">
        <v>117</v>
      </c>
      <c r="B43" s="45">
        <v>11.0</v>
      </c>
      <c r="C43" s="45">
        <v>15.0</v>
      </c>
      <c r="D43" s="43">
        <v>3.33</v>
      </c>
      <c r="E43" s="43">
        <v>3.0</v>
      </c>
      <c r="F43" s="43">
        <v>3.0</v>
      </c>
      <c r="G43" s="43">
        <v>2.67</v>
      </c>
      <c r="H43" s="43">
        <v>2.67</v>
      </c>
      <c r="I43" s="43">
        <v>3.67</v>
      </c>
    </row>
    <row r="44">
      <c r="A44" s="41" t="s">
        <v>118</v>
      </c>
      <c r="B44" s="43">
        <v>0.25</v>
      </c>
      <c r="C44" s="45">
        <v>0.25</v>
      </c>
      <c r="D44" s="43">
        <v>0.01</v>
      </c>
      <c r="E44" s="43">
        <v>0.01</v>
      </c>
      <c r="F44" s="43">
        <v>0.25</v>
      </c>
      <c r="G44" s="43">
        <v>0.01</v>
      </c>
      <c r="H44" s="43">
        <v>0.01</v>
      </c>
      <c r="I44" s="43">
        <v>0.01</v>
      </c>
    </row>
    <row r="45">
      <c r="A45" s="41" t="s">
        <v>119</v>
      </c>
      <c r="B45" s="43">
        <v>0.01</v>
      </c>
      <c r="C45" s="45">
        <v>20.0</v>
      </c>
      <c r="D45" s="43">
        <v>3.67</v>
      </c>
      <c r="E45" s="43">
        <v>3.0</v>
      </c>
      <c r="F45" s="43">
        <v>5.67</v>
      </c>
      <c r="G45" s="43">
        <v>1.67</v>
      </c>
      <c r="H45" s="43">
        <v>0.01</v>
      </c>
      <c r="I45" s="43">
        <v>3.0</v>
      </c>
    </row>
    <row r="46">
      <c r="A46" s="41" t="s">
        <v>120</v>
      </c>
      <c r="B46" s="43">
        <v>6.67</v>
      </c>
      <c r="C46" s="43">
        <v>12.33</v>
      </c>
      <c r="D46" s="43">
        <v>1.0</v>
      </c>
      <c r="E46" s="43">
        <v>6.0</v>
      </c>
      <c r="F46" s="43">
        <v>4.67</v>
      </c>
      <c r="G46" s="43">
        <v>8.0</v>
      </c>
      <c r="H46" s="43">
        <v>5.0</v>
      </c>
      <c r="I46" s="43">
        <v>2.33</v>
      </c>
    </row>
    <row r="47">
      <c r="A47" s="41" t="s">
        <v>121</v>
      </c>
      <c r="B47" s="43">
        <v>0.01</v>
      </c>
      <c r="C47" s="43">
        <v>0.01</v>
      </c>
      <c r="D47" s="43">
        <v>1.67</v>
      </c>
      <c r="E47" s="43">
        <v>0.67</v>
      </c>
      <c r="F47" s="43">
        <v>4.0</v>
      </c>
      <c r="G47" s="43">
        <v>0.01</v>
      </c>
      <c r="H47" s="43">
        <v>0.01</v>
      </c>
      <c r="I47" s="43">
        <v>0.01</v>
      </c>
    </row>
    <row r="48">
      <c r="A48" s="41" t="s">
        <v>122</v>
      </c>
      <c r="B48" s="43">
        <v>0.01</v>
      </c>
      <c r="C48" s="43">
        <v>0.01</v>
      </c>
      <c r="D48" s="43">
        <v>0.01</v>
      </c>
      <c r="E48" s="43">
        <v>0.01</v>
      </c>
      <c r="F48" s="43">
        <v>1.33</v>
      </c>
      <c r="G48" s="43">
        <v>0.01</v>
      </c>
      <c r="H48" s="43">
        <v>0.01</v>
      </c>
      <c r="I48" s="43">
        <v>0.01</v>
      </c>
    </row>
    <row r="49">
      <c r="A49" s="41" t="s">
        <v>123</v>
      </c>
      <c r="B49" s="43">
        <v>0.01</v>
      </c>
      <c r="C49" s="43">
        <v>0.01</v>
      </c>
      <c r="D49" s="43">
        <v>0.01</v>
      </c>
      <c r="E49" s="43">
        <v>0.01</v>
      </c>
      <c r="F49" s="43">
        <v>0.01</v>
      </c>
      <c r="G49" s="43">
        <v>0.01</v>
      </c>
      <c r="H49" s="43">
        <v>0.01</v>
      </c>
      <c r="I49" s="43">
        <v>0.67</v>
      </c>
    </row>
    <row r="50">
      <c r="A50" s="42" t="s">
        <v>86</v>
      </c>
      <c r="B50" s="10" t="s">
        <v>126</v>
      </c>
      <c r="C50" s="10" t="s">
        <v>130</v>
      </c>
      <c r="D50" s="10" t="s">
        <v>130</v>
      </c>
      <c r="E50" s="10" t="s">
        <v>130</v>
      </c>
      <c r="F50" s="10" t="s">
        <v>126</v>
      </c>
      <c r="G50" s="10" t="s">
        <v>126</v>
      </c>
      <c r="H50" s="10" t="s">
        <v>130</v>
      </c>
      <c r="I50" s="10" t="s">
        <v>130</v>
      </c>
    </row>
    <row r="51">
      <c r="A51" s="42" t="s">
        <v>8</v>
      </c>
      <c r="B51" s="10" t="s">
        <v>127</v>
      </c>
      <c r="C51" s="10" t="s">
        <v>69</v>
      </c>
      <c r="D51" s="10" t="s">
        <v>131</v>
      </c>
      <c r="E51" s="10" t="s">
        <v>131</v>
      </c>
      <c r="F51" s="10" t="s">
        <v>127</v>
      </c>
      <c r="G51" s="10" t="s">
        <v>127</v>
      </c>
      <c r="H51" s="10" t="s">
        <v>131</v>
      </c>
      <c r="I51" s="10" t="s">
        <v>131</v>
      </c>
    </row>
    <row r="52">
      <c r="A52" s="42" t="s">
        <v>124</v>
      </c>
      <c r="B52" s="20">
        <v>2.0</v>
      </c>
      <c r="C52" s="20">
        <v>11.0</v>
      </c>
      <c r="D52" s="20">
        <v>9.0</v>
      </c>
      <c r="E52" s="20">
        <v>8.0</v>
      </c>
      <c r="F52" s="20">
        <v>1.0</v>
      </c>
      <c r="G52" s="20">
        <v>1.0</v>
      </c>
      <c r="H52" s="20">
        <v>3.0</v>
      </c>
      <c r="I52" s="20">
        <v>8.0</v>
      </c>
    </row>
    <row r="53">
      <c r="A53" s="42" t="s">
        <v>7</v>
      </c>
      <c r="B53" s="10" t="s">
        <v>128</v>
      </c>
      <c r="C53" s="10" t="s">
        <v>128</v>
      </c>
      <c r="D53" s="10" t="s">
        <v>132</v>
      </c>
      <c r="E53" s="10" t="s">
        <v>128</v>
      </c>
      <c r="F53" s="10" t="s">
        <v>132</v>
      </c>
      <c r="G53" s="10" t="s">
        <v>128</v>
      </c>
      <c r="H53" s="10" t="s">
        <v>132</v>
      </c>
      <c r="I53" s="10" t="s">
        <v>132</v>
      </c>
    </row>
    <row r="54">
      <c r="A54" s="42" t="s">
        <v>125</v>
      </c>
      <c r="B54" s="10" t="s">
        <v>129</v>
      </c>
      <c r="C54" s="10" t="s">
        <v>129</v>
      </c>
      <c r="D54" s="10" t="s">
        <v>129</v>
      </c>
      <c r="E54" s="10" t="s">
        <v>129</v>
      </c>
      <c r="F54" s="10" t="s">
        <v>129</v>
      </c>
      <c r="G54" s="10" t="s">
        <v>129</v>
      </c>
      <c r="H54" s="10" t="s">
        <v>129</v>
      </c>
      <c r="I54" s="10" t="s">
        <v>129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0" t="s">
        <v>136</v>
      </c>
      <c r="B1" s="42" t="s">
        <v>137</v>
      </c>
      <c r="C1" s="42" t="s">
        <v>138</v>
      </c>
      <c r="D1" s="41" t="s">
        <v>110</v>
      </c>
      <c r="E1" s="41" t="s">
        <v>111</v>
      </c>
      <c r="F1" s="41" t="s">
        <v>112</v>
      </c>
      <c r="G1" s="41" t="s">
        <v>113</v>
      </c>
      <c r="H1" s="41" t="s">
        <v>114</v>
      </c>
      <c r="I1" s="41" t="s">
        <v>115</v>
      </c>
      <c r="J1" s="41" t="s">
        <v>116</v>
      </c>
      <c r="K1" s="41" t="s">
        <v>21</v>
      </c>
      <c r="L1" s="41" t="s">
        <v>117</v>
      </c>
      <c r="M1" s="41" t="s">
        <v>118</v>
      </c>
      <c r="N1" s="41" t="s">
        <v>119</v>
      </c>
      <c r="O1" s="41" t="s">
        <v>120</v>
      </c>
      <c r="P1" s="41" t="s">
        <v>121</v>
      </c>
      <c r="Q1" s="41" t="s">
        <v>122</v>
      </c>
      <c r="R1" s="41" t="s">
        <v>123</v>
      </c>
    </row>
    <row r="2">
      <c r="A2" s="4" t="s">
        <v>79</v>
      </c>
      <c r="B2" s="10" t="s">
        <v>126</v>
      </c>
      <c r="C2" s="20">
        <v>2.0</v>
      </c>
      <c r="D2" s="43">
        <v>0.25</v>
      </c>
      <c r="E2" s="44">
        <v>0.33</v>
      </c>
      <c r="F2" s="43">
        <v>0.67</v>
      </c>
      <c r="G2" s="43">
        <v>6.0</v>
      </c>
      <c r="H2" s="43">
        <v>9.33</v>
      </c>
      <c r="I2" s="43">
        <v>30.01</v>
      </c>
      <c r="J2" s="43">
        <v>54.67</v>
      </c>
      <c r="K2" s="43">
        <v>64.67</v>
      </c>
      <c r="L2" s="45">
        <v>11.0</v>
      </c>
      <c r="M2" s="43">
        <v>0.25</v>
      </c>
      <c r="N2" s="43">
        <v>0.01</v>
      </c>
      <c r="O2" s="43">
        <v>6.67</v>
      </c>
      <c r="P2" s="43">
        <v>0.01</v>
      </c>
      <c r="Q2" s="43">
        <v>0.01</v>
      </c>
      <c r="R2" s="43">
        <v>0.01</v>
      </c>
    </row>
    <row r="3">
      <c r="A3" s="4" t="s">
        <v>49</v>
      </c>
      <c r="B3" s="10" t="s">
        <v>130</v>
      </c>
      <c r="C3" s="20">
        <v>11.0</v>
      </c>
      <c r="D3" s="43">
        <v>0.25</v>
      </c>
      <c r="E3" s="43">
        <v>0.25</v>
      </c>
      <c r="F3" s="43">
        <v>3.67</v>
      </c>
      <c r="G3" s="43">
        <v>0.67</v>
      </c>
      <c r="H3" s="43">
        <v>4.33</v>
      </c>
      <c r="I3" s="43">
        <v>36.33</v>
      </c>
      <c r="J3" s="43">
        <v>58.33</v>
      </c>
      <c r="K3" s="43">
        <v>98.33</v>
      </c>
      <c r="L3" s="45">
        <v>15.0</v>
      </c>
      <c r="M3" s="45">
        <v>0.25</v>
      </c>
      <c r="N3" s="45">
        <v>20.0</v>
      </c>
      <c r="O3" s="43">
        <v>12.33</v>
      </c>
      <c r="P3" s="43">
        <v>0.01</v>
      </c>
      <c r="Q3" s="43">
        <v>0.01</v>
      </c>
      <c r="R3" s="43">
        <v>0.01</v>
      </c>
    </row>
    <row r="4">
      <c r="A4" s="4" t="s">
        <v>43</v>
      </c>
      <c r="B4" s="10" t="s">
        <v>130</v>
      </c>
      <c r="C4" s="20">
        <v>9.0</v>
      </c>
      <c r="D4" s="43">
        <v>2.33</v>
      </c>
      <c r="E4" s="43">
        <v>0.67</v>
      </c>
      <c r="F4" s="43">
        <v>0.25</v>
      </c>
      <c r="G4" s="43">
        <v>0.67</v>
      </c>
      <c r="H4" s="43">
        <v>0.67</v>
      </c>
      <c r="I4" s="43">
        <v>0.33</v>
      </c>
      <c r="J4" s="43">
        <v>3.67</v>
      </c>
      <c r="K4" s="43">
        <v>7.33</v>
      </c>
      <c r="L4" s="43">
        <v>3.33</v>
      </c>
      <c r="M4" s="43">
        <v>0.01</v>
      </c>
      <c r="N4" s="43">
        <v>3.67</v>
      </c>
      <c r="O4" s="43">
        <v>1.0</v>
      </c>
      <c r="P4" s="43">
        <v>1.67</v>
      </c>
      <c r="Q4" s="43">
        <v>0.01</v>
      </c>
      <c r="R4" s="43">
        <v>0.01</v>
      </c>
    </row>
    <row r="5">
      <c r="A5" s="46" t="s">
        <v>78</v>
      </c>
      <c r="B5" s="10" t="s">
        <v>130</v>
      </c>
      <c r="C5" s="20">
        <v>8.0</v>
      </c>
      <c r="D5" s="43">
        <v>0.25</v>
      </c>
      <c r="E5" s="43">
        <v>0.67</v>
      </c>
      <c r="F5" s="43">
        <v>2.67</v>
      </c>
      <c r="G5" s="43">
        <v>0.33</v>
      </c>
      <c r="H5" s="43">
        <v>0.25</v>
      </c>
      <c r="I5" s="43">
        <v>4.33</v>
      </c>
      <c r="J5" s="43">
        <v>4.33</v>
      </c>
      <c r="K5" s="43">
        <v>18.0</v>
      </c>
      <c r="L5" s="43">
        <v>3.0</v>
      </c>
      <c r="M5" s="43">
        <v>0.01</v>
      </c>
      <c r="N5" s="43">
        <v>3.0</v>
      </c>
      <c r="O5" s="43">
        <v>6.0</v>
      </c>
      <c r="P5" s="43">
        <v>0.67</v>
      </c>
      <c r="Q5" s="43">
        <v>0.01</v>
      </c>
      <c r="R5" s="43">
        <v>0.01</v>
      </c>
    </row>
    <row r="6">
      <c r="A6" s="46" t="s">
        <v>75</v>
      </c>
      <c r="B6" s="10" t="s">
        <v>126</v>
      </c>
      <c r="C6" s="20">
        <v>1.0</v>
      </c>
      <c r="D6" s="43">
        <v>0.25</v>
      </c>
      <c r="E6" s="43">
        <v>0.67</v>
      </c>
      <c r="F6" s="43">
        <v>0.33</v>
      </c>
      <c r="G6" s="43">
        <v>0.67</v>
      </c>
      <c r="H6" s="43">
        <v>0.25</v>
      </c>
      <c r="I6" s="43">
        <v>8.67</v>
      </c>
      <c r="J6" s="43">
        <v>7.33</v>
      </c>
      <c r="K6" s="43">
        <v>7.33</v>
      </c>
      <c r="L6" s="43">
        <v>3.0</v>
      </c>
      <c r="M6" s="43">
        <v>0.25</v>
      </c>
      <c r="N6" s="43">
        <v>5.67</v>
      </c>
      <c r="O6" s="43">
        <v>4.67</v>
      </c>
      <c r="P6" s="43">
        <v>4.0</v>
      </c>
      <c r="Q6" s="43">
        <v>1.33</v>
      </c>
      <c r="R6" s="43">
        <v>0.01</v>
      </c>
    </row>
    <row r="7">
      <c r="A7" s="46" t="s">
        <v>80</v>
      </c>
      <c r="B7" s="10" t="s">
        <v>126</v>
      </c>
      <c r="C7" s="20">
        <v>1.0</v>
      </c>
      <c r="D7" s="43">
        <v>1.0</v>
      </c>
      <c r="E7" s="43">
        <v>2.0</v>
      </c>
      <c r="F7" s="43">
        <v>2.67</v>
      </c>
      <c r="G7" s="43">
        <v>2.0</v>
      </c>
      <c r="H7" s="43">
        <v>2.67</v>
      </c>
      <c r="I7" s="43">
        <v>26.33</v>
      </c>
      <c r="J7" s="43">
        <v>17.0</v>
      </c>
      <c r="K7" s="43">
        <v>33.67</v>
      </c>
      <c r="L7" s="43">
        <v>2.67</v>
      </c>
      <c r="M7" s="43">
        <v>0.01</v>
      </c>
      <c r="N7" s="43">
        <v>1.67</v>
      </c>
      <c r="O7" s="43">
        <v>8.0</v>
      </c>
      <c r="P7" s="43">
        <v>0.01</v>
      </c>
      <c r="Q7" s="43">
        <v>0.01</v>
      </c>
      <c r="R7" s="43">
        <v>0.01</v>
      </c>
    </row>
    <row r="8">
      <c r="A8" s="46" t="s">
        <v>76</v>
      </c>
      <c r="B8" s="10" t="s">
        <v>130</v>
      </c>
      <c r="C8" s="20">
        <v>3.0</v>
      </c>
      <c r="D8" s="43">
        <v>0.25</v>
      </c>
      <c r="E8" s="43">
        <v>0.25</v>
      </c>
      <c r="F8" s="43">
        <v>1.0</v>
      </c>
      <c r="G8" s="43">
        <v>0.33</v>
      </c>
      <c r="H8" s="43">
        <v>2.0</v>
      </c>
      <c r="I8" s="43">
        <v>25.0</v>
      </c>
      <c r="J8" s="43">
        <v>36.67</v>
      </c>
      <c r="K8" s="43">
        <v>23.67</v>
      </c>
      <c r="L8" s="43">
        <v>2.67</v>
      </c>
      <c r="M8" s="43">
        <v>0.01</v>
      </c>
      <c r="N8" s="43">
        <v>0.01</v>
      </c>
      <c r="O8" s="43">
        <v>5.0</v>
      </c>
      <c r="P8" s="43">
        <v>0.01</v>
      </c>
      <c r="Q8" s="43">
        <v>0.01</v>
      </c>
      <c r="R8" s="43">
        <v>0.01</v>
      </c>
    </row>
    <row r="9">
      <c r="A9" s="46" t="s">
        <v>77</v>
      </c>
      <c r="B9" s="10" t="s">
        <v>130</v>
      </c>
      <c r="C9" s="20">
        <v>8.0</v>
      </c>
      <c r="D9" s="43">
        <v>1.67</v>
      </c>
      <c r="E9" s="43">
        <v>6.0</v>
      </c>
      <c r="F9" s="43">
        <v>1.33</v>
      </c>
      <c r="G9" s="43">
        <v>0.67</v>
      </c>
      <c r="H9" s="43">
        <v>3.33</v>
      </c>
      <c r="I9" s="43">
        <v>6.33</v>
      </c>
      <c r="J9" s="43">
        <v>9.33</v>
      </c>
      <c r="K9" s="43">
        <v>15.33</v>
      </c>
      <c r="L9" s="43">
        <v>3.67</v>
      </c>
      <c r="M9" s="43">
        <v>0.01</v>
      </c>
      <c r="N9" s="43">
        <v>3.0</v>
      </c>
      <c r="O9" s="43">
        <v>2.33</v>
      </c>
      <c r="P9" s="43">
        <v>0.01</v>
      </c>
      <c r="Q9" s="43">
        <v>0.01</v>
      </c>
      <c r="R9" s="43">
        <v>0.67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16.43"/>
    <col customWidth="1" min="3" max="3" width="18.43"/>
    <col customWidth="1" min="5" max="5" width="17.57"/>
    <col customWidth="1" min="8" max="8" width="16.14"/>
  </cols>
  <sheetData>
    <row r="1">
      <c r="B1" s="3" t="s">
        <v>79</v>
      </c>
      <c r="C1" s="3" t="s">
        <v>49</v>
      </c>
      <c r="D1" s="3" t="s">
        <v>43</v>
      </c>
      <c r="E1" s="3" t="s">
        <v>78</v>
      </c>
      <c r="F1" s="3" t="s">
        <v>75</v>
      </c>
      <c r="G1" s="3" t="s">
        <v>80</v>
      </c>
      <c r="H1" s="3" t="s">
        <v>76</v>
      </c>
      <c r="I1" s="3" t="s">
        <v>77</v>
      </c>
      <c r="J1" s="3" t="s">
        <v>133</v>
      </c>
      <c r="L1" s="14" t="s">
        <v>110</v>
      </c>
      <c r="M1" s="14" t="s">
        <v>111</v>
      </c>
      <c r="N1" s="14" t="s">
        <v>112</v>
      </c>
      <c r="O1" s="14" t="s">
        <v>113</v>
      </c>
      <c r="P1" s="14" t="s">
        <v>114</v>
      </c>
      <c r="Q1" s="14" t="s">
        <v>115</v>
      </c>
      <c r="R1" s="14" t="s">
        <v>116</v>
      </c>
      <c r="S1" s="14" t="s">
        <v>139</v>
      </c>
      <c r="T1" s="13" t="s">
        <v>140</v>
      </c>
      <c r="U1" s="13" t="s">
        <v>141</v>
      </c>
      <c r="V1" s="13" t="s">
        <v>117</v>
      </c>
      <c r="W1" s="13" t="s">
        <v>118</v>
      </c>
      <c r="X1" s="13" t="s">
        <v>119</v>
      </c>
      <c r="Y1" s="14" t="s">
        <v>120</v>
      </c>
      <c r="Z1" s="14" t="s">
        <v>142</v>
      </c>
      <c r="AA1" s="13" t="s">
        <v>143</v>
      </c>
      <c r="AB1" s="14" t="s">
        <v>123</v>
      </c>
    </row>
    <row r="2">
      <c r="A2" s="14" t="s">
        <v>25</v>
      </c>
      <c r="B2" s="10">
        <v>1.0</v>
      </c>
      <c r="C2" s="10">
        <v>1.0</v>
      </c>
      <c r="D2" s="10">
        <v>1.0</v>
      </c>
      <c r="E2" s="10">
        <v>1.0</v>
      </c>
      <c r="F2" s="10">
        <v>1.0</v>
      </c>
      <c r="G2" s="10">
        <v>1.0</v>
      </c>
      <c r="H2" s="10">
        <v>1.0</v>
      </c>
      <c r="I2" s="10">
        <v>1.0</v>
      </c>
      <c r="J2" s="10">
        <v>1.0</v>
      </c>
      <c r="K2" s="3" t="s">
        <v>79</v>
      </c>
      <c r="L2" s="10">
        <v>1.0</v>
      </c>
      <c r="M2" s="10">
        <v>1.0</v>
      </c>
      <c r="N2" s="10">
        <v>1.0</v>
      </c>
      <c r="O2" s="10">
        <v>1.0</v>
      </c>
      <c r="P2" s="10">
        <v>1.0</v>
      </c>
      <c r="Q2" s="10">
        <v>1.0</v>
      </c>
      <c r="R2" s="10">
        <v>1.0</v>
      </c>
      <c r="S2" s="10">
        <v>1.0</v>
      </c>
      <c r="T2" s="10">
        <v>1.0</v>
      </c>
      <c r="U2" s="10">
        <v>1.0</v>
      </c>
      <c r="V2" s="10">
        <v>1.0</v>
      </c>
      <c r="W2" s="10">
        <v>1.0</v>
      </c>
      <c r="X2" s="10">
        <v>0.0</v>
      </c>
      <c r="Y2" s="10">
        <v>1.0</v>
      </c>
      <c r="Z2" s="10">
        <v>0.0</v>
      </c>
      <c r="AA2" s="10">
        <v>0.0</v>
      </c>
      <c r="AB2" s="10">
        <v>0.0</v>
      </c>
    </row>
    <row r="3">
      <c r="A3" s="6" t="s">
        <v>11</v>
      </c>
      <c r="B3" s="10">
        <v>1.0</v>
      </c>
      <c r="C3" s="10">
        <v>1.0</v>
      </c>
      <c r="D3" s="10">
        <v>1.0</v>
      </c>
      <c r="E3" s="10">
        <v>1.0</v>
      </c>
      <c r="F3" s="10">
        <v>1.0</v>
      </c>
      <c r="G3" s="10">
        <v>1.0</v>
      </c>
      <c r="H3" s="10">
        <v>1.0</v>
      </c>
      <c r="I3" s="10">
        <v>1.0</v>
      </c>
      <c r="J3" s="10">
        <v>1.0</v>
      </c>
      <c r="K3" s="3" t="s">
        <v>49</v>
      </c>
      <c r="L3" s="10">
        <v>1.0</v>
      </c>
      <c r="M3" s="10">
        <v>1.0</v>
      </c>
      <c r="N3" s="10">
        <v>1.0</v>
      </c>
      <c r="O3" s="10">
        <v>1.0</v>
      </c>
      <c r="P3" s="10">
        <v>1.0</v>
      </c>
      <c r="Q3" s="10">
        <v>1.0</v>
      </c>
      <c r="R3" s="10">
        <v>1.0</v>
      </c>
      <c r="S3" s="10">
        <v>1.0</v>
      </c>
      <c r="T3" s="10">
        <v>1.0</v>
      </c>
      <c r="U3" s="10">
        <v>1.0</v>
      </c>
      <c r="V3" s="10">
        <v>1.0</v>
      </c>
      <c r="W3" s="10">
        <v>1.0</v>
      </c>
      <c r="X3" s="10">
        <v>0.0</v>
      </c>
      <c r="Y3" s="10">
        <v>1.0</v>
      </c>
      <c r="Z3" s="10">
        <v>0.0</v>
      </c>
      <c r="AA3" s="10">
        <v>0.0</v>
      </c>
      <c r="AB3" s="10">
        <v>0.0</v>
      </c>
    </row>
    <row r="4">
      <c r="A4" s="6" t="s">
        <v>15</v>
      </c>
      <c r="B4" s="10">
        <v>1.0</v>
      </c>
      <c r="C4" s="10">
        <v>1.0</v>
      </c>
      <c r="D4" s="10">
        <v>1.0</v>
      </c>
      <c r="E4" s="10">
        <v>1.0</v>
      </c>
      <c r="F4" s="10">
        <v>1.0</v>
      </c>
      <c r="G4" s="10">
        <v>1.0</v>
      </c>
      <c r="H4" s="10">
        <v>1.0</v>
      </c>
      <c r="I4" s="10">
        <v>1.0</v>
      </c>
      <c r="J4" s="10">
        <v>1.0</v>
      </c>
      <c r="K4" s="3" t="s">
        <v>43</v>
      </c>
      <c r="L4" s="10">
        <v>1.0</v>
      </c>
      <c r="M4" s="10">
        <v>1.0</v>
      </c>
      <c r="N4" s="10">
        <v>1.0</v>
      </c>
      <c r="O4" s="10">
        <v>1.0</v>
      </c>
      <c r="P4" s="10">
        <v>1.0</v>
      </c>
      <c r="Q4" s="10">
        <v>1.0</v>
      </c>
      <c r="R4" s="10">
        <v>1.0</v>
      </c>
      <c r="S4" s="10">
        <v>1.0</v>
      </c>
      <c r="T4" s="10">
        <v>1.0</v>
      </c>
      <c r="U4" s="10">
        <v>0.0</v>
      </c>
      <c r="V4" s="10">
        <v>1.0</v>
      </c>
      <c r="W4" s="10">
        <v>0.0</v>
      </c>
      <c r="X4" s="10">
        <v>1.0</v>
      </c>
      <c r="Y4" s="10">
        <v>1.0</v>
      </c>
      <c r="Z4" s="10">
        <v>1.0</v>
      </c>
      <c r="AA4" s="10">
        <v>0.0</v>
      </c>
      <c r="AB4" s="10">
        <v>0.0</v>
      </c>
    </row>
    <row r="5">
      <c r="A5" s="6" t="s">
        <v>16</v>
      </c>
      <c r="B5" s="10">
        <v>1.0</v>
      </c>
      <c r="C5" s="10">
        <v>1.0</v>
      </c>
      <c r="D5" s="10">
        <v>1.0</v>
      </c>
      <c r="E5" s="10">
        <v>1.0</v>
      </c>
      <c r="F5" s="10">
        <v>1.0</v>
      </c>
      <c r="G5" s="10">
        <v>1.0</v>
      </c>
      <c r="H5" s="10">
        <v>1.0</v>
      </c>
      <c r="I5" s="10">
        <v>1.0</v>
      </c>
      <c r="J5" s="10">
        <v>0.0</v>
      </c>
      <c r="K5" s="3" t="s">
        <v>78</v>
      </c>
      <c r="L5" s="10">
        <v>1.0</v>
      </c>
      <c r="M5" s="10">
        <v>1.0</v>
      </c>
      <c r="N5" s="10">
        <v>1.0</v>
      </c>
      <c r="O5" s="10">
        <v>1.0</v>
      </c>
      <c r="P5" s="10">
        <v>1.0</v>
      </c>
      <c r="Q5" s="10">
        <v>1.0</v>
      </c>
      <c r="R5" s="10">
        <v>1.0</v>
      </c>
      <c r="S5" s="10">
        <v>0.0</v>
      </c>
      <c r="T5" s="10">
        <v>1.0</v>
      </c>
      <c r="U5" s="10">
        <v>1.0</v>
      </c>
      <c r="V5" s="10">
        <v>1.0</v>
      </c>
      <c r="W5" s="10">
        <v>0.0</v>
      </c>
      <c r="X5" s="10">
        <v>1.0</v>
      </c>
      <c r="Y5" s="10">
        <v>1.0</v>
      </c>
      <c r="Z5" s="10">
        <v>1.0</v>
      </c>
      <c r="AA5" s="10">
        <v>0.0</v>
      </c>
      <c r="AB5" s="10">
        <v>0.0</v>
      </c>
    </row>
    <row r="6">
      <c r="A6" s="6" t="s">
        <v>18</v>
      </c>
      <c r="B6" s="10">
        <v>1.0</v>
      </c>
      <c r="C6" s="10">
        <v>1.0</v>
      </c>
      <c r="D6" s="10">
        <v>1.0</v>
      </c>
      <c r="E6" s="10">
        <v>1.0</v>
      </c>
      <c r="F6" s="10">
        <v>1.0</v>
      </c>
      <c r="G6" s="10">
        <v>1.0</v>
      </c>
      <c r="H6" s="10">
        <v>1.0</v>
      </c>
      <c r="I6" s="10">
        <v>1.0</v>
      </c>
      <c r="J6" s="10">
        <v>1.0</v>
      </c>
      <c r="K6" s="3" t="s">
        <v>75</v>
      </c>
      <c r="L6" s="10">
        <v>1.0</v>
      </c>
      <c r="M6" s="10">
        <v>1.0</v>
      </c>
      <c r="N6" s="10">
        <v>1.0</v>
      </c>
      <c r="O6" s="10">
        <v>1.0</v>
      </c>
      <c r="P6" s="10">
        <v>1.0</v>
      </c>
      <c r="Q6" s="10">
        <v>1.0</v>
      </c>
      <c r="R6" s="10">
        <v>1.0</v>
      </c>
      <c r="S6" s="10">
        <v>0.0</v>
      </c>
      <c r="T6" s="10">
        <v>1.0</v>
      </c>
      <c r="U6" s="10">
        <v>0.0</v>
      </c>
      <c r="V6" s="10">
        <v>1.0</v>
      </c>
      <c r="W6" s="10">
        <v>1.0</v>
      </c>
      <c r="X6" s="10">
        <v>1.0</v>
      </c>
      <c r="Y6" s="10">
        <v>1.0</v>
      </c>
      <c r="Z6" s="10">
        <v>1.0</v>
      </c>
      <c r="AA6" s="10">
        <v>1.0</v>
      </c>
      <c r="AB6" s="10">
        <v>0.0</v>
      </c>
    </row>
    <row r="7">
      <c r="A7" s="6" t="s">
        <v>19</v>
      </c>
      <c r="B7" s="10">
        <v>1.0</v>
      </c>
      <c r="C7" s="10">
        <v>1.0</v>
      </c>
      <c r="D7" s="10">
        <v>1.0</v>
      </c>
      <c r="E7" s="10">
        <v>1.0</v>
      </c>
      <c r="F7" s="10">
        <v>1.0</v>
      </c>
      <c r="G7" s="10">
        <v>1.0</v>
      </c>
      <c r="H7" s="10">
        <v>1.0</v>
      </c>
      <c r="I7" s="10">
        <v>1.0</v>
      </c>
      <c r="J7" s="10">
        <v>0.0</v>
      </c>
      <c r="K7" s="3" t="s">
        <v>80</v>
      </c>
      <c r="L7" s="10">
        <v>1.0</v>
      </c>
      <c r="M7" s="10">
        <v>1.0</v>
      </c>
      <c r="N7" s="10">
        <v>1.0</v>
      </c>
      <c r="O7" s="10">
        <v>1.0</v>
      </c>
      <c r="P7" s="10">
        <v>1.0</v>
      </c>
      <c r="Q7" s="10">
        <v>1.0</v>
      </c>
      <c r="R7" s="10">
        <v>1.0</v>
      </c>
      <c r="S7" s="10">
        <v>0.0</v>
      </c>
      <c r="T7" s="10">
        <v>1.0</v>
      </c>
      <c r="U7" s="10">
        <v>0.0</v>
      </c>
      <c r="V7" s="10">
        <v>1.0</v>
      </c>
      <c r="W7" s="10">
        <v>0.0</v>
      </c>
      <c r="X7" s="10">
        <v>1.0</v>
      </c>
      <c r="Y7" s="10">
        <v>1.0</v>
      </c>
      <c r="Z7" s="10">
        <v>0.0</v>
      </c>
      <c r="AA7" s="10">
        <v>0.0</v>
      </c>
      <c r="AB7" s="10">
        <v>0.0</v>
      </c>
    </row>
    <row r="8">
      <c r="A8" s="6" t="s">
        <v>20</v>
      </c>
      <c r="B8" s="10">
        <v>1.0</v>
      </c>
      <c r="C8" s="10">
        <v>1.0</v>
      </c>
      <c r="D8" s="10">
        <v>1.0</v>
      </c>
      <c r="E8" s="10">
        <v>1.0</v>
      </c>
      <c r="F8" s="10">
        <v>1.0</v>
      </c>
      <c r="G8" s="10">
        <v>1.0</v>
      </c>
      <c r="H8" s="10">
        <v>1.0</v>
      </c>
      <c r="I8" s="10">
        <v>1.0</v>
      </c>
      <c r="J8" s="10">
        <v>1.0</v>
      </c>
      <c r="K8" s="3" t="s">
        <v>76</v>
      </c>
      <c r="L8" s="10">
        <v>1.0</v>
      </c>
      <c r="M8" s="10">
        <v>1.0</v>
      </c>
      <c r="N8" s="10">
        <v>1.0</v>
      </c>
      <c r="O8" s="10">
        <v>1.0</v>
      </c>
      <c r="P8" s="10">
        <v>1.0</v>
      </c>
      <c r="Q8" s="10">
        <v>1.0</v>
      </c>
      <c r="R8" s="10">
        <v>1.0</v>
      </c>
      <c r="S8" s="10">
        <v>1.0</v>
      </c>
      <c r="T8" s="10">
        <v>1.0</v>
      </c>
      <c r="U8" s="10">
        <v>0.0</v>
      </c>
      <c r="V8" s="10">
        <v>1.0</v>
      </c>
      <c r="W8" s="10">
        <v>0.0</v>
      </c>
      <c r="X8" s="10">
        <v>0.0</v>
      </c>
      <c r="Y8" s="10">
        <v>1.0</v>
      </c>
      <c r="Z8" s="10">
        <v>0.0</v>
      </c>
      <c r="AA8" s="10">
        <v>0.0</v>
      </c>
      <c r="AB8" s="10">
        <v>0.0</v>
      </c>
    </row>
    <row r="9">
      <c r="A9" s="14" t="s">
        <v>26</v>
      </c>
      <c r="B9" s="10">
        <v>1.0</v>
      </c>
      <c r="C9" s="10">
        <v>1.0</v>
      </c>
      <c r="D9" s="10">
        <v>1.0</v>
      </c>
      <c r="E9" s="10">
        <v>0.0</v>
      </c>
      <c r="F9" s="10">
        <v>0.0</v>
      </c>
      <c r="G9" s="10">
        <v>0.0</v>
      </c>
      <c r="H9" s="10">
        <v>1.0</v>
      </c>
      <c r="I9" s="10">
        <v>1.0</v>
      </c>
      <c r="J9" s="10">
        <v>1.0</v>
      </c>
      <c r="K9" s="3" t="s">
        <v>77</v>
      </c>
      <c r="L9" s="10">
        <v>1.0</v>
      </c>
      <c r="M9" s="10">
        <v>1.0</v>
      </c>
      <c r="N9" s="10">
        <v>1.0</v>
      </c>
      <c r="O9" s="10">
        <v>1.0</v>
      </c>
      <c r="P9" s="10">
        <v>1.0</v>
      </c>
      <c r="Q9" s="10">
        <v>1.0</v>
      </c>
      <c r="R9" s="10">
        <v>1.0</v>
      </c>
      <c r="S9" s="10">
        <v>1.0</v>
      </c>
      <c r="T9" s="10">
        <v>1.0</v>
      </c>
      <c r="U9" s="10">
        <v>0.0</v>
      </c>
      <c r="V9" s="10">
        <v>1.0</v>
      </c>
      <c r="W9" s="10">
        <v>0.0</v>
      </c>
      <c r="X9" s="10">
        <v>1.0</v>
      </c>
      <c r="Y9" s="10">
        <v>1.0</v>
      </c>
      <c r="Z9" s="10">
        <v>0.0</v>
      </c>
      <c r="AA9" s="10">
        <v>0.0</v>
      </c>
      <c r="AB9" s="10">
        <v>1.0</v>
      </c>
    </row>
    <row r="10">
      <c r="A10" s="13" t="s">
        <v>22</v>
      </c>
      <c r="B10" s="10">
        <v>1.0</v>
      </c>
      <c r="C10" s="10">
        <v>1.0</v>
      </c>
      <c r="D10" s="10">
        <v>1.0</v>
      </c>
      <c r="E10" s="10">
        <v>1.0</v>
      </c>
      <c r="F10" s="10">
        <v>1.0</v>
      </c>
      <c r="G10" s="10">
        <v>1.0</v>
      </c>
      <c r="H10" s="10">
        <v>1.0</v>
      </c>
      <c r="I10" s="10">
        <v>1.0</v>
      </c>
      <c r="J10" s="10">
        <v>1.0</v>
      </c>
    </row>
    <row r="11">
      <c r="A11" s="13" t="s">
        <v>27</v>
      </c>
      <c r="B11" s="10">
        <v>1.0</v>
      </c>
      <c r="C11" s="10">
        <v>1.0</v>
      </c>
      <c r="D11" s="10">
        <v>0.0</v>
      </c>
      <c r="E11" s="10">
        <v>1.0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</row>
    <row r="12">
      <c r="A12" s="13" t="s">
        <v>23</v>
      </c>
      <c r="B12" s="10">
        <v>1.0</v>
      </c>
      <c r="C12" s="10">
        <v>1.0</v>
      </c>
      <c r="D12" s="10">
        <v>1.0</v>
      </c>
      <c r="E12" s="10">
        <v>1.0</v>
      </c>
      <c r="F12" s="10">
        <v>1.0</v>
      </c>
      <c r="G12" s="10">
        <v>1.0</v>
      </c>
      <c r="H12" s="10">
        <v>1.0</v>
      </c>
      <c r="I12" s="10">
        <v>1.0</v>
      </c>
      <c r="J12" s="10">
        <v>1.0</v>
      </c>
    </row>
    <row r="13">
      <c r="A13" s="13" t="s">
        <v>24</v>
      </c>
      <c r="B13" s="10">
        <v>1.0</v>
      </c>
      <c r="C13" s="10">
        <v>1.0</v>
      </c>
      <c r="D13" s="10">
        <v>0.0</v>
      </c>
      <c r="E13" s="10">
        <v>0.0</v>
      </c>
      <c r="F13" s="10">
        <v>1.0</v>
      </c>
      <c r="G13" s="10">
        <v>0.0</v>
      </c>
      <c r="H13" s="10">
        <v>0.0</v>
      </c>
      <c r="I13" s="10">
        <v>0.0</v>
      </c>
      <c r="J13" s="10">
        <v>0.0</v>
      </c>
    </row>
    <row r="14">
      <c r="A14" s="13" t="s">
        <v>30</v>
      </c>
      <c r="B14" s="10">
        <v>0.0</v>
      </c>
      <c r="C14" s="10">
        <v>0.0</v>
      </c>
      <c r="D14" s="10">
        <v>1.0</v>
      </c>
      <c r="E14" s="10">
        <v>1.0</v>
      </c>
      <c r="F14" s="10">
        <v>1.0</v>
      </c>
      <c r="G14" s="10">
        <v>1.0</v>
      </c>
      <c r="H14" s="10">
        <v>0.0</v>
      </c>
      <c r="I14" s="10">
        <v>1.0</v>
      </c>
      <c r="J14" s="10">
        <v>1.0</v>
      </c>
    </row>
    <row r="15">
      <c r="A15" s="6" t="s">
        <v>17</v>
      </c>
      <c r="B15" s="10">
        <v>1.0</v>
      </c>
      <c r="C15" s="10">
        <v>1.0</v>
      </c>
      <c r="D15" s="10">
        <v>1.0</v>
      </c>
      <c r="E15" s="10">
        <v>1.0</v>
      </c>
      <c r="F15" s="10">
        <v>1.0</v>
      </c>
      <c r="G15" s="10">
        <v>1.0</v>
      </c>
      <c r="H15" s="10">
        <v>1.0</v>
      </c>
      <c r="I15" s="10">
        <v>1.0</v>
      </c>
      <c r="J15" s="10">
        <v>1.0</v>
      </c>
      <c r="L15" s="48" t="s">
        <v>20</v>
      </c>
    </row>
    <row r="16">
      <c r="A16" s="14" t="s">
        <v>35</v>
      </c>
      <c r="B16" s="10">
        <v>0.0</v>
      </c>
      <c r="C16" s="10">
        <v>0.0</v>
      </c>
      <c r="D16" s="10">
        <v>1.0</v>
      </c>
      <c r="E16" s="10">
        <v>1.0</v>
      </c>
      <c r="F16" s="10">
        <v>1.0</v>
      </c>
      <c r="G16" s="10">
        <v>0.0</v>
      </c>
      <c r="H16" s="10">
        <v>0.0</v>
      </c>
      <c r="I16" s="10">
        <v>0.0</v>
      </c>
      <c r="J16" s="10">
        <v>1.0</v>
      </c>
      <c r="L16" s="33" t="s">
        <v>25</v>
      </c>
    </row>
    <row r="17">
      <c r="A17" s="13" t="s">
        <v>47</v>
      </c>
      <c r="B17" s="10">
        <v>0.0</v>
      </c>
      <c r="C17" s="10">
        <v>0.0</v>
      </c>
      <c r="D17" s="10">
        <v>0.0</v>
      </c>
      <c r="E17" s="10">
        <v>0.0</v>
      </c>
      <c r="F17" s="10">
        <v>1.0</v>
      </c>
      <c r="G17" s="10">
        <v>0.0</v>
      </c>
      <c r="H17" s="10">
        <v>0.0</v>
      </c>
      <c r="I17" s="10">
        <v>0.0</v>
      </c>
      <c r="J17" s="10">
        <v>0.0</v>
      </c>
      <c r="L17" s="49" t="s">
        <v>11</v>
      </c>
    </row>
    <row r="18">
      <c r="A18" s="14" t="s">
        <v>52</v>
      </c>
      <c r="B18" s="10">
        <v>0.0</v>
      </c>
      <c r="C18" s="10">
        <v>0.0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1.0</v>
      </c>
      <c r="J18" s="10">
        <v>0.0</v>
      </c>
      <c r="L18" s="48" t="s">
        <v>17</v>
      </c>
    </row>
    <row r="19">
      <c r="B19" s="39">
        <f>SUM(B2:B18)</f>
        <v>13</v>
      </c>
      <c r="C19" s="39">
        <f t="shared" ref="C19:G19" si="1">SUM(C2:C17)</f>
        <v>13</v>
      </c>
      <c r="D19" s="39">
        <f t="shared" si="1"/>
        <v>13</v>
      </c>
      <c r="E19" s="39">
        <f t="shared" si="1"/>
        <v>13</v>
      </c>
      <c r="F19" s="39">
        <f t="shared" si="1"/>
        <v>14</v>
      </c>
      <c r="G19" s="39">
        <f t="shared" si="1"/>
        <v>11</v>
      </c>
      <c r="H19" s="10">
        <f t="shared" ref="H19:I19" si="2">SUM(H2:H18)</f>
        <v>11</v>
      </c>
      <c r="I19" s="39">
        <f t="shared" si="2"/>
        <v>13</v>
      </c>
      <c r="J19" s="10">
        <f>SUM(J2:J17)</f>
        <v>11</v>
      </c>
      <c r="L19" s="48" t="s">
        <v>35</v>
      </c>
    </row>
    <row r="20">
      <c r="L20" s="48" t="s">
        <v>36</v>
      </c>
    </row>
    <row r="21">
      <c r="L21" s="13" t="s">
        <v>21</v>
      </c>
    </row>
    <row r="22">
      <c r="B22" s="10" t="s">
        <v>144</v>
      </c>
      <c r="C22" s="10" t="s">
        <v>145</v>
      </c>
      <c r="D22" s="10" t="s">
        <v>146</v>
      </c>
      <c r="E22" s="10" t="s">
        <v>147</v>
      </c>
      <c r="F22" s="10" t="s">
        <v>148</v>
      </c>
      <c r="G22" s="10" t="s">
        <v>149</v>
      </c>
      <c r="H22" s="10" t="s">
        <v>150</v>
      </c>
      <c r="I22" s="10" t="s">
        <v>151</v>
      </c>
      <c r="J22" s="10" t="s">
        <v>152</v>
      </c>
      <c r="L22" s="48" t="s">
        <v>15</v>
      </c>
    </row>
    <row r="23">
      <c r="B23" s="39">
        <f t="shared" ref="B23:B38" si="3">B2+E2</f>
        <v>2</v>
      </c>
      <c r="C23" s="39">
        <f t="shared" ref="C23:C38" si="4">SUM(D2,F2)</f>
        <v>2</v>
      </c>
      <c r="D23" s="39">
        <f t="shared" ref="D23:D38" si="5">SUM(C2,G2)</f>
        <v>2</v>
      </c>
      <c r="E23" s="39">
        <f t="shared" ref="E23:E38" si="6">SUM(D2,C2)</f>
        <v>2</v>
      </c>
      <c r="F23" s="39">
        <f t="shared" ref="F23:F38" si="7">SUM(C2,E2)</f>
        <v>2</v>
      </c>
      <c r="G23" s="39">
        <f t="shared" ref="G23:G38" si="8">E2+D2</f>
        <v>2</v>
      </c>
      <c r="H23" s="39">
        <f t="shared" ref="H23:H38" si="9">SUM(F2+G2)</f>
        <v>2</v>
      </c>
      <c r="I23" s="39">
        <f t="shared" ref="I23:I38" si="10">B2+D2</f>
        <v>2</v>
      </c>
      <c r="J23" s="39">
        <f t="shared" ref="J23:J38" si="11">B2+C2</f>
        <v>2</v>
      </c>
      <c r="L23" s="48" t="s">
        <v>18</v>
      </c>
    </row>
    <row r="24">
      <c r="B24" s="39">
        <f t="shared" si="3"/>
        <v>2</v>
      </c>
      <c r="C24" s="39">
        <f t="shared" si="4"/>
        <v>2</v>
      </c>
      <c r="D24" s="39">
        <f t="shared" si="5"/>
        <v>2</v>
      </c>
      <c r="E24" s="39">
        <f t="shared" si="6"/>
        <v>2</v>
      </c>
      <c r="F24" s="39">
        <f t="shared" si="7"/>
        <v>2</v>
      </c>
      <c r="G24" s="39">
        <f t="shared" si="8"/>
        <v>2</v>
      </c>
      <c r="H24" s="39">
        <f t="shared" si="9"/>
        <v>2</v>
      </c>
      <c r="I24" s="39">
        <f t="shared" si="10"/>
        <v>2</v>
      </c>
      <c r="J24" s="39">
        <f t="shared" si="11"/>
        <v>2</v>
      </c>
      <c r="L24" s="48" t="s">
        <v>50</v>
      </c>
    </row>
    <row r="25">
      <c r="B25" s="39">
        <f t="shared" si="3"/>
        <v>2</v>
      </c>
      <c r="C25" s="39">
        <f t="shared" si="4"/>
        <v>2</v>
      </c>
      <c r="D25" s="39">
        <f t="shared" si="5"/>
        <v>2</v>
      </c>
      <c r="E25" s="39">
        <f t="shared" si="6"/>
        <v>2</v>
      </c>
      <c r="F25" s="39">
        <f t="shared" si="7"/>
        <v>2</v>
      </c>
      <c r="G25" s="39">
        <f t="shared" si="8"/>
        <v>2</v>
      </c>
      <c r="H25" s="39">
        <f t="shared" si="9"/>
        <v>2</v>
      </c>
      <c r="I25" s="39">
        <f t="shared" si="10"/>
        <v>2</v>
      </c>
      <c r="J25" s="39">
        <f t="shared" si="11"/>
        <v>2</v>
      </c>
      <c r="L25" s="13" t="s">
        <v>26</v>
      </c>
    </row>
    <row r="26">
      <c r="B26" s="39">
        <f t="shared" si="3"/>
        <v>2</v>
      </c>
      <c r="C26" s="39">
        <f t="shared" si="4"/>
        <v>2</v>
      </c>
      <c r="D26" s="39">
        <f t="shared" si="5"/>
        <v>2</v>
      </c>
      <c r="E26" s="39">
        <f t="shared" si="6"/>
        <v>2</v>
      </c>
      <c r="F26" s="39">
        <f t="shared" si="7"/>
        <v>2</v>
      </c>
      <c r="G26" s="39">
        <f t="shared" si="8"/>
        <v>2</v>
      </c>
      <c r="H26" s="39">
        <f t="shared" si="9"/>
        <v>2</v>
      </c>
      <c r="I26" s="39">
        <f t="shared" si="10"/>
        <v>2</v>
      </c>
      <c r="J26" s="39">
        <f t="shared" si="11"/>
        <v>2</v>
      </c>
      <c r="L26" s="14" t="s">
        <v>22</v>
      </c>
    </row>
    <row r="27">
      <c r="B27" s="39">
        <f t="shared" si="3"/>
        <v>2</v>
      </c>
      <c r="C27" s="39">
        <f t="shared" si="4"/>
        <v>2</v>
      </c>
      <c r="D27" s="39">
        <f t="shared" si="5"/>
        <v>2</v>
      </c>
      <c r="E27" s="39">
        <f t="shared" si="6"/>
        <v>2</v>
      </c>
      <c r="F27" s="39">
        <f t="shared" si="7"/>
        <v>2</v>
      </c>
      <c r="G27" s="39">
        <f t="shared" si="8"/>
        <v>2</v>
      </c>
      <c r="H27" s="39">
        <f t="shared" si="9"/>
        <v>2</v>
      </c>
      <c r="I27" s="39">
        <f t="shared" si="10"/>
        <v>2</v>
      </c>
      <c r="J27" s="39">
        <f t="shared" si="11"/>
        <v>2</v>
      </c>
    </row>
    <row r="28">
      <c r="B28" s="39">
        <f t="shared" si="3"/>
        <v>2</v>
      </c>
      <c r="C28" s="39">
        <f t="shared" si="4"/>
        <v>2</v>
      </c>
      <c r="D28" s="39">
        <f t="shared" si="5"/>
        <v>2</v>
      </c>
      <c r="E28" s="39">
        <f t="shared" si="6"/>
        <v>2</v>
      </c>
      <c r="F28" s="39">
        <f t="shared" si="7"/>
        <v>2</v>
      </c>
      <c r="G28" s="39">
        <f t="shared" si="8"/>
        <v>2</v>
      </c>
      <c r="H28" s="39">
        <f t="shared" si="9"/>
        <v>2</v>
      </c>
      <c r="I28" s="39">
        <f t="shared" si="10"/>
        <v>2</v>
      </c>
      <c r="J28" s="39">
        <f t="shared" si="11"/>
        <v>2</v>
      </c>
    </row>
    <row r="29">
      <c r="B29" s="39">
        <f t="shared" si="3"/>
        <v>2</v>
      </c>
      <c r="C29" s="39">
        <f t="shared" si="4"/>
        <v>2</v>
      </c>
      <c r="D29" s="39">
        <f t="shared" si="5"/>
        <v>2</v>
      </c>
      <c r="E29" s="39">
        <f t="shared" si="6"/>
        <v>2</v>
      </c>
      <c r="F29" s="39">
        <f t="shared" si="7"/>
        <v>2</v>
      </c>
      <c r="G29" s="39">
        <f t="shared" si="8"/>
        <v>2</v>
      </c>
      <c r="H29" s="39">
        <f t="shared" si="9"/>
        <v>2</v>
      </c>
      <c r="I29" s="39">
        <f t="shared" si="10"/>
        <v>2</v>
      </c>
      <c r="J29" s="39">
        <f t="shared" si="11"/>
        <v>2</v>
      </c>
    </row>
    <row r="30">
      <c r="B30" s="39">
        <f t="shared" si="3"/>
        <v>1</v>
      </c>
      <c r="C30" s="39">
        <f t="shared" si="4"/>
        <v>1</v>
      </c>
      <c r="D30" s="39">
        <f t="shared" si="5"/>
        <v>1</v>
      </c>
      <c r="E30" s="39">
        <f t="shared" si="6"/>
        <v>2</v>
      </c>
      <c r="F30" s="39">
        <f t="shared" si="7"/>
        <v>1</v>
      </c>
      <c r="G30" s="39">
        <f t="shared" si="8"/>
        <v>1</v>
      </c>
      <c r="H30" s="39">
        <f t="shared" si="9"/>
        <v>0</v>
      </c>
      <c r="I30" s="39">
        <f t="shared" si="10"/>
        <v>2</v>
      </c>
      <c r="J30" s="39">
        <f t="shared" si="11"/>
        <v>2</v>
      </c>
    </row>
    <row r="31">
      <c r="B31" s="39">
        <f t="shared" si="3"/>
        <v>2</v>
      </c>
      <c r="C31" s="39">
        <f t="shared" si="4"/>
        <v>2</v>
      </c>
      <c r="D31" s="39">
        <f t="shared" si="5"/>
        <v>2</v>
      </c>
      <c r="E31" s="39">
        <f t="shared" si="6"/>
        <v>2</v>
      </c>
      <c r="F31" s="39">
        <f t="shared" si="7"/>
        <v>2</v>
      </c>
      <c r="G31" s="39">
        <f t="shared" si="8"/>
        <v>2</v>
      </c>
      <c r="H31" s="39">
        <f t="shared" si="9"/>
        <v>2</v>
      </c>
      <c r="I31" s="39">
        <f t="shared" si="10"/>
        <v>2</v>
      </c>
      <c r="J31" s="39">
        <f t="shared" si="11"/>
        <v>2</v>
      </c>
    </row>
    <row r="32">
      <c r="B32" s="39">
        <f t="shared" si="3"/>
        <v>2</v>
      </c>
      <c r="C32" s="39">
        <f t="shared" si="4"/>
        <v>0</v>
      </c>
      <c r="D32" s="39">
        <f t="shared" si="5"/>
        <v>1</v>
      </c>
      <c r="E32" s="39">
        <f t="shared" si="6"/>
        <v>1</v>
      </c>
      <c r="F32" s="39">
        <f t="shared" si="7"/>
        <v>2</v>
      </c>
      <c r="G32" s="39">
        <f t="shared" si="8"/>
        <v>1</v>
      </c>
      <c r="H32" s="39">
        <f t="shared" si="9"/>
        <v>0</v>
      </c>
      <c r="I32" s="39">
        <f t="shared" si="10"/>
        <v>1</v>
      </c>
      <c r="J32" s="39">
        <f t="shared" si="11"/>
        <v>2</v>
      </c>
    </row>
    <row r="33">
      <c r="B33" s="39">
        <f t="shared" si="3"/>
        <v>2</v>
      </c>
      <c r="C33" s="39">
        <f t="shared" si="4"/>
        <v>2</v>
      </c>
      <c r="D33" s="39">
        <f t="shared" si="5"/>
        <v>2</v>
      </c>
      <c r="E33" s="39">
        <f t="shared" si="6"/>
        <v>2</v>
      </c>
      <c r="F33" s="39">
        <f t="shared" si="7"/>
        <v>2</v>
      </c>
      <c r="G33" s="39">
        <f t="shared" si="8"/>
        <v>2</v>
      </c>
      <c r="H33" s="39">
        <f t="shared" si="9"/>
        <v>2</v>
      </c>
      <c r="I33" s="39">
        <f t="shared" si="10"/>
        <v>2</v>
      </c>
      <c r="J33" s="39">
        <f t="shared" si="11"/>
        <v>2</v>
      </c>
    </row>
    <row r="34">
      <c r="B34" s="39">
        <f t="shared" si="3"/>
        <v>1</v>
      </c>
      <c r="C34" s="39">
        <f t="shared" si="4"/>
        <v>1</v>
      </c>
      <c r="D34" s="39">
        <f t="shared" si="5"/>
        <v>1</v>
      </c>
      <c r="E34" s="39">
        <f t="shared" si="6"/>
        <v>1</v>
      </c>
      <c r="F34" s="39">
        <f t="shared" si="7"/>
        <v>1</v>
      </c>
      <c r="G34" s="39">
        <f t="shared" si="8"/>
        <v>0</v>
      </c>
      <c r="H34" s="39">
        <f t="shared" si="9"/>
        <v>1</v>
      </c>
      <c r="I34" s="39">
        <f t="shared" si="10"/>
        <v>1</v>
      </c>
      <c r="J34" s="39">
        <f t="shared" si="11"/>
        <v>2</v>
      </c>
    </row>
    <row r="35">
      <c r="B35" s="39">
        <f t="shared" si="3"/>
        <v>1</v>
      </c>
      <c r="C35" s="39">
        <f t="shared" si="4"/>
        <v>2</v>
      </c>
      <c r="D35" s="39">
        <f t="shared" si="5"/>
        <v>1</v>
      </c>
      <c r="E35" s="39">
        <f t="shared" si="6"/>
        <v>1</v>
      </c>
      <c r="F35" s="39">
        <f t="shared" si="7"/>
        <v>1</v>
      </c>
      <c r="G35" s="39">
        <f t="shared" si="8"/>
        <v>2</v>
      </c>
      <c r="H35" s="39">
        <f t="shared" si="9"/>
        <v>2</v>
      </c>
      <c r="I35" s="39">
        <f t="shared" si="10"/>
        <v>1</v>
      </c>
      <c r="J35" s="39">
        <f t="shared" si="11"/>
        <v>0</v>
      </c>
    </row>
    <row r="36">
      <c r="B36" s="39">
        <f t="shared" si="3"/>
        <v>2</v>
      </c>
      <c r="C36" s="39">
        <f t="shared" si="4"/>
        <v>2</v>
      </c>
      <c r="D36" s="39">
        <f t="shared" si="5"/>
        <v>2</v>
      </c>
      <c r="E36" s="39">
        <f t="shared" si="6"/>
        <v>2</v>
      </c>
      <c r="F36" s="39">
        <f t="shared" si="7"/>
        <v>2</v>
      </c>
      <c r="G36" s="39">
        <f t="shared" si="8"/>
        <v>2</v>
      </c>
      <c r="H36" s="39">
        <f t="shared" si="9"/>
        <v>2</v>
      </c>
      <c r="I36" s="39">
        <f t="shared" si="10"/>
        <v>2</v>
      </c>
      <c r="J36" s="39">
        <f t="shared" si="11"/>
        <v>2</v>
      </c>
    </row>
    <row r="37">
      <c r="B37" s="39">
        <f t="shared" si="3"/>
        <v>1</v>
      </c>
      <c r="C37" s="39">
        <f t="shared" si="4"/>
        <v>2</v>
      </c>
      <c r="D37" s="39">
        <f t="shared" si="5"/>
        <v>0</v>
      </c>
      <c r="E37" s="39">
        <f t="shared" si="6"/>
        <v>1</v>
      </c>
      <c r="F37" s="39">
        <f t="shared" si="7"/>
        <v>1</v>
      </c>
      <c r="G37" s="39">
        <f t="shared" si="8"/>
        <v>2</v>
      </c>
      <c r="H37" s="39">
        <f t="shared" si="9"/>
        <v>1</v>
      </c>
      <c r="I37" s="39">
        <f t="shared" si="10"/>
        <v>1</v>
      </c>
      <c r="J37" s="39">
        <f t="shared" si="11"/>
        <v>0</v>
      </c>
    </row>
    <row r="38">
      <c r="B38" s="39">
        <f t="shared" si="3"/>
        <v>0</v>
      </c>
      <c r="C38" s="39">
        <f t="shared" si="4"/>
        <v>1</v>
      </c>
      <c r="D38" s="39">
        <f t="shared" si="5"/>
        <v>0</v>
      </c>
      <c r="E38" s="39">
        <f t="shared" si="6"/>
        <v>0</v>
      </c>
      <c r="F38" s="39">
        <f t="shared" si="7"/>
        <v>0</v>
      </c>
      <c r="G38" s="39">
        <f t="shared" si="8"/>
        <v>0</v>
      </c>
      <c r="H38" s="39">
        <f t="shared" si="9"/>
        <v>1</v>
      </c>
      <c r="I38" s="39">
        <f t="shared" si="10"/>
        <v>0</v>
      </c>
      <c r="J38" s="39">
        <f t="shared" si="11"/>
        <v>0</v>
      </c>
    </row>
    <row r="39">
      <c r="B39" s="39">
        <f t="shared" ref="B39:J39" si="12">COUNTIF(B23:B38,"2")</f>
        <v>11</v>
      </c>
      <c r="C39" s="39">
        <f t="shared" si="12"/>
        <v>12</v>
      </c>
      <c r="D39" s="39">
        <f t="shared" si="12"/>
        <v>10</v>
      </c>
      <c r="E39" s="39">
        <f t="shared" si="12"/>
        <v>11</v>
      </c>
      <c r="F39" s="39">
        <f t="shared" si="12"/>
        <v>11</v>
      </c>
      <c r="G39" s="39">
        <f t="shared" si="12"/>
        <v>12</v>
      </c>
      <c r="H39" s="39">
        <f t="shared" si="12"/>
        <v>11</v>
      </c>
      <c r="I39" s="39">
        <f t="shared" si="12"/>
        <v>11</v>
      </c>
      <c r="J39" s="39">
        <f t="shared" si="12"/>
        <v>13</v>
      </c>
    </row>
    <row r="49">
      <c r="E49" s="13" t="s">
        <v>153</v>
      </c>
      <c r="H49" s="10" t="s">
        <v>154</v>
      </c>
    </row>
    <row r="50">
      <c r="B50" s="4" t="s">
        <v>155</v>
      </c>
      <c r="C50" s="4" t="s">
        <v>156</v>
      </c>
      <c r="E50" s="4" t="s">
        <v>155</v>
      </c>
      <c r="F50" s="4" t="s">
        <v>156</v>
      </c>
      <c r="H50" s="10" t="s">
        <v>157</v>
      </c>
    </row>
    <row r="51">
      <c r="A51" s="4" t="s">
        <v>158</v>
      </c>
      <c r="B51" s="9">
        <f>C39/(D19+F19-C39)</f>
        <v>0.8</v>
      </c>
      <c r="C51" s="43">
        <f>(2*C39)/(D19+F19)</f>
        <v>0.8888888889</v>
      </c>
      <c r="D51" s="20" t="s">
        <v>159</v>
      </c>
      <c r="E51" s="9">
        <f t="shared" ref="E51:F51" si="13">MIN(B51:B53)</f>
        <v>0.7142857143</v>
      </c>
      <c r="F51" s="9">
        <f t="shared" si="13"/>
        <v>0.8333333333</v>
      </c>
    </row>
    <row r="52">
      <c r="A52" s="4" t="s">
        <v>160</v>
      </c>
      <c r="B52" s="9">
        <f>D39/(G19+C19-D39)</f>
        <v>0.7142857143</v>
      </c>
      <c r="C52" s="43">
        <f>(2*D39)/(G19+C19)</f>
        <v>0.8333333333</v>
      </c>
      <c r="D52" s="20" t="s">
        <v>161</v>
      </c>
      <c r="E52" s="9">
        <f t="shared" ref="E52:F52" si="14">MAX(B51:B53)</f>
        <v>0.8</v>
      </c>
      <c r="F52" s="9">
        <f t="shared" si="14"/>
        <v>0.8888888889</v>
      </c>
    </row>
    <row r="53">
      <c r="A53" s="4" t="s">
        <v>162</v>
      </c>
      <c r="B53" s="9">
        <f>H39/(F19+G19-H39)</f>
        <v>0.7857142857</v>
      </c>
      <c r="C53" s="9">
        <f>(2*H39)/(F19+G19)</f>
        <v>0.88</v>
      </c>
    </row>
    <row r="54">
      <c r="A54" s="4" t="s">
        <v>163</v>
      </c>
      <c r="B54" s="9">
        <f>E39/(C19+D19-E39)</f>
        <v>0.7333333333</v>
      </c>
      <c r="C54" s="9">
        <f>(2*E39)/(D19+C19)</f>
        <v>0.8461538462</v>
      </c>
      <c r="E54" s="13" t="s">
        <v>164</v>
      </c>
      <c r="H54" s="10" t="s">
        <v>165</v>
      </c>
    </row>
    <row r="55">
      <c r="A55" s="4" t="s">
        <v>166</v>
      </c>
      <c r="B55" s="9">
        <f>F39/(C19+E19-F39)</f>
        <v>0.7333333333</v>
      </c>
      <c r="C55" s="9">
        <f>(2*F39)/(C19+E19)</f>
        <v>0.8461538462</v>
      </c>
      <c r="E55" s="4" t="s">
        <v>155</v>
      </c>
      <c r="F55" s="4" t="s">
        <v>156</v>
      </c>
      <c r="H55" s="10" t="s">
        <v>167</v>
      </c>
    </row>
    <row r="56">
      <c r="A56" s="4" t="s">
        <v>168</v>
      </c>
      <c r="B56" s="9">
        <f>G39/(E19+D19-G39)</f>
        <v>0.8571428571</v>
      </c>
      <c r="C56" s="9">
        <f>(2*G39)/(D19+E19)</f>
        <v>0.9230769231</v>
      </c>
      <c r="D56" s="20" t="s">
        <v>159</v>
      </c>
      <c r="E56" s="9">
        <f t="shared" ref="E56:F56" si="15">MIN(B54:B59)</f>
        <v>0.7333333333</v>
      </c>
      <c r="F56" s="9">
        <f t="shared" si="15"/>
        <v>0.8461538462</v>
      </c>
    </row>
    <row r="57">
      <c r="A57" s="4" t="s">
        <v>169</v>
      </c>
      <c r="B57" s="9">
        <f>B39/(B19+E19-B39)</f>
        <v>0.7333333333</v>
      </c>
      <c r="C57" s="9">
        <f>(2*B39)/(B19+E19)</f>
        <v>0.8461538462</v>
      </c>
      <c r="D57" s="20" t="s">
        <v>161</v>
      </c>
      <c r="E57" s="9">
        <f t="shared" ref="E57:F57" si="16">MAX(B54:B59)</f>
        <v>1</v>
      </c>
      <c r="F57" s="9">
        <f t="shared" si="16"/>
        <v>1</v>
      </c>
    </row>
    <row r="58">
      <c r="A58" s="4" t="s">
        <v>170</v>
      </c>
      <c r="B58" s="9">
        <f>I39/(B19+D19-I39)</f>
        <v>0.7333333333</v>
      </c>
      <c r="C58" s="9">
        <f>(2*I39)/(B19+D19)</f>
        <v>0.8461538462</v>
      </c>
    </row>
    <row r="59">
      <c r="A59" s="4" t="s">
        <v>171</v>
      </c>
      <c r="B59" s="9">
        <f>J39/(B19+C19-J39)</f>
        <v>1</v>
      </c>
      <c r="C59" s="9">
        <f>(2*J39)/(B19+C19)</f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7.0"/>
    <col customWidth="1" min="3" max="3" width="24.86"/>
    <col customWidth="1" min="4" max="4" width="25.43"/>
    <col customWidth="1" min="5" max="6" width="26.57"/>
    <col customWidth="1" min="7" max="7" width="16.71"/>
    <col customWidth="1" min="10" max="10" width="17.0"/>
  </cols>
  <sheetData>
    <row r="1">
      <c r="B1" s="13" t="s">
        <v>172</v>
      </c>
      <c r="C1" s="13" t="s">
        <v>173</v>
      </c>
      <c r="D1" s="13" t="s">
        <v>174</v>
      </c>
      <c r="E1" s="13" t="s">
        <v>175</v>
      </c>
      <c r="F1" s="13" t="s">
        <v>176</v>
      </c>
      <c r="G1" s="13" t="s">
        <v>177</v>
      </c>
      <c r="J1" s="4" t="s">
        <v>178</v>
      </c>
    </row>
    <row r="2">
      <c r="A2" s="13" t="s">
        <v>179</v>
      </c>
      <c r="B2" s="10">
        <v>1.0</v>
      </c>
      <c r="C2" s="10">
        <v>0.0</v>
      </c>
      <c r="D2" s="10">
        <v>0.0</v>
      </c>
      <c r="E2" s="10">
        <v>0.0</v>
      </c>
      <c r="F2" s="10">
        <v>0.0</v>
      </c>
      <c r="G2" s="10">
        <v>0.0</v>
      </c>
      <c r="J2" s="13" t="s">
        <v>172</v>
      </c>
      <c r="K2" s="10" t="s">
        <v>180</v>
      </c>
    </row>
    <row r="3">
      <c r="A3" s="13" t="s">
        <v>23</v>
      </c>
      <c r="B3" s="10">
        <v>1.0</v>
      </c>
      <c r="C3" s="10">
        <v>0.0</v>
      </c>
      <c r="D3" s="10">
        <v>1.0</v>
      </c>
      <c r="E3" s="10">
        <v>0.0</v>
      </c>
      <c r="F3" s="10">
        <v>0.0</v>
      </c>
      <c r="G3" s="10">
        <v>0.0</v>
      </c>
      <c r="J3" s="13" t="s">
        <v>174</v>
      </c>
      <c r="K3" s="10" t="s">
        <v>181</v>
      </c>
    </row>
    <row r="4">
      <c r="A4" s="13" t="s">
        <v>36</v>
      </c>
      <c r="B4" s="10">
        <v>1.0</v>
      </c>
      <c r="C4" s="10">
        <v>0.0</v>
      </c>
      <c r="D4" s="10">
        <v>1.0</v>
      </c>
      <c r="E4" s="10">
        <v>0.0</v>
      </c>
      <c r="F4" s="10">
        <v>0.0</v>
      </c>
      <c r="G4" s="10">
        <v>0.0</v>
      </c>
      <c r="J4" s="13" t="s">
        <v>173</v>
      </c>
      <c r="K4" s="10" t="s">
        <v>182</v>
      </c>
    </row>
    <row r="5">
      <c r="A5" s="13" t="s">
        <v>183</v>
      </c>
      <c r="B5" s="10">
        <v>1.0</v>
      </c>
      <c r="C5" s="10">
        <v>0.0</v>
      </c>
      <c r="D5" s="10">
        <v>1.0</v>
      </c>
      <c r="E5" s="10">
        <v>0.0</v>
      </c>
      <c r="F5" s="10">
        <v>0.0</v>
      </c>
      <c r="G5" s="10">
        <v>0.0</v>
      </c>
      <c r="J5" s="13" t="s">
        <v>175</v>
      </c>
      <c r="K5" s="10" t="s">
        <v>184</v>
      </c>
    </row>
    <row r="6">
      <c r="A6" s="13" t="s">
        <v>185</v>
      </c>
      <c r="B6" s="10">
        <v>1.0</v>
      </c>
      <c r="C6" s="10">
        <v>0.0</v>
      </c>
      <c r="D6" s="10">
        <v>0.0</v>
      </c>
      <c r="E6" s="10">
        <v>0.0</v>
      </c>
      <c r="F6" s="10">
        <v>0.0</v>
      </c>
      <c r="G6" s="10">
        <v>0.0</v>
      </c>
      <c r="J6" s="13" t="s">
        <v>176</v>
      </c>
      <c r="K6" s="10" t="s">
        <v>186</v>
      </c>
    </row>
    <row r="7">
      <c r="A7" s="13" t="s">
        <v>72</v>
      </c>
      <c r="B7" s="10">
        <v>1.0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J7" s="13" t="s">
        <v>177</v>
      </c>
      <c r="K7" s="10" t="s">
        <v>187</v>
      </c>
    </row>
    <row r="8">
      <c r="A8" s="13" t="s">
        <v>24</v>
      </c>
      <c r="B8" s="10">
        <v>1.0</v>
      </c>
      <c r="C8" s="10">
        <v>0.0</v>
      </c>
      <c r="D8" s="10">
        <v>1.0</v>
      </c>
      <c r="E8" s="10">
        <v>0.0</v>
      </c>
      <c r="F8" s="10">
        <v>0.0</v>
      </c>
      <c r="G8" s="10">
        <v>0.0</v>
      </c>
    </row>
    <row r="9">
      <c r="A9" s="13" t="s">
        <v>188</v>
      </c>
      <c r="B9" s="10">
        <v>1.0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</row>
    <row r="10">
      <c r="A10" s="13" t="s">
        <v>189</v>
      </c>
      <c r="B10" s="10">
        <v>1.0</v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</row>
    <row r="11">
      <c r="A11" s="13" t="s">
        <v>17</v>
      </c>
      <c r="B11" s="10">
        <v>1.0</v>
      </c>
      <c r="C11" s="10">
        <v>1.0</v>
      </c>
      <c r="D11" s="10">
        <v>1.0</v>
      </c>
      <c r="E11" s="10">
        <v>0.0</v>
      </c>
      <c r="F11" s="10">
        <v>1.0</v>
      </c>
      <c r="G11" s="10">
        <v>1.0</v>
      </c>
    </row>
    <row r="12">
      <c r="A12" s="13" t="s">
        <v>60</v>
      </c>
      <c r="B12" s="10">
        <v>1.0</v>
      </c>
      <c r="C12" s="10">
        <v>1.0</v>
      </c>
      <c r="D12" s="10">
        <v>0.0</v>
      </c>
      <c r="E12" s="10">
        <v>0.0</v>
      </c>
      <c r="F12" s="10">
        <v>1.0</v>
      </c>
      <c r="G12" s="10">
        <v>1.0</v>
      </c>
    </row>
    <row r="13">
      <c r="A13" s="13" t="s">
        <v>35</v>
      </c>
      <c r="B13" s="10">
        <v>1.0</v>
      </c>
      <c r="C13" s="10">
        <v>1.0</v>
      </c>
      <c r="D13" s="10">
        <v>1.0</v>
      </c>
      <c r="E13" s="10">
        <v>0.0</v>
      </c>
      <c r="F13" s="10">
        <v>1.0</v>
      </c>
      <c r="G13" s="10">
        <v>1.0</v>
      </c>
    </row>
    <row r="14">
      <c r="A14" s="13" t="s">
        <v>190</v>
      </c>
      <c r="B14" s="10">
        <v>1.0</v>
      </c>
      <c r="C14" s="10">
        <v>0.0</v>
      </c>
      <c r="D14" s="10">
        <v>0.0</v>
      </c>
      <c r="E14" s="10">
        <v>0.0</v>
      </c>
      <c r="F14" s="10">
        <v>0.0</v>
      </c>
      <c r="G14" s="10">
        <v>0.0</v>
      </c>
    </row>
    <row r="15">
      <c r="A15" s="13" t="s">
        <v>191</v>
      </c>
      <c r="B15" s="10">
        <v>1.0</v>
      </c>
      <c r="C15" s="10">
        <v>0.0</v>
      </c>
      <c r="D15" s="10">
        <v>0.0</v>
      </c>
      <c r="E15" s="10">
        <v>0.0</v>
      </c>
      <c r="F15" s="10">
        <v>1.0</v>
      </c>
      <c r="G15" s="10">
        <v>1.0</v>
      </c>
    </row>
    <row r="16">
      <c r="A16" s="13" t="s">
        <v>52</v>
      </c>
      <c r="B16" s="10">
        <v>1.0</v>
      </c>
      <c r="C16" s="10">
        <v>1.0</v>
      </c>
      <c r="D16" s="10">
        <v>0.0</v>
      </c>
      <c r="E16" s="10">
        <v>0.0</v>
      </c>
      <c r="F16" s="10">
        <v>1.0</v>
      </c>
      <c r="G16" s="10">
        <v>0.0</v>
      </c>
    </row>
    <row r="17">
      <c r="A17" s="13" t="s">
        <v>192</v>
      </c>
      <c r="B17" s="10">
        <v>1.0</v>
      </c>
      <c r="C17" s="10">
        <v>1.0</v>
      </c>
      <c r="D17" s="10">
        <v>0.0</v>
      </c>
      <c r="E17" s="10">
        <v>0.0</v>
      </c>
      <c r="F17" s="10">
        <v>1.0</v>
      </c>
      <c r="G17" s="10">
        <v>1.0</v>
      </c>
    </row>
    <row r="18">
      <c r="A18" s="13" t="s">
        <v>47</v>
      </c>
      <c r="B18" s="10">
        <v>1.0</v>
      </c>
      <c r="C18" s="10">
        <v>1.0</v>
      </c>
      <c r="D18" s="10">
        <v>1.0</v>
      </c>
      <c r="E18" s="10">
        <v>0.0</v>
      </c>
      <c r="F18" s="10">
        <v>1.0</v>
      </c>
      <c r="G18" s="10">
        <v>1.0</v>
      </c>
    </row>
    <row r="19">
      <c r="A19" s="13" t="s">
        <v>193</v>
      </c>
      <c r="B19" s="10">
        <v>1.0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</row>
    <row r="20">
      <c r="A20" s="13" t="s">
        <v>11</v>
      </c>
      <c r="B20" s="10">
        <v>1.0</v>
      </c>
      <c r="C20" s="10">
        <v>1.0</v>
      </c>
      <c r="D20" s="10">
        <v>1.0</v>
      </c>
      <c r="E20" s="10">
        <v>1.0</v>
      </c>
      <c r="F20" s="10">
        <v>1.0</v>
      </c>
      <c r="G20" s="10">
        <v>1.0</v>
      </c>
    </row>
    <row r="21">
      <c r="A21" s="13" t="s">
        <v>25</v>
      </c>
      <c r="B21" s="10">
        <v>1.0</v>
      </c>
      <c r="C21" s="10">
        <v>1.0</v>
      </c>
      <c r="D21" s="10">
        <v>1.0</v>
      </c>
      <c r="E21" s="10">
        <v>1.0</v>
      </c>
      <c r="F21" s="10">
        <v>1.0</v>
      </c>
      <c r="G21" s="10">
        <v>1.0</v>
      </c>
    </row>
    <row r="22">
      <c r="A22" s="13" t="s">
        <v>194</v>
      </c>
      <c r="B22" s="10">
        <v>1.0</v>
      </c>
      <c r="C22" s="10">
        <v>1.0</v>
      </c>
      <c r="D22" s="10">
        <v>0.0</v>
      </c>
      <c r="E22" s="10">
        <v>0.0</v>
      </c>
      <c r="F22" s="10">
        <v>0.0</v>
      </c>
      <c r="G22" s="10">
        <v>0.0</v>
      </c>
    </row>
    <row r="23">
      <c r="A23" s="13" t="s">
        <v>195</v>
      </c>
      <c r="B23" s="10">
        <v>1.0</v>
      </c>
      <c r="C23" s="10">
        <v>0.0</v>
      </c>
      <c r="D23" s="10">
        <v>0.0</v>
      </c>
      <c r="E23" s="10">
        <v>0.0</v>
      </c>
      <c r="F23" s="10">
        <v>0.0</v>
      </c>
      <c r="G23" s="10">
        <v>0.0</v>
      </c>
    </row>
    <row r="24">
      <c r="A24" s="13" t="s">
        <v>196</v>
      </c>
      <c r="B24" s="10">
        <v>1.0</v>
      </c>
      <c r="C24" s="10">
        <v>0.0</v>
      </c>
      <c r="D24" s="10">
        <v>0.0</v>
      </c>
      <c r="E24" s="10">
        <v>0.0</v>
      </c>
      <c r="F24" s="10">
        <v>0.0</v>
      </c>
      <c r="G24" s="10">
        <v>0.0</v>
      </c>
    </row>
    <row r="25">
      <c r="A25" s="13" t="s">
        <v>197</v>
      </c>
      <c r="B25" s="10">
        <v>1.0</v>
      </c>
      <c r="C25" s="10">
        <v>0.0</v>
      </c>
      <c r="D25" s="10">
        <v>0.0</v>
      </c>
      <c r="E25" s="10">
        <v>0.0</v>
      </c>
      <c r="F25" s="10">
        <v>0.0</v>
      </c>
      <c r="G25" s="10">
        <v>0.0</v>
      </c>
    </row>
    <row r="26">
      <c r="A26" s="13" t="s">
        <v>198</v>
      </c>
      <c r="B26" s="10">
        <v>1.0</v>
      </c>
      <c r="C26" s="10">
        <v>0.0</v>
      </c>
      <c r="D26" s="10">
        <v>0.0</v>
      </c>
      <c r="E26" s="10">
        <v>0.0</v>
      </c>
      <c r="F26" s="10">
        <v>0.0</v>
      </c>
      <c r="G26" s="10">
        <v>0.0</v>
      </c>
    </row>
    <row r="27">
      <c r="A27" s="13" t="s">
        <v>199</v>
      </c>
      <c r="B27" s="10">
        <v>1.0</v>
      </c>
      <c r="C27" s="10">
        <v>0.0</v>
      </c>
      <c r="D27" s="10">
        <v>0.0</v>
      </c>
      <c r="E27" s="10">
        <v>0.0</v>
      </c>
      <c r="F27" s="10">
        <v>0.0</v>
      </c>
      <c r="G27" s="10">
        <v>0.0</v>
      </c>
    </row>
    <row r="28">
      <c r="A28" s="13" t="s">
        <v>200</v>
      </c>
      <c r="B28" s="10">
        <v>1.0</v>
      </c>
      <c r="C28" s="10">
        <v>0.0</v>
      </c>
      <c r="D28" s="10">
        <v>0.0</v>
      </c>
      <c r="E28" s="10">
        <v>0.0</v>
      </c>
      <c r="F28" s="10">
        <v>1.0</v>
      </c>
      <c r="G28" s="10">
        <v>0.0</v>
      </c>
    </row>
    <row r="29">
      <c r="A29" s="13" t="s">
        <v>201</v>
      </c>
      <c r="B29" s="10">
        <v>1.0</v>
      </c>
      <c r="C29" s="10">
        <v>0.0</v>
      </c>
      <c r="D29" s="10">
        <v>0.0</v>
      </c>
      <c r="E29" s="10">
        <v>0.0</v>
      </c>
      <c r="F29" s="10">
        <v>1.0</v>
      </c>
      <c r="G29" s="10">
        <v>0.0</v>
      </c>
    </row>
    <row r="30">
      <c r="A30" s="13" t="s">
        <v>202</v>
      </c>
      <c r="B30" s="10">
        <v>1.0</v>
      </c>
      <c r="C30" s="10">
        <v>0.0</v>
      </c>
      <c r="D30" s="10">
        <v>0.0</v>
      </c>
      <c r="E30" s="10">
        <v>0.0</v>
      </c>
      <c r="F30" s="10">
        <v>0.0</v>
      </c>
      <c r="G30" s="10">
        <v>0.0</v>
      </c>
    </row>
    <row r="31">
      <c r="A31" s="13" t="s">
        <v>203</v>
      </c>
      <c r="B31" s="10">
        <v>1.0</v>
      </c>
      <c r="C31" s="10">
        <v>0.0</v>
      </c>
      <c r="D31" s="10">
        <v>0.0</v>
      </c>
      <c r="E31" s="10">
        <v>0.0</v>
      </c>
      <c r="F31" s="10">
        <v>0.0</v>
      </c>
      <c r="G31" s="10">
        <v>0.0</v>
      </c>
    </row>
    <row r="32">
      <c r="A32" s="13" t="s">
        <v>18</v>
      </c>
      <c r="B32" s="10">
        <v>1.0</v>
      </c>
      <c r="C32" s="10">
        <v>1.0</v>
      </c>
      <c r="D32" s="10">
        <v>1.0</v>
      </c>
      <c r="E32" s="10">
        <v>0.0</v>
      </c>
      <c r="F32" s="10">
        <v>1.0</v>
      </c>
      <c r="G32" s="10">
        <v>1.0</v>
      </c>
    </row>
    <row r="33">
      <c r="A33" s="13" t="s">
        <v>204</v>
      </c>
      <c r="B33" s="10">
        <v>1.0</v>
      </c>
      <c r="C33" s="10">
        <v>0.0</v>
      </c>
      <c r="D33" s="10">
        <v>0.0</v>
      </c>
      <c r="E33" s="10">
        <v>0.0</v>
      </c>
      <c r="F33" s="10">
        <v>0.0</v>
      </c>
      <c r="G33" s="10">
        <v>0.0</v>
      </c>
    </row>
    <row r="34">
      <c r="A34" s="13" t="s">
        <v>205</v>
      </c>
      <c r="B34" s="10">
        <v>1.0</v>
      </c>
      <c r="C34" s="10">
        <v>1.0</v>
      </c>
      <c r="D34" s="10">
        <v>0.0</v>
      </c>
      <c r="E34" s="10">
        <v>0.0</v>
      </c>
      <c r="F34" s="10">
        <v>1.0</v>
      </c>
      <c r="G34" s="10">
        <v>1.0</v>
      </c>
    </row>
    <row r="35">
      <c r="A35" s="13" t="s">
        <v>206</v>
      </c>
      <c r="B35" s="10">
        <v>1.0</v>
      </c>
      <c r="C35" s="10">
        <v>1.0</v>
      </c>
      <c r="D35" s="10">
        <v>0.0</v>
      </c>
      <c r="E35" s="10">
        <v>1.0</v>
      </c>
      <c r="F35" s="10">
        <v>1.0</v>
      </c>
      <c r="G35" s="10">
        <v>1.0</v>
      </c>
    </row>
    <row r="36">
      <c r="A36" s="13" t="s">
        <v>15</v>
      </c>
      <c r="B36" s="10">
        <v>1.0</v>
      </c>
      <c r="C36" s="10">
        <v>1.0</v>
      </c>
      <c r="D36" s="10">
        <v>1.0</v>
      </c>
      <c r="E36" s="10">
        <v>0.0</v>
      </c>
      <c r="F36" s="10">
        <v>1.0</v>
      </c>
      <c r="G36" s="10">
        <v>0.0</v>
      </c>
    </row>
    <row r="37">
      <c r="A37" s="13" t="s">
        <v>16</v>
      </c>
      <c r="B37" s="10">
        <v>1.0</v>
      </c>
      <c r="C37" s="10">
        <v>0.0</v>
      </c>
      <c r="D37" s="10">
        <v>1.0</v>
      </c>
      <c r="E37" s="10">
        <v>0.0</v>
      </c>
      <c r="F37" s="10">
        <v>1.0</v>
      </c>
      <c r="G37" s="10">
        <v>0.0</v>
      </c>
    </row>
    <row r="38">
      <c r="A38" s="13" t="s">
        <v>207</v>
      </c>
      <c r="B38" s="10">
        <v>1.0</v>
      </c>
      <c r="C38" s="10">
        <v>0.0</v>
      </c>
      <c r="D38" s="10">
        <v>0.0</v>
      </c>
      <c r="E38" s="10">
        <v>0.0</v>
      </c>
      <c r="F38" s="10">
        <v>0.0</v>
      </c>
      <c r="G38" s="10">
        <v>0.0</v>
      </c>
    </row>
    <row r="39">
      <c r="A39" s="13" t="s">
        <v>208</v>
      </c>
      <c r="B39" s="10">
        <v>1.0</v>
      </c>
      <c r="C39" s="10">
        <v>0.0</v>
      </c>
      <c r="D39" s="10">
        <v>0.0</v>
      </c>
      <c r="E39" s="10">
        <v>0.0</v>
      </c>
      <c r="F39" s="10">
        <v>0.0</v>
      </c>
      <c r="G39" s="10">
        <v>0.0</v>
      </c>
    </row>
    <row r="40">
      <c r="A40" s="13" t="s">
        <v>209</v>
      </c>
      <c r="B40" s="10">
        <v>1.0</v>
      </c>
      <c r="C40" s="10">
        <v>1.0</v>
      </c>
      <c r="D40" s="10">
        <v>0.0</v>
      </c>
      <c r="E40" s="10">
        <v>1.0</v>
      </c>
      <c r="F40" s="10">
        <v>1.0</v>
      </c>
      <c r="G40" s="10">
        <v>1.0</v>
      </c>
    </row>
    <row r="41">
      <c r="A41" s="13" t="s">
        <v>61</v>
      </c>
      <c r="B41" s="10">
        <v>1.0</v>
      </c>
      <c r="C41" s="10">
        <v>0.0</v>
      </c>
      <c r="D41" s="10">
        <v>0.0</v>
      </c>
      <c r="E41" s="10">
        <v>0.0</v>
      </c>
      <c r="F41" s="10">
        <v>1.0</v>
      </c>
      <c r="G41" s="10">
        <v>0.0</v>
      </c>
    </row>
    <row r="42">
      <c r="A42" s="13" t="s">
        <v>210</v>
      </c>
      <c r="B42" s="10">
        <v>1.0</v>
      </c>
      <c r="C42" s="10">
        <v>0.0</v>
      </c>
      <c r="D42" s="10">
        <v>0.0</v>
      </c>
      <c r="E42" s="10">
        <v>0.0</v>
      </c>
      <c r="F42" s="10">
        <v>0.0</v>
      </c>
      <c r="G42" s="10">
        <v>0.0</v>
      </c>
    </row>
    <row r="43">
      <c r="A43" s="13" t="s">
        <v>211</v>
      </c>
      <c r="B43" s="10">
        <v>1.0</v>
      </c>
      <c r="C43" s="10">
        <v>1.0</v>
      </c>
      <c r="D43" s="10">
        <v>0.0</v>
      </c>
      <c r="E43" s="10">
        <v>0.0</v>
      </c>
      <c r="F43" s="10">
        <v>1.0</v>
      </c>
      <c r="G43" s="10">
        <v>1.0</v>
      </c>
    </row>
    <row r="44">
      <c r="A44" s="13" t="s">
        <v>212</v>
      </c>
      <c r="B44" s="10">
        <v>1.0</v>
      </c>
      <c r="C44" s="10">
        <v>0.0</v>
      </c>
      <c r="D44" s="10">
        <v>0.0</v>
      </c>
      <c r="E44" s="10">
        <v>0.0</v>
      </c>
      <c r="F44" s="10">
        <v>1.0</v>
      </c>
      <c r="G44" s="10">
        <v>0.0</v>
      </c>
    </row>
    <row r="45">
      <c r="A45" s="13" t="s">
        <v>213</v>
      </c>
      <c r="B45" s="10">
        <v>1.0</v>
      </c>
      <c r="C45" s="10">
        <v>0.0</v>
      </c>
      <c r="D45" s="10">
        <v>0.0</v>
      </c>
      <c r="E45" s="10">
        <v>0.0</v>
      </c>
      <c r="F45" s="10">
        <v>1.0</v>
      </c>
      <c r="G45" s="10">
        <v>0.0</v>
      </c>
    </row>
    <row r="46">
      <c r="A46" s="13" t="s">
        <v>214</v>
      </c>
      <c r="B46" s="10">
        <v>1.0</v>
      </c>
      <c r="C46" s="10">
        <v>0.0</v>
      </c>
      <c r="D46" s="10">
        <v>0.0</v>
      </c>
      <c r="E46" s="10">
        <v>0.0</v>
      </c>
      <c r="F46" s="10">
        <v>0.0</v>
      </c>
      <c r="G46" s="10">
        <v>0.0</v>
      </c>
    </row>
    <row r="47">
      <c r="A47" s="13" t="s">
        <v>215</v>
      </c>
      <c r="B47" s="10">
        <v>1.0</v>
      </c>
      <c r="C47" s="10">
        <v>0.0</v>
      </c>
      <c r="D47" s="10">
        <v>0.0</v>
      </c>
      <c r="E47" s="10">
        <v>0.0</v>
      </c>
      <c r="F47" s="10">
        <v>0.0</v>
      </c>
      <c r="G47" s="10">
        <v>0.0</v>
      </c>
    </row>
    <row r="48">
      <c r="A48" s="13" t="s">
        <v>216</v>
      </c>
      <c r="B48" s="10">
        <v>1.0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</row>
    <row r="49">
      <c r="A49" s="13" t="s">
        <v>217</v>
      </c>
      <c r="B49" s="10">
        <v>1.0</v>
      </c>
      <c r="C49" s="10">
        <v>0.0</v>
      </c>
      <c r="D49" s="10">
        <v>0.0</v>
      </c>
      <c r="E49" s="10">
        <v>0.0</v>
      </c>
      <c r="F49" s="10">
        <v>0.0</v>
      </c>
      <c r="G49" s="10">
        <v>0.0</v>
      </c>
    </row>
    <row r="50">
      <c r="A50" s="13" t="s">
        <v>218</v>
      </c>
      <c r="B50" s="10">
        <v>1.0</v>
      </c>
      <c r="C50" s="10">
        <v>0.0</v>
      </c>
      <c r="D50" s="10">
        <v>0.0</v>
      </c>
      <c r="E50" s="10">
        <v>0.0</v>
      </c>
      <c r="F50" s="10">
        <v>0.0</v>
      </c>
      <c r="G50" s="10">
        <v>0.0</v>
      </c>
    </row>
    <row r="51">
      <c r="A51" s="13" t="s">
        <v>219</v>
      </c>
      <c r="B51" s="10">
        <v>1.0</v>
      </c>
      <c r="C51" s="10">
        <v>0.0</v>
      </c>
      <c r="D51" s="10">
        <v>0.0</v>
      </c>
      <c r="E51" s="10">
        <v>0.0</v>
      </c>
      <c r="F51" s="10">
        <v>0.0</v>
      </c>
      <c r="G51" s="10">
        <v>0.0</v>
      </c>
    </row>
    <row r="52">
      <c r="A52" s="13" t="s">
        <v>220</v>
      </c>
      <c r="B52" s="10">
        <v>1.0</v>
      </c>
      <c r="C52" s="10">
        <v>0.0</v>
      </c>
      <c r="D52" s="10">
        <v>0.0</v>
      </c>
      <c r="E52" s="10">
        <v>0.0</v>
      </c>
      <c r="F52" s="10">
        <v>0.0</v>
      </c>
      <c r="G52" s="10">
        <v>0.0</v>
      </c>
    </row>
    <row r="53">
      <c r="A53" s="13" t="s">
        <v>221</v>
      </c>
      <c r="B53" s="10">
        <v>1.0</v>
      </c>
      <c r="C53" s="10">
        <v>0.0</v>
      </c>
      <c r="D53" s="10">
        <v>0.0</v>
      </c>
      <c r="E53" s="10">
        <v>0.0</v>
      </c>
      <c r="F53" s="10">
        <v>0.0</v>
      </c>
      <c r="G53" s="10">
        <v>0.0</v>
      </c>
    </row>
    <row r="54">
      <c r="A54" s="13" t="s">
        <v>222</v>
      </c>
      <c r="B54" s="10">
        <v>1.0</v>
      </c>
      <c r="C54" s="10">
        <v>0.0</v>
      </c>
      <c r="D54" s="10">
        <v>0.0</v>
      </c>
      <c r="E54" s="10">
        <v>0.0</v>
      </c>
      <c r="F54" s="10">
        <v>0.0</v>
      </c>
      <c r="G54" s="10">
        <v>0.0</v>
      </c>
    </row>
    <row r="55">
      <c r="A55" s="13" t="s">
        <v>223</v>
      </c>
      <c r="B55" s="10">
        <v>1.0</v>
      </c>
      <c r="C55" s="10">
        <v>0.0</v>
      </c>
      <c r="D55" s="10">
        <v>0.0</v>
      </c>
      <c r="E55" s="10">
        <v>0.0</v>
      </c>
      <c r="F55" s="10">
        <v>0.0</v>
      </c>
      <c r="G55" s="10">
        <v>0.0</v>
      </c>
    </row>
    <row r="56">
      <c r="A56" s="13" t="s">
        <v>224</v>
      </c>
      <c r="B56" s="10">
        <v>1.0</v>
      </c>
      <c r="C56" s="10">
        <v>0.0</v>
      </c>
      <c r="D56" s="10">
        <v>0.0</v>
      </c>
      <c r="E56" s="10">
        <v>0.0</v>
      </c>
      <c r="F56" s="10">
        <v>0.0</v>
      </c>
      <c r="G56" s="10">
        <v>0.0</v>
      </c>
    </row>
    <row r="57">
      <c r="A57" s="13" t="s">
        <v>225</v>
      </c>
      <c r="B57" s="10">
        <v>1.0</v>
      </c>
      <c r="C57" s="10">
        <v>0.0</v>
      </c>
      <c r="D57" s="10">
        <v>0.0</v>
      </c>
      <c r="E57" s="10">
        <v>0.0</v>
      </c>
      <c r="F57" s="10">
        <v>0.0</v>
      </c>
      <c r="G57" s="10">
        <v>0.0</v>
      </c>
    </row>
    <row r="58">
      <c r="A58" s="13" t="s">
        <v>226</v>
      </c>
      <c r="B58" s="10">
        <v>1.0</v>
      </c>
      <c r="C58" s="10">
        <v>0.0</v>
      </c>
      <c r="D58" s="10">
        <v>0.0</v>
      </c>
      <c r="E58" s="10">
        <v>0.0</v>
      </c>
      <c r="F58" s="10">
        <v>0.0</v>
      </c>
      <c r="G58" s="10">
        <v>0.0</v>
      </c>
    </row>
    <row r="59">
      <c r="A59" s="13" t="s">
        <v>19</v>
      </c>
      <c r="B59" s="10">
        <v>1.0</v>
      </c>
      <c r="C59" s="10">
        <v>0.0</v>
      </c>
      <c r="D59" s="10">
        <v>1.0</v>
      </c>
      <c r="E59" s="10">
        <v>0.0</v>
      </c>
      <c r="F59" s="10">
        <v>0.0</v>
      </c>
      <c r="G59" s="10">
        <v>0.0</v>
      </c>
    </row>
    <row r="60">
      <c r="A60" s="13" t="s">
        <v>20</v>
      </c>
      <c r="B60" s="10">
        <v>1.0</v>
      </c>
      <c r="C60" s="10">
        <v>0.0</v>
      </c>
      <c r="D60" s="10">
        <v>1.0</v>
      </c>
      <c r="E60" s="10">
        <v>0.0</v>
      </c>
      <c r="F60" s="10">
        <v>0.0</v>
      </c>
      <c r="G60" s="10">
        <v>0.0</v>
      </c>
    </row>
    <row r="61">
      <c r="A61" s="13" t="s">
        <v>227</v>
      </c>
      <c r="B61" s="10">
        <v>1.0</v>
      </c>
      <c r="C61" s="10">
        <v>0.0</v>
      </c>
      <c r="D61" s="10">
        <v>0.0</v>
      </c>
      <c r="E61" s="10">
        <v>0.0</v>
      </c>
      <c r="F61" s="10">
        <v>0.0</v>
      </c>
      <c r="G61" s="10">
        <v>0.0</v>
      </c>
    </row>
    <row r="62">
      <c r="A62" s="13" t="s">
        <v>228</v>
      </c>
      <c r="B62" s="10">
        <v>1.0</v>
      </c>
      <c r="C62" s="10">
        <v>0.0</v>
      </c>
      <c r="D62" s="10">
        <v>0.0</v>
      </c>
      <c r="E62" s="10">
        <v>0.0</v>
      </c>
      <c r="F62" s="10">
        <v>0.0</v>
      </c>
      <c r="G62" s="10">
        <v>0.0</v>
      </c>
    </row>
    <row r="63">
      <c r="A63" s="13" t="s">
        <v>229</v>
      </c>
      <c r="B63" s="10">
        <v>1.0</v>
      </c>
      <c r="C63" s="10">
        <v>0.0</v>
      </c>
      <c r="D63" s="10">
        <v>0.0</v>
      </c>
      <c r="E63" s="10">
        <v>0.0</v>
      </c>
      <c r="F63" s="10">
        <v>0.0</v>
      </c>
      <c r="G63" s="10">
        <v>0.0</v>
      </c>
    </row>
    <row r="64">
      <c r="A64" s="13" t="s">
        <v>230</v>
      </c>
      <c r="B64" s="10">
        <v>1.0</v>
      </c>
      <c r="C64" s="10">
        <v>0.0</v>
      </c>
      <c r="D64" s="10">
        <v>0.0</v>
      </c>
      <c r="E64" s="10">
        <v>0.0</v>
      </c>
      <c r="F64" s="10">
        <v>0.0</v>
      </c>
      <c r="G64" s="10">
        <v>0.0</v>
      </c>
    </row>
    <row r="65">
      <c r="A65" s="13" t="s">
        <v>22</v>
      </c>
      <c r="B65" s="10">
        <v>1.0</v>
      </c>
      <c r="C65" s="10">
        <v>1.0</v>
      </c>
      <c r="D65" s="10">
        <v>1.0</v>
      </c>
      <c r="E65" s="10">
        <v>0.0</v>
      </c>
      <c r="F65" s="10">
        <v>1.0</v>
      </c>
      <c r="G65" s="10">
        <v>1.0</v>
      </c>
    </row>
    <row r="66">
      <c r="A66" s="13" t="s">
        <v>231</v>
      </c>
      <c r="B66" s="10">
        <v>1.0</v>
      </c>
      <c r="C66" s="10">
        <v>0.0</v>
      </c>
      <c r="D66" s="10">
        <v>0.0</v>
      </c>
      <c r="E66" s="10">
        <v>0.0</v>
      </c>
      <c r="F66" s="10">
        <v>1.0</v>
      </c>
      <c r="G66" s="10">
        <v>1.0</v>
      </c>
    </row>
    <row r="67">
      <c r="A67" s="13" t="s">
        <v>27</v>
      </c>
      <c r="B67" s="10">
        <v>1.0</v>
      </c>
      <c r="C67" s="10">
        <v>0.0</v>
      </c>
      <c r="D67" s="10">
        <v>1.0</v>
      </c>
      <c r="E67" s="10">
        <v>0.0</v>
      </c>
      <c r="F67" s="10">
        <v>0.0</v>
      </c>
      <c r="G67" s="10">
        <v>0.0</v>
      </c>
    </row>
    <row r="68">
      <c r="A68" s="13" t="s">
        <v>232</v>
      </c>
      <c r="B68" s="10">
        <v>1.0</v>
      </c>
      <c r="C68" s="10">
        <v>0.0</v>
      </c>
      <c r="D68" s="10">
        <v>0.0</v>
      </c>
      <c r="E68" s="10">
        <v>0.0</v>
      </c>
      <c r="F68" s="10">
        <v>1.0</v>
      </c>
      <c r="G68" s="10">
        <v>0.0</v>
      </c>
    </row>
    <row r="69">
      <c r="A69" s="13" t="s">
        <v>233</v>
      </c>
      <c r="B69" s="10">
        <v>1.0</v>
      </c>
      <c r="C69" s="10">
        <v>1.0</v>
      </c>
      <c r="D69" s="10">
        <v>0.0</v>
      </c>
      <c r="E69" s="10">
        <v>0.0</v>
      </c>
      <c r="F69" s="10">
        <v>0.0</v>
      </c>
      <c r="G69" s="10">
        <v>0.0</v>
      </c>
    </row>
    <row r="70">
      <c r="A70" s="13" t="s">
        <v>234</v>
      </c>
      <c r="B70" s="10">
        <v>1.0</v>
      </c>
      <c r="C70" s="10">
        <v>0.0</v>
      </c>
      <c r="D70" s="10">
        <v>0.0</v>
      </c>
      <c r="E70" s="10">
        <v>0.0</v>
      </c>
      <c r="F70" s="10">
        <v>0.0</v>
      </c>
      <c r="G70" s="10">
        <v>0.0</v>
      </c>
    </row>
    <row r="71">
      <c r="A71" s="13" t="s">
        <v>235</v>
      </c>
      <c r="B71" s="10">
        <v>1.0</v>
      </c>
      <c r="C71" s="10">
        <v>0.0</v>
      </c>
      <c r="D71" s="10">
        <v>1.0</v>
      </c>
      <c r="E71" s="10">
        <v>0.0</v>
      </c>
      <c r="F71" s="10">
        <v>1.0</v>
      </c>
      <c r="G71" s="10">
        <v>0.0</v>
      </c>
    </row>
    <row r="72">
      <c r="A72" s="13" t="s">
        <v>73</v>
      </c>
      <c r="B72" s="10">
        <v>1.0</v>
      </c>
      <c r="C72" s="10">
        <v>0.0</v>
      </c>
      <c r="D72" s="10">
        <v>0.0</v>
      </c>
      <c r="E72" s="10">
        <v>0.0</v>
      </c>
      <c r="F72" s="10">
        <v>0.0</v>
      </c>
      <c r="G72" s="10">
        <v>0.0</v>
      </c>
    </row>
    <row r="73">
      <c r="A73" s="13" t="s">
        <v>236</v>
      </c>
      <c r="B73" s="10">
        <v>1.0</v>
      </c>
      <c r="C73" s="10">
        <v>0.0</v>
      </c>
      <c r="D73" s="10">
        <v>0.0</v>
      </c>
      <c r="E73" s="10">
        <v>0.0</v>
      </c>
      <c r="F73" s="10">
        <v>0.0</v>
      </c>
      <c r="G73" s="10">
        <v>0.0</v>
      </c>
    </row>
    <row r="74">
      <c r="A74" s="13" t="s">
        <v>237</v>
      </c>
      <c r="B74" s="10">
        <v>1.0</v>
      </c>
      <c r="C74" s="10">
        <v>0.0</v>
      </c>
      <c r="D74" s="10">
        <v>0.0</v>
      </c>
      <c r="E74" s="10">
        <v>0.0</v>
      </c>
      <c r="F74" s="10">
        <v>0.0</v>
      </c>
      <c r="G74" s="10">
        <v>0.0</v>
      </c>
    </row>
    <row r="75">
      <c r="A75" s="13" t="s">
        <v>238</v>
      </c>
      <c r="B75" s="10">
        <v>1.0</v>
      </c>
      <c r="C75" s="10">
        <v>0.0</v>
      </c>
      <c r="D75" s="10">
        <v>0.0</v>
      </c>
      <c r="E75" s="10">
        <v>0.0</v>
      </c>
      <c r="F75" s="10">
        <v>0.0</v>
      </c>
      <c r="G75" s="10">
        <v>0.0</v>
      </c>
    </row>
    <row r="76">
      <c r="A76" s="13" t="s">
        <v>239</v>
      </c>
      <c r="B76" s="10">
        <v>1.0</v>
      </c>
      <c r="C76" s="10">
        <v>0.0</v>
      </c>
      <c r="D76" s="10">
        <v>0.0</v>
      </c>
      <c r="E76" s="10">
        <v>0.0</v>
      </c>
      <c r="F76" s="10">
        <v>0.0</v>
      </c>
      <c r="G76" s="10">
        <v>0.0</v>
      </c>
    </row>
    <row r="77">
      <c r="B77" s="39">
        <f t="shared" ref="B77:G77" si="1">SUM(B2:B76)</f>
        <v>75</v>
      </c>
      <c r="C77" s="39">
        <f t="shared" si="1"/>
        <v>17</v>
      </c>
      <c r="D77" s="39">
        <f t="shared" si="1"/>
        <v>17</v>
      </c>
      <c r="E77" s="39">
        <f t="shared" si="1"/>
        <v>4</v>
      </c>
      <c r="F77" s="39">
        <f t="shared" si="1"/>
        <v>25</v>
      </c>
      <c r="G77" s="39">
        <f t="shared" si="1"/>
        <v>15</v>
      </c>
    </row>
    <row r="79">
      <c r="B79" s="13" t="s">
        <v>240</v>
      </c>
      <c r="C79" s="13" t="s">
        <v>241</v>
      </c>
      <c r="D79" s="13" t="s">
        <v>242</v>
      </c>
      <c r="E79" s="13" t="s">
        <v>243</v>
      </c>
      <c r="F79" s="13" t="s">
        <v>244</v>
      </c>
    </row>
    <row r="80">
      <c r="B80" s="39">
        <f t="shared" ref="B80:B154" si="3">B2+D2</f>
        <v>1</v>
      </c>
      <c r="C80" s="39">
        <f t="shared" ref="C80:D80" si="2">C2+D2</f>
        <v>0</v>
      </c>
      <c r="D80" s="39">
        <f t="shared" si="2"/>
        <v>0</v>
      </c>
      <c r="E80" s="39">
        <f t="shared" ref="E80:E154" si="5">D2+F2</f>
        <v>0</v>
      </c>
      <c r="F80" s="39">
        <f t="shared" ref="F80:F154" si="6">G2+D2</f>
        <v>0</v>
      </c>
    </row>
    <row r="81">
      <c r="B81" s="39">
        <f t="shared" si="3"/>
        <v>2</v>
      </c>
      <c r="C81" s="39">
        <f t="shared" ref="C81:D81" si="4">C3+D3</f>
        <v>1</v>
      </c>
      <c r="D81" s="39">
        <f t="shared" si="4"/>
        <v>1</v>
      </c>
      <c r="E81" s="39">
        <f t="shared" si="5"/>
        <v>1</v>
      </c>
      <c r="F81" s="39">
        <f t="shared" si="6"/>
        <v>1</v>
      </c>
    </row>
    <row r="82">
      <c r="B82" s="39">
        <f t="shared" si="3"/>
        <v>2</v>
      </c>
      <c r="C82" s="39">
        <f t="shared" ref="C82:D82" si="7">C4+D4</f>
        <v>1</v>
      </c>
      <c r="D82" s="39">
        <f t="shared" si="7"/>
        <v>1</v>
      </c>
      <c r="E82" s="39">
        <f t="shared" si="5"/>
        <v>1</v>
      </c>
      <c r="F82" s="39">
        <f t="shared" si="6"/>
        <v>1</v>
      </c>
    </row>
    <row r="83">
      <c r="B83" s="39">
        <f t="shared" si="3"/>
        <v>2</v>
      </c>
      <c r="C83" s="39">
        <f t="shared" ref="C83:D83" si="8">C5+D5</f>
        <v>1</v>
      </c>
      <c r="D83" s="39">
        <f t="shared" si="8"/>
        <v>1</v>
      </c>
      <c r="E83" s="39">
        <f t="shared" si="5"/>
        <v>1</v>
      </c>
      <c r="F83" s="39">
        <f t="shared" si="6"/>
        <v>1</v>
      </c>
    </row>
    <row r="84">
      <c r="B84" s="39">
        <f t="shared" si="3"/>
        <v>1</v>
      </c>
      <c r="C84" s="39">
        <f t="shared" ref="C84:D84" si="9">C6+D6</f>
        <v>0</v>
      </c>
      <c r="D84" s="39">
        <f t="shared" si="9"/>
        <v>0</v>
      </c>
      <c r="E84" s="39">
        <f t="shared" si="5"/>
        <v>0</v>
      </c>
      <c r="F84" s="39">
        <f t="shared" si="6"/>
        <v>0</v>
      </c>
    </row>
    <row r="85">
      <c r="B85" s="39">
        <f t="shared" si="3"/>
        <v>1</v>
      </c>
      <c r="C85" s="39">
        <f t="shared" ref="C85:D85" si="10">C7+D7</f>
        <v>0</v>
      </c>
      <c r="D85" s="39">
        <f t="shared" si="10"/>
        <v>0</v>
      </c>
      <c r="E85" s="39">
        <f t="shared" si="5"/>
        <v>0</v>
      </c>
      <c r="F85" s="39">
        <f t="shared" si="6"/>
        <v>0</v>
      </c>
    </row>
    <row r="86">
      <c r="B86" s="39">
        <f t="shared" si="3"/>
        <v>2</v>
      </c>
      <c r="C86" s="39">
        <f t="shared" ref="C86:D86" si="11">C8+D8</f>
        <v>1</v>
      </c>
      <c r="D86" s="39">
        <f t="shared" si="11"/>
        <v>1</v>
      </c>
      <c r="E86" s="39">
        <f t="shared" si="5"/>
        <v>1</v>
      </c>
      <c r="F86" s="39">
        <f t="shared" si="6"/>
        <v>1</v>
      </c>
    </row>
    <row r="87">
      <c r="B87" s="39">
        <f t="shared" si="3"/>
        <v>1</v>
      </c>
      <c r="C87" s="39">
        <f t="shared" ref="C87:D87" si="12">C9+D9</f>
        <v>0</v>
      </c>
      <c r="D87" s="39">
        <f t="shared" si="12"/>
        <v>0</v>
      </c>
      <c r="E87" s="39">
        <f t="shared" si="5"/>
        <v>0</v>
      </c>
      <c r="F87" s="39">
        <f t="shared" si="6"/>
        <v>0</v>
      </c>
    </row>
    <row r="88">
      <c r="B88" s="39">
        <f t="shared" si="3"/>
        <v>1</v>
      </c>
      <c r="C88" s="39">
        <f t="shared" ref="C88:D88" si="13">C10+D10</f>
        <v>0</v>
      </c>
      <c r="D88" s="39">
        <f t="shared" si="13"/>
        <v>0</v>
      </c>
      <c r="E88" s="39">
        <f t="shared" si="5"/>
        <v>0</v>
      </c>
      <c r="F88" s="39">
        <f t="shared" si="6"/>
        <v>0</v>
      </c>
    </row>
    <row r="89">
      <c r="B89" s="39">
        <f t="shared" si="3"/>
        <v>2</v>
      </c>
      <c r="C89" s="39">
        <f t="shared" ref="C89:D89" si="14">C11+D11</f>
        <v>2</v>
      </c>
      <c r="D89" s="39">
        <f t="shared" si="14"/>
        <v>1</v>
      </c>
      <c r="E89" s="39">
        <f t="shared" si="5"/>
        <v>2</v>
      </c>
      <c r="F89" s="39">
        <f t="shared" si="6"/>
        <v>2</v>
      </c>
    </row>
    <row r="90">
      <c r="B90" s="39">
        <f t="shared" si="3"/>
        <v>1</v>
      </c>
      <c r="C90" s="39">
        <f t="shared" ref="C90:D90" si="15">C12+D12</f>
        <v>1</v>
      </c>
      <c r="D90" s="39">
        <f t="shared" si="15"/>
        <v>0</v>
      </c>
      <c r="E90" s="39">
        <f t="shared" si="5"/>
        <v>1</v>
      </c>
      <c r="F90" s="39">
        <f t="shared" si="6"/>
        <v>1</v>
      </c>
    </row>
    <row r="91">
      <c r="B91" s="39">
        <f t="shared" si="3"/>
        <v>2</v>
      </c>
      <c r="C91" s="39">
        <f t="shared" ref="C91:D91" si="16">C13+D13</f>
        <v>2</v>
      </c>
      <c r="D91" s="39">
        <f t="shared" si="16"/>
        <v>1</v>
      </c>
      <c r="E91" s="39">
        <f t="shared" si="5"/>
        <v>2</v>
      </c>
      <c r="F91" s="39">
        <f t="shared" si="6"/>
        <v>2</v>
      </c>
    </row>
    <row r="92">
      <c r="B92" s="39">
        <f t="shared" si="3"/>
        <v>1</v>
      </c>
      <c r="C92" s="39">
        <f t="shared" ref="C92:D92" si="17">C14+D14</f>
        <v>0</v>
      </c>
      <c r="D92" s="39">
        <f t="shared" si="17"/>
        <v>0</v>
      </c>
      <c r="E92" s="39">
        <f t="shared" si="5"/>
        <v>0</v>
      </c>
      <c r="F92" s="39">
        <f t="shared" si="6"/>
        <v>0</v>
      </c>
    </row>
    <row r="93">
      <c r="B93" s="39">
        <f t="shared" si="3"/>
        <v>1</v>
      </c>
      <c r="C93" s="39">
        <f t="shared" ref="C93:D93" si="18">C15+D15</f>
        <v>0</v>
      </c>
      <c r="D93" s="39">
        <f t="shared" si="18"/>
        <v>0</v>
      </c>
      <c r="E93" s="39">
        <f t="shared" si="5"/>
        <v>1</v>
      </c>
      <c r="F93" s="39">
        <f t="shared" si="6"/>
        <v>1</v>
      </c>
    </row>
    <row r="94">
      <c r="B94" s="39">
        <f t="shared" si="3"/>
        <v>1</v>
      </c>
      <c r="C94" s="39">
        <f t="shared" ref="C94:D94" si="19">C16+D16</f>
        <v>1</v>
      </c>
      <c r="D94" s="39">
        <f t="shared" si="19"/>
        <v>0</v>
      </c>
      <c r="E94" s="39">
        <f t="shared" si="5"/>
        <v>1</v>
      </c>
      <c r="F94" s="39">
        <f t="shared" si="6"/>
        <v>0</v>
      </c>
    </row>
    <row r="95">
      <c r="B95" s="39">
        <f t="shared" si="3"/>
        <v>1</v>
      </c>
      <c r="C95" s="39">
        <f t="shared" ref="C95:D95" si="20">C17+D17</f>
        <v>1</v>
      </c>
      <c r="D95" s="39">
        <f t="shared" si="20"/>
        <v>0</v>
      </c>
      <c r="E95" s="39">
        <f t="shared" si="5"/>
        <v>1</v>
      </c>
      <c r="F95" s="39">
        <f t="shared" si="6"/>
        <v>1</v>
      </c>
    </row>
    <row r="96">
      <c r="B96" s="39">
        <f t="shared" si="3"/>
        <v>2</v>
      </c>
      <c r="C96" s="39">
        <f t="shared" ref="C96:D96" si="21">C18+D18</f>
        <v>2</v>
      </c>
      <c r="D96" s="39">
        <f t="shared" si="21"/>
        <v>1</v>
      </c>
      <c r="E96" s="39">
        <f t="shared" si="5"/>
        <v>2</v>
      </c>
      <c r="F96" s="39">
        <f t="shared" si="6"/>
        <v>2</v>
      </c>
    </row>
    <row r="97">
      <c r="B97" s="39">
        <f t="shared" si="3"/>
        <v>1</v>
      </c>
      <c r="C97" s="39">
        <f t="shared" ref="C97:D97" si="22">C19+D19</f>
        <v>0</v>
      </c>
      <c r="D97" s="39">
        <f t="shared" si="22"/>
        <v>0</v>
      </c>
      <c r="E97" s="39">
        <f t="shared" si="5"/>
        <v>0</v>
      </c>
      <c r="F97" s="39">
        <f t="shared" si="6"/>
        <v>0</v>
      </c>
    </row>
    <row r="98">
      <c r="B98" s="39">
        <f t="shared" si="3"/>
        <v>2</v>
      </c>
      <c r="C98" s="39">
        <f t="shared" ref="C98:D98" si="23">C20+D20</f>
        <v>2</v>
      </c>
      <c r="D98" s="39">
        <f t="shared" si="23"/>
        <v>2</v>
      </c>
      <c r="E98" s="39">
        <f t="shared" si="5"/>
        <v>2</v>
      </c>
      <c r="F98" s="39">
        <f t="shared" si="6"/>
        <v>2</v>
      </c>
    </row>
    <row r="99">
      <c r="B99" s="39">
        <f t="shared" si="3"/>
        <v>2</v>
      </c>
      <c r="C99" s="39">
        <f t="shared" ref="C99:D99" si="24">C21+D21</f>
        <v>2</v>
      </c>
      <c r="D99" s="39">
        <f t="shared" si="24"/>
        <v>2</v>
      </c>
      <c r="E99" s="39">
        <f t="shared" si="5"/>
        <v>2</v>
      </c>
      <c r="F99" s="39">
        <f t="shared" si="6"/>
        <v>2</v>
      </c>
    </row>
    <row r="100">
      <c r="B100" s="39">
        <f t="shared" si="3"/>
        <v>1</v>
      </c>
      <c r="C100" s="39">
        <f t="shared" ref="C100:D100" si="25">C22+D22</f>
        <v>1</v>
      </c>
      <c r="D100" s="39">
        <f t="shared" si="25"/>
        <v>0</v>
      </c>
      <c r="E100" s="39">
        <f t="shared" si="5"/>
        <v>0</v>
      </c>
      <c r="F100" s="39">
        <f t="shared" si="6"/>
        <v>0</v>
      </c>
    </row>
    <row r="101">
      <c r="B101" s="39">
        <f t="shared" si="3"/>
        <v>1</v>
      </c>
      <c r="C101" s="39">
        <f t="shared" ref="C101:D101" si="26">C23+D23</f>
        <v>0</v>
      </c>
      <c r="D101" s="39">
        <f t="shared" si="26"/>
        <v>0</v>
      </c>
      <c r="E101" s="39">
        <f t="shared" si="5"/>
        <v>0</v>
      </c>
      <c r="F101" s="39">
        <f t="shared" si="6"/>
        <v>0</v>
      </c>
    </row>
    <row r="102">
      <c r="B102" s="39">
        <f t="shared" si="3"/>
        <v>1</v>
      </c>
      <c r="C102" s="39">
        <f t="shared" ref="C102:D102" si="27">C24+D24</f>
        <v>0</v>
      </c>
      <c r="D102" s="39">
        <f t="shared" si="27"/>
        <v>0</v>
      </c>
      <c r="E102" s="39">
        <f t="shared" si="5"/>
        <v>0</v>
      </c>
      <c r="F102" s="39">
        <f t="shared" si="6"/>
        <v>0</v>
      </c>
    </row>
    <row r="103">
      <c r="B103" s="39">
        <f t="shared" si="3"/>
        <v>1</v>
      </c>
      <c r="C103" s="39">
        <f t="shared" ref="C103:D103" si="28">C25+D25</f>
        <v>0</v>
      </c>
      <c r="D103" s="39">
        <f t="shared" si="28"/>
        <v>0</v>
      </c>
      <c r="E103" s="39">
        <f t="shared" si="5"/>
        <v>0</v>
      </c>
      <c r="F103" s="39">
        <f t="shared" si="6"/>
        <v>0</v>
      </c>
    </row>
    <row r="104">
      <c r="B104" s="39">
        <f t="shared" si="3"/>
        <v>1</v>
      </c>
      <c r="C104" s="39">
        <f t="shared" ref="C104:D104" si="29">C26+D26</f>
        <v>0</v>
      </c>
      <c r="D104" s="39">
        <f t="shared" si="29"/>
        <v>0</v>
      </c>
      <c r="E104" s="39">
        <f t="shared" si="5"/>
        <v>0</v>
      </c>
      <c r="F104" s="39">
        <f t="shared" si="6"/>
        <v>0</v>
      </c>
    </row>
    <row r="105">
      <c r="B105" s="39">
        <f t="shared" si="3"/>
        <v>1</v>
      </c>
      <c r="C105" s="39">
        <f t="shared" ref="C105:D105" si="30">C27+D27</f>
        <v>0</v>
      </c>
      <c r="D105" s="39">
        <f t="shared" si="30"/>
        <v>0</v>
      </c>
      <c r="E105" s="39">
        <f t="shared" si="5"/>
        <v>0</v>
      </c>
      <c r="F105" s="39">
        <f t="shared" si="6"/>
        <v>0</v>
      </c>
    </row>
    <row r="106">
      <c r="B106" s="39">
        <f t="shared" si="3"/>
        <v>1</v>
      </c>
      <c r="C106" s="39">
        <f t="shared" ref="C106:D106" si="31">C28+D28</f>
        <v>0</v>
      </c>
      <c r="D106" s="39">
        <f t="shared" si="31"/>
        <v>0</v>
      </c>
      <c r="E106" s="39">
        <f t="shared" si="5"/>
        <v>1</v>
      </c>
      <c r="F106" s="39">
        <f t="shared" si="6"/>
        <v>0</v>
      </c>
    </row>
    <row r="107">
      <c r="B107" s="39">
        <f t="shared" si="3"/>
        <v>1</v>
      </c>
      <c r="C107" s="39">
        <f t="shared" ref="C107:D107" si="32">C29+D29</f>
        <v>0</v>
      </c>
      <c r="D107" s="39">
        <f t="shared" si="32"/>
        <v>0</v>
      </c>
      <c r="E107" s="39">
        <f t="shared" si="5"/>
        <v>1</v>
      </c>
      <c r="F107" s="39">
        <f t="shared" si="6"/>
        <v>0</v>
      </c>
    </row>
    <row r="108">
      <c r="B108" s="39">
        <f t="shared" si="3"/>
        <v>1</v>
      </c>
      <c r="C108" s="39">
        <f t="shared" ref="C108:D108" si="33">C30+D30</f>
        <v>0</v>
      </c>
      <c r="D108" s="39">
        <f t="shared" si="33"/>
        <v>0</v>
      </c>
      <c r="E108" s="39">
        <f t="shared" si="5"/>
        <v>0</v>
      </c>
      <c r="F108" s="39">
        <f t="shared" si="6"/>
        <v>0</v>
      </c>
    </row>
    <row r="109">
      <c r="B109" s="39">
        <f t="shared" si="3"/>
        <v>1</v>
      </c>
      <c r="C109" s="39">
        <f t="shared" ref="C109:D109" si="34">C31+D31</f>
        <v>0</v>
      </c>
      <c r="D109" s="39">
        <f t="shared" si="34"/>
        <v>0</v>
      </c>
      <c r="E109" s="39">
        <f t="shared" si="5"/>
        <v>0</v>
      </c>
      <c r="F109" s="39">
        <f t="shared" si="6"/>
        <v>0</v>
      </c>
    </row>
    <row r="110">
      <c r="B110" s="39">
        <f t="shared" si="3"/>
        <v>2</v>
      </c>
      <c r="C110" s="39">
        <f t="shared" ref="C110:D110" si="35">C32+D32</f>
        <v>2</v>
      </c>
      <c r="D110" s="39">
        <f t="shared" si="35"/>
        <v>1</v>
      </c>
      <c r="E110" s="39">
        <f t="shared" si="5"/>
        <v>2</v>
      </c>
      <c r="F110" s="39">
        <f t="shared" si="6"/>
        <v>2</v>
      </c>
    </row>
    <row r="111">
      <c r="B111" s="39">
        <f t="shared" si="3"/>
        <v>1</v>
      </c>
      <c r="C111" s="39">
        <f t="shared" ref="C111:D111" si="36">C33+D33</f>
        <v>0</v>
      </c>
      <c r="D111" s="39">
        <f t="shared" si="36"/>
        <v>0</v>
      </c>
      <c r="E111" s="39">
        <f t="shared" si="5"/>
        <v>0</v>
      </c>
      <c r="F111" s="39">
        <f t="shared" si="6"/>
        <v>0</v>
      </c>
    </row>
    <row r="112">
      <c r="B112" s="39">
        <f t="shared" si="3"/>
        <v>1</v>
      </c>
      <c r="C112" s="39">
        <f t="shared" ref="C112:D112" si="37">C34+D34</f>
        <v>1</v>
      </c>
      <c r="D112" s="39">
        <f t="shared" si="37"/>
        <v>0</v>
      </c>
      <c r="E112" s="39">
        <f t="shared" si="5"/>
        <v>1</v>
      </c>
      <c r="F112" s="39">
        <f t="shared" si="6"/>
        <v>1</v>
      </c>
    </row>
    <row r="113">
      <c r="B113" s="39">
        <f t="shared" si="3"/>
        <v>1</v>
      </c>
      <c r="C113" s="39">
        <f t="shared" ref="C113:D113" si="38">C35+D35</f>
        <v>1</v>
      </c>
      <c r="D113" s="39">
        <f t="shared" si="38"/>
        <v>1</v>
      </c>
      <c r="E113" s="39">
        <f t="shared" si="5"/>
        <v>1</v>
      </c>
      <c r="F113" s="39">
        <f t="shared" si="6"/>
        <v>1</v>
      </c>
    </row>
    <row r="114">
      <c r="B114" s="39">
        <f t="shared" si="3"/>
        <v>2</v>
      </c>
      <c r="C114" s="39">
        <f t="shared" ref="C114:D114" si="39">C36+D36</f>
        <v>2</v>
      </c>
      <c r="D114" s="39">
        <f t="shared" si="39"/>
        <v>1</v>
      </c>
      <c r="E114" s="39">
        <f t="shared" si="5"/>
        <v>2</v>
      </c>
      <c r="F114" s="39">
        <f t="shared" si="6"/>
        <v>1</v>
      </c>
    </row>
    <row r="115">
      <c r="B115" s="39">
        <f t="shared" si="3"/>
        <v>2</v>
      </c>
      <c r="C115" s="39">
        <f t="shared" ref="C115:D115" si="40">C37+D37</f>
        <v>1</v>
      </c>
      <c r="D115" s="39">
        <f t="shared" si="40"/>
        <v>1</v>
      </c>
      <c r="E115" s="39">
        <f t="shared" si="5"/>
        <v>2</v>
      </c>
      <c r="F115" s="39">
        <f t="shared" si="6"/>
        <v>1</v>
      </c>
    </row>
    <row r="116">
      <c r="B116" s="39">
        <f t="shared" si="3"/>
        <v>1</v>
      </c>
      <c r="C116" s="39">
        <f t="shared" ref="C116:D116" si="41">C38+D38</f>
        <v>0</v>
      </c>
      <c r="D116" s="39">
        <f t="shared" si="41"/>
        <v>0</v>
      </c>
      <c r="E116" s="39">
        <f t="shared" si="5"/>
        <v>0</v>
      </c>
      <c r="F116" s="39">
        <f t="shared" si="6"/>
        <v>0</v>
      </c>
    </row>
    <row r="117">
      <c r="B117" s="39">
        <f t="shared" si="3"/>
        <v>1</v>
      </c>
      <c r="C117" s="39">
        <f t="shared" ref="C117:D117" si="42">C39+D39</f>
        <v>0</v>
      </c>
      <c r="D117" s="39">
        <f t="shared" si="42"/>
        <v>0</v>
      </c>
      <c r="E117" s="39">
        <f t="shared" si="5"/>
        <v>0</v>
      </c>
      <c r="F117" s="39">
        <f t="shared" si="6"/>
        <v>0</v>
      </c>
    </row>
    <row r="118">
      <c r="B118" s="39">
        <f t="shared" si="3"/>
        <v>1</v>
      </c>
      <c r="C118" s="39">
        <f t="shared" ref="C118:D118" si="43">C40+D40</f>
        <v>1</v>
      </c>
      <c r="D118" s="39">
        <f t="shared" si="43"/>
        <v>1</v>
      </c>
      <c r="E118" s="39">
        <f t="shared" si="5"/>
        <v>1</v>
      </c>
      <c r="F118" s="39">
        <f t="shared" si="6"/>
        <v>1</v>
      </c>
    </row>
    <row r="119">
      <c r="B119" s="39">
        <f t="shared" si="3"/>
        <v>1</v>
      </c>
      <c r="C119" s="39">
        <f t="shared" ref="C119:D119" si="44">C41+D41</f>
        <v>0</v>
      </c>
      <c r="D119" s="39">
        <f t="shared" si="44"/>
        <v>0</v>
      </c>
      <c r="E119" s="39">
        <f t="shared" si="5"/>
        <v>1</v>
      </c>
      <c r="F119" s="39">
        <f t="shared" si="6"/>
        <v>0</v>
      </c>
    </row>
    <row r="120">
      <c r="B120" s="39">
        <f t="shared" si="3"/>
        <v>1</v>
      </c>
      <c r="C120" s="39">
        <f t="shared" ref="C120:D120" si="45">C42+D42</f>
        <v>0</v>
      </c>
      <c r="D120" s="39">
        <f t="shared" si="45"/>
        <v>0</v>
      </c>
      <c r="E120" s="39">
        <f t="shared" si="5"/>
        <v>0</v>
      </c>
      <c r="F120" s="39">
        <f t="shared" si="6"/>
        <v>0</v>
      </c>
    </row>
    <row r="121">
      <c r="B121" s="39">
        <f t="shared" si="3"/>
        <v>1</v>
      </c>
      <c r="C121" s="39">
        <f t="shared" ref="C121:D121" si="46">C43+D43</f>
        <v>1</v>
      </c>
      <c r="D121" s="39">
        <f t="shared" si="46"/>
        <v>0</v>
      </c>
      <c r="E121" s="39">
        <f t="shared" si="5"/>
        <v>1</v>
      </c>
      <c r="F121" s="39">
        <f t="shared" si="6"/>
        <v>1</v>
      </c>
    </row>
    <row r="122">
      <c r="B122" s="39">
        <f t="shared" si="3"/>
        <v>1</v>
      </c>
      <c r="C122" s="39">
        <f t="shared" ref="C122:D122" si="47">C44+D44</f>
        <v>0</v>
      </c>
      <c r="D122" s="39">
        <f t="shared" si="47"/>
        <v>0</v>
      </c>
      <c r="E122" s="39">
        <f t="shared" si="5"/>
        <v>1</v>
      </c>
      <c r="F122" s="39">
        <f t="shared" si="6"/>
        <v>0</v>
      </c>
    </row>
    <row r="123">
      <c r="B123" s="39">
        <f t="shared" si="3"/>
        <v>1</v>
      </c>
      <c r="C123" s="39">
        <f t="shared" ref="C123:D123" si="48">C45+D45</f>
        <v>0</v>
      </c>
      <c r="D123" s="39">
        <f t="shared" si="48"/>
        <v>0</v>
      </c>
      <c r="E123" s="39">
        <f t="shared" si="5"/>
        <v>1</v>
      </c>
      <c r="F123" s="39">
        <f t="shared" si="6"/>
        <v>0</v>
      </c>
    </row>
    <row r="124">
      <c r="B124" s="39">
        <f t="shared" si="3"/>
        <v>1</v>
      </c>
      <c r="C124" s="39">
        <f t="shared" ref="C124:D124" si="49">C46+D46</f>
        <v>0</v>
      </c>
      <c r="D124" s="39">
        <f t="shared" si="49"/>
        <v>0</v>
      </c>
      <c r="E124" s="39">
        <f t="shared" si="5"/>
        <v>0</v>
      </c>
      <c r="F124" s="39">
        <f t="shared" si="6"/>
        <v>0</v>
      </c>
    </row>
    <row r="125">
      <c r="B125" s="39">
        <f t="shared" si="3"/>
        <v>1</v>
      </c>
      <c r="C125" s="39">
        <f t="shared" ref="C125:D125" si="50">C47+D47</f>
        <v>0</v>
      </c>
      <c r="D125" s="39">
        <f t="shared" si="50"/>
        <v>0</v>
      </c>
      <c r="E125" s="39">
        <f t="shared" si="5"/>
        <v>0</v>
      </c>
      <c r="F125" s="39">
        <f t="shared" si="6"/>
        <v>0</v>
      </c>
    </row>
    <row r="126">
      <c r="B126" s="39">
        <f t="shared" si="3"/>
        <v>1</v>
      </c>
      <c r="C126" s="39">
        <f t="shared" ref="C126:D126" si="51">C48+D48</f>
        <v>0</v>
      </c>
      <c r="D126" s="39">
        <f t="shared" si="51"/>
        <v>0</v>
      </c>
      <c r="E126" s="39">
        <f t="shared" si="5"/>
        <v>0</v>
      </c>
      <c r="F126" s="39">
        <f t="shared" si="6"/>
        <v>0</v>
      </c>
    </row>
    <row r="127">
      <c r="B127" s="39">
        <f t="shared" si="3"/>
        <v>1</v>
      </c>
      <c r="C127" s="39">
        <f t="shared" ref="C127:D127" si="52">C49+D49</f>
        <v>0</v>
      </c>
      <c r="D127" s="39">
        <f t="shared" si="52"/>
        <v>0</v>
      </c>
      <c r="E127" s="39">
        <f t="shared" si="5"/>
        <v>0</v>
      </c>
      <c r="F127" s="39">
        <f t="shared" si="6"/>
        <v>0</v>
      </c>
    </row>
    <row r="128">
      <c r="B128" s="39">
        <f t="shared" si="3"/>
        <v>1</v>
      </c>
      <c r="C128" s="39">
        <f t="shared" ref="C128:D128" si="53">C50+D50</f>
        <v>0</v>
      </c>
      <c r="D128" s="39">
        <f t="shared" si="53"/>
        <v>0</v>
      </c>
      <c r="E128" s="39">
        <f t="shared" si="5"/>
        <v>0</v>
      </c>
      <c r="F128" s="39">
        <f t="shared" si="6"/>
        <v>0</v>
      </c>
    </row>
    <row r="129">
      <c r="B129" s="39">
        <f t="shared" si="3"/>
        <v>1</v>
      </c>
      <c r="C129" s="39">
        <f t="shared" ref="C129:D129" si="54">C51+D51</f>
        <v>0</v>
      </c>
      <c r="D129" s="39">
        <f t="shared" si="54"/>
        <v>0</v>
      </c>
      <c r="E129" s="39">
        <f t="shared" si="5"/>
        <v>0</v>
      </c>
      <c r="F129" s="39">
        <f t="shared" si="6"/>
        <v>0</v>
      </c>
    </row>
    <row r="130">
      <c r="B130" s="39">
        <f t="shared" si="3"/>
        <v>1</v>
      </c>
      <c r="C130" s="39">
        <f t="shared" ref="C130:D130" si="55">C52+D52</f>
        <v>0</v>
      </c>
      <c r="D130" s="39">
        <f t="shared" si="55"/>
        <v>0</v>
      </c>
      <c r="E130" s="39">
        <f t="shared" si="5"/>
        <v>0</v>
      </c>
      <c r="F130" s="39">
        <f t="shared" si="6"/>
        <v>0</v>
      </c>
    </row>
    <row r="131">
      <c r="B131" s="39">
        <f t="shared" si="3"/>
        <v>1</v>
      </c>
      <c r="C131" s="39">
        <f t="shared" ref="C131:D131" si="56">C53+D53</f>
        <v>0</v>
      </c>
      <c r="D131" s="39">
        <f t="shared" si="56"/>
        <v>0</v>
      </c>
      <c r="E131" s="39">
        <f t="shared" si="5"/>
        <v>0</v>
      </c>
      <c r="F131" s="39">
        <f t="shared" si="6"/>
        <v>0</v>
      </c>
    </row>
    <row r="132">
      <c r="B132" s="39">
        <f t="shared" si="3"/>
        <v>1</v>
      </c>
      <c r="C132" s="39">
        <f t="shared" ref="C132:D132" si="57">C54+D54</f>
        <v>0</v>
      </c>
      <c r="D132" s="39">
        <f t="shared" si="57"/>
        <v>0</v>
      </c>
      <c r="E132" s="39">
        <f t="shared" si="5"/>
        <v>0</v>
      </c>
      <c r="F132" s="39">
        <f t="shared" si="6"/>
        <v>0</v>
      </c>
    </row>
    <row r="133">
      <c r="B133" s="39">
        <f t="shared" si="3"/>
        <v>1</v>
      </c>
      <c r="C133" s="39">
        <f t="shared" ref="C133:D133" si="58">C55+D55</f>
        <v>0</v>
      </c>
      <c r="D133" s="39">
        <f t="shared" si="58"/>
        <v>0</v>
      </c>
      <c r="E133" s="39">
        <f t="shared" si="5"/>
        <v>0</v>
      </c>
      <c r="F133" s="39">
        <f t="shared" si="6"/>
        <v>0</v>
      </c>
    </row>
    <row r="134">
      <c r="B134" s="39">
        <f t="shared" si="3"/>
        <v>1</v>
      </c>
      <c r="C134" s="39">
        <f t="shared" ref="C134:D134" si="59">C56+D56</f>
        <v>0</v>
      </c>
      <c r="D134" s="39">
        <f t="shared" si="59"/>
        <v>0</v>
      </c>
      <c r="E134" s="39">
        <f t="shared" si="5"/>
        <v>0</v>
      </c>
      <c r="F134" s="39">
        <f t="shared" si="6"/>
        <v>0</v>
      </c>
    </row>
    <row r="135">
      <c r="B135" s="39">
        <f t="shared" si="3"/>
        <v>1</v>
      </c>
      <c r="C135" s="39">
        <f t="shared" ref="C135:D135" si="60">C57+D57</f>
        <v>0</v>
      </c>
      <c r="D135" s="39">
        <f t="shared" si="60"/>
        <v>0</v>
      </c>
      <c r="E135" s="39">
        <f t="shared" si="5"/>
        <v>0</v>
      </c>
      <c r="F135" s="39">
        <f t="shared" si="6"/>
        <v>0</v>
      </c>
    </row>
    <row r="136">
      <c r="B136" s="39">
        <f t="shared" si="3"/>
        <v>1</v>
      </c>
      <c r="C136" s="39">
        <f t="shared" ref="C136:D136" si="61">C58+D58</f>
        <v>0</v>
      </c>
      <c r="D136" s="39">
        <f t="shared" si="61"/>
        <v>0</v>
      </c>
      <c r="E136" s="39">
        <f t="shared" si="5"/>
        <v>0</v>
      </c>
      <c r="F136" s="39">
        <f t="shared" si="6"/>
        <v>0</v>
      </c>
    </row>
    <row r="137">
      <c r="B137" s="39">
        <f t="shared" si="3"/>
        <v>2</v>
      </c>
      <c r="C137" s="39">
        <f t="shared" ref="C137:D137" si="62">C59+D59</f>
        <v>1</v>
      </c>
      <c r="D137" s="39">
        <f t="shared" si="62"/>
        <v>1</v>
      </c>
      <c r="E137" s="39">
        <f t="shared" si="5"/>
        <v>1</v>
      </c>
      <c r="F137" s="39">
        <f t="shared" si="6"/>
        <v>1</v>
      </c>
    </row>
    <row r="138">
      <c r="B138" s="39">
        <f t="shared" si="3"/>
        <v>2</v>
      </c>
      <c r="C138" s="39">
        <f t="shared" ref="C138:D138" si="63">C60+D60</f>
        <v>1</v>
      </c>
      <c r="D138" s="39">
        <f t="shared" si="63"/>
        <v>1</v>
      </c>
      <c r="E138" s="39">
        <f t="shared" si="5"/>
        <v>1</v>
      </c>
      <c r="F138" s="39">
        <f t="shared" si="6"/>
        <v>1</v>
      </c>
    </row>
    <row r="139">
      <c r="B139" s="39">
        <f t="shared" si="3"/>
        <v>1</v>
      </c>
      <c r="C139" s="39">
        <f t="shared" ref="C139:D139" si="64">C61+D61</f>
        <v>0</v>
      </c>
      <c r="D139" s="39">
        <f t="shared" si="64"/>
        <v>0</v>
      </c>
      <c r="E139" s="39">
        <f t="shared" si="5"/>
        <v>0</v>
      </c>
      <c r="F139" s="39">
        <f t="shared" si="6"/>
        <v>0</v>
      </c>
    </row>
    <row r="140">
      <c r="B140" s="39">
        <f t="shared" si="3"/>
        <v>1</v>
      </c>
      <c r="C140" s="39">
        <f t="shared" ref="C140:D140" si="65">C62+D62</f>
        <v>0</v>
      </c>
      <c r="D140" s="39">
        <f t="shared" si="65"/>
        <v>0</v>
      </c>
      <c r="E140" s="39">
        <f t="shared" si="5"/>
        <v>0</v>
      </c>
      <c r="F140" s="39">
        <f t="shared" si="6"/>
        <v>0</v>
      </c>
    </row>
    <row r="141">
      <c r="B141" s="39">
        <f t="shared" si="3"/>
        <v>1</v>
      </c>
      <c r="C141" s="39">
        <f t="shared" ref="C141:D141" si="66">C63+D63</f>
        <v>0</v>
      </c>
      <c r="D141" s="39">
        <f t="shared" si="66"/>
        <v>0</v>
      </c>
      <c r="E141" s="39">
        <f t="shared" si="5"/>
        <v>0</v>
      </c>
      <c r="F141" s="39">
        <f t="shared" si="6"/>
        <v>0</v>
      </c>
    </row>
    <row r="142">
      <c r="B142" s="39">
        <f t="shared" si="3"/>
        <v>1</v>
      </c>
      <c r="C142" s="39">
        <f t="shared" ref="C142:D142" si="67">C64+D64</f>
        <v>0</v>
      </c>
      <c r="D142" s="39">
        <f t="shared" si="67"/>
        <v>0</v>
      </c>
      <c r="E142" s="39">
        <f t="shared" si="5"/>
        <v>0</v>
      </c>
      <c r="F142" s="39">
        <f t="shared" si="6"/>
        <v>0</v>
      </c>
    </row>
    <row r="143">
      <c r="B143" s="39">
        <f t="shared" si="3"/>
        <v>2</v>
      </c>
      <c r="C143" s="39">
        <f t="shared" ref="C143:D143" si="68">C65+D65</f>
        <v>2</v>
      </c>
      <c r="D143" s="39">
        <f t="shared" si="68"/>
        <v>1</v>
      </c>
      <c r="E143" s="39">
        <f t="shared" si="5"/>
        <v>2</v>
      </c>
      <c r="F143" s="39">
        <f t="shared" si="6"/>
        <v>2</v>
      </c>
    </row>
    <row r="144">
      <c r="B144" s="39">
        <f t="shared" si="3"/>
        <v>1</v>
      </c>
      <c r="C144" s="39">
        <f t="shared" ref="C144:D144" si="69">C66+D66</f>
        <v>0</v>
      </c>
      <c r="D144" s="39">
        <f t="shared" si="69"/>
        <v>0</v>
      </c>
      <c r="E144" s="39">
        <f t="shared" si="5"/>
        <v>1</v>
      </c>
      <c r="F144" s="39">
        <f t="shared" si="6"/>
        <v>1</v>
      </c>
    </row>
    <row r="145">
      <c r="B145" s="39">
        <f t="shared" si="3"/>
        <v>2</v>
      </c>
      <c r="C145" s="39">
        <f t="shared" ref="C145:D145" si="70">C67+D67</f>
        <v>1</v>
      </c>
      <c r="D145" s="39">
        <f t="shared" si="70"/>
        <v>1</v>
      </c>
      <c r="E145" s="39">
        <f t="shared" si="5"/>
        <v>1</v>
      </c>
      <c r="F145" s="39">
        <f t="shared" si="6"/>
        <v>1</v>
      </c>
    </row>
    <row r="146">
      <c r="B146" s="39">
        <f t="shared" si="3"/>
        <v>1</v>
      </c>
      <c r="C146" s="39">
        <f t="shared" ref="C146:D146" si="71">C68+D68</f>
        <v>0</v>
      </c>
      <c r="D146" s="39">
        <f t="shared" si="71"/>
        <v>0</v>
      </c>
      <c r="E146" s="39">
        <f t="shared" si="5"/>
        <v>1</v>
      </c>
      <c r="F146" s="39">
        <f t="shared" si="6"/>
        <v>0</v>
      </c>
    </row>
    <row r="147">
      <c r="B147" s="39">
        <f t="shared" si="3"/>
        <v>1</v>
      </c>
      <c r="C147" s="39">
        <f t="shared" ref="C147:D147" si="72">C69+D69</f>
        <v>1</v>
      </c>
      <c r="D147" s="39">
        <f t="shared" si="72"/>
        <v>0</v>
      </c>
      <c r="E147" s="39">
        <f t="shared" si="5"/>
        <v>0</v>
      </c>
      <c r="F147" s="39">
        <f t="shared" si="6"/>
        <v>0</v>
      </c>
    </row>
    <row r="148">
      <c r="B148" s="39">
        <f t="shared" si="3"/>
        <v>1</v>
      </c>
      <c r="C148" s="39">
        <f t="shared" ref="C148:D148" si="73">C70+D70</f>
        <v>0</v>
      </c>
      <c r="D148" s="39">
        <f t="shared" si="73"/>
        <v>0</v>
      </c>
      <c r="E148" s="39">
        <f t="shared" si="5"/>
        <v>0</v>
      </c>
      <c r="F148" s="39">
        <f t="shared" si="6"/>
        <v>0</v>
      </c>
    </row>
    <row r="149">
      <c r="B149" s="39">
        <f t="shared" si="3"/>
        <v>2</v>
      </c>
      <c r="C149" s="39">
        <f t="shared" ref="C149:D149" si="74">C71+D71</f>
        <v>1</v>
      </c>
      <c r="D149" s="39">
        <f t="shared" si="74"/>
        <v>1</v>
      </c>
      <c r="E149" s="39">
        <f t="shared" si="5"/>
        <v>2</v>
      </c>
      <c r="F149" s="39">
        <f t="shared" si="6"/>
        <v>1</v>
      </c>
    </row>
    <row r="150">
      <c r="B150" s="39">
        <f t="shared" si="3"/>
        <v>1</v>
      </c>
      <c r="C150" s="39">
        <f t="shared" ref="C150:D150" si="75">C72+D72</f>
        <v>0</v>
      </c>
      <c r="D150" s="39">
        <f t="shared" si="75"/>
        <v>0</v>
      </c>
      <c r="E150" s="39">
        <f t="shared" si="5"/>
        <v>0</v>
      </c>
      <c r="F150" s="39">
        <f t="shared" si="6"/>
        <v>0</v>
      </c>
    </row>
    <row r="151">
      <c r="B151" s="39">
        <f t="shared" si="3"/>
        <v>1</v>
      </c>
      <c r="C151" s="39">
        <f t="shared" ref="C151:D151" si="76">C73+D73</f>
        <v>0</v>
      </c>
      <c r="D151" s="39">
        <f t="shared" si="76"/>
        <v>0</v>
      </c>
      <c r="E151" s="39">
        <f t="shared" si="5"/>
        <v>0</v>
      </c>
      <c r="F151" s="39">
        <f t="shared" si="6"/>
        <v>0</v>
      </c>
    </row>
    <row r="152">
      <c r="B152" s="39">
        <f t="shared" si="3"/>
        <v>1</v>
      </c>
      <c r="C152" s="39">
        <f t="shared" ref="C152:D152" si="77">C74+D74</f>
        <v>0</v>
      </c>
      <c r="D152" s="39">
        <f t="shared" si="77"/>
        <v>0</v>
      </c>
      <c r="E152" s="39">
        <f t="shared" si="5"/>
        <v>0</v>
      </c>
      <c r="F152" s="39">
        <f t="shared" si="6"/>
        <v>0</v>
      </c>
    </row>
    <row r="153">
      <c r="B153" s="39">
        <f t="shared" si="3"/>
        <v>1</v>
      </c>
      <c r="C153" s="39">
        <f t="shared" ref="C153:D153" si="78">C75+D75</f>
        <v>0</v>
      </c>
      <c r="D153" s="39">
        <f t="shared" si="78"/>
        <v>0</v>
      </c>
      <c r="E153" s="39">
        <f t="shared" si="5"/>
        <v>0</v>
      </c>
      <c r="F153" s="39">
        <f t="shared" si="6"/>
        <v>0</v>
      </c>
    </row>
    <row r="154">
      <c r="B154" s="39">
        <f t="shared" si="3"/>
        <v>1</v>
      </c>
      <c r="C154" s="39">
        <f t="shared" ref="C154:D154" si="79">C76+D76</f>
        <v>0</v>
      </c>
      <c r="D154" s="39">
        <f t="shared" si="79"/>
        <v>0</v>
      </c>
      <c r="E154" s="39">
        <f t="shared" si="5"/>
        <v>0</v>
      </c>
      <c r="F154" s="39">
        <f t="shared" si="6"/>
        <v>0</v>
      </c>
    </row>
    <row r="155">
      <c r="B155" s="39">
        <f t="shared" ref="B155:F155" si="80">COUNTIF(B80:B154,"2")</f>
        <v>17</v>
      </c>
      <c r="C155" s="39">
        <f t="shared" si="80"/>
        <v>8</v>
      </c>
      <c r="D155" s="39">
        <f t="shared" si="80"/>
        <v>2</v>
      </c>
      <c r="E155" s="39">
        <f t="shared" si="80"/>
        <v>10</v>
      </c>
      <c r="F155" s="39">
        <f t="shared" si="80"/>
        <v>7</v>
      </c>
    </row>
    <row r="163">
      <c r="B163" s="4" t="s">
        <v>155</v>
      </c>
      <c r="C163" s="4" t="s">
        <v>156</v>
      </c>
    </row>
    <row r="164">
      <c r="A164" s="13" t="s">
        <v>245</v>
      </c>
      <c r="B164" s="9">
        <f>B155/(B77+C77-B155)</f>
        <v>0.2266666667</v>
      </c>
      <c r="C164" s="9">
        <f>(2*B155)/(B77+C77)</f>
        <v>0.3695652174</v>
      </c>
    </row>
    <row r="165">
      <c r="A165" s="13" t="s">
        <v>246</v>
      </c>
      <c r="B165" s="9">
        <f>C155/(C77+D77-C155)</f>
        <v>0.3076923077</v>
      </c>
      <c r="C165" s="9">
        <f>(2*C155)/(C77+D77)</f>
        <v>0.4705882353</v>
      </c>
    </row>
    <row r="166">
      <c r="A166" s="13" t="s">
        <v>247</v>
      </c>
      <c r="B166" s="9">
        <f>D155/(D77+E77-D155)</f>
        <v>0.1052631579</v>
      </c>
      <c r="C166" s="9">
        <f>(2*D155)/(D77+E77)</f>
        <v>0.1904761905</v>
      </c>
    </row>
    <row r="167">
      <c r="A167" s="13" t="s">
        <v>248</v>
      </c>
      <c r="B167" s="9">
        <f>E155/(D77+F77-E155)</f>
        <v>0.3125</v>
      </c>
      <c r="C167" s="9">
        <f>(2*E155)/(D77+F77)</f>
        <v>0.4761904762</v>
      </c>
    </row>
    <row r="168">
      <c r="A168" s="13" t="s">
        <v>249</v>
      </c>
      <c r="B168" s="9">
        <f>F155/(D77+G77-F155)</f>
        <v>0.28</v>
      </c>
      <c r="C168" s="9">
        <f>(2*F155)/(D77+G77)</f>
        <v>0.4375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43"/>
    <col customWidth="1" min="4" max="4" width="16.86"/>
    <col customWidth="1" min="5" max="5" width="17.0"/>
    <col customWidth="1" min="17" max="17" width="15.71"/>
  </cols>
  <sheetData>
    <row r="1">
      <c r="B1" s="20" t="s">
        <v>8</v>
      </c>
      <c r="C1" s="10" t="s">
        <v>250</v>
      </c>
      <c r="D1" s="14" t="s">
        <v>25</v>
      </c>
      <c r="E1" s="6" t="s">
        <v>11</v>
      </c>
      <c r="F1" s="6" t="s">
        <v>15</v>
      </c>
      <c r="G1" s="6" t="s">
        <v>16</v>
      </c>
      <c r="H1" s="6" t="s">
        <v>18</v>
      </c>
      <c r="I1" s="6" t="s">
        <v>19</v>
      </c>
      <c r="J1" s="6" t="s">
        <v>20</v>
      </c>
      <c r="K1" s="14" t="s">
        <v>26</v>
      </c>
      <c r="L1" s="13" t="s">
        <v>22</v>
      </c>
      <c r="M1" s="13" t="s">
        <v>27</v>
      </c>
      <c r="N1" s="13" t="s">
        <v>23</v>
      </c>
      <c r="O1" s="13" t="s">
        <v>24</v>
      </c>
      <c r="P1" s="13" t="s">
        <v>30</v>
      </c>
      <c r="Q1" s="6" t="s">
        <v>17</v>
      </c>
      <c r="R1" s="14" t="s">
        <v>35</v>
      </c>
      <c r="S1" s="13" t="s">
        <v>47</v>
      </c>
      <c r="T1" s="14" t="s">
        <v>52</v>
      </c>
      <c r="U1" s="13" t="s">
        <v>60</v>
      </c>
      <c r="V1" s="13" t="s">
        <v>61</v>
      </c>
      <c r="W1" s="23" t="s">
        <v>72</v>
      </c>
      <c r="X1" s="13" t="s">
        <v>73</v>
      </c>
    </row>
    <row r="2">
      <c r="A2" s="20" t="s">
        <v>79</v>
      </c>
      <c r="B2" s="20" t="s">
        <v>251</v>
      </c>
      <c r="C2" s="20" t="s">
        <v>252</v>
      </c>
      <c r="D2" s="10">
        <v>1.0</v>
      </c>
      <c r="E2" s="10">
        <v>1.0</v>
      </c>
      <c r="F2" s="10">
        <v>1.0</v>
      </c>
      <c r="G2" s="10">
        <v>1.0</v>
      </c>
      <c r="H2" s="10">
        <v>1.0</v>
      </c>
      <c r="I2" s="10">
        <v>1.0</v>
      </c>
      <c r="J2" s="10">
        <v>1.0</v>
      </c>
      <c r="K2" s="10">
        <v>1.0</v>
      </c>
      <c r="L2" s="10">
        <v>1.0</v>
      </c>
      <c r="M2" s="10">
        <v>1.0</v>
      </c>
      <c r="N2" s="10">
        <v>1.0</v>
      </c>
      <c r="O2" s="10">
        <v>1.0</v>
      </c>
      <c r="P2" s="10">
        <v>0.0</v>
      </c>
      <c r="Q2" s="10">
        <v>1.0</v>
      </c>
      <c r="R2" s="10">
        <v>0.0</v>
      </c>
      <c r="S2" s="10">
        <v>0.0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</row>
    <row r="3">
      <c r="A3" s="20" t="s">
        <v>49</v>
      </c>
      <c r="B3" s="20" t="s">
        <v>253</v>
      </c>
      <c r="C3" s="20" t="s">
        <v>252</v>
      </c>
      <c r="D3" s="10">
        <v>1.0</v>
      </c>
      <c r="E3" s="10">
        <v>1.0</v>
      </c>
      <c r="F3" s="10">
        <v>1.0</v>
      </c>
      <c r="G3" s="10">
        <v>1.0</v>
      </c>
      <c r="H3" s="10">
        <v>1.0</v>
      </c>
      <c r="I3" s="10">
        <v>1.0</v>
      </c>
      <c r="J3" s="10">
        <v>1.0</v>
      </c>
      <c r="K3" s="10">
        <v>1.0</v>
      </c>
      <c r="L3" s="10">
        <v>1.0</v>
      </c>
      <c r="M3" s="10">
        <v>1.0</v>
      </c>
      <c r="N3" s="10">
        <v>1.0</v>
      </c>
      <c r="O3" s="10">
        <v>1.0</v>
      </c>
      <c r="P3" s="10">
        <v>0.0</v>
      </c>
      <c r="Q3" s="10">
        <v>1.0</v>
      </c>
      <c r="R3" s="10">
        <v>0.0</v>
      </c>
      <c r="S3" s="10">
        <v>0.0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</row>
    <row r="4">
      <c r="A4" s="20" t="s">
        <v>43</v>
      </c>
      <c r="B4" s="20" t="s">
        <v>254</v>
      </c>
      <c r="C4" s="20" t="s">
        <v>252</v>
      </c>
      <c r="D4" s="10">
        <v>1.0</v>
      </c>
      <c r="E4" s="10">
        <v>1.0</v>
      </c>
      <c r="F4" s="10">
        <v>1.0</v>
      </c>
      <c r="G4" s="10">
        <v>1.0</v>
      </c>
      <c r="H4" s="10">
        <v>1.0</v>
      </c>
      <c r="I4" s="10">
        <v>1.0</v>
      </c>
      <c r="J4" s="10">
        <v>1.0</v>
      </c>
      <c r="K4" s="10">
        <v>1.0</v>
      </c>
      <c r="L4" s="10">
        <v>1.0</v>
      </c>
      <c r="M4" s="10">
        <v>0.0</v>
      </c>
      <c r="N4" s="10">
        <v>1.0</v>
      </c>
      <c r="O4" s="10">
        <v>0.0</v>
      </c>
      <c r="P4" s="10">
        <v>1.0</v>
      </c>
      <c r="Q4" s="10">
        <v>1.0</v>
      </c>
      <c r="R4" s="10">
        <v>1.0</v>
      </c>
      <c r="S4" s="10">
        <v>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</row>
    <row r="5">
      <c r="A5" s="20" t="s">
        <v>78</v>
      </c>
      <c r="B5" s="20" t="s">
        <v>254</v>
      </c>
      <c r="C5" s="20" t="s">
        <v>252</v>
      </c>
      <c r="D5" s="10">
        <v>1.0</v>
      </c>
      <c r="E5" s="10">
        <v>1.0</v>
      </c>
      <c r="F5" s="10">
        <v>1.0</v>
      </c>
      <c r="G5" s="10">
        <v>1.0</v>
      </c>
      <c r="H5" s="10">
        <v>1.0</v>
      </c>
      <c r="I5" s="10">
        <v>1.0</v>
      </c>
      <c r="J5" s="10">
        <v>1.0</v>
      </c>
      <c r="K5" s="10">
        <v>0.0</v>
      </c>
      <c r="L5" s="10">
        <v>1.0</v>
      </c>
      <c r="M5" s="10">
        <v>1.0</v>
      </c>
      <c r="N5" s="10">
        <v>1.0</v>
      </c>
      <c r="O5" s="10">
        <v>0.0</v>
      </c>
      <c r="P5" s="10">
        <v>1.0</v>
      </c>
      <c r="Q5" s="10">
        <v>1.0</v>
      </c>
      <c r="R5" s="10">
        <v>1.0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</row>
    <row r="6">
      <c r="A6" s="20" t="s">
        <v>75</v>
      </c>
      <c r="B6" s="20" t="s">
        <v>251</v>
      </c>
      <c r="C6" s="20" t="s">
        <v>252</v>
      </c>
      <c r="D6" s="10">
        <v>1.0</v>
      </c>
      <c r="E6" s="10">
        <v>1.0</v>
      </c>
      <c r="F6" s="10">
        <v>1.0</v>
      </c>
      <c r="G6" s="10">
        <v>1.0</v>
      </c>
      <c r="H6" s="10">
        <v>1.0</v>
      </c>
      <c r="I6" s="10">
        <v>1.0</v>
      </c>
      <c r="J6" s="10">
        <v>1.0</v>
      </c>
      <c r="K6" s="10">
        <v>0.0</v>
      </c>
      <c r="L6" s="10">
        <v>1.0</v>
      </c>
      <c r="M6" s="10">
        <v>0.0</v>
      </c>
      <c r="N6" s="10">
        <v>1.0</v>
      </c>
      <c r="O6" s="10">
        <v>1.0</v>
      </c>
      <c r="P6" s="10">
        <v>1.0</v>
      </c>
      <c r="Q6" s="10">
        <v>1.0</v>
      </c>
      <c r="R6" s="10">
        <v>1.0</v>
      </c>
      <c r="S6" s="10">
        <v>1.0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</row>
    <row r="7">
      <c r="A7" s="20" t="s">
        <v>80</v>
      </c>
      <c r="B7" s="20" t="s">
        <v>251</v>
      </c>
      <c r="C7" s="20" t="s">
        <v>252</v>
      </c>
      <c r="D7" s="10">
        <v>1.0</v>
      </c>
      <c r="E7" s="10">
        <v>1.0</v>
      </c>
      <c r="F7" s="10">
        <v>1.0</v>
      </c>
      <c r="G7" s="10">
        <v>1.0</v>
      </c>
      <c r="H7" s="10">
        <v>1.0</v>
      </c>
      <c r="I7" s="10">
        <v>1.0</v>
      </c>
      <c r="J7" s="10">
        <v>1.0</v>
      </c>
      <c r="K7" s="10">
        <v>0.0</v>
      </c>
      <c r="L7" s="10">
        <v>1.0</v>
      </c>
      <c r="M7" s="10">
        <v>0.0</v>
      </c>
      <c r="N7" s="10">
        <v>1.0</v>
      </c>
      <c r="O7" s="10">
        <v>0.0</v>
      </c>
      <c r="P7" s="10">
        <v>1.0</v>
      </c>
      <c r="Q7" s="10">
        <v>1.0</v>
      </c>
      <c r="R7" s="10">
        <v>0.0</v>
      </c>
      <c r="S7" s="10">
        <v>0.0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</row>
    <row r="8">
      <c r="A8" s="20" t="s">
        <v>76</v>
      </c>
      <c r="B8" s="20" t="s">
        <v>254</v>
      </c>
      <c r="C8" s="20" t="s">
        <v>252</v>
      </c>
      <c r="D8" s="10">
        <v>1.0</v>
      </c>
      <c r="E8" s="10">
        <v>1.0</v>
      </c>
      <c r="F8" s="10">
        <v>1.0</v>
      </c>
      <c r="G8" s="10">
        <v>1.0</v>
      </c>
      <c r="H8" s="10">
        <v>1.0</v>
      </c>
      <c r="I8" s="10">
        <v>1.0</v>
      </c>
      <c r="J8" s="10">
        <v>1.0</v>
      </c>
      <c r="K8" s="10">
        <v>1.0</v>
      </c>
      <c r="L8" s="10">
        <v>1.0</v>
      </c>
      <c r="M8" s="10">
        <v>0.0</v>
      </c>
      <c r="N8" s="10">
        <v>1.0</v>
      </c>
      <c r="O8" s="10">
        <v>0.0</v>
      </c>
      <c r="P8" s="10">
        <v>0.0</v>
      </c>
      <c r="Q8" s="10">
        <v>1.0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</row>
    <row r="9">
      <c r="A9" s="20" t="s">
        <v>77</v>
      </c>
      <c r="B9" s="20" t="s">
        <v>254</v>
      </c>
      <c r="C9" s="20" t="s">
        <v>252</v>
      </c>
      <c r="D9" s="10">
        <v>1.0</v>
      </c>
      <c r="E9" s="10">
        <v>1.0</v>
      </c>
      <c r="F9" s="10">
        <v>1.0</v>
      </c>
      <c r="G9" s="10">
        <v>1.0</v>
      </c>
      <c r="H9" s="10">
        <v>1.0</v>
      </c>
      <c r="I9" s="10">
        <v>1.0</v>
      </c>
      <c r="J9" s="10">
        <v>1.0</v>
      </c>
      <c r="K9" s="10">
        <v>1.0</v>
      </c>
      <c r="L9" s="10">
        <v>1.0</v>
      </c>
      <c r="M9" s="10">
        <v>0.0</v>
      </c>
      <c r="N9" s="10">
        <v>1.0</v>
      </c>
      <c r="O9" s="10">
        <v>0.0</v>
      </c>
      <c r="P9" s="10">
        <v>1.0</v>
      </c>
      <c r="Q9" s="10">
        <v>1.0</v>
      </c>
      <c r="R9" s="10">
        <v>0.0</v>
      </c>
      <c r="S9" s="10">
        <v>0.0</v>
      </c>
      <c r="T9" s="10">
        <v>1.0</v>
      </c>
      <c r="U9" s="10">
        <v>0.0</v>
      </c>
      <c r="V9" s="10">
        <v>0.0</v>
      </c>
      <c r="W9" s="10">
        <v>0.0</v>
      </c>
      <c r="X9" s="10">
        <v>0.0</v>
      </c>
    </row>
    <row r="10">
      <c r="A10" s="20" t="s">
        <v>133</v>
      </c>
      <c r="B10" s="20" t="s">
        <v>254</v>
      </c>
      <c r="C10" s="20" t="s">
        <v>98</v>
      </c>
      <c r="D10" s="10">
        <v>1.0</v>
      </c>
      <c r="E10" s="10">
        <v>1.0</v>
      </c>
      <c r="F10" s="10">
        <v>1.0</v>
      </c>
      <c r="G10" s="10">
        <v>0.0</v>
      </c>
      <c r="H10" s="10">
        <v>1.0</v>
      </c>
      <c r="I10" s="10">
        <v>0.0</v>
      </c>
      <c r="J10" s="10">
        <v>1.0</v>
      </c>
      <c r="K10" s="10">
        <v>1.0</v>
      </c>
      <c r="L10" s="10">
        <v>1.0</v>
      </c>
      <c r="M10" s="10">
        <v>0.0</v>
      </c>
      <c r="N10" s="10">
        <v>1.0</v>
      </c>
      <c r="O10" s="10">
        <v>0.0</v>
      </c>
      <c r="P10" s="10">
        <v>1.0</v>
      </c>
      <c r="Q10" s="10">
        <v>1.0</v>
      </c>
      <c r="R10" s="10">
        <v>1.0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</row>
    <row r="11">
      <c r="A11" s="20" t="s">
        <v>255</v>
      </c>
      <c r="B11" s="20" t="s">
        <v>253</v>
      </c>
      <c r="C11" s="20" t="s">
        <v>252</v>
      </c>
      <c r="D11" s="10">
        <v>1.0</v>
      </c>
      <c r="E11" s="10">
        <v>1.0</v>
      </c>
      <c r="F11" s="10">
        <v>1.0</v>
      </c>
      <c r="G11" s="10">
        <v>1.0</v>
      </c>
      <c r="H11" s="10">
        <v>1.0</v>
      </c>
      <c r="I11" s="10">
        <v>1.0</v>
      </c>
      <c r="J11" s="10">
        <v>1.0</v>
      </c>
      <c r="K11" s="10">
        <v>1.0</v>
      </c>
      <c r="L11" s="10">
        <v>1.0</v>
      </c>
      <c r="M11" s="10">
        <v>0.0</v>
      </c>
      <c r="N11" s="10">
        <v>1.0</v>
      </c>
      <c r="O11" s="10">
        <v>0.0</v>
      </c>
      <c r="P11" s="10">
        <v>1.0</v>
      </c>
      <c r="Q11" s="10">
        <v>1.0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</row>
    <row r="12">
      <c r="A12" s="20" t="s">
        <v>256</v>
      </c>
      <c r="B12" s="20" t="s">
        <v>251</v>
      </c>
      <c r="C12" s="20" t="s">
        <v>98</v>
      </c>
      <c r="D12" s="10">
        <v>1.0</v>
      </c>
      <c r="E12" s="10">
        <v>1.0</v>
      </c>
      <c r="F12" s="10">
        <v>0.0</v>
      </c>
      <c r="G12" s="10">
        <v>1.0</v>
      </c>
      <c r="H12" s="10">
        <v>1.0</v>
      </c>
      <c r="I12" s="10">
        <v>0.0</v>
      </c>
      <c r="J12" s="10">
        <v>0.0</v>
      </c>
      <c r="K12" s="10">
        <v>0.0</v>
      </c>
      <c r="L12" s="10">
        <v>1.0</v>
      </c>
      <c r="M12" s="10">
        <v>0.0</v>
      </c>
      <c r="N12" s="10">
        <v>0.0</v>
      </c>
      <c r="O12" s="10">
        <v>0.0</v>
      </c>
      <c r="P12" s="10">
        <v>0.0</v>
      </c>
      <c r="Q12" s="10">
        <v>1.0</v>
      </c>
      <c r="R12" s="10">
        <v>1.0</v>
      </c>
      <c r="S12" s="10">
        <v>1.0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</row>
    <row r="13">
      <c r="A13" s="20" t="s">
        <v>257</v>
      </c>
      <c r="B13" s="20" t="s">
        <v>251</v>
      </c>
      <c r="C13" s="20" t="s">
        <v>98</v>
      </c>
      <c r="D13" s="10">
        <v>1.0</v>
      </c>
      <c r="E13" s="10">
        <v>0.0</v>
      </c>
      <c r="F13" s="10">
        <v>1.0</v>
      </c>
      <c r="G13" s="10">
        <v>0.0</v>
      </c>
      <c r="H13" s="10">
        <v>1.0</v>
      </c>
      <c r="I13" s="10">
        <v>1.0</v>
      </c>
      <c r="J13" s="10">
        <v>1.0</v>
      </c>
      <c r="K13" s="10">
        <v>0.0</v>
      </c>
      <c r="L13" s="10">
        <v>1.0</v>
      </c>
      <c r="M13" s="10">
        <v>1.0</v>
      </c>
      <c r="N13" s="10">
        <v>0.0</v>
      </c>
      <c r="O13" s="10">
        <v>0.0</v>
      </c>
      <c r="P13" s="10">
        <v>1.0</v>
      </c>
      <c r="Q13" s="10">
        <v>1.0</v>
      </c>
      <c r="R13" s="10">
        <v>1.0</v>
      </c>
      <c r="S13" s="10">
        <v>1.0</v>
      </c>
      <c r="T13" s="10">
        <v>0.0</v>
      </c>
      <c r="U13" s="10">
        <v>1.0</v>
      </c>
      <c r="V13" s="10">
        <v>1.0</v>
      </c>
      <c r="W13" s="10">
        <v>0.0</v>
      </c>
      <c r="X13" s="10">
        <v>0.0</v>
      </c>
    </row>
    <row r="14">
      <c r="A14" s="20" t="s">
        <v>258</v>
      </c>
      <c r="B14" s="20" t="s">
        <v>253</v>
      </c>
      <c r="C14" s="20" t="s">
        <v>252</v>
      </c>
      <c r="D14" s="10">
        <v>1.0</v>
      </c>
      <c r="E14" s="10">
        <v>1.0</v>
      </c>
      <c r="F14" s="10">
        <v>1.0</v>
      </c>
      <c r="G14" s="10">
        <v>1.0</v>
      </c>
      <c r="H14" s="10">
        <v>1.0</v>
      </c>
      <c r="I14" s="10">
        <v>1.0</v>
      </c>
      <c r="J14" s="10">
        <v>1.0</v>
      </c>
      <c r="K14" s="10">
        <v>0.0</v>
      </c>
      <c r="L14" s="10">
        <v>1.0</v>
      </c>
      <c r="M14" s="10">
        <v>1.0</v>
      </c>
      <c r="N14" s="10">
        <v>0.0</v>
      </c>
      <c r="O14" s="10">
        <v>1.0</v>
      </c>
      <c r="P14" s="10">
        <v>1.0</v>
      </c>
      <c r="Q14" s="10">
        <v>1.0</v>
      </c>
      <c r="R14" s="10">
        <v>0.0</v>
      </c>
      <c r="S14" s="10">
        <v>1.0</v>
      </c>
      <c r="T14" s="10">
        <v>0.0</v>
      </c>
      <c r="U14" s="10">
        <v>0.0</v>
      </c>
      <c r="V14" s="10">
        <v>0.0</v>
      </c>
      <c r="W14" s="10">
        <v>1.0</v>
      </c>
      <c r="X14" s="10">
        <v>1.0</v>
      </c>
    </row>
    <row r="15">
      <c r="A15" s="51" t="s">
        <v>259</v>
      </c>
      <c r="B15" s="20" t="s">
        <v>253</v>
      </c>
      <c r="C15" s="20" t="s">
        <v>252</v>
      </c>
      <c r="D15" s="10">
        <v>1.0</v>
      </c>
      <c r="E15" s="10">
        <v>1.0</v>
      </c>
      <c r="F15" s="10">
        <v>1.0</v>
      </c>
      <c r="G15" s="52">
        <v>1.0</v>
      </c>
      <c r="H15" s="52">
        <v>1.0</v>
      </c>
      <c r="I15" s="52">
        <v>1.0</v>
      </c>
      <c r="J15" s="52">
        <v>1.0</v>
      </c>
      <c r="K15" s="52">
        <v>0.0</v>
      </c>
      <c r="L15" s="52">
        <v>0.0</v>
      </c>
      <c r="M15" s="52">
        <v>0.0</v>
      </c>
      <c r="N15" s="52">
        <v>0.0</v>
      </c>
      <c r="O15" s="52">
        <v>0.0</v>
      </c>
      <c r="P15" s="52">
        <v>0.0</v>
      </c>
      <c r="Q15" s="52">
        <v>1.0</v>
      </c>
      <c r="R15" s="10">
        <v>0.0</v>
      </c>
      <c r="S15" s="10">
        <v>0.0</v>
      </c>
      <c r="T15" s="10">
        <v>0.0</v>
      </c>
      <c r="U15" s="10">
        <v>0.0</v>
      </c>
      <c r="V15" s="10">
        <v>1.0</v>
      </c>
      <c r="W15" s="10">
        <v>0.0</v>
      </c>
      <c r="X15" s="10">
        <v>0.0</v>
      </c>
    </row>
    <row r="16">
      <c r="A16" s="51" t="s">
        <v>260</v>
      </c>
      <c r="B16" s="20" t="s">
        <v>251</v>
      </c>
      <c r="C16" s="20" t="s">
        <v>98</v>
      </c>
      <c r="D16" s="10">
        <v>1.0</v>
      </c>
      <c r="E16" s="10">
        <v>1.0</v>
      </c>
      <c r="F16" s="10">
        <v>0.0</v>
      </c>
      <c r="G16" s="10">
        <v>0.0</v>
      </c>
      <c r="H16" s="10">
        <v>0.0</v>
      </c>
      <c r="I16" s="10">
        <v>0.0</v>
      </c>
      <c r="J16" s="10">
        <v>1.0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1.0</v>
      </c>
      <c r="Q16" s="10">
        <v>0.0</v>
      </c>
      <c r="R16" s="10">
        <v>1.0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53"/>
      <c r="Z16" s="53"/>
      <c r="AA16" s="53"/>
    </row>
    <row r="17">
      <c r="A17" s="54"/>
      <c r="B17" s="54"/>
      <c r="C17" s="54"/>
      <c r="D17" s="44"/>
      <c r="E17" s="43"/>
      <c r="F17" s="43"/>
      <c r="G17" s="43"/>
      <c r="H17" s="43"/>
      <c r="I17" s="43"/>
      <c r="J17" s="43"/>
      <c r="K17" s="43"/>
      <c r="L17" s="43"/>
      <c r="M17" s="45"/>
      <c r="N17" s="45"/>
      <c r="O17" s="43"/>
      <c r="P17" s="43"/>
      <c r="Q17" s="43"/>
      <c r="R17" s="43"/>
    </row>
    <row r="18">
      <c r="A18" s="54"/>
      <c r="B18" s="54"/>
      <c r="C18" s="54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>
      <c r="A19" s="54"/>
      <c r="B19" s="54"/>
      <c r="C19" s="54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</row>
    <row r="20">
      <c r="A20" s="54"/>
      <c r="B20" s="54"/>
      <c r="C20" s="54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</row>
    <row r="21">
      <c r="A21" s="54"/>
      <c r="B21" s="54"/>
      <c r="C21" s="54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</row>
    <row r="22">
      <c r="A22" s="54"/>
      <c r="B22" s="54"/>
      <c r="C22" s="54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</row>
    <row r="23">
      <c r="A23" s="54"/>
      <c r="B23" s="54"/>
      <c r="C23" s="54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</row>
    <row r="24">
      <c r="A24" s="54"/>
      <c r="B24" s="54"/>
      <c r="C24" s="54"/>
      <c r="D24" s="45"/>
      <c r="E24" s="45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</row>
    <row r="25">
      <c r="A25" s="40"/>
      <c r="B25" s="4" t="s">
        <v>79</v>
      </c>
      <c r="C25" s="4" t="s">
        <v>49</v>
      </c>
      <c r="D25" s="4" t="s">
        <v>43</v>
      </c>
      <c r="E25" s="46" t="s">
        <v>78</v>
      </c>
      <c r="F25" s="46" t="s">
        <v>75</v>
      </c>
      <c r="G25" s="46" t="s">
        <v>80</v>
      </c>
      <c r="H25" s="46" t="s">
        <v>76</v>
      </c>
      <c r="I25" s="46" t="s">
        <v>77</v>
      </c>
      <c r="J25" s="47" t="s">
        <v>133</v>
      </c>
      <c r="K25" s="46" t="s">
        <v>255</v>
      </c>
      <c r="L25" s="47" t="s">
        <v>256</v>
      </c>
      <c r="M25" s="4" t="s">
        <v>257</v>
      </c>
      <c r="N25" s="4" t="s">
        <v>258</v>
      </c>
      <c r="O25" s="4" t="s">
        <v>259</v>
      </c>
    </row>
    <row r="26">
      <c r="A26" s="54" t="s">
        <v>110</v>
      </c>
      <c r="B26" s="43">
        <v>0.25</v>
      </c>
      <c r="C26" s="43">
        <v>0.25</v>
      </c>
      <c r="D26" s="43">
        <v>2.33</v>
      </c>
      <c r="E26" s="43">
        <v>0.25</v>
      </c>
      <c r="F26" s="43">
        <v>0.25</v>
      </c>
      <c r="G26" s="43">
        <v>1.0</v>
      </c>
      <c r="H26" s="43">
        <v>0.25</v>
      </c>
      <c r="I26" s="43">
        <v>1.67</v>
      </c>
      <c r="J26" s="45">
        <v>4.0</v>
      </c>
      <c r="K26" s="43">
        <v>0.33</v>
      </c>
      <c r="L26" s="43">
        <v>0.67</v>
      </c>
      <c r="M26" s="43">
        <v>0.25</v>
      </c>
      <c r="N26" s="10">
        <v>0.67</v>
      </c>
      <c r="O26" s="10">
        <v>0.67</v>
      </c>
    </row>
    <row r="27">
      <c r="A27" s="54" t="s">
        <v>111</v>
      </c>
      <c r="B27" s="44">
        <v>0.33</v>
      </c>
      <c r="C27" s="43">
        <v>0.25</v>
      </c>
      <c r="D27" s="43">
        <v>0.67</v>
      </c>
      <c r="E27" s="43">
        <v>0.67</v>
      </c>
      <c r="F27" s="43">
        <v>0.67</v>
      </c>
      <c r="G27" s="43">
        <v>2.0</v>
      </c>
      <c r="H27" s="43">
        <v>0.25</v>
      </c>
      <c r="I27" s="43">
        <v>6.0</v>
      </c>
      <c r="J27" s="43">
        <v>2.67</v>
      </c>
      <c r="K27" s="43">
        <v>0.33</v>
      </c>
      <c r="L27" s="43">
        <v>0.25</v>
      </c>
      <c r="M27" s="10">
        <v>0.01</v>
      </c>
      <c r="N27" s="10">
        <v>0.33</v>
      </c>
      <c r="O27" s="10">
        <v>0.25</v>
      </c>
    </row>
    <row r="28">
      <c r="A28" s="54" t="s">
        <v>112</v>
      </c>
      <c r="B28" s="43">
        <v>0.67</v>
      </c>
      <c r="C28" s="43">
        <v>3.67</v>
      </c>
      <c r="D28" s="43">
        <v>0.25</v>
      </c>
      <c r="E28" s="43">
        <v>2.67</v>
      </c>
      <c r="F28" s="43">
        <v>0.33</v>
      </c>
      <c r="G28" s="43">
        <v>2.67</v>
      </c>
      <c r="H28" s="43">
        <v>1.0</v>
      </c>
      <c r="I28" s="43">
        <v>1.33</v>
      </c>
      <c r="J28" s="43">
        <v>0.25</v>
      </c>
      <c r="K28" s="43">
        <v>0.25</v>
      </c>
      <c r="L28" s="43">
        <v>0.01</v>
      </c>
      <c r="M28" s="10">
        <v>0.33</v>
      </c>
      <c r="N28" s="10">
        <v>0.25</v>
      </c>
      <c r="O28" s="10">
        <v>0.25</v>
      </c>
    </row>
    <row r="29">
      <c r="A29" s="54" t="s">
        <v>113</v>
      </c>
      <c r="B29" s="43">
        <v>6.0</v>
      </c>
      <c r="C29" s="43">
        <v>0.67</v>
      </c>
      <c r="D29" s="43">
        <v>0.67</v>
      </c>
      <c r="E29" s="43">
        <v>0.33</v>
      </c>
      <c r="F29" s="43">
        <v>0.67</v>
      </c>
      <c r="G29" s="43">
        <v>2.0</v>
      </c>
      <c r="H29" s="43">
        <v>0.33</v>
      </c>
      <c r="I29" s="43">
        <v>0.67</v>
      </c>
      <c r="J29" s="43">
        <v>0.01</v>
      </c>
      <c r="K29" s="43">
        <v>1.33</v>
      </c>
      <c r="L29" s="43">
        <v>0.25</v>
      </c>
      <c r="M29" s="10">
        <v>0.01</v>
      </c>
      <c r="N29" s="10">
        <v>0.25</v>
      </c>
      <c r="O29" s="10">
        <v>0.25</v>
      </c>
    </row>
    <row r="30">
      <c r="A30" s="54" t="s">
        <v>114</v>
      </c>
      <c r="B30" s="43">
        <v>9.33</v>
      </c>
      <c r="C30" s="43">
        <v>4.33</v>
      </c>
      <c r="D30" s="43">
        <v>0.67</v>
      </c>
      <c r="E30" s="43">
        <v>0.25</v>
      </c>
      <c r="F30" s="43">
        <v>0.25</v>
      </c>
      <c r="G30" s="43">
        <v>2.67</v>
      </c>
      <c r="H30" s="43">
        <v>2.0</v>
      </c>
      <c r="I30" s="43">
        <v>3.33</v>
      </c>
      <c r="J30" s="43">
        <v>0.25</v>
      </c>
      <c r="K30" s="43">
        <v>0.67</v>
      </c>
      <c r="L30" s="43">
        <v>0.25</v>
      </c>
      <c r="M30" s="10">
        <v>0.33</v>
      </c>
      <c r="N30" s="10">
        <v>0.25</v>
      </c>
      <c r="O30" s="10">
        <v>0.25</v>
      </c>
    </row>
    <row r="31">
      <c r="A31" s="54" t="s">
        <v>115</v>
      </c>
      <c r="B31" s="43">
        <v>30.01</v>
      </c>
      <c r="C31" s="43">
        <v>36.33</v>
      </c>
      <c r="D31" s="43">
        <v>0.33</v>
      </c>
      <c r="E31" s="43">
        <v>4.33</v>
      </c>
      <c r="F31" s="43">
        <v>8.67</v>
      </c>
      <c r="G31" s="43">
        <v>26.33</v>
      </c>
      <c r="H31" s="43">
        <v>25.0</v>
      </c>
      <c r="I31" s="43">
        <v>6.33</v>
      </c>
      <c r="J31" s="43">
        <v>0.01</v>
      </c>
      <c r="K31" s="43">
        <v>0.67</v>
      </c>
      <c r="L31" s="43">
        <v>0.01</v>
      </c>
      <c r="M31" s="10">
        <v>0.67</v>
      </c>
      <c r="N31" s="10">
        <v>0.33</v>
      </c>
      <c r="O31" s="10">
        <v>1.33</v>
      </c>
    </row>
    <row r="32">
      <c r="A32" s="54" t="s">
        <v>116</v>
      </c>
      <c r="B32" s="43">
        <v>54.67</v>
      </c>
      <c r="C32" s="43">
        <v>58.33</v>
      </c>
      <c r="D32" s="43">
        <v>3.67</v>
      </c>
      <c r="E32" s="43">
        <v>4.33</v>
      </c>
      <c r="F32" s="43">
        <v>7.33</v>
      </c>
      <c r="G32" s="43">
        <v>17.0</v>
      </c>
      <c r="H32" s="43">
        <v>36.67</v>
      </c>
      <c r="I32" s="43">
        <v>9.33</v>
      </c>
      <c r="J32" s="43">
        <v>2.67</v>
      </c>
      <c r="K32" s="43">
        <v>2.0</v>
      </c>
      <c r="L32" s="43">
        <v>0.01</v>
      </c>
      <c r="M32" s="43">
        <v>1.0</v>
      </c>
      <c r="N32" s="43">
        <v>1.0</v>
      </c>
      <c r="O32" s="10">
        <v>2.0</v>
      </c>
    </row>
    <row r="33">
      <c r="A33" s="54" t="s">
        <v>21</v>
      </c>
      <c r="B33" s="43">
        <v>64.67</v>
      </c>
      <c r="C33" s="43">
        <v>98.33</v>
      </c>
      <c r="D33" s="43">
        <v>7.33</v>
      </c>
      <c r="E33" s="43">
        <v>18.0</v>
      </c>
      <c r="F33" s="43">
        <v>7.33</v>
      </c>
      <c r="G33" s="43">
        <v>33.67</v>
      </c>
      <c r="H33" s="43">
        <v>23.67</v>
      </c>
      <c r="I33" s="43">
        <v>15.33</v>
      </c>
      <c r="J33" s="43">
        <v>5.33</v>
      </c>
      <c r="K33" s="43">
        <v>4.0</v>
      </c>
      <c r="L33" s="43">
        <v>2.0</v>
      </c>
      <c r="M33" s="10">
        <v>2.67</v>
      </c>
      <c r="N33" s="10">
        <v>0.25</v>
      </c>
      <c r="O33" s="10">
        <v>2.0</v>
      </c>
    </row>
    <row r="34">
      <c r="A34" s="54" t="s">
        <v>117</v>
      </c>
      <c r="B34" s="45">
        <v>11.0</v>
      </c>
      <c r="C34" s="45">
        <v>15.0</v>
      </c>
      <c r="D34" s="43">
        <v>3.33</v>
      </c>
      <c r="E34" s="43">
        <v>3.0</v>
      </c>
      <c r="F34" s="43">
        <v>3.0</v>
      </c>
      <c r="G34" s="43">
        <v>2.67</v>
      </c>
      <c r="H34" s="43">
        <v>2.67</v>
      </c>
      <c r="I34" s="43">
        <v>3.67</v>
      </c>
      <c r="J34" s="43">
        <v>0.25</v>
      </c>
      <c r="K34" s="43">
        <v>0.25</v>
      </c>
      <c r="L34" s="43">
        <v>0.01</v>
      </c>
      <c r="M34" s="10">
        <v>0.01</v>
      </c>
      <c r="N34" s="10">
        <v>0.01</v>
      </c>
      <c r="O34" s="10">
        <v>0.01</v>
      </c>
    </row>
    <row r="35">
      <c r="A35" s="54" t="s">
        <v>118</v>
      </c>
      <c r="B35" s="43">
        <v>0.25</v>
      </c>
      <c r="C35" s="45">
        <v>0.25</v>
      </c>
      <c r="D35" s="43">
        <v>0.01</v>
      </c>
      <c r="E35" s="43">
        <v>0.01</v>
      </c>
      <c r="F35" s="43">
        <v>0.25</v>
      </c>
      <c r="G35" s="43">
        <v>0.01</v>
      </c>
      <c r="H35" s="43">
        <v>0.01</v>
      </c>
      <c r="I35" s="43">
        <v>0.01</v>
      </c>
      <c r="J35" s="43">
        <v>0.01</v>
      </c>
      <c r="K35" s="43">
        <v>0.01</v>
      </c>
      <c r="L35" s="43">
        <v>0.01</v>
      </c>
      <c r="M35" s="10">
        <v>0.01</v>
      </c>
      <c r="N35" s="10">
        <v>0.25</v>
      </c>
      <c r="O35" s="10">
        <v>0.01</v>
      </c>
    </row>
    <row r="36">
      <c r="A36" s="54" t="s">
        <v>119</v>
      </c>
      <c r="B36" s="43">
        <v>0.01</v>
      </c>
      <c r="C36" s="45">
        <v>20.0</v>
      </c>
      <c r="D36" s="43">
        <v>3.67</v>
      </c>
      <c r="E36" s="43">
        <v>3.0</v>
      </c>
      <c r="F36" s="43">
        <v>5.67</v>
      </c>
      <c r="G36" s="43">
        <v>1.67</v>
      </c>
      <c r="H36" s="43">
        <v>0.01</v>
      </c>
      <c r="I36" s="43">
        <v>3.0</v>
      </c>
      <c r="J36" s="43">
        <v>1.33</v>
      </c>
      <c r="K36" s="43">
        <v>0.67</v>
      </c>
      <c r="L36" s="43">
        <v>0.01</v>
      </c>
      <c r="M36" s="43">
        <v>0.25</v>
      </c>
      <c r="N36" s="10">
        <v>0.25</v>
      </c>
      <c r="O36" s="10">
        <v>0.01</v>
      </c>
    </row>
    <row r="37">
      <c r="A37" s="54" t="s">
        <v>120</v>
      </c>
      <c r="B37" s="43">
        <v>6.67</v>
      </c>
      <c r="C37" s="43">
        <v>12.33</v>
      </c>
      <c r="D37" s="43">
        <v>1.0</v>
      </c>
      <c r="E37" s="43">
        <v>6.0</v>
      </c>
      <c r="F37" s="43">
        <v>4.67</v>
      </c>
      <c r="G37" s="43">
        <v>8.0</v>
      </c>
      <c r="H37" s="43">
        <v>5.0</v>
      </c>
      <c r="I37" s="43">
        <v>2.33</v>
      </c>
      <c r="J37" s="43">
        <v>8.0</v>
      </c>
      <c r="K37" s="43">
        <v>1.33</v>
      </c>
      <c r="L37" s="43">
        <v>0.33</v>
      </c>
      <c r="M37" s="10">
        <v>1.67</v>
      </c>
      <c r="N37" s="10">
        <v>0.33</v>
      </c>
      <c r="O37" s="10">
        <v>0.33</v>
      </c>
    </row>
    <row r="38">
      <c r="A38" s="54" t="s">
        <v>121</v>
      </c>
      <c r="B38" s="43">
        <v>0.01</v>
      </c>
      <c r="C38" s="43">
        <v>0.01</v>
      </c>
      <c r="D38" s="43">
        <v>1.67</v>
      </c>
      <c r="E38" s="43">
        <v>0.67</v>
      </c>
      <c r="F38" s="43">
        <v>4.0</v>
      </c>
      <c r="G38" s="43">
        <v>0.01</v>
      </c>
      <c r="H38" s="43">
        <v>0.01</v>
      </c>
      <c r="I38" s="43">
        <v>0.01</v>
      </c>
      <c r="J38" s="43">
        <v>2.67</v>
      </c>
      <c r="K38" s="43">
        <v>0.01</v>
      </c>
      <c r="L38" s="43">
        <v>0.67</v>
      </c>
      <c r="M38" s="10">
        <v>0.67</v>
      </c>
      <c r="N38" s="10">
        <v>0.01</v>
      </c>
      <c r="O38" s="10">
        <v>0.01</v>
      </c>
    </row>
    <row r="39">
      <c r="A39" s="54" t="s">
        <v>122</v>
      </c>
      <c r="B39" s="43">
        <v>0.01</v>
      </c>
      <c r="C39" s="43">
        <v>0.01</v>
      </c>
      <c r="D39" s="43">
        <v>0.01</v>
      </c>
      <c r="E39" s="43">
        <v>0.01</v>
      </c>
      <c r="F39" s="43">
        <v>1.33</v>
      </c>
      <c r="G39" s="43">
        <v>0.01</v>
      </c>
      <c r="H39" s="43">
        <v>0.01</v>
      </c>
      <c r="I39" s="43">
        <v>0.01</v>
      </c>
      <c r="J39" s="43">
        <v>0.01</v>
      </c>
      <c r="K39" s="43">
        <v>0.25</v>
      </c>
      <c r="L39" s="43">
        <v>0.33</v>
      </c>
      <c r="M39" s="10">
        <v>0.67</v>
      </c>
      <c r="N39" s="10">
        <v>0.25</v>
      </c>
      <c r="O39" s="10">
        <v>0.01</v>
      </c>
    </row>
    <row r="40">
      <c r="A40" s="54" t="s">
        <v>123</v>
      </c>
      <c r="B40" s="43">
        <v>0.01</v>
      </c>
      <c r="C40" s="43">
        <v>0.01</v>
      </c>
      <c r="D40" s="43">
        <v>0.01</v>
      </c>
      <c r="E40" s="43">
        <v>0.01</v>
      </c>
      <c r="F40" s="43">
        <v>0.01</v>
      </c>
      <c r="G40" s="43">
        <v>0.01</v>
      </c>
      <c r="H40" s="43">
        <v>0.01</v>
      </c>
      <c r="I40" s="43">
        <v>0.67</v>
      </c>
      <c r="J40" s="43">
        <v>0.01</v>
      </c>
      <c r="K40" s="43">
        <v>0.01</v>
      </c>
      <c r="L40" s="43">
        <v>0.01</v>
      </c>
      <c r="M40" s="10">
        <v>0.01</v>
      </c>
      <c r="N40" s="10">
        <v>0.01</v>
      </c>
      <c r="O40" s="10">
        <v>0.01</v>
      </c>
    </row>
    <row r="41">
      <c r="A41" s="54" t="s">
        <v>261</v>
      </c>
      <c r="B41" s="43">
        <v>0.01</v>
      </c>
      <c r="C41" s="43">
        <v>0.01</v>
      </c>
      <c r="D41" s="43">
        <v>0.01</v>
      </c>
      <c r="E41" s="43">
        <v>0.01</v>
      </c>
      <c r="F41" s="43">
        <v>0.01</v>
      </c>
      <c r="G41" s="43">
        <v>0.01</v>
      </c>
      <c r="H41" s="43">
        <v>0.01</v>
      </c>
      <c r="I41" s="43">
        <v>0.01</v>
      </c>
      <c r="J41" s="43">
        <v>0.01</v>
      </c>
      <c r="K41" s="43">
        <v>0.01</v>
      </c>
      <c r="L41" s="43">
        <v>0.01</v>
      </c>
      <c r="M41" s="43">
        <v>0.25</v>
      </c>
      <c r="N41" s="10">
        <v>0.01</v>
      </c>
      <c r="O41" s="10">
        <v>0.01</v>
      </c>
    </row>
    <row r="42">
      <c r="A42" s="48" t="s">
        <v>262</v>
      </c>
      <c r="B42" s="43">
        <v>0.01</v>
      </c>
      <c r="C42" s="43">
        <v>0.01</v>
      </c>
      <c r="D42" s="43">
        <v>0.01</v>
      </c>
      <c r="E42" s="43">
        <v>0.01</v>
      </c>
      <c r="F42" s="43">
        <v>0.01</v>
      </c>
      <c r="G42" s="43">
        <v>0.01</v>
      </c>
      <c r="H42" s="43">
        <v>0.01</v>
      </c>
      <c r="I42" s="43">
        <v>0.01</v>
      </c>
      <c r="J42" s="43">
        <v>0.01</v>
      </c>
      <c r="K42" s="43">
        <v>0.01</v>
      </c>
      <c r="L42" s="43">
        <v>0.01</v>
      </c>
      <c r="M42" s="43">
        <v>0.25</v>
      </c>
      <c r="N42" s="10">
        <v>0.01</v>
      </c>
      <c r="O42" s="10">
        <v>0.25</v>
      </c>
    </row>
    <row r="46">
      <c r="A46" s="40"/>
      <c r="B46" s="54" t="s">
        <v>110</v>
      </c>
      <c r="C46" s="54" t="s">
        <v>111</v>
      </c>
      <c r="D46" s="54" t="s">
        <v>112</v>
      </c>
      <c r="E46" s="54" t="s">
        <v>113</v>
      </c>
      <c r="F46" s="54" t="s">
        <v>114</v>
      </c>
      <c r="G46" s="54" t="s">
        <v>115</v>
      </c>
      <c r="H46" s="54" t="s">
        <v>116</v>
      </c>
      <c r="I46" s="54" t="s">
        <v>21</v>
      </c>
      <c r="J46" s="54" t="s">
        <v>117</v>
      </c>
      <c r="K46" s="54" t="s">
        <v>118</v>
      </c>
      <c r="L46" s="54" t="s">
        <v>119</v>
      </c>
      <c r="M46" s="54" t="s">
        <v>120</v>
      </c>
      <c r="N46" s="54" t="s">
        <v>121</v>
      </c>
      <c r="O46" s="54" t="s">
        <v>122</v>
      </c>
      <c r="P46" s="54" t="s">
        <v>123</v>
      </c>
      <c r="Q46" s="54" t="s">
        <v>261</v>
      </c>
      <c r="R46" s="48" t="s">
        <v>262</v>
      </c>
    </row>
    <row r="47">
      <c r="A47" s="48" t="s">
        <v>79</v>
      </c>
      <c r="B47" s="55">
        <v>0.25</v>
      </c>
      <c r="C47" s="56">
        <v>0.33</v>
      </c>
      <c r="D47" s="55">
        <v>0.67</v>
      </c>
      <c r="E47" s="55">
        <v>6.0</v>
      </c>
      <c r="F47" s="55">
        <v>9.33</v>
      </c>
      <c r="G47" s="55">
        <v>30.01</v>
      </c>
      <c r="H47" s="55">
        <v>54.67</v>
      </c>
      <c r="I47" s="55">
        <v>64.67</v>
      </c>
      <c r="J47" s="57">
        <v>11.0</v>
      </c>
      <c r="K47" s="55">
        <v>0.25</v>
      </c>
      <c r="L47" s="55">
        <v>0.01</v>
      </c>
      <c r="M47" s="55">
        <v>6.67</v>
      </c>
      <c r="N47" s="55">
        <v>0.01</v>
      </c>
      <c r="O47" s="55">
        <v>0.01</v>
      </c>
      <c r="P47" s="55">
        <v>0.01</v>
      </c>
      <c r="Q47" s="55">
        <v>0.01</v>
      </c>
      <c r="R47" s="55">
        <v>0.01</v>
      </c>
    </row>
    <row r="48">
      <c r="A48" s="48" t="s">
        <v>49</v>
      </c>
      <c r="B48" s="55">
        <v>0.25</v>
      </c>
      <c r="C48" s="55">
        <v>0.25</v>
      </c>
      <c r="D48" s="55">
        <v>3.67</v>
      </c>
      <c r="E48" s="55">
        <v>0.67</v>
      </c>
      <c r="F48" s="55">
        <v>4.33</v>
      </c>
      <c r="G48" s="55">
        <v>36.33</v>
      </c>
      <c r="H48" s="55">
        <v>58.33</v>
      </c>
      <c r="I48" s="55">
        <v>98.33</v>
      </c>
      <c r="J48" s="57">
        <v>15.0</v>
      </c>
      <c r="K48" s="57">
        <v>0.25</v>
      </c>
      <c r="L48" s="57">
        <v>20.0</v>
      </c>
      <c r="M48" s="55">
        <v>12.33</v>
      </c>
      <c r="N48" s="55">
        <v>0.01</v>
      </c>
      <c r="O48" s="55">
        <v>0.01</v>
      </c>
      <c r="P48" s="55">
        <v>0.01</v>
      </c>
      <c r="Q48" s="55">
        <v>0.01</v>
      </c>
      <c r="R48" s="55">
        <v>0.01</v>
      </c>
    </row>
    <row r="49">
      <c r="A49" s="48" t="s">
        <v>43</v>
      </c>
      <c r="B49" s="55">
        <v>2.33</v>
      </c>
      <c r="C49" s="55">
        <v>0.67</v>
      </c>
      <c r="D49" s="55">
        <v>0.25</v>
      </c>
      <c r="E49" s="55">
        <v>0.67</v>
      </c>
      <c r="F49" s="55">
        <v>0.67</v>
      </c>
      <c r="G49" s="55">
        <v>0.33</v>
      </c>
      <c r="H49" s="55">
        <v>3.67</v>
      </c>
      <c r="I49" s="55">
        <v>7.33</v>
      </c>
      <c r="J49" s="55">
        <v>3.33</v>
      </c>
      <c r="K49" s="55">
        <v>0.01</v>
      </c>
      <c r="L49" s="55">
        <v>3.67</v>
      </c>
      <c r="M49" s="55">
        <v>1.0</v>
      </c>
      <c r="N49" s="55">
        <v>1.67</v>
      </c>
      <c r="O49" s="55">
        <v>0.01</v>
      </c>
      <c r="P49" s="55">
        <v>0.01</v>
      </c>
      <c r="Q49" s="55">
        <v>0.01</v>
      </c>
      <c r="R49" s="55">
        <v>0.01</v>
      </c>
    </row>
    <row r="50">
      <c r="A50" s="54" t="s">
        <v>78</v>
      </c>
      <c r="B50" s="55">
        <v>0.25</v>
      </c>
      <c r="C50" s="55">
        <v>0.67</v>
      </c>
      <c r="D50" s="55">
        <v>2.67</v>
      </c>
      <c r="E50" s="55">
        <v>0.33</v>
      </c>
      <c r="F50" s="55">
        <v>0.25</v>
      </c>
      <c r="G50" s="55">
        <v>4.33</v>
      </c>
      <c r="H50" s="55">
        <v>4.33</v>
      </c>
      <c r="I50" s="55">
        <v>18.0</v>
      </c>
      <c r="J50" s="55">
        <v>3.0</v>
      </c>
      <c r="K50" s="55">
        <v>0.01</v>
      </c>
      <c r="L50" s="55">
        <v>3.0</v>
      </c>
      <c r="M50" s="55">
        <v>6.0</v>
      </c>
      <c r="N50" s="55">
        <v>0.67</v>
      </c>
      <c r="O50" s="55">
        <v>0.01</v>
      </c>
      <c r="P50" s="55">
        <v>0.01</v>
      </c>
      <c r="Q50" s="55">
        <v>0.01</v>
      </c>
      <c r="R50" s="55">
        <v>0.01</v>
      </c>
    </row>
    <row r="51">
      <c r="A51" s="54" t="s">
        <v>75</v>
      </c>
      <c r="B51" s="55">
        <v>0.25</v>
      </c>
      <c r="C51" s="55">
        <v>0.67</v>
      </c>
      <c r="D51" s="55">
        <v>0.33</v>
      </c>
      <c r="E51" s="55">
        <v>0.67</v>
      </c>
      <c r="F51" s="55">
        <v>0.25</v>
      </c>
      <c r="G51" s="55">
        <v>8.67</v>
      </c>
      <c r="H51" s="55">
        <v>7.33</v>
      </c>
      <c r="I51" s="55">
        <v>7.33</v>
      </c>
      <c r="J51" s="55">
        <v>3.0</v>
      </c>
      <c r="K51" s="55">
        <v>0.25</v>
      </c>
      <c r="L51" s="55">
        <v>5.67</v>
      </c>
      <c r="M51" s="55">
        <v>4.67</v>
      </c>
      <c r="N51" s="55">
        <v>4.0</v>
      </c>
      <c r="O51" s="55">
        <v>1.33</v>
      </c>
      <c r="P51" s="55">
        <v>0.01</v>
      </c>
      <c r="Q51" s="55">
        <v>0.01</v>
      </c>
      <c r="R51" s="55">
        <v>0.01</v>
      </c>
    </row>
    <row r="52">
      <c r="A52" s="54" t="s">
        <v>80</v>
      </c>
      <c r="B52" s="55">
        <v>1.0</v>
      </c>
      <c r="C52" s="55">
        <v>2.0</v>
      </c>
      <c r="D52" s="55">
        <v>2.67</v>
      </c>
      <c r="E52" s="55">
        <v>2.0</v>
      </c>
      <c r="F52" s="55">
        <v>2.67</v>
      </c>
      <c r="G52" s="55">
        <v>26.33</v>
      </c>
      <c r="H52" s="55">
        <v>17.0</v>
      </c>
      <c r="I52" s="55">
        <v>33.67</v>
      </c>
      <c r="J52" s="55">
        <v>2.67</v>
      </c>
      <c r="K52" s="55">
        <v>0.01</v>
      </c>
      <c r="L52" s="55">
        <v>1.67</v>
      </c>
      <c r="M52" s="55">
        <v>8.0</v>
      </c>
      <c r="N52" s="55">
        <v>0.01</v>
      </c>
      <c r="O52" s="55">
        <v>0.01</v>
      </c>
      <c r="P52" s="55">
        <v>0.01</v>
      </c>
      <c r="Q52" s="55">
        <v>0.01</v>
      </c>
      <c r="R52" s="55">
        <v>0.01</v>
      </c>
    </row>
    <row r="53">
      <c r="A53" s="54" t="s">
        <v>76</v>
      </c>
      <c r="B53" s="55">
        <v>0.25</v>
      </c>
      <c r="C53" s="55">
        <v>0.25</v>
      </c>
      <c r="D53" s="55">
        <v>1.0</v>
      </c>
      <c r="E53" s="55">
        <v>0.33</v>
      </c>
      <c r="F53" s="55">
        <v>2.0</v>
      </c>
      <c r="G53" s="55">
        <v>25.0</v>
      </c>
      <c r="H53" s="55">
        <v>36.67</v>
      </c>
      <c r="I53" s="55">
        <v>23.67</v>
      </c>
      <c r="J53" s="55">
        <v>2.67</v>
      </c>
      <c r="K53" s="55">
        <v>0.01</v>
      </c>
      <c r="L53" s="55">
        <v>0.01</v>
      </c>
      <c r="M53" s="55">
        <v>5.0</v>
      </c>
      <c r="N53" s="55">
        <v>0.01</v>
      </c>
      <c r="O53" s="55">
        <v>0.01</v>
      </c>
      <c r="P53" s="55">
        <v>0.01</v>
      </c>
      <c r="Q53" s="55">
        <v>0.01</v>
      </c>
      <c r="R53" s="55">
        <v>0.01</v>
      </c>
    </row>
    <row r="54">
      <c r="A54" s="54" t="s">
        <v>77</v>
      </c>
      <c r="B54" s="55">
        <v>1.67</v>
      </c>
      <c r="C54" s="55">
        <v>6.0</v>
      </c>
      <c r="D54" s="55">
        <v>1.33</v>
      </c>
      <c r="E54" s="55">
        <v>0.67</v>
      </c>
      <c r="F54" s="55">
        <v>3.33</v>
      </c>
      <c r="G54" s="55">
        <v>6.33</v>
      </c>
      <c r="H54" s="55">
        <v>9.33</v>
      </c>
      <c r="I54" s="55">
        <v>15.33</v>
      </c>
      <c r="J54" s="55">
        <v>3.67</v>
      </c>
      <c r="K54" s="55">
        <v>0.01</v>
      </c>
      <c r="L54" s="55">
        <v>3.0</v>
      </c>
      <c r="M54" s="55">
        <v>2.33</v>
      </c>
      <c r="N54" s="55">
        <v>0.01</v>
      </c>
      <c r="O54" s="55">
        <v>0.01</v>
      </c>
      <c r="P54" s="55">
        <v>0.67</v>
      </c>
      <c r="Q54" s="55">
        <v>0.01</v>
      </c>
      <c r="R54" s="55">
        <v>0.01</v>
      </c>
    </row>
    <row r="55">
      <c r="A55" s="54" t="s">
        <v>133</v>
      </c>
      <c r="B55" s="57">
        <v>4.0</v>
      </c>
      <c r="C55" s="55">
        <v>2.67</v>
      </c>
      <c r="D55" s="55">
        <v>0.25</v>
      </c>
      <c r="E55" s="55">
        <v>0.01</v>
      </c>
      <c r="F55" s="55">
        <v>0.25</v>
      </c>
      <c r="G55" s="55">
        <v>0.01</v>
      </c>
      <c r="H55" s="55">
        <v>2.67</v>
      </c>
      <c r="I55" s="55">
        <v>5.33</v>
      </c>
      <c r="J55" s="55">
        <v>0.25</v>
      </c>
      <c r="K55" s="55">
        <v>0.01</v>
      </c>
      <c r="L55" s="55">
        <v>1.33</v>
      </c>
      <c r="M55" s="55">
        <v>8.0</v>
      </c>
      <c r="N55" s="55">
        <v>2.67</v>
      </c>
      <c r="O55" s="55">
        <v>0.01</v>
      </c>
      <c r="P55" s="55">
        <v>0.01</v>
      </c>
      <c r="Q55" s="55">
        <v>0.01</v>
      </c>
      <c r="R55" s="55">
        <v>0.01</v>
      </c>
    </row>
    <row r="56">
      <c r="A56" s="54" t="s">
        <v>255</v>
      </c>
      <c r="B56" s="55">
        <v>0.33</v>
      </c>
      <c r="C56" s="55">
        <v>0.33</v>
      </c>
      <c r="D56" s="55">
        <v>0.25</v>
      </c>
      <c r="E56" s="55">
        <v>1.33</v>
      </c>
      <c r="F56" s="55">
        <v>0.67</v>
      </c>
      <c r="G56" s="55">
        <v>0.67</v>
      </c>
      <c r="H56" s="55">
        <v>2.0</v>
      </c>
      <c r="I56" s="55">
        <v>4.0</v>
      </c>
      <c r="J56" s="55">
        <v>0.25</v>
      </c>
      <c r="K56" s="55">
        <v>0.01</v>
      </c>
      <c r="L56" s="55">
        <v>0.67</v>
      </c>
      <c r="M56" s="55">
        <v>1.33</v>
      </c>
      <c r="N56" s="55">
        <v>0.01</v>
      </c>
      <c r="O56" s="55">
        <v>0.25</v>
      </c>
      <c r="P56" s="55">
        <v>0.01</v>
      </c>
      <c r="Q56" s="55">
        <v>0.01</v>
      </c>
      <c r="R56" s="55">
        <v>0.01</v>
      </c>
    </row>
    <row r="57">
      <c r="A57" s="54" t="s">
        <v>256</v>
      </c>
      <c r="B57" s="55">
        <v>0.67</v>
      </c>
      <c r="C57" s="55">
        <v>0.25</v>
      </c>
      <c r="D57" s="55">
        <v>0.01</v>
      </c>
      <c r="E57" s="55">
        <v>0.25</v>
      </c>
      <c r="F57" s="55">
        <v>0.25</v>
      </c>
      <c r="G57" s="55">
        <v>0.01</v>
      </c>
      <c r="H57" s="55">
        <v>0.01</v>
      </c>
      <c r="I57" s="55">
        <v>2.0</v>
      </c>
      <c r="J57" s="55">
        <v>0.01</v>
      </c>
      <c r="K57" s="55">
        <v>0.01</v>
      </c>
      <c r="L57" s="55">
        <v>0.01</v>
      </c>
      <c r="M57" s="55">
        <v>0.33</v>
      </c>
      <c r="N57" s="55">
        <v>0.67</v>
      </c>
      <c r="O57" s="55">
        <v>0.33</v>
      </c>
      <c r="P57" s="55">
        <v>0.01</v>
      </c>
      <c r="Q57" s="55">
        <v>0.01</v>
      </c>
      <c r="R57" s="55">
        <v>0.01</v>
      </c>
    </row>
    <row r="58">
      <c r="A58" s="48" t="s">
        <v>257</v>
      </c>
      <c r="B58" s="55">
        <v>0.25</v>
      </c>
      <c r="C58" s="13">
        <v>0.01</v>
      </c>
      <c r="D58" s="13">
        <v>0.33</v>
      </c>
      <c r="E58" s="13">
        <v>0.01</v>
      </c>
      <c r="F58" s="13">
        <v>0.33</v>
      </c>
      <c r="G58" s="13">
        <v>0.67</v>
      </c>
      <c r="H58" s="55">
        <v>1.0</v>
      </c>
      <c r="I58" s="13">
        <v>2.67</v>
      </c>
      <c r="J58" s="13">
        <v>0.01</v>
      </c>
      <c r="K58" s="13">
        <v>0.01</v>
      </c>
      <c r="L58" s="55">
        <v>0.25</v>
      </c>
      <c r="M58" s="13">
        <v>1.67</v>
      </c>
      <c r="N58" s="13">
        <v>0.67</v>
      </c>
      <c r="O58" s="13">
        <v>0.67</v>
      </c>
      <c r="P58" s="13">
        <v>0.01</v>
      </c>
      <c r="Q58" s="55">
        <v>0.25</v>
      </c>
      <c r="R58" s="55">
        <v>0.25</v>
      </c>
    </row>
    <row r="59">
      <c r="A59" s="48" t="s">
        <v>258</v>
      </c>
      <c r="B59" s="13">
        <v>0.67</v>
      </c>
      <c r="C59" s="13">
        <v>0.33</v>
      </c>
      <c r="D59" s="13">
        <v>0.25</v>
      </c>
      <c r="E59" s="13">
        <v>0.25</v>
      </c>
      <c r="F59" s="13">
        <v>0.25</v>
      </c>
      <c r="G59" s="13">
        <v>0.33</v>
      </c>
      <c r="H59" s="55">
        <v>1.0</v>
      </c>
      <c r="I59" s="13">
        <v>0.25</v>
      </c>
      <c r="J59" s="13">
        <v>0.01</v>
      </c>
      <c r="K59" s="13">
        <v>0.25</v>
      </c>
      <c r="L59" s="13">
        <v>0.25</v>
      </c>
      <c r="M59" s="13">
        <v>0.33</v>
      </c>
      <c r="N59" s="13">
        <v>0.01</v>
      </c>
      <c r="O59" s="13">
        <v>0.25</v>
      </c>
      <c r="P59" s="13">
        <v>0.01</v>
      </c>
      <c r="Q59" s="13">
        <v>0.01</v>
      </c>
      <c r="R59" s="13">
        <v>0.01</v>
      </c>
    </row>
    <row r="60">
      <c r="A60" s="48" t="s">
        <v>259</v>
      </c>
      <c r="B60" s="13">
        <v>0.67</v>
      </c>
      <c r="C60" s="13">
        <v>0.25</v>
      </c>
      <c r="D60" s="13">
        <v>0.25</v>
      </c>
      <c r="E60" s="13">
        <v>0.25</v>
      </c>
      <c r="F60" s="13">
        <v>0.25</v>
      </c>
      <c r="G60" s="13">
        <v>1.33</v>
      </c>
      <c r="H60" s="13">
        <v>2.0</v>
      </c>
      <c r="I60" s="13">
        <v>2.0</v>
      </c>
      <c r="J60" s="13">
        <v>0.01</v>
      </c>
      <c r="K60" s="13">
        <v>0.01</v>
      </c>
      <c r="L60" s="13">
        <v>0.01</v>
      </c>
      <c r="M60" s="13">
        <v>0.33</v>
      </c>
      <c r="N60" s="13">
        <v>0.01</v>
      </c>
      <c r="O60" s="13">
        <v>0.01</v>
      </c>
      <c r="P60" s="13">
        <v>0.01</v>
      </c>
      <c r="Q60" s="13">
        <v>0.01</v>
      </c>
      <c r="R60" s="13">
        <v>0.25</v>
      </c>
    </row>
    <row r="61">
      <c r="A61" s="54"/>
      <c r="B61" s="54"/>
      <c r="C61" s="54"/>
      <c r="D61" s="43"/>
      <c r="E61" s="43"/>
      <c r="F61" s="43"/>
      <c r="G61" s="43"/>
      <c r="H61" s="43"/>
      <c r="I61" s="43"/>
      <c r="J61" s="43"/>
      <c r="K61" s="43"/>
      <c r="L61" s="43"/>
    </row>
    <row r="62">
      <c r="A62" s="54"/>
      <c r="B62" s="54"/>
      <c r="C62" s="54"/>
      <c r="D62" s="43"/>
      <c r="E62" s="43"/>
      <c r="F62" s="43"/>
      <c r="G62" s="43"/>
      <c r="H62" s="43"/>
      <c r="I62" s="43"/>
      <c r="J62" s="43"/>
      <c r="K62" s="43"/>
      <c r="L62" s="43"/>
    </row>
    <row r="63">
      <c r="A63" s="54"/>
      <c r="B63" s="54"/>
      <c r="C63" s="54"/>
      <c r="D63" s="43"/>
      <c r="E63" s="43"/>
      <c r="F63" s="43"/>
      <c r="G63" s="43"/>
      <c r="H63" s="43"/>
      <c r="I63" s="43"/>
      <c r="J63" s="43"/>
      <c r="K63" s="43"/>
      <c r="L63" s="43"/>
    </row>
    <row r="64">
      <c r="A64" s="54"/>
      <c r="B64" s="54"/>
      <c r="C64" s="54"/>
      <c r="D64" s="43"/>
      <c r="E64" s="43"/>
      <c r="F64" s="43"/>
      <c r="G64" s="43"/>
      <c r="H64" s="43"/>
      <c r="I64" s="43"/>
      <c r="J64" s="43"/>
      <c r="K64" s="43"/>
      <c r="L64" s="43"/>
    </row>
    <row r="65">
      <c r="A65" s="54"/>
      <c r="B65" s="54"/>
      <c r="C65" s="54"/>
      <c r="D65" s="45"/>
      <c r="E65" s="45"/>
      <c r="F65" s="43"/>
      <c r="G65" s="43"/>
      <c r="H65" s="43"/>
      <c r="I65" s="43"/>
      <c r="J65" s="43"/>
      <c r="K65" s="43"/>
      <c r="L65" s="43"/>
    </row>
    <row r="66">
      <c r="A66" s="54"/>
      <c r="B66" s="54"/>
      <c r="C66" s="54"/>
      <c r="D66" s="43"/>
      <c r="E66" s="45"/>
      <c r="F66" s="43"/>
      <c r="G66" s="43"/>
      <c r="H66" s="43"/>
      <c r="I66" s="43"/>
      <c r="J66" s="43"/>
      <c r="K66" s="43"/>
      <c r="L66" s="43"/>
    </row>
    <row r="67">
      <c r="A67" s="54"/>
      <c r="B67" s="54"/>
      <c r="C67" s="54"/>
      <c r="D67" s="43"/>
      <c r="E67" s="45"/>
      <c r="F67" s="43"/>
      <c r="G67" s="43"/>
      <c r="H67" s="43"/>
      <c r="I67" s="43"/>
      <c r="J67" s="43"/>
      <c r="K67" s="43"/>
      <c r="L67" s="43"/>
    </row>
    <row r="68">
      <c r="A68" s="54"/>
      <c r="B68" s="54"/>
      <c r="C68" s="54"/>
      <c r="D68" s="43"/>
      <c r="E68" s="43"/>
      <c r="F68" s="43"/>
      <c r="G68" s="43"/>
      <c r="H68" s="43"/>
      <c r="I68" s="43"/>
      <c r="J68" s="43"/>
      <c r="K68" s="43"/>
      <c r="L68" s="43"/>
    </row>
    <row r="69">
      <c r="A69" s="54"/>
      <c r="B69" s="54"/>
      <c r="C69" s="54"/>
      <c r="D69" s="43"/>
      <c r="E69" s="43"/>
      <c r="F69" s="43"/>
      <c r="G69" s="43"/>
      <c r="H69" s="43"/>
      <c r="I69" s="43"/>
      <c r="J69" s="43"/>
      <c r="K69" s="43"/>
      <c r="L69" s="43"/>
    </row>
    <row r="70">
      <c r="A70" s="54"/>
      <c r="B70" s="54"/>
      <c r="C70" s="54"/>
      <c r="D70" s="43"/>
      <c r="E70" s="43"/>
      <c r="F70" s="43"/>
      <c r="G70" s="43"/>
      <c r="H70" s="43"/>
      <c r="I70" s="43"/>
      <c r="J70" s="43"/>
      <c r="K70" s="43"/>
      <c r="L70" s="43"/>
    </row>
    <row r="71">
      <c r="A71" s="54"/>
      <c r="B71" s="54"/>
      <c r="C71" s="54"/>
      <c r="D71" s="43"/>
      <c r="E71" s="43"/>
      <c r="F71" s="43"/>
      <c r="G71" s="43"/>
      <c r="H71" s="43"/>
      <c r="I71" s="43"/>
      <c r="J71" s="43"/>
      <c r="K71" s="43"/>
      <c r="L71" s="43"/>
    </row>
    <row r="72">
      <c r="A72" s="54"/>
      <c r="B72" s="54"/>
      <c r="C72" s="54"/>
      <c r="D72" s="43"/>
      <c r="E72" s="43"/>
      <c r="F72" s="43"/>
      <c r="G72" s="43"/>
      <c r="H72" s="43"/>
      <c r="I72" s="43"/>
      <c r="J72" s="43"/>
      <c r="K72" s="43"/>
      <c r="L72" s="43"/>
    </row>
    <row r="73">
      <c r="A73" s="54"/>
      <c r="B73" s="54"/>
      <c r="C73" s="54"/>
      <c r="D73" s="43"/>
      <c r="E73" s="43"/>
      <c r="F73" s="43"/>
      <c r="G73" s="43"/>
      <c r="H73" s="43"/>
      <c r="I73" s="43"/>
      <c r="J73" s="43"/>
      <c r="K73" s="43"/>
      <c r="L73" s="43"/>
    </row>
    <row r="74">
      <c r="A74" s="54"/>
      <c r="B74" s="54"/>
      <c r="C74" s="54"/>
      <c r="D74" s="43"/>
      <c r="E74" s="43"/>
      <c r="F74" s="43"/>
      <c r="G74" s="43"/>
      <c r="H74" s="43"/>
      <c r="I74" s="43"/>
      <c r="J74" s="43"/>
      <c r="K74" s="43"/>
      <c r="L74" s="43"/>
    </row>
    <row r="75">
      <c r="A75" s="54"/>
      <c r="B75" s="54"/>
      <c r="C75" s="54"/>
      <c r="D75" s="45"/>
      <c r="E75" s="45"/>
      <c r="F75" s="43"/>
      <c r="G75" s="43"/>
      <c r="H75" s="43"/>
      <c r="I75" s="43"/>
      <c r="J75" s="43"/>
      <c r="K75" s="43"/>
      <c r="L75" s="43"/>
    </row>
    <row r="76">
      <c r="A76" s="54"/>
      <c r="B76" s="54"/>
      <c r="C76" s="54"/>
      <c r="D76" s="43"/>
      <c r="E76" s="45"/>
      <c r="F76" s="43"/>
      <c r="G76" s="43"/>
      <c r="H76" s="43"/>
      <c r="I76" s="43"/>
      <c r="J76" s="43"/>
      <c r="K76" s="43"/>
      <c r="L76" s="43"/>
    </row>
    <row r="77">
      <c r="A77" s="54"/>
      <c r="B77" s="54"/>
      <c r="C77" s="54"/>
      <c r="D77" s="43"/>
      <c r="E77" s="45"/>
      <c r="F77" s="43"/>
      <c r="G77" s="43"/>
      <c r="H77" s="43"/>
      <c r="I77" s="43"/>
      <c r="J77" s="43"/>
      <c r="K77" s="43"/>
      <c r="L77" s="43"/>
    </row>
    <row r="78">
      <c r="A78" s="54"/>
      <c r="B78" s="54"/>
      <c r="C78" s="54"/>
      <c r="D78" s="43"/>
      <c r="E78" s="43"/>
      <c r="F78" s="43"/>
      <c r="G78" s="43"/>
      <c r="H78" s="43"/>
      <c r="I78" s="43"/>
      <c r="J78" s="43"/>
      <c r="K78" s="43"/>
      <c r="L78" s="43"/>
    </row>
    <row r="79">
      <c r="A79" s="54"/>
      <c r="B79" s="54"/>
      <c r="C79" s="54"/>
      <c r="D79" s="43"/>
      <c r="E79" s="43"/>
      <c r="F79" s="43"/>
      <c r="G79" s="43"/>
      <c r="H79" s="43"/>
      <c r="I79" s="43"/>
      <c r="J79" s="43"/>
      <c r="K79" s="43"/>
      <c r="L79" s="43"/>
    </row>
    <row r="80">
      <c r="A80" s="54"/>
      <c r="B80" s="54"/>
      <c r="C80" s="54"/>
      <c r="D80" s="43"/>
      <c r="E80" s="43"/>
      <c r="F80" s="43"/>
      <c r="G80" s="43"/>
      <c r="H80" s="43"/>
      <c r="I80" s="43"/>
      <c r="J80" s="43"/>
      <c r="K80" s="43"/>
      <c r="L80" s="43"/>
    </row>
    <row r="81">
      <c r="A81" s="54"/>
      <c r="B81" s="54"/>
      <c r="C81" s="54"/>
      <c r="D81" s="43"/>
      <c r="E81" s="43"/>
      <c r="F81" s="43"/>
      <c r="G81" s="43"/>
      <c r="H81" s="43"/>
      <c r="I81" s="43"/>
      <c r="J81" s="43"/>
      <c r="K81" s="43"/>
      <c r="L81" s="43"/>
    </row>
  </sheetData>
  <drawing r:id="rId1"/>
</worksheet>
</file>