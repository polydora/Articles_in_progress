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xt\Paper_2025\Semen\"/>
    </mc:Choice>
  </mc:AlternateContent>
  <xr:revisionPtr revIDLastSave="0" documentId="13_ncr:1_{3AD3BFC2-B3CA-4EC3-83C0-81FFFDECACF7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west_sound_1995_2025_mean" sheetId="7" r:id="rId1"/>
    <sheet name="Динамика" sheetId="8" r:id="rId2"/>
    <sheet name="west_sound_1995_2025_cleaned" sheetId="2" r:id="rId3"/>
    <sheet name="характеристика проб" sheetId="1" r:id="rId4"/>
    <sheet name="Лист2" sheetId="9" r:id="rId5"/>
    <sheet name="Stations" sheetId="5" r:id="rId6"/>
    <sheet name="Лист1" sheetId="4" state="hidden" r:id="rId7"/>
  </sheets>
  <definedNames>
    <definedName name="_xlnm._FilterDatabase" localSheetId="2" hidden="1">west_sound_1995_2025_cleaned!$A$1:$FG$267</definedName>
    <definedName name="_xlnm._FilterDatabase" localSheetId="0" hidden="1">west_sound_1995_2025_mean!$A$1:$AF$267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Y269" i="2" l="1"/>
  <c r="Q157" i="1"/>
  <c r="R157" i="1"/>
  <c r="S157" i="1"/>
  <c r="T157" i="1"/>
  <c r="U157" i="1"/>
  <c r="V157" i="1"/>
  <c r="W157" i="1"/>
  <c r="Q156" i="1"/>
  <c r="R156" i="1"/>
  <c r="S156" i="1"/>
  <c r="T156" i="1"/>
  <c r="U156" i="1"/>
  <c r="V156" i="1"/>
  <c r="W156" i="1"/>
  <c r="Q155" i="1"/>
  <c r="R155" i="1"/>
  <c r="S155" i="1"/>
  <c r="T155" i="1"/>
  <c r="U155" i="1"/>
  <c r="V155" i="1"/>
  <c r="W155" i="1"/>
  <c r="Q154" i="1"/>
  <c r="R154" i="1"/>
  <c r="S154" i="1"/>
  <c r="T154" i="1"/>
  <c r="U154" i="1"/>
  <c r="V154" i="1"/>
  <c r="W154" i="1"/>
  <c r="Q153" i="1"/>
  <c r="R153" i="1"/>
  <c r="S153" i="1"/>
  <c r="T153" i="1"/>
  <c r="U153" i="1"/>
  <c r="V153" i="1"/>
  <c r="W153" i="1"/>
  <c r="Q152" i="1"/>
  <c r="R152" i="1"/>
  <c r="S152" i="1"/>
  <c r="T152" i="1"/>
  <c r="U152" i="1"/>
  <c r="V152" i="1"/>
  <c r="W152" i="1"/>
  <c r="Q151" i="1"/>
  <c r="R151" i="1"/>
  <c r="S151" i="1"/>
  <c r="T151" i="1"/>
  <c r="U151" i="1"/>
  <c r="V151" i="1"/>
  <c r="W151" i="1"/>
  <c r="Q150" i="1"/>
  <c r="R150" i="1"/>
  <c r="S150" i="1"/>
  <c r="T150" i="1"/>
  <c r="U150" i="1"/>
  <c r="V150" i="1"/>
  <c r="W150" i="1"/>
  <c r="Q149" i="1"/>
  <c r="R149" i="1"/>
  <c r="S149" i="1"/>
  <c r="T149" i="1"/>
  <c r="U149" i="1"/>
  <c r="V149" i="1"/>
  <c r="W149" i="1"/>
  <c r="G157" i="1"/>
  <c r="H157" i="1"/>
  <c r="I157" i="1"/>
  <c r="G156" i="1"/>
  <c r="H156" i="1"/>
  <c r="I156" i="1"/>
  <c r="G155" i="1"/>
  <c r="H155" i="1"/>
  <c r="I155" i="1"/>
  <c r="G154" i="1"/>
  <c r="H154" i="1"/>
  <c r="I154" i="1"/>
  <c r="G153" i="1"/>
  <c r="H153" i="1"/>
  <c r="I153" i="1"/>
  <c r="G152" i="1"/>
  <c r="H152" i="1"/>
  <c r="I152" i="1"/>
  <c r="G151" i="1"/>
  <c r="H151" i="1"/>
  <c r="I151" i="1"/>
  <c r="G150" i="1"/>
  <c r="H150" i="1"/>
  <c r="I150" i="1"/>
  <c r="G149" i="1"/>
  <c r="H149" i="1"/>
  <c r="I149" i="1"/>
  <c r="G148" i="1"/>
  <c r="W148" i="1"/>
  <c r="V148" i="1"/>
  <c r="U148" i="1"/>
  <c r="T148" i="1"/>
  <c r="S148" i="1"/>
  <c r="R148" i="1"/>
  <c r="Q148" i="1"/>
  <c r="I148" i="1"/>
  <c r="H148" i="1"/>
  <c r="W147" i="1"/>
  <c r="V147" i="1"/>
  <c r="U147" i="1"/>
  <c r="T147" i="1"/>
  <c r="S147" i="1"/>
  <c r="R147" i="1"/>
  <c r="Q147" i="1"/>
  <c r="I147" i="1"/>
  <c r="H147" i="1"/>
  <c r="G147" i="1"/>
  <c r="W146" i="1"/>
  <c r="V146" i="1"/>
  <c r="U146" i="1"/>
  <c r="T146" i="1"/>
  <c r="S146" i="1"/>
  <c r="R146" i="1"/>
  <c r="Q146" i="1"/>
  <c r="I146" i="1"/>
  <c r="H146" i="1"/>
  <c r="G146" i="1"/>
  <c r="W145" i="1"/>
  <c r="V145" i="1"/>
  <c r="U145" i="1"/>
  <c r="T145" i="1"/>
  <c r="S145" i="1"/>
  <c r="R145" i="1"/>
  <c r="Q145" i="1"/>
  <c r="I145" i="1"/>
  <c r="H145" i="1"/>
  <c r="G145" i="1"/>
  <c r="W144" i="1"/>
  <c r="V144" i="1"/>
  <c r="U144" i="1"/>
  <c r="T144" i="1"/>
  <c r="S144" i="1"/>
  <c r="R144" i="1"/>
  <c r="Q144" i="1"/>
  <c r="I144" i="1"/>
  <c r="H144" i="1"/>
  <c r="G144" i="1"/>
  <c r="W143" i="1"/>
  <c r="V143" i="1"/>
  <c r="U143" i="1"/>
  <c r="T143" i="1"/>
  <c r="S143" i="1"/>
  <c r="R143" i="1"/>
  <c r="Q143" i="1"/>
  <c r="I143" i="1"/>
  <c r="H143" i="1"/>
  <c r="G143" i="1"/>
  <c r="W142" i="1"/>
  <c r="V142" i="1"/>
  <c r="U142" i="1"/>
  <c r="T142" i="1"/>
  <c r="S142" i="1"/>
  <c r="R142" i="1"/>
  <c r="Q142" i="1"/>
  <c r="I142" i="1"/>
  <c r="H142" i="1"/>
  <c r="G142" i="1"/>
  <c r="W141" i="1"/>
  <c r="V141" i="1"/>
  <c r="U141" i="1"/>
  <c r="T141" i="1"/>
  <c r="S141" i="1"/>
  <c r="R141" i="1"/>
  <c r="Q141" i="1"/>
  <c r="I141" i="1"/>
  <c r="H141" i="1"/>
  <c r="G141" i="1"/>
  <c r="W140" i="1"/>
  <c r="V140" i="1"/>
  <c r="U140" i="1"/>
  <c r="T140" i="1"/>
  <c r="S140" i="1"/>
  <c r="R140" i="1"/>
  <c r="Q140" i="1"/>
  <c r="I140" i="1"/>
  <c r="H140" i="1"/>
  <c r="G140" i="1"/>
  <c r="W139" i="1"/>
  <c r="V139" i="1"/>
  <c r="U139" i="1"/>
  <c r="T139" i="1"/>
  <c r="S139" i="1"/>
  <c r="R139" i="1"/>
  <c r="Q139" i="1"/>
  <c r="I139" i="1"/>
  <c r="H139" i="1"/>
  <c r="G139" i="1"/>
  <c r="W138" i="1"/>
  <c r="V138" i="1"/>
  <c r="U138" i="1"/>
  <c r="T138" i="1"/>
  <c r="S138" i="1"/>
  <c r="R138" i="1"/>
  <c r="Q138" i="1"/>
  <c r="I138" i="1"/>
  <c r="H138" i="1"/>
  <c r="G138" i="1"/>
  <c r="W137" i="1"/>
  <c r="V137" i="1"/>
  <c r="U137" i="1"/>
  <c r="T137" i="1"/>
  <c r="S137" i="1"/>
  <c r="R137" i="1"/>
  <c r="Q137" i="1"/>
  <c r="I137" i="1"/>
  <c r="H137" i="1"/>
  <c r="G137" i="1"/>
  <c r="W136" i="1"/>
  <c r="V136" i="1"/>
  <c r="U136" i="1"/>
  <c r="T136" i="1"/>
  <c r="S136" i="1"/>
  <c r="R136" i="1"/>
  <c r="Q136" i="1"/>
  <c r="I136" i="1"/>
  <c r="H136" i="1"/>
  <c r="G136" i="1"/>
  <c r="W135" i="1"/>
  <c r="V135" i="1"/>
  <c r="U135" i="1"/>
  <c r="T135" i="1"/>
  <c r="S135" i="1"/>
  <c r="R135" i="1"/>
  <c r="Q135" i="1"/>
  <c r="I135" i="1"/>
  <c r="H135" i="1"/>
  <c r="G135" i="1"/>
  <c r="W134" i="1"/>
  <c r="V134" i="1"/>
  <c r="U134" i="1"/>
  <c r="T134" i="1"/>
  <c r="S134" i="1"/>
  <c r="R134" i="1"/>
  <c r="Q134" i="1"/>
  <c r="I134" i="1"/>
  <c r="H134" i="1"/>
  <c r="G134" i="1"/>
  <c r="W133" i="1"/>
  <c r="V133" i="1"/>
  <c r="U133" i="1"/>
  <c r="T133" i="1"/>
  <c r="S133" i="1"/>
  <c r="R133" i="1"/>
  <c r="Q133" i="1"/>
  <c r="I133" i="1"/>
  <c r="H133" i="1"/>
  <c r="G133" i="1"/>
  <c r="W132" i="1"/>
  <c r="V132" i="1"/>
  <c r="U132" i="1"/>
  <c r="T132" i="1"/>
  <c r="S132" i="1"/>
  <c r="R132" i="1"/>
  <c r="Q132" i="1"/>
  <c r="I132" i="1"/>
  <c r="H132" i="1"/>
  <c r="G132" i="1"/>
  <c r="W131" i="1"/>
  <c r="V131" i="1"/>
  <c r="U131" i="1"/>
  <c r="T131" i="1"/>
  <c r="S131" i="1"/>
  <c r="R131" i="1"/>
  <c r="Q131" i="1"/>
  <c r="I131" i="1"/>
  <c r="H131" i="1"/>
  <c r="G131" i="1"/>
  <c r="W130" i="1"/>
  <c r="V130" i="1"/>
  <c r="U130" i="1"/>
  <c r="T130" i="1"/>
  <c r="S130" i="1"/>
  <c r="R130" i="1"/>
  <c r="Q130" i="1"/>
  <c r="I130" i="1"/>
  <c r="H130" i="1"/>
  <c r="G130" i="1"/>
  <c r="W129" i="1"/>
  <c r="V129" i="1"/>
  <c r="U129" i="1"/>
  <c r="T129" i="1"/>
  <c r="S129" i="1"/>
  <c r="R129" i="1"/>
  <c r="Q129" i="1"/>
  <c r="I129" i="1"/>
  <c r="H129" i="1"/>
  <c r="G129" i="1"/>
  <c r="W128" i="1"/>
  <c r="V128" i="1"/>
  <c r="U128" i="1"/>
  <c r="T128" i="1"/>
  <c r="S128" i="1"/>
  <c r="R128" i="1"/>
  <c r="Q128" i="1"/>
  <c r="I128" i="1"/>
  <c r="H128" i="1"/>
  <c r="G128" i="1"/>
  <c r="W127" i="1"/>
  <c r="V127" i="1"/>
  <c r="U127" i="1"/>
  <c r="T127" i="1"/>
  <c r="S127" i="1"/>
  <c r="R127" i="1"/>
  <c r="Q127" i="1"/>
  <c r="I127" i="1"/>
  <c r="H127" i="1"/>
  <c r="G127" i="1"/>
  <c r="W126" i="1"/>
  <c r="V126" i="1"/>
  <c r="U126" i="1"/>
  <c r="T126" i="1"/>
  <c r="S126" i="1"/>
  <c r="R126" i="1"/>
  <c r="Q126" i="1"/>
  <c r="I126" i="1"/>
  <c r="H126" i="1"/>
  <c r="G126" i="1"/>
  <c r="W125" i="1"/>
  <c r="V125" i="1"/>
  <c r="U125" i="1"/>
  <c r="T125" i="1"/>
  <c r="S125" i="1"/>
  <c r="R125" i="1"/>
  <c r="Q125" i="1"/>
  <c r="I125" i="1"/>
  <c r="H125" i="1"/>
  <c r="G125" i="1"/>
  <c r="W124" i="1"/>
  <c r="V124" i="1"/>
  <c r="U124" i="1"/>
  <c r="T124" i="1"/>
  <c r="S124" i="1"/>
  <c r="R124" i="1"/>
  <c r="Q124" i="1"/>
  <c r="I124" i="1"/>
  <c r="H124" i="1"/>
  <c r="G124" i="1"/>
  <c r="W123" i="1"/>
  <c r="V123" i="1"/>
  <c r="U123" i="1"/>
  <c r="T123" i="1"/>
  <c r="S123" i="1"/>
  <c r="R123" i="1"/>
  <c r="Q123" i="1"/>
  <c r="I123" i="1"/>
  <c r="H123" i="1"/>
  <c r="G123" i="1"/>
  <c r="W122" i="1"/>
  <c r="V122" i="1"/>
  <c r="U122" i="1"/>
  <c r="T122" i="1"/>
  <c r="S122" i="1"/>
  <c r="R122" i="1"/>
  <c r="Q122" i="1"/>
  <c r="I122" i="1"/>
  <c r="H122" i="1"/>
  <c r="G122" i="1"/>
  <c r="W121" i="1"/>
  <c r="V121" i="1"/>
  <c r="U121" i="1"/>
  <c r="T121" i="1"/>
  <c r="S121" i="1"/>
  <c r="R121" i="1"/>
  <c r="Q121" i="1"/>
  <c r="I121" i="1"/>
  <c r="H121" i="1"/>
  <c r="G121" i="1"/>
  <c r="W120" i="1"/>
  <c r="V120" i="1"/>
  <c r="U120" i="1"/>
  <c r="T120" i="1"/>
  <c r="S120" i="1"/>
  <c r="R120" i="1"/>
  <c r="Q120" i="1"/>
  <c r="I120" i="1"/>
  <c r="H120" i="1"/>
  <c r="G120" i="1"/>
  <c r="W119" i="1"/>
  <c r="V119" i="1"/>
  <c r="U119" i="1"/>
  <c r="T119" i="1"/>
  <c r="S119" i="1"/>
  <c r="R119" i="1"/>
  <c r="Q119" i="1"/>
  <c r="I119" i="1"/>
  <c r="H119" i="1"/>
  <c r="G119" i="1"/>
  <c r="W118" i="1"/>
  <c r="V118" i="1"/>
  <c r="U118" i="1"/>
  <c r="T118" i="1"/>
  <c r="S118" i="1"/>
  <c r="R118" i="1"/>
  <c r="Q118" i="1"/>
  <c r="I118" i="1"/>
  <c r="H118" i="1"/>
  <c r="G118" i="1"/>
  <c r="W117" i="1"/>
  <c r="V117" i="1"/>
  <c r="U117" i="1"/>
  <c r="T117" i="1"/>
  <c r="S117" i="1"/>
  <c r="R117" i="1"/>
  <c r="Q117" i="1"/>
  <c r="I117" i="1"/>
  <c r="H117" i="1"/>
  <c r="G117" i="1"/>
  <c r="W116" i="1"/>
  <c r="V116" i="1"/>
  <c r="U116" i="1"/>
  <c r="T116" i="1"/>
  <c r="S116" i="1"/>
  <c r="R116" i="1"/>
  <c r="Q116" i="1"/>
  <c r="I116" i="1"/>
  <c r="H116" i="1"/>
  <c r="G116" i="1"/>
  <c r="W115" i="1"/>
  <c r="V115" i="1"/>
  <c r="U115" i="1"/>
  <c r="T115" i="1"/>
  <c r="S115" i="1"/>
  <c r="R115" i="1"/>
  <c r="Q115" i="1"/>
  <c r="I115" i="1"/>
  <c r="H115" i="1"/>
  <c r="G115" i="1"/>
  <c r="W114" i="1"/>
  <c r="V114" i="1"/>
  <c r="U114" i="1"/>
  <c r="T114" i="1"/>
  <c r="S114" i="1"/>
  <c r="R114" i="1"/>
  <c r="Q114" i="1"/>
  <c r="I114" i="1"/>
  <c r="H114" i="1"/>
  <c r="G114" i="1"/>
  <c r="W113" i="1"/>
  <c r="V113" i="1"/>
  <c r="U113" i="1"/>
  <c r="T113" i="1"/>
  <c r="S113" i="1"/>
  <c r="R113" i="1"/>
  <c r="Q113" i="1"/>
  <c r="I113" i="1"/>
  <c r="H113" i="1"/>
  <c r="G113" i="1"/>
  <c r="W112" i="1"/>
  <c r="V112" i="1"/>
  <c r="U112" i="1"/>
  <c r="T112" i="1"/>
  <c r="S112" i="1"/>
  <c r="R112" i="1"/>
  <c r="Q112" i="1"/>
  <c r="I112" i="1"/>
  <c r="H112" i="1"/>
  <c r="G112" i="1"/>
  <c r="W111" i="1"/>
  <c r="V111" i="1"/>
  <c r="U111" i="1"/>
  <c r="T111" i="1"/>
  <c r="S111" i="1"/>
  <c r="R111" i="1"/>
  <c r="Q111" i="1"/>
  <c r="I111" i="1"/>
  <c r="H111" i="1"/>
  <c r="G111" i="1"/>
  <c r="W110" i="1"/>
  <c r="V110" i="1"/>
  <c r="U110" i="1"/>
  <c r="T110" i="1"/>
  <c r="S110" i="1"/>
  <c r="R110" i="1"/>
  <c r="Q110" i="1"/>
  <c r="I110" i="1"/>
  <c r="H110" i="1"/>
  <c r="G110" i="1"/>
  <c r="W109" i="1"/>
  <c r="V109" i="1"/>
  <c r="U109" i="1"/>
  <c r="T109" i="1"/>
  <c r="S109" i="1"/>
  <c r="R109" i="1"/>
  <c r="Q109" i="1"/>
  <c r="I109" i="1"/>
  <c r="H109" i="1"/>
  <c r="G109" i="1"/>
  <c r="W108" i="1"/>
  <c r="V108" i="1"/>
  <c r="U108" i="1"/>
  <c r="T108" i="1"/>
  <c r="S108" i="1"/>
  <c r="R108" i="1"/>
  <c r="Q108" i="1"/>
  <c r="I108" i="1"/>
  <c r="H108" i="1"/>
  <c r="G108" i="1"/>
  <c r="W107" i="1"/>
  <c r="V107" i="1"/>
  <c r="U107" i="1"/>
  <c r="T107" i="1"/>
  <c r="S107" i="1"/>
  <c r="R107" i="1"/>
  <c r="Q107" i="1"/>
  <c r="I107" i="1"/>
  <c r="H107" i="1"/>
  <c r="G107" i="1"/>
  <c r="W106" i="1"/>
  <c r="V106" i="1"/>
  <c r="U106" i="1"/>
  <c r="T106" i="1"/>
  <c r="S106" i="1"/>
  <c r="R106" i="1"/>
  <c r="Q106" i="1"/>
  <c r="I106" i="1"/>
  <c r="H106" i="1"/>
  <c r="G106" i="1"/>
  <c r="W105" i="1"/>
  <c r="V105" i="1"/>
  <c r="U105" i="1"/>
  <c r="T105" i="1"/>
  <c r="S105" i="1"/>
  <c r="R105" i="1"/>
  <c r="Q105" i="1"/>
  <c r="I105" i="1"/>
  <c r="H105" i="1"/>
  <c r="G105" i="1"/>
  <c r="W104" i="1"/>
  <c r="V104" i="1"/>
  <c r="U104" i="1"/>
  <c r="T104" i="1"/>
  <c r="S104" i="1"/>
  <c r="R104" i="1"/>
  <c r="Q104" i="1"/>
  <c r="I104" i="1"/>
  <c r="H104" i="1"/>
  <c r="G104" i="1"/>
  <c r="W103" i="1"/>
  <c r="V103" i="1"/>
  <c r="U103" i="1"/>
  <c r="T103" i="1"/>
  <c r="S103" i="1"/>
  <c r="R103" i="1"/>
  <c r="Q103" i="1"/>
  <c r="I103" i="1"/>
  <c r="H103" i="1"/>
  <c r="G103" i="1"/>
  <c r="W102" i="1"/>
  <c r="V102" i="1"/>
  <c r="U102" i="1"/>
  <c r="T102" i="1"/>
  <c r="S102" i="1"/>
  <c r="R102" i="1"/>
  <c r="Q102" i="1"/>
  <c r="I102" i="1"/>
  <c r="H102" i="1"/>
  <c r="G102" i="1"/>
  <c r="W101" i="1"/>
  <c r="V101" i="1"/>
  <c r="U101" i="1"/>
  <c r="T101" i="1"/>
  <c r="S101" i="1"/>
  <c r="R101" i="1"/>
  <c r="Q101" i="1"/>
  <c r="I101" i="1"/>
  <c r="H101" i="1"/>
  <c r="G101" i="1"/>
  <c r="W100" i="1"/>
  <c r="V100" i="1"/>
  <c r="U100" i="1"/>
  <c r="T100" i="1"/>
  <c r="S100" i="1"/>
  <c r="R100" i="1"/>
  <c r="Q100" i="1"/>
  <c r="I100" i="1"/>
  <c r="H100" i="1"/>
  <c r="G100" i="1"/>
  <c r="W99" i="1"/>
  <c r="V99" i="1"/>
  <c r="U99" i="1"/>
  <c r="T99" i="1"/>
  <c r="S99" i="1"/>
  <c r="R99" i="1"/>
  <c r="Q99" i="1"/>
  <c r="I99" i="1"/>
  <c r="H99" i="1"/>
  <c r="G99" i="1"/>
  <c r="W98" i="1"/>
  <c r="V98" i="1"/>
  <c r="U98" i="1"/>
  <c r="T98" i="1"/>
  <c r="S98" i="1"/>
  <c r="R98" i="1"/>
  <c r="Q98" i="1"/>
  <c r="I98" i="1"/>
  <c r="H98" i="1"/>
  <c r="G98" i="1"/>
  <c r="W97" i="1"/>
  <c r="V97" i="1"/>
  <c r="U97" i="1"/>
  <c r="T97" i="1"/>
  <c r="S97" i="1"/>
  <c r="R97" i="1"/>
  <c r="Q97" i="1"/>
  <c r="I97" i="1"/>
  <c r="H97" i="1"/>
  <c r="G97" i="1"/>
  <c r="W96" i="1"/>
  <c r="V96" i="1"/>
  <c r="U96" i="1"/>
  <c r="T96" i="1"/>
  <c r="S96" i="1"/>
  <c r="R96" i="1"/>
  <c r="Q96" i="1"/>
  <c r="I96" i="1"/>
  <c r="H96" i="1"/>
  <c r="G96" i="1"/>
  <c r="W95" i="1"/>
  <c r="V95" i="1"/>
  <c r="U95" i="1"/>
  <c r="T95" i="1"/>
  <c r="S95" i="1"/>
  <c r="R95" i="1"/>
  <c r="Q95" i="1"/>
  <c r="I95" i="1"/>
  <c r="H95" i="1"/>
  <c r="G95" i="1"/>
  <c r="W94" i="1"/>
  <c r="V94" i="1"/>
  <c r="U94" i="1"/>
  <c r="T94" i="1"/>
  <c r="S94" i="1"/>
  <c r="R94" i="1"/>
  <c r="Q94" i="1"/>
  <c r="I94" i="1"/>
  <c r="H94" i="1"/>
  <c r="G94" i="1"/>
  <c r="W93" i="1"/>
  <c r="V93" i="1"/>
  <c r="U93" i="1"/>
  <c r="T93" i="1"/>
  <c r="S93" i="1"/>
  <c r="R93" i="1"/>
  <c r="Q93" i="1"/>
  <c r="I93" i="1"/>
  <c r="H93" i="1"/>
  <c r="G93" i="1"/>
  <c r="W92" i="1"/>
  <c r="V92" i="1"/>
  <c r="U92" i="1"/>
  <c r="T92" i="1"/>
  <c r="S92" i="1"/>
  <c r="R92" i="1"/>
  <c r="Q92" i="1"/>
  <c r="I92" i="1"/>
  <c r="H92" i="1"/>
  <c r="G92" i="1"/>
  <c r="W91" i="1"/>
  <c r="V91" i="1"/>
  <c r="U91" i="1"/>
  <c r="T91" i="1"/>
  <c r="S91" i="1"/>
  <c r="R91" i="1"/>
  <c r="Q91" i="1"/>
  <c r="I91" i="1"/>
  <c r="H91" i="1"/>
  <c r="G91" i="1"/>
  <c r="W90" i="1"/>
  <c r="V90" i="1"/>
  <c r="U90" i="1"/>
  <c r="T90" i="1"/>
  <c r="S90" i="1"/>
  <c r="R90" i="1"/>
  <c r="Q90" i="1"/>
  <c r="I90" i="1"/>
  <c r="H90" i="1"/>
  <c r="G90" i="1"/>
  <c r="W89" i="1"/>
  <c r="V89" i="1"/>
  <c r="U89" i="1"/>
  <c r="T89" i="1"/>
  <c r="S89" i="1"/>
  <c r="R89" i="1"/>
  <c r="Q89" i="1"/>
  <c r="I89" i="1"/>
  <c r="H89" i="1"/>
  <c r="G89" i="1"/>
  <c r="W88" i="1"/>
  <c r="V88" i="1"/>
  <c r="U88" i="1"/>
  <c r="T88" i="1"/>
  <c r="S88" i="1"/>
  <c r="R88" i="1"/>
  <c r="Q88" i="1"/>
  <c r="I88" i="1"/>
  <c r="H88" i="1"/>
  <c r="G88" i="1"/>
  <c r="W87" i="1"/>
  <c r="V87" i="1"/>
  <c r="U87" i="1"/>
  <c r="T87" i="1"/>
  <c r="S87" i="1"/>
  <c r="R87" i="1"/>
  <c r="Q87" i="1"/>
  <c r="I87" i="1"/>
  <c r="H87" i="1"/>
  <c r="G87" i="1"/>
  <c r="W86" i="1"/>
  <c r="V86" i="1"/>
  <c r="U86" i="1"/>
  <c r="T86" i="1"/>
  <c r="S86" i="1"/>
  <c r="R86" i="1"/>
  <c r="Q86" i="1"/>
  <c r="I86" i="1"/>
  <c r="H86" i="1"/>
  <c r="G86" i="1"/>
  <c r="W85" i="1"/>
  <c r="V85" i="1"/>
  <c r="U85" i="1"/>
  <c r="T85" i="1"/>
  <c r="S85" i="1"/>
  <c r="R85" i="1"/>
  <c r="Q85" i="1"/>
  <c r="I85" i="1"/>
  <c r="H85" i="1"/>
  <c r="G85" i="1"/>
  <c r="W84" i="1"/>
  <c r="V84" i="1"/>
  <c r="U84" i="1"/>
  <c r="T84" i="1"/>
  <c r="S84" i="1"/>
  <c r="R84" i="1"/>
  <c r="Q84" i="1"/>
  <c r="I84" i="1"/>
  <c r="H84" i="1"/>
  <c r="G84" i="1"/>
  <c r="W83" i="1"/>
  <c r="V83" i="1"/>
  <c r="U83" i="1"/>
  <c r="T83" i="1"/>
  <c r="S83" i="1"/>
  <c r="R83" i="1"/>
  <c r="Q83" i="1"/>
  <c r="I83" i="1"/>
  <c r="H83" i="1"/>
  <c r="G83" i="1"/>
  <c r="W82" i="1"/>
  <c r="V82" i="1"/>
  <c r="U82" i="1"/>
  <c r="T82" i="1"/>
  <c r="S82" i="1"/>
  <c r="R82" i="1"/>
  <c r="Q82" i="1"/>
  <c r="I82" i="1"/>
  <c r="H82" i="1"/>
  <c r="G82" i="1"/>
  <c r="W81" i="1"/>
  <c r="V81" i="1"/>
  <c r="U81" i="1"/>
  <c r="T81" i="1"/>
  <c r="S81" i="1"/>
  <c r="R81" i="1"/>
  <c r="Q81" i="1"/>
  <c r="I81" i="1"/>
  <c r="H81" i="1"/>
  <c r="G81" i="1"/>
  <c r="W80" i="1"/>
  <c r="V80" i="1"/>
  <c r="U80" i="1"/>
  <c r="T80" i="1"/>
  <c r="S80" i="1"/>
  <c r="R80" i="1"/>
  <c r="Q80" i="1"/>
  <c r="I80" i="1"/>
  <c r="H80" i="1"/>
  <c r="G80" i="1"/>
  <c r="W79" i="1"/>
  <c r="V79" i="1"/>
  <c r="U79" i="1"/>
  <c r="T79" i="1"/>
  <c r="S79" i="1"/>
  <c r="R79" i="1"/>
  <c r="Q79" i="1"/>
  <c r="I79" i="1"/>
  <c r="H79" i="1"/>
  <c r="G79" i="1"/>
  <c r="W78" i="1"/>
  <c r="V78" i="1"/>
  <c r="U78" i="1"/>
  <c r="T78" i="1"/>
  <c r="S78" i="1"/>
  <c r="R78" i="1"/>
  <c r="Q78" i="1"/>
  <c r="I78" i="1"/>
  <c r="H78" i="1"/>
  <c r="G78" i="1"/>
  <c r="W77" i="1"/>
  <c r="V77" i="1"/>
  <c r="U77" i="1"/>
  <c r="T77" i="1"/>
  <c r="S77" i="1"/>
  <c r="R77" i="1"/>
  <c r="Q77" i="1"/>
  <c r="I77" i="1"/>
  <c r="H77" i="1"/>
  <c r="G77" i="1"/>
  <c r="W76" i="1"/>
  <c r="V76" i="1"/>
  <c r="U76" i="1"/>
  <c r="T76" i="1"/>
  <c r="S76" i="1"/>
  <c r="R76" i="1"/>
  <c r="Q76" i="1"/>
  <c r="I76" i="1"/>
  <c r="H76" i="1"/>
  <c r="G76" i="1"/>
  <c r="W75" i="1"/>
  <c r="V75" i="1"/>
  <c r="U75" i="1"/>
  <c r="T75" i="1"/>
  <c r="S75" i="1"/>
  <c r="R75" i="1"/>
  <c r="Q75" i="1"/>
  <c r="I75" i="1"/>
  <c r="H75" i="1"/>
  <c r="G75" i="1"/>
  <c r="W74" i="1"/>
  <c r="V74" i="1"/>
  <c r="U74" i="1"/>
  <c r="T74" i="1"/>
  <c r="S74" i="1"/>
  <c r="R74" i="1"/>
  <c r="Q74" i="1"/>
  <c r="I74" i="1"/>
  <c r="H74" i="1"/>
  <c r="G74" i="1"/>
  <c r="W73" i="1"/>
  <c r="V73" i="1"/>
  <c r="U73" i="1"/>
  <c r="T73" i="1"/>
  <c r="S73" i="1"/>
  <c r="R73" i="1"/>
  <c r="Q73" i="1"/>
  <c r="I73" i="1"/>
  <c r="H73" i="1"/>
  <c r="G73" i="1"/>
  <c r="W72" i="1"/>
  <c r="V72" i="1"/>
  <c r="U72" i="1"/>
  <c r="T72" i="1"/>
  <c r="S72" i="1"/>
  <c r="R72" i="1"/>
  <c r="Q72" i="1"/>
  <c r="I72" i="1"/>
  <c r="H72" i="1"/>
  <c r="G72" i="1"/>
  <c r="W71" i="1"/>
  <c r="V71" i="1"/>
  <c r="U71" i="1"/>
  <c r="T71" i="1"/>
  <c r="S71" i="1"/>
  <c r="R71" i="1"/>
  <c r="Q71" i="1"/>
  <c r="I71" i="1"/>
  <c r="H71" i="1"/>
  <c r="G71" i="1"/>
  <c r="W70" i="1"/>
  <c r="V70" i="1"/>
  <c r="U70" i="1"/>
  <c r="T70" i="1"/>
  <c r="S70" i="1"/>
  <c r="R70" i="1"/>
  <c r="Q70" i="1"/>
  <c r="I70" i="1"/>
  <c r="H70" i="1"/>
  <c r="G70" i="1"/>
  <c r="W69" i="1"/>
  <c r="V69" i="1"/>
  <c r="U69" i="1"/>
  <c r="T69" i="1"/>
  <c r="S69" i="1"/>
  <c r="R69" i="1"/>
  <c r="Q69" i="1"/>
  <c r="I69" i="1"/>
  <c r="H69" i="1"/>
  <c r="G69" i="1"/>
  <c r="W68" i="1"/>
  <c r="V68" i="1"/>
  <c r="U68" i="1"/>
  <c r="T68" i="1"/>
  <c r="S68" i="1"/>
  <c r="R68" i="1"/>
  <c r="Q68" i="1"/>
  <c r="I68" i="1"/>
  <c r="H68" i="1"/>
  <c r="G68" i="1"/>
  <c r="W67" i="1"/>
  <c r="V67" i="1"/>
  <c r="U67" i="1"/>
  <c r="T67" i="1"/>
  <c r="S67" i="1"/>
  <c r="R67" i="1"/>
  <c r="Q67" i="1"/>
  <c r="I67" i="1"/>
  <c r="H67" i="1"/>
  <c r="G67" i="1"/>
  <c r="W66" i="1"/>
  <c r="V66" i="1"/>
  <c r="U66" i="1"/>
  <c r="T66" i="1"/>
  <c r="S66" i="1"/>
  <c r="R66" i="1"/>
  <c r="Q66" i="1"/>
  <c r="I66" i="1"/>
  <c r="H66" i="1"/>
  <c r="G66" i="1"/>
  <c r="W65" i="1"/>
  <c r="V65" i="1"/>
  <c r="U65" i="1"/>
  <c r="T65" i="1"/>
  <c r="S65" i="1"/>
  <c r="R65" i="1"/>
  <c r="Q65" i="1"/>
  <c r="I65" i="1"/>
  <c r="H65" i="1"/>
  <c r="G65" i="1"/>
  <c r="W64" i="1"/>
  <c r="V64" i="1"/>
  <c r="U64" i="1"/>
  <c r="T64" i="1"/>
  <c r="S64" i="1"/>
  <c r="R64" i="1"/>
  <c r="Q64" i="1"/>
  <c r="I64" i="1"/>
  <c r="H64" i="1"/>
  <c r="G64" i="1"/>
  <c r="W63" i="1"/>
  <c r="V63" i="1"/>
  <c r="U63" i="1"/>
  <c r="T63" i="1"/>
  <c r="S63" i="1"/>
  <c r="R63" i="1"/>
  <c r="Q63" i="1"/>
  <c r="I63" i="1"/>
  <c r="H63" i="1"/>
  <c r="G63" i="1"/>
  <c r="W62" i="1"/>
  <c r="V62" i="1"/>
  <c r="U62" i="1"/>
  <c r="T62" i="1"/>
  <c r="S62" i="1"/>
  <c r="R62" i="1"/>
  <c r="Q62" i="1"/>
  <c r="I62" i="1"/>
  <c r="H62" i="1"/>
  <c r="G62" i="1"/>
  <c r="W61" i="1"/>
  <c r="V61" i="1"/>
  <c r="U61" i="1"/>
  <c r="T61" i="1"/>
  <c r="S61" i="1"/>
  <c r="R61" i="1"/>
  <c r="Q61" i="1"/>
  <c r="I61" i="1"/>
  <c r="H61" i="1"/>
  <c r="G61" i="1"/>
  <c r="W60" i="1"/>
  <c r="V60" i="1"/>
  <c r="U60" i="1"/>
  <c r="T60" i="1"/>
  <c r="S60" i="1"/>
  <c r="R60" i="1"/>
  <c r="Q60" i="1"/>
  <c r="I60" i="1"/>
  <c r="H60" i="1"/>
  <c r="G60" i="1"/>
  <c r="W59" i="1"/>
  <c r="V59" i="1"/>
  <c r="U59" i="1"/>
  <c r="T59" i="1"/>
  <c r="S59" i="1"/>
  <c r="R59" i="1"/>
  <c r="Q59" i="1"/>
  <c r="I59" i="1"/>
  <c r="H59" i="1"/>
  <c r="G59" i="1"/>
  <c r="W58" i="1"/>
  <c r="V58" i="1"/>
  <c r="U58" i="1"/>
  <c r="T58" i="1"/>
  <c r="S58" i="1"/>
  <c r="R58" i="1"/>
  <c r="Q58" i="1"/>
  <c r="I58" i="1"/>
  <c r="H58" i="1"/>
  <c r="G58" i="1"/>
  <c r="W57" i="1"/>
  <c r="V57" i="1"/>
  <c r="U57" i="1"/>
  <c r="T57" i="1"/>
  <c r="S57" i="1"/>
  <c r="R57" i="1"/>
  <c r="Q57" i="1"/>
  <c r="I57" i="1"/>
  <c r="H57" i="1"/>
  <c r="G57" i="1"/>
  <c r="W56" i="1"/>
  <c r="V56" i="1"/>
  <c r="U56" i="1"/>
  <c r="T56" i="1"/>
  <c r="S56" i="1"/>
  <c r="R56" i="1"/>
  <c r="Q56" i="1"/>
  <c r="I56" i="1"/>
  <c r="H56" i="1"/>
  <c r="G56" i="1"/>
  <c r="W55" i="1"/>
  <c r="V55" i="1"/>
  <c r="U55" i="1"/>
  <c r="T55" i="1"/>
  <c r="S55" i="1"/>
  <c r="R55" i="1"/>
  <c r="Q55" i="1"/>
  <c r="I55" i="1"/>
  <c r="H55" i="1"/>
  <c r="G55" i="1"/>
  <c r="W54" i="1"/>
  <c r="V54" i="1"/>
  <c r="U54" i="1"/>
  <c r="T54" i="1"/>
  <c r="S54" i="1"/>
  <c r="R54" i="1"/>
  <c r="Q54" i="1"/>
  <c r="I54" i="1"/>
  <c r="H54" i="1"/>
  <c r="G54" i="1"/>
  <c r="W53" i="1"/>
  <c r="V53" i="1"/>
  <c r="U53" i="1"/>
  <c r="T53" i="1"/>
  <c r="S53" i="1"/>
  <c r="R53" i="1"/>
  <c r="Q53" i="1"/>
  <c r="I53" i="1"/>
  <c r="H53" i="1"/>
  <c r="G53" i="1"/>
  <c r="W52" i="1"/>
  <c r="V52" i="1"/>
  <c r="U52" i="1"/>
  <c r="T52" i="1"/>
  <c r="S52" i="1"/>
  <c r="R52" i="1"/>
  <c r="Q52" i="1"/>
  <c r="I52" i="1"/>
  <c r="H52" i="1"/>
  <c r="G52" i="1"/>
  <c r="W51" i="1"/>
  <c r="V51" i="1"/>
  <c r="U51" i="1"/>
  <c r="T51" i="1"/>
  <c r="S51" i="1"/>
  <c r="R51" i="1"/>
  <c r="Q51" i="1"/>
  <c r="I51" i="1"/>
  <c r="H51" i="1"/>
  <c r="G51" i="1"/>
  <c r="W50" i="1"/>
  <c r="V50" i="1"/>
  <c r="U50" i="1"/>
  <c r="T50" i="1"/>
  <c r="S50" i="1"/>
  <c r="R50" i="1"/>
  <c r="Q50" i="1"/>
  <c r="I50" i="1"/>
  <c r="H50" i="1"/>
  <c r="G50" i="1"/>
  <c r="W49" i="1"/>
  <c r="V49" i="1"/>
  <c r="U49" i="1"/>
  <c r="T49" i="1"/>
  <c r="S49" i="1"/>
  <c r="R49" i="1"/>
  <c r="Q49" i="1"/>
  <c r="I49" i="1"/>
  <c r="H49" i="1"/>
  <c r="G49" i="1"/>
  <c r="W48" i="1"/>
  <c r="V48" i="1"/>
  <c r="U48" i="1"/>
  <c r="T48" i="1"/>
  <c r="S48" i="1"/>
  <c r="R48" i="1"/>
  <c r="Q48" i="1"/>
  <c r="I48" i="1"/>
  <c r="H48" i="1"/>
  <c r="G48" i="1"/>
  <c r="W47" i="1"/>
  <c r="V47" i="1"/>
  <c r="U47" i="1"/>
  <c r="T47" i="1"/>
  <c r="S47" i="1"/>
  <c r="R47" i="1"/>
  <c r="Q47" i="1"/>
  <c r="I47" i="1"/>
  <c r="H47" i="1"/>
  <c r="G47" i="1"/>
  <c r="W46" i="1"/>
  <c r="V46" i="1"/>
  <c r="U46" i="1"/>
  <c r="T46" i="1"/>
  <c r="S46" i="1"/>
  <c r="R46" i="1"/>
  <c r="Q46" i="1"/>
  <c r="I46" i="1"/>
  <c r="H46" i="1"/>
  <c r="G46" i="1"/>
  <c r="W45" i="1"/>
  <c r="V45" i="1"/>
  <c r="U45" i="1"/>
  <c r="T45" i="1"/>
  <c r="S45" i="1"/>
  <c r="R45" i="1"/>
  <c r="Q45" i="1"/>
  <c r="I45" i="1"/>
  <c r="H45" i="1"/>
  <c r="G45" i="1"/>
  <c r="W44" i="1"/>
  <c r="V44" i="1"/>
  <c r="U44" i="1"/>
  <c r="T44" i="1"/>
  <c r="S44" i="1"/>
  <c r="R44" i="1"/>
  <c r="Q44" i="1"/>
  <c r="I44" i="1"/>
  <c r="H44" i="1"/>
  <c r="G44" i="1"/>
  <c r="W43" i="1"/>
  <c r="V43" i="1"/>
  <c r="U43" i="1"/>
  <c r="T43" i="1"/>
  <c r="S43" i="1"/>
  <c r="R43" i="1"/>
  <c r="Q43" i="1"/>
  <c r="I43" i="1"/>
  <c r="H43" i="1"/>
  <c r="G43" i="1"/>
  <c r="W42" i="1"/>
  <c r="V42" i="1"/>
  <c r="U42" i="1"/>
  <c r="T42" i="1"/>
  <c r="S42" i="1"/>
  <c r="R42" i="1"/>
  <c r="Q42" i="1"/>
  <c r="I42" i="1"/>
  <c r="H42" i="1"/>
  <c r="G42" i="1"/>
  <c r="W41" i="1"/>
  <c r="V41" i="1"/>
  <c r="U41" i="1"/>
  <c r="T41" i="1"/>
  <c r="S41" i="1"/>
  <c r="R41" i="1"/>
  <c r="Q41" i="1"/>
  <c r="I41" i="1"/>
  <c r="H41" i="1"/>
  <c r="G41" i="1"/>
  <c r="W40" i="1"/>
  <c r="V40" i="1"/>
  <c r="U40" i="1"/>
  <c r="T40" i="1"/>
  <c r="S40" i="1"/>
  <c r="R40" i="1"/>
  <c r="Q40" i="1"/>
  <c r="I40" i="1"/>
  <c r="H40" i="1"/>
  <c r="G40" i="1"/>
  <c r="W39" i="1"/>
  <c r="V39" i="1"/>
  <c r="U39" i="1"/>
  <c r="T39" i="1"/>
  <c r="S39" i="1"/>
  <c r="R39" i="1"/>
  <c r="Q39" i="1"/>
  <c r="I39" i="1"/>
  <c r="H39" i="1"/>
  <c r="G39" i="1"/>
  <c r="W38" i="1"/>
  <c r="V38" i="1"/>
  <c r="U38" i="1"/>
  <c r="T38" i="1"/>
  <c r="S38" i="1"/>
  <c r="R38" i="1"/>
  <c r="Q38" i="1"/>
  <c r="I38" i="1"/>
  <c r="H38" i="1"/>
  <c r="G38" i="1"/>
  <c r="W37" i="1"/>
  <c r="V37" i="1"/>
  <c r="U37" i="1"/>
  <c r="T37" i="1"/>
  <c r="S37" i="1"/>
  <c r="R37" i="1"/>
  <c r="Q37" i="1"/>
  <c r="I37" i="1"/>
  <c r="H37" i="1"/>
  <c r="G37" i="1"/>
  <c r="W36" i="1"/>
  <c r="V36" i="1"/>
  <c r="U36" i="1"/>
  <c r="T36" i="1"/>
  <c r="S36" i="1"/>
  <c r="R36" i="1"/>
  <c r="Q36" i="1"/>
  <c r="I36" i="1"/>
  <c r="H36" i="1"/>
  <c r="G36" i="1"/>
  <c r="W35" i="1"/>
  <c r="V35" i="1"/>
  <c r="U35" i="1"/>
  <c r="T35" i="1"/>
  <c r="S35" i="1"/>
  <c r="R35" i="1"/>
  <c r="Q35" i="1"/>
  <c r="I35" i="1"/>
  <c r="H35" i="1"/>
  <c r="G35" i="1"/>
  <c r="W34" i="1"/>
  <c r="V34" i="1"/>
  <c r="U34" i="1"/>
  <c r="T34" i="1"/>
  <c r="S34" i="1"/>
  <c r="R34" i="1"/>
  <c r="Q34" i="1"/>
  <c r="I34" i="1"/>
  <c r="H34" i="1"/>
  <c r="G34" i="1"/>
  <c r="W33" i="1"/>
  <c r="V33" i="1"/>
  <c r="U33" i="1"/>
  <c r="T33" i="1"/>
  <c r="S33" i="1"/>
  <c r="R33" i="1"/>
  <c r="Q33" i="1"/>
  <c r="I33" i="1"/>
  <c r="H33" i="1"/>
  <c r="G33" i="1"/>
  <c r="W32" i="1"/>
  <c r="V32" i="1"/>
  <c r="U32" i="1"/>
  <c r="T32" i="1"/>
  <c r="S32" i="1"/>
  <c r="R32" i="1"/>
  <c r="Q32" i="1"/>
  <c r="I32" i="1"/>
  <c r="H32" i="1"/>
  <c r="G32" i="1"/>
  <c r="W31" i="1"/>
  <c r="V31" i="1"/>
  <c r="U31" i="1"/>
  <c r="T31" i="1"/>
  <c r="S31" i="1"/>
  <c r="R31" i="1"/>
  <c r="Q31" i="1"/>
  <c r="I31" i="1"/>
  <c r="H31" i="1"/>
  <c r="G31" i="1"/>
  <c r="W30" i="1"/>
  <c r="V30" i="1"/>
  <c r="U30" i="1"/>
  <c r="T30" i="1"/>
  <c r="S30" i="1"/>
  <c r="R30" i="1"/>
  <c r="Q30" i="1"/>
  <c r="I30" i="1"/>
  <c r="H30" i="1"/>
  <c r="G30" i="1"/>
  <c r="W29" i="1"/>
  <c r="V29" i="1"/>
  <c r="U29" i="1"/>
  <c r="T29" i="1"/>
  <c r="S29" i="1"/>
  <c r="R29" i="1"/>
  <c r="Q29" i="1"/>
  <c r="I29" i="1"/>
  <c r="H29" i="1"/>
  <c r="G29" i="1"/>
  <c r="W28" i="1"/>
  <c r="V28" i="1"/>
  <c r="U28" i="1"/>
  <c r="T28" i="1"/>
  <c r="S28" i="1"/>
  <c r="R28" i="1"/>
  <c r="Q28" i="1"/>
  <c r="I28" i="1"/>
  <c r="H28" i="1"/>
  <c r="G28" i="1"/>
  <c r="W27" i="1"/>
  <c r="V27" i="1"/>
  <c r="U27" i="1"/>
  <c r="T27" i="1"/>
  <c r="S27" i="1"/>
  <c r="R27" i="1"/>
  <c r="Q27" i="1"/>
  <c r="I27" i="1"/>
  <c r="H27" i="1"/>
  <c r="G27" i="1"/>
  <c r="W26" i="1"/>
  <c r="V26" i="1"/>
  <c r="U26" i="1"/>
  <c r="T26" i="1"/>
  <c r="S26" i="1"/>
  <c r="R26" i="1"/>
  <c r="Q26" i="1"/>
  <c r="I26" i="1"/>
  <c r="H26" i="1"/>
  <c r="G26" i="1"/>
  <c r="W25" i="1"/>
  <c r="V25" i="1"/>
  <c r="U25" i="1"/>
  <c r="T25" i="1"/>
  <c r="S25" i="1"/>
  <c r="R25" i="1"/>
  <c r="Q25" i="1"/>
  <c r="I25" i="1"/>
  <c r="H25" i="1"/>
  <c r="G25" i="1"/>
  <c r="W24" i="1"/>
  <c r="V24" i="1"/>
  <c r="U24" i="1"/>
  <c r="T24" i="1"/>
  <c r="S24" i="1"/>
  <c r="R24" i="1"/>
  <c r="Q24" i="1"/>
  <c r="I24" i="1"/>
  <c r="H24" i="1"/>
  <c r="G24" i="1"/>
  <c r="W23" i="1"/>
  <c r="V23" i="1"/>
  <c r="U23" i="1"/>
  <c r="T23" i="1"/>
  <c r="S23" i="1"/>
  <c r="R23" i="1"/>
  <c r="Q23" i="1"/>
  <c r="I23" i="1"/>
  <c r="H23" i="1"/>
  <c r="G23" i="1"/>
  <c r="W22" i="1"/>
  <c r="V22" i="1"/>
  <c r="U22" i="1"/>
  <c r="T22" i="1"/>
  <c r="S22" i="1"/>
  <c r="R22" i="1"/>
  <c r="Q22" i="1"/>
  <c r="I22" i="1"/>
  <c r="H22" i="1"/>
  <c r="G22" i="1"/>
  <c r="W21" i="1"/>
  <c r="V21" i="1"/>
  <c r="U21" i="1"/>
  <c r="T21" i="1"/>
  <c r="S21" i="1"/>
  <c r="R21" i="1"/>
  <c r="Q21" i="1"/>
  <c r="I21" i="1"/>
  <c r="H21" i="1"/>
  <c r="G21" i="1"/>
  <c r="W20" i="1"/>
  <c r="V20" i="1"/>
  <c r="U20" i="1"/>
  <c r="T20" i="1"/>
  <c r="S20" i="1"/>
  <c r="R20" i="1"/>
  <c r="Q20" i="1"/>
  <c r="I20" i="1"/>
  <c r="H20" i="1"/>
  <c r="G20" i="1"/>
  <c r="W19" i="1"/>
  <c r="V19" i="1"/>
  <c r="U19" i="1"/>
  <c r="T19" i="1"/>
  <c r="S19" i="1"/>
  <c r="R19" i="1"/>
  <c r="Q19" i="1"/>
  <c r="I19" i="1"/>
  <c r="H19" i="1"/>
  <c r="G19" i="1"/>
  <c r="W18" i="1"/>
  <c r="V18" i="1"/>
  <c r="U18" i="1"/>
  <c r="T18" i="1"/>
  <c r="S18" i="1"/>
  <c r="R18" i="1"/>
  <c r="Q18" i="1"/>
  <c r="I18" i="1"/>
  <c r="H18" i="1"/>
  <c r="G18" i="1"/>
  <c r="W17" i="1"/>
  <c r="V17" i="1"/>
  <c r="U17" i="1"/>
  <c r="T17" i="1"/>
  <c r="S17" i="1"/>
  <c r="R17" i="1"/>
  <c r="Q17" i="1"/>
  <c r="I17" i="1"/>
  <c r="H17" i="1"/>
  <c r="G17" i="1"/>
  <c r="W16" i="1"/>
  <c r="V16" i="1"/>
  <c r="U16" i="1"/>
  <c r="T16" i="1"/>
  <c r="S16" i="1"/>
  <c r="R16" i="1"/>
  <c r="Q16" i="1"/>
  <c r="I16" i="1"/>
  <c r="H16" i="1"/>
  <c r="G16" i="1"/>
  <c r="W15" i="1"/>
  <c r="V15" i="1"/>
  <c r="U15" i="1"/>
  <c r="T15" i="1"/>
  <c r="S15" i="1"/>
  <c r="R15" i="1"/>
  <c r="Q15" i="1"/>
  <c r="I15" i="1"/>
  <c r="H15" i="1"/>
  <c r="G15" i="1"/>
  <c r="W14" i="1"/>
  <c r="V14" i="1"/>
  <c r="U14" i="1"/>
  <c r="T14" i="1"/>
  <c r="S14" i="1"/>
  <c r="R14" i="1"/>
  <c r="Q14" i="1"/>
  <c r="I14" i="1"/>
  <c r="H14" i="1"/>
  <c r="G14" i="1"/>
  <c r="W13" i="1"/>
  <c r="V13" i="1"/>
  <c r="U13" i="1"/>
  <c r="T13" i="1"/>
  <c r="S13" i="1"/>
  <c r="R13" i="1"/>
  <c r="Q13" i="1"/>
  <c r="I13" i="1"/>
  <c r="H13" i="1"/>
  <c r="G13" i="1"/>
  <c r="W12" i="1"/>
  <c r="V12" i="1"/>
  <c r="U12" i="1"/>
  <c r="T12" i="1"/>
  <c r="S12" i="1"/>
  <c r="R12" i="1"/>
  <c r="Q12" i="1"/>
  <c r="I12" i="1"/>
  <c r="H12" i="1"/>
  <c r="G12" i="1"/>
  <c r="W11" i="1"/>
  <c r="V11" i="1"/>
  <c r="U11" i="1"/>
  <c r="T11" i="1"/>
  <c r="S11" i="1"/>
  <c r="R11" i="1"/>
  <c r="Q11" i="1"/>
  <c r="I11" i="1"/>
  <c r="H11" i="1"/>
  <c r="G11" i="1"/>
  <c r="W10" i="1"/>
  <c r="V10" i="1"/>
  <c r="U10" i="1"/>
  <c r="T10" i="1"/>
  <c r="S10" i="1"/>
  <c r="R10" i="1"/>
  <c r="Q10" i="1"/>
  <c r="I10" i="1"/>
  <c r="H10" i="1"/>
  <c r="G10" i="1"/>
  <c r="W9" i="1"/>
  <c r="V9" i="1"/>
  <c r="U9" i="1"/>
  <c r="T9" i="1"/>
  <c r="S9" i="1"/>
  <c r="R9" i="1"/>
  <c r="Q9" i="1"/>
  <c r="I9" i="1"/>
  <c r="H9" i="1"/>
  <c r="G9" i="1"/>
  <c r="W8" i="1"/>
  <c r="V8" i="1"/>
  <c r="U8" i="1"/>
  <c r="T8" i="1"/>
  <c r="S8" i="1"/>
  <c r="R8" i="1"/>
  <c r="Q8" i="1"/>
  <c r="I8" i="1"/>
  <c r="H8" i="1"/>
  <c r="G8" i="1"/>
  <c r="W7" i="1"/>
  <c r="V7" i="1"/>
  <c r="U7" i="1"/>
  <c r="T7" i="1"/>
  <c r="S7" i="1"/>
  <c r="R7" i="1"/>
  <c r="Q7" i="1"/>
  <c r="I7" i="1"/>
  <c r="H7" i="1"/>
  <c r="G7" i="1"/>
  <c r="W6" i="1"/>
  <c r="V6" i="1"/>
  <c r="U6" i="1"/>
  <c r="T6" i="1"/>
  <c r="S6" i="1"/>
  <c r="R6" i="1"/>
  <c r="Q6" i="1"/>
  <c r="I6" i="1"/>
  <c r="H6" i="1"/>
  <c r="G6" i="1"/>
  <c r="W5" i="1"/>
  <c r="V5" i="1"/>
  <c r="U5" i="1"/>
  <c r="T5" i="1"/>
  <c r="S5" i="1"/>
  <c r="R5" i="1"/>
  <c r="Q5" i="1"/>
  <c r="I5" i="1"/>
  <c r="H5" i="1"/>
  <c r="G5" i="1"/>
  <c r="W4" i="1"/>
  <c r="V4" i="1"/>
  <c r="U4" i="1"/>
  <c r="T4" i="1"/>
  <c r="S4" i="1"/>
  <c r="R4" i="1"/>
  <c r="Q4" i="1"/>
  <c r="I4" i="1"/>
  <c r="H4" i="1"/>
  <c r="G4" i="1"/>
  <c r="W3" i="1"/>
  <c r="V3" i="1"/>
  <c r="U3" i="1"/>
  <c r="T3" i="1"/>
  <c r="S3" i="1"/>
  <c r="R3" i="1"/>
  <c r="Q3" i="1"/>
  <c r="I3" i="1"/>
  <c r="H3" i="1"/>
  <c r="G3" i="1"/>
  <c r="W2" i="1"/>
  <c r="V2" i="1"/>
  <c r="U2" i="1"/>
  <c r="T2" i="1"/>
  <c r="S2" i="1"/>
  <c r="R2" i="1"/>
  <c r="Q2" i="1"/>
  <c r="I2" i="1"/>
  <c r="H2" i="1"/>
  <c r="G2" i="1"/>
  <c r="G27" i="8"/>
  <c r="F27" i="8"/>
  <c r="D27" i="8"/>
  <c r="G26" i="8"/>
  <c r="F26" i="8"/>
  <c r="D26" i="8"/>
  <c r="G25" i="8"/>
  <c r="F25" i="8"/>
  <c r="D25" i="8"/>
  <c r="G24" i="8"/>
  <c r="F24" i="8"/>
  <c r="D24" i="8"/>
  <c r="G23" i="8"/>
  <c r="F23" i="8"/>
  <c r="D23" i="8"/>
  <c r="G22" i="8"/>
  <c r="F22" i="8"/>
  <c r="D22" i="8"/>
  <c r="G21" i="8"/>
  <c r="F21" i="8"/>
  <c r="D21" i="8"/>
  <c r="G20" i="8"/>
  <c r="F20" i="8"/>
  <c r="D20" i="8"/>
  <c r="G19" i="8"/>
  <c r="F19" i="8"/>
  <c r="D19" i="8"/>
  <c r="G18" i="8"/>
  <c r="F18" i="8"/>
  <c r="D18" i="8"/>
  <c r="G17" i="8"/>
  <c r="F17" i="8"/>
  <c r="D17" i="8"/>
  <c r="G16" i="8"/>
  <c r="F16" i="8"/>
  <c r="D16" i="8"/>
  <c r="G15" i="8"/>
  <c r="F15" i="8"/>
  <c r="D15" i="8"/>
  <c r="G14" i="8"/>
  <c r="F14" i="8"/>
  <c r="D14" i="8"/>
  <c r="G13" i="8"/>
  <c r="F13" i="8"/>
  <c r="D13" i="8"/>
  <c r="G12" i="8"/>
  <c r="F12" i="8"/>
  <c r="D12" i="8"/>
  <c r="G11" i="8"/>
  <c r="F11" i="8"/>
  <c r="D11" i="8"/>
  <c r="G10" i="8"/>
  <c r="F10" i="8"/>
  <c r="D10" i="8"/>
  <c r="G9" i="8"/>
  <c r="F9" i="8"/>
  <c r="D9" i="8"/>
  <c r="G8" i="8"/>
  <c r="F8" i="8"/>
  <c r="D8" i="8"/>
  <c r="G7" i="8"/>
  <c r="F7" i="8"/>
  <c r="D7" i="8"/>
  <c r="G6" i="8"/>
  <c r="F6" i="8"/>
  <c r="D6" i="8"/>
  <c r="G5" i="8"/>
  <c r="F5" i="8"/>
  <c r="D5" i="8"/>
  <c r="G4" i="8"/>
  <c r="F4" i="8"/>
  <c r="D4" i="8"/>
  <c r="G3" i="8"/>
  <c r="F3" i="8"/>
  <c r="D3" i="8"/>
  <c r="G2" i="8"/>
  <c r="F2" i="8"/>
  <c r="D2" i="8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</calcChain>
</file>

<file path=xl/sharedStrings.xml><?xml version="1.0" encoding="utf-8"?>
<sst xmlns="http://schemas.openxmlformats.org/spreadsheetml/2006/main" count="3695" uniqueCount="598">
  <si>
    <t>Species</t>
  </si>
  <si>
    <t>valid_name</t>
  </si>
  <si>
    <t>phylum</t>
  </si>
  <si>
    <t>class</t>
  </si>
  <si>
    <t>Тип питания</t>
  </si>
  <si>
    <t>Экологическая группа</t>
  </si>
  <si>
    <t>2025 ЗРС</t>
  </si>
  <si>
    <t>2025 ВРС</t>
  </si>
  <si>
    <t>Acanthonotozoma cristatum</t>
  </si>
  <si>
    <t>Arthropoda</t>
  </si>
  <si>
    <t>Malacostraca</t>
  </si>
  <si>
    <t>omnivorous</t>
  </si>
  <si>
    <t>nectobentic</t>
  </si>
  <si>
    <t>Aceroides latipes</t>
  </si>
  <si>
    <t>Aceroides (Aceroides) latipes</t>
  </si>
  <si>
    <t>deposit feeder</t>
  </si>
  <si>
    <t>epifaunal</t>
  </si>
  <si>
    <t>Admete couthouyi</t>
  </si>
  <si>
    <t>Admete viridula</t>
  </si>
  <si>
    <t>Mollusca</t>
  </si>
  <si>
    <t>Gastropoda</t>
  </si>
  <si>
    <t>suspension feeder</t>
  </si>
  <si>
    <t>Aeolidia papillosa</t>
  </si>
  <si>
    <t>Ampharete baltica</t>
  </si>
  <si>
    <t>Annelida</t>
  </si>
  <si>
    <t>Polychaeta</t>
  </si>
  <si>
    <t>infaunal</t>
  </si>
  <si>
    <t>Ampharete finmarchica</t>
  </si>
  <si>
    <t>feeding unknown</t>
  </si>
  <si>
    <t>location unknow</t>
  </si>
  <si>
    <t>Ampharete goesi</t>
  </si>
  <si>
    <t>Ampharete sp.</t>
  </si>
  <si>
    <t>Ampharete</t>
  </si>
  <si>
    <t>Amphitrite cirrata</t>
  </si>
  <si>
    <t>Anonyx nugax</t>
  </si>
  <si>
    <t>Apherusa bispinosa</t>
  </si>
  <si>
    <t>Apherusa tridentata</t>
  </si>
  <si>
    <t>Ariadnaria borealis</t>
  </si>
  <si>
    <t>Aricidea nolani</t>
  </si>
  <si>
    <t>Ascidia</t>
  </si>
  <si>
    <t>Chordata</t>
  </si>
  <si>
    <t>Ascidiacea</t>
  </si>
  <si>
    <t>NA</t>
  </si>
  <si>
    <t>Asterias rubens</t>
  </si>
  <si>
    <t>Echinodermata</t>
  </si>
  <si>
    <t>Asteroidea</t>
  </si>
  <si>
    <t>carnivorous</t>
  </si>
  <si>
    <t>Autolytus prismaticus</t>
  </si>
  <si>
    <t>Proceraea prismatica</t>
  </si>
  <si>
    <t>Autolytus sp.</t>
  </si>
  <si>
    <t>Myrianida</t>
  </si>
  <si>
    <t>Balanus balanus</t>
  </si>
  <si>
    <t>Thecostraca</t>
  </si>
  <si>
    <t>Balanus crenatus</t>
  </si>
  <si>
    <t>Balanus sp.</t>
  </si>
  <si>
    <t>Balanus</t>
  </si>
  <si>
    <t>Boltenia echinata</t>
  </si>
  <si>
    <t>Boreotrophon clathratus</t>
  </si>
  <si>
    <t>Boreotrophon truncatus</t>
  </si>
  <si>
    <t>Brachydiastylis resima</t>
  </si>
  <si>
    <t>Brada sp.</t>
  </si>
  <si>
    <t>Brada</t>
  </si>
  <si>
    <t>Branchiomma arctica</t>
  </si>
  <si>
    <t>Branchiomma arcticum</t>
  </si>
  <si>
    <t>Bryozoa gen.sp.</t>
  </si>
  <si>
    <t>Bryozoa</t>
  </si>
  <si>
    <t>Buccinum ciliatum</t>
  </si>
  <si>
    <t>Buccinum elatior</t>
  </si>
  <si>
    <t>Buccinum scalariforme</t>
  </si>
  <si>
    <t>Buccinum glaciale</t>
  </si>
  <si>
    <t>Buccinum sp.</t>
  </si>
  <si>
    <t>Buccinum</t>
  </si>
  <si>
    <t>Buccinum undatum</t>
  </si>
  <si>
    <t>Cadlina laevis</t>
  </si>
  <si>
    <t>Capitella capitata</t>
  </si>
  <si>
    <t>Caprella linearis</t>
  </si>
  <si>
    <t>Castalia punctata</t>
  </si>
  <si>
    <t>Nereimyra punctata</t>
  </si>
  <si>
    <t>Ceratocolax hartzii</t>
  </si>
  <si>
    <t>Coccotylus hartzii</t>
  </si>
  <si>
    <t>Rhodophyta</t>
  </si>
  <si>
    <t>Florideophyceae</t>
  </si>
  <si>
    <t>Chaetomorpha baltica</t>
  </si>
  <si>
    <t>Chaetomorpha linum</t>
  </si>
  <si>
    <t>Chlorophyta</t>
  </si>
  <si>
    <t>Ulvophyceae</t>
  </si>
  <si>
    <t>autotrophous</t>
  </si>
  <si>
    <t>Chaetozone setosa</t>
  </si>
  <si>
    <t>Chelyosoma macleayanum</t>
  </si>
  <si>
    <t>Chiridota laevis</t>
  </si>
  <si>
    <t>Holothuroidea</t>
  </si>
  <si>
    <t>Chironomidae</t>
  </si>
  <si>
    <t>Hexapoda</t>
  </si>
  <si>
    <t>Chitinopoma fabricii</t>
  </si>
  <si>
    <t>Chitinopoma serrula</t>
  </si>
  <si>
    <t>Chlamys islandicus</t>
  </si>
  <si>
    <t>Chlamys islandica</t>
  </si>
  <si>
    <t>Bivalvia</t>
  </si>
  <si>
    <t>Chone sp.</t>
  </si>
  <si>
    <t>Chone</t>
  </si>
  <si>
    <t>Ciliatocardium ciliatum</t>
  </si>
  <si>
    <t>Cirratulus cirratus</t>
  </si>
  <si>
    <t>Cladophora sp.</t>
  </si>
  <si>
    <t>Cladophora</t>
  </si>
  <si>
    <t>Colus latericeus</t>
  </si>
  <si>
    <t>Retifusus latericeus</t>
  </si>
  <si>
    <t>Corallina officinalis</t>
  </si>
  <si>
    <t>Corophium bonelli</t>
  </si>
  <si>
    <t>Crassicorophium bonellii</t>
  </si>
  <si>
    <t>Coryphella sp.</t>
  </si>
  <si>
    <t>Coryphella</t>
  </si>
  <si>
    <t>Cossura longocirrata</t>
  </si>
  <si>
    <t>Crenella decussata</t>
  </si>
  <si>
    <t>Crossaster papposus</t>
  </si>
  <si>
    <t>Cryptonatica clausa</t>
  </si>
  <si>
    <t>Cryptonatica affinis</t>
  </si>
  <si>
    <t>Cylichna alba</t>
  </si>
  <si>
    <t>Dacrydium vitreum</t>
  </si>
  <si>
    <t>Dasychone sp.</t>
  </si>
  <si>
    <t>Branchiomma</t>
  </si>
  <si>
    <t>Dendrodoa grossularia</t>
  </si>
  <si>
    <t>Dendronotus frondosus</t>
  </si>
  <si>
    <t>Dendronotus robustus</t>
  </si>
  <si>
    <t>Desmarestia aculeata</t>
  </si>
  <si>
    <t>Ochrophyta</t>
  </si>
  <si>
    <t>Phaeophyceae</t>
  </si>
  <si>
    <t>Diastylis glabra</t>
  </si>
  <si>
    <t>Diastylis scorpioides</t>
  </si>
  <si>
    <t>Diastylis sulcata</t>
  </si>
  <si>
    <t>Dictyiosiphon</t>
  </si>
  <si>
    <t>Dactylosiphon</t>
  </si>
  <si>
    <t>Didemnum albidum</t>
  </si>
  <si>
    <t>Didemnum roseum</t>
  </si>
  <si>
    <t>Diplocirrus longisetosus</t>
  </si>
  <si>
    <t>Saphobranchia longisetosa</t>
  </si>
  <si>
    <t>Dodecaceria concharum</t>
  </si>
  <si>
    <t>Dulichia spinosissima</t>
  </si>
  <si>
    <t>Ectocarpus sp.</t>
  </si>
  <si>
    <t>Ectocarpus</t>
  </si>
  <si>
    <t>Elliptica elliptica</t>
  </si>
  <si>
    <t>Tridonta elliptica</t>
  </si>
  <si>
    <t>Enteromorpha sp.</t>
  </si>
  <si>
    <t>Ulva</t>
  </si>
  <si>
    <t>Epheria vincta</t>
  </si>
  <si>
    <t>Lacuna vincta</t>
  </si>
  <si>
    <t>phytophagous</t>
  </si>
  <si>
    <t>Ephesia gracilis</t>
  </si>
  <si>
    <t>Sphaerodorum gracilis</t>
  </si>
  <si>
    <t>Ericthonius megalops</t>
  </si>
  <si>
    <t>Eteone longa</t>
  </si>
  <si>
    <t>Eualus gaimardii</t>
  </si>
  <si>
    <t>Euchone analis</t>
  </si>
  <si>
    <t>Euchone sp.</t>
  </si>
  <si>
    <t>Euchone</t>
  </si>
  <si>
    <t>Eugyra glutinans</t>
  </si>
  <si>
    <t>Eulalia bilineata</t>
  </si>
  <si>
    <t>Eulalia viridis</t>
  </si>
  <si>
    <t>Eumida sanguinea</t>
  </si>
  <si>
    <t>Eunoe nodosa</t>
  </si>
  <si>
    <t>Eurycyde hispida</t>
  </si>
  <si>
    <t>Pycnogonida</t>
  </si>
  <si>
    <t>Eusyllis blomstrandi</t>
  </si>
  <si>
    <t>Fabricia sabella</t>
  </si>
  <si>
    <t>Fabricia stellaris</t>
  </si>
  <si>
    <t>Filellum serpens</t>
  </si>
  <si>
    <t>Cnidaria</t>
  </si>
  <si>
    <t>Hydrozoa</t>
  </si>
  <si>
    <t>Flustra foliacea</t>
  </si>
  <si>
    <t>Gymnolaemata</t>
  </si>
  <si>
    <t>Fucus vesiculosus</t>
  </si>
  <si>
    <t>Galathowenia oculata</t>
  </si>
  <si>
    <t>Gattyana cirrosa</t>
  </si>
  <si>
    <t>Gattyana cirrhosa</t>
  </si>
  <si>
    <t>Glycera capitata</t>
  </si>
  <si>
    <t>Halcampa arctica</t>
  </si>
  <si>
    <t>Hexacorallia</t>
  </si>
  <si>
    <t>Halirages fulvocinctus</t>
  </si>
  <si>
    <t>Harmothoe imbricata</t>
  </si>
  <si>
    <t>Hemithiris psittacea</t>
  </si>
  <si>
    <t>Brachiopoda</t>
  </si>
  <si>
    <t>Rhynchonellata</t>
  </si>
  <si>
    <t>Henricia sp.</t>
  </si>
  <si>
    <t>Henricia</t>
  </si>
  <si>
    <t>Heteranomia aculeata</t>
  </si>
  <si>
    <t>Heteranomia squamula</t>
  </si>
  <si>
    <t>Heteromastus filiformis</t>
  </si>
  <si>
    <t>Hiatella arctica</t>
  </si>
  <si>
    <t>Hyas araneus</t>
  </si>
  <si>
    <t>Hydrallmania falcata</t>
  </si>
  <si>
    <t>Hydrobia ulvae</t>
  </si>
  <si>
    <t>Peringia ulvae</t>
  </si>
  <si>
    <t>Ischnochiton albus</t>
  </si>
  <si>
    <t>Stenosemus albus</t>
  </si>
  <si>
    <t>Polyplacophora</t>
  </si>
  <si>
    <t>Jaera sp.</t>
  </si>
  <si>
    <t>Jaera</t>
  </si>
  <si>
    <t>Lanassa sp.</t>
  </si>
  <si>
    <t>Lanassa</t>
  </si>
  <si>
    <t>Laonome kroyeri</t>
  </si>
  <si>
    <t>Laphania boecki</t>
  </si>
  <si>
    <t>Leaena ebranchiata</t>
  </si>
  <si>
    <t>Leionucula bellotii</t>
  </si>
  <si>
    <t>Ennucula tenuis</t>
  </si>
  <si>
    <t>Lepeta caeca</t>
  </si>
  <si>
    <t>Lepidonotus squamatus</t>
  </si>
  <si>
    <t>Leptostylis ampullacea</t>
  </si>
  <si>
    <t>Lichenopora verrucaria</t>
  </si>
  <si>
    <t>Patinella verrucaria</t>
  </si>
  <si>
    <t>Stenolaemata</t>
  </si>
  <si>
    <t>Littorina obtusata</t>
  </si>
  <si>
    <t>Littorina saxatilis</t>
  </si>
  <si>
    <t>Lucernaria bathyphila</t>
  </si>
  <si>
    <t>Staurozoa</t>
  </si>
  <si>
    <t>Lucernaria quadricornis</t>
  </si>
  <si>
    <t>Lumbriconereis fragilis</t>
  </si>
  <si>
    <t>Scoletoma fragilis</t>
  </si>
  <si>
    <t>Lunatia pallida</t>
  </si>
  <si>
    <t>Euspira pallida</t>
  </si>
  <si>
    <t>Lyonsia arenosa</t>
  </si>
  <si>
    <t>Macoma balthica</t>
  </si>
  <si>
    <t>Macoma calcarea</t>
  </si>
  <si>
    <t>Maldane sarsi</t>
  </si>
  <si>
    <t>Margarites costalis</t>
  </si>
  <si>
    <t>Margarites groenlandicus</t>
  </si>
  <si>
    <t>Margarites helicinus</t>
  </si>
  <si>
    <t>Margarites olivaceus</t>
  </si>
  <si>
    <t>Margarites sp.</t>
  </si>
  <si>
    <t>Margarites</t>
  </si>
  <si>
    <t>Margarites striata</t>
  </si>
  <si>
    <t>Margarites sordidus</t>
  </si>
  <si>
    <t>Melita dentata</t>
  </si>
  <si>
    <t>Megamoera dentata</t>
  </si>
  <si>
    <t>Micronephthys minuta</t>
  </si>
  <si>
    <t>Microspio theeli</t>
  </si>
  <si>
    <t>Spio theeli</t>
  </si>
  <si>
    <t>Modiolus modiolus</t>
  </si>
  <si>
    <t>Moelleria costulata</t>
  </si>
  <si>
    <t>Molgula arctica</t>
  </si>
  <si>
    <t>Molgula citrina</t>
  </si>
  <si>
    <t>Molgula crystallina</t>
  </si>
  <si>
    <t>Molgula griffithsii</t>
  </si>
  <si>
    <t>Molgula sp.</t>
  </si>
  <si>
    <t>Molgula</t>
  </si>
  <si>
    <t>Monobrachium parasitum</t>
  </si>
  <si>
    <t>Musculus corrugatus</t>
  </si>
  <si>
    <t>Musculus glacialis</t>
  </si>
  <si>
    <t>Musculus discors</t>
  </si>
  <si>
    <t>Musculus laevigatus</t>
  </si>
  <si>
    <t>Musculus sp.</t>
  </si>
  <si>
    <t>Musculus</t>
  </si>
  <si>
    <t>Mya sp.</t>
  </si>
  <si>
    <t>Mya</t>
  </si>
  <si>
    <t>Mya truncata</t>
  </si>
  <si>
    <t>Mysis mixta</t>
  </si>
  <si>
    <t>Mysis oculata</t>
  </si>
  <si>
    <t>Mytilus edulis</t>
  </si>
  <si>
    <t>Nemertini</t>
  </si>
  <si>
    <t>Nemertea</t>
  </si>
  <si>
    <t>Neoamphitrite figulus</t>
  </si>
  <si>
    <t>Nephthys sp.</t>
  </si>
  <si>
    <t>Nephtys</t>
  </si>
  <si>
    <t>Neptunea despecta</t>
  </si>
  <si>
    <t>Nereis pelagica</t>
  </si>
  <si>
    <t>Nicania montagui</t>
  </si>
  <si>
    <t>Tridonta montagui</t>
  </si>
  <si>
    <t>Nicolea zostericola</t>
  </si>
  <si>
    <t>Nicomache minor</t>
  </si>
  <si>
    <t>Nicomache (Nicomache) minor</t>
  </si>
  <si>
    <t>Nicomache sp.</t>
  </si>
  <si>
    <t>Nicomache</t>
  </si>
  <si>
    <t>Notoplana atomata</t>
  </si>
  <si>
    <t>Platyhelminthes</t>
  </si>
  <si>
    <t>Nudibranchia</t>
  </si>
  <si>
    <t>Nymphon sp.</t>
  </si>
  <si>
    <t>Nymphon</t>
  </si>
  <si>
    <t>Odonthalia dentata</t>
  </si>
  <si>
    <t>Oenopota sp.</t>
  </si>
  <si>
    <t>Oenopota</t>
  </si>
  <si>
    <t>Omalogyra atomus</t>
  </si>
  <si>
    <t>Onoba jeffreysi</t>
  </si>
  <si>
    <t>Alvania jeffreysi</t>
  </si>
  <si>
    <t>Ophiacantha bidentata</t>
  </si>
  <si>
    <t>Ophiuroidea</t>
  </si>
  <si>
    <t>Ophiopholis aculeata</t>
  </si>
  <si>
    <t>Ophiura robusta</t>
  </si>
  <si>
    <t>Orchomenella minuta</t>
  </si>
  <si>
    <t>Owenia fusiformis</t>
  </si>
  <si>
    <t>Pagurus pubescens</t>
  </si>
  <si>
    <t>Pandalus annulicornis</t>
  </si>
  <si>
    <t>Pandalus montagui</t>
  </si>
  <si>
    <t>Pandalus borealis</t>
  </si>
  <si>
    <t>Pandora glacialis</t>
  </si>
  <si>
    <t>Pantoneura baerii</t>
  </si>
  <si>
    <t>Membranoptera fabriciana</t>
  </si>
  <si>
    <t>Pantopoda gen.sp.</t>
  </si>
  <si>
    <t>Pantopoda</t>
  </si>
  <si>
    <t>Paramphithoe cuspidata</t>
  </si>
  <si>
    <t>Pardalisca cuspidata</t>
  </si>
  <si>
    <t>Paroediceros lynceus</t>
  </si>
  <si>
    <t>Pectinaria hyperborea</t>
  </si>
  <si>
    <t>Cistenides hyperborea</t>
  </si>
  <si>
    <t>Petaloproctus tenuis</t>
  </si>
  <si>
    <t>Phascolosoma sp.</t>
  </si>
  <si>
    <t>Phascolosoma</t>
  </si>
  <si>
    <t>Philine lima</t>
  </si>
  <si>
    <t>Retusophiline lima</t>
  </si>
  <si>
    <t>Philomedes brenda</t>
  </si>
  <si>
    <t>Ostracoda</t>
  </si>
  <si>
    <t>Pholoe minuta</t>
  </si>
  <si>
    <t>Photis reinhardi</t>
  </si>
  <si>
    <t>Phoxichilidium femoratum</t>
  </si>
  <si>
    <t>Phycodrys rubens</t>
  </si>
  <si>
    <t>Phyllodoce groenlandica</t>
  </si>
  <si>
    <t>Phyllophora sp.</t>
  </si>
  <si>
    <t>Phyllophora</t>
  </si>
  <si>
    <t>Pionosyllis sp.</t>
  </si>
  <si>
    <t>Pionosyllis</t>
  </si>
  <si>
    <t>Pista flexuosa</t>
  </si>
  <si>
    <t>Axionice flexuosa</t>
  </si>
  <si>
    <t>Pista maculata</t>
  </si>
  <si>
    <t>Pleustes panoplus</t>
  </si>
  <si>
    <t>Pleustes (Pleustes) panoplus</t>
  </si>
  <si>
    <t>Polycirrus sp.</t>
  </si>
  <si>
    <t>Polycirrus</t>
  </si>
  <si>
    <t>Polydora quadrilobata</t>
  </si>
  <si>
    <t>Dipolydora quadrilobata</t>
  </si>
  <si>
    <t>Polymastia mamillaris</t>
  </si>
  <si>
    <t>Porifera</t>
  </si>
  <si>
    <t>Demospongiae</t>
  </si>
  <si>
    <t>Polysiphonia sp.</t>
  </si>
  <si>
    <t>Polysiphonia</t>
  </si>
  <si>
    <t>Potamilla reniformis</t>
  </si>
  <si>
    <t>Pseudopotamilla reniformis</t>
  </si>
  <si>
    <t>Praxillella praetermissa</t>
  </si>
  <si>
    <t>Priapulus caudatus</t>
  </si>
  <si>
    <t>Priapulida</t>
  </si>
  <si>
    <t>Prionospio cirrifera</t>
  </si>
  <si>
    <t>Proclea graffi</t>
  </si>
  <si>
    <t>Proclea graffii</t>
  </si>
  <si>
    <t>Pseudopallene sp.</t>
  </si>
  <si>
    <t>Pseudopallene</t>
  </si>
  <si>
    <t>Pteraster militaris</t>
  </si>
  <si>
    <t>Pterosyllis sp.</t>
  </si>
  <si>
    <t>Amblyosyllis</t>
  </si>
  <si>
    <t>Puncturella noachina</t>
  </si>
  <si>
    <t>Pygospio elegans</t>
  </si>
  <si>
    <t>Rhodophyllis dichotoma</t>
  </si>
  <si>
    <t>Fimbrifolium dichotomum</t>
  </si>
  <si>
    <t>Rhodymenia palmata</t>
  </si>
  <si>
    <t>Palmaria palmata</t>
  </si>
  <si>
    <t>Sabella fabricii</t>
  </si>
  <si>
    <t>Bispira fabricii</t>
  </si>
  <si>
    <t>Sabella sp.</t>
  </si>
  <si>
    <t>Sabella</t>
  </si>
  <si>
    <t>Sabellidae gen. sp.</t>
  </si>
  <si>
    <t>Sabellidae</t>
  </si>
  <si>
    <t>Scalibregma inflatum</t>
  </si>
  <si>
    <t>Sclerocrangon boreas</t>
  </si>
  <si>
    <t>Scoloplos armiger</t>
  </si>
  <si>
    <t>Serripes groenlandicus</t>
  </si>
  <si>
    <t>Serripes (Serripes) groenlandicus</t>
  </si>
  <si>
    <t>Skeneopsis planorbis</t>
  </si>
  <si>
    <t>Socarnes vahlii</t>
  </si>
  <si>
    <t>Solariella obscura</t>
  </si>
  <si>
    <t>Solaster endeca</t>
  </si>
  <si>
    <t>Spio sp.</t>
  </si>
  <si>
    <t>Spio</t>
  </si>
  <si>
    <t>Spirontocaris sp.</t>
  </si>
  <si>
    <t>Spirontocaris</t>
  </si>
  <si>
    <t>Spirorbidae</t>
  </si>
  <si>
    <t>Spirorbinae</t>
  </si>
  <si>
    <t>Staurocephalus caecus</t>
  </si>
  <si>
    <t>Parougia caeca</t>
  </si>
  <si>
    <t>Stegophiura nodosa</t>
  </si>
  <si>
    <t>Strongylocentrotus droebachiensis</t>
  </si>
  <si>
    <t>Echinoidea</t>
  </si>
  <si>
    <t>Stylarioides plumosa</t>
  </si>
  <si>
    <t>Pherusa plumosa</t>
  </si>
  <si>
    <t>Sycon</t>
  </si>
  <si>
    <t>Calcarea</t>
  </si>
  <si>
    <t>Syllidae</t>
  </si>
  <si>
    <t>Synoicum pulmonaria</t>
  </si>
  <si>
    <t>Syrrhoe crenulata</t>
  </si>
  <si>
    <t>Tealia felina</t>
  </si>
  <si>
    <t>Urticina felina</t>
  </si>
  <si>
    <t>Terebellidae</t>
  </si>
  <si>
    <t>Terebellides stroemi</t>
  </si>
  <si>
    <t>Terebellides stroemii</t>
  </si>
  <si>
    <t>Testudinalia tessellata</t>
  </si>
  <si>
    <t>Testudinalia testudinalis</t>
  </si>
  <si>
    <t>Tharyx marioni</t>
  </si>
  <si>
    <t>Aphelochaeta marioni</t>
  </si>
  <si>
    <t>Thracia myopsis</t>
  </si>
  <si>
    <t>Thyasira gouldii</t>
  </si>
  <si>
    <t>Thyonidium pellucidum</t>
  </si>
  <si>
    <t>Ekmania barthii</t>
  </si>
  <si>
    <t>Tiron acanthurus</t>
  </si>
  <si>
    <t>Tiron spiniferus</t>
  </si>
  <si>
    <t>Tonicella marmorea</t>
  </si>
  <si>
    <t>Trichobranchus glacialis</t>
  </si>
  <si>
    <t>Tridonta borealis</t>
  </si>
  <si>
    <t>Tubularia indivisa</t>
  </si>
  <si>
    <t>Tubularia larynx</t>
  </si>
  <si>
    <t>Ectopleura larynx</t>
  </si>
  <si>
    <t>Tubularia sp.</t>
  </si>
  <si>
    <t>Tubularia</t>
  </si>
  <si>
    <t>Turritellopsis acicula</t>
  </si>
  <si>
    <t>Turritellopsis stimpsoni</t>
  </si>
  <si>
    <t>Urasterias lincki</t>
  </si>
  <si>
    <t>Velutina sp.</t>
  </si>
  <si>
    <t>Velutina</t>
  </si>
  <si>
    <t>Verruca stroemia</t>
  </si>
  <si>
    <t>Vosmaeria crustacea</t>
  </si>
  <si>
    <t>Weyprechtia pinguis</t>
  </si>
  <si>
    <t>Styela rustica</t>
  </si>
  <si>
    <t xml:space="preserve">Golfingia vulgaris </t>
  </si>
  <si>
    <t>Ophelia limacina</t>
  </si>
  <si>
    <t>Хищники</t>
  </si>
  <si>
    <t>Детритофаги</t>
  </si>
  <si>
    <t>детрит к хищ</t>
  </si>
  <si>
    <t>фильтраторы</t>
  </si>
  <si>
    <t>сестн. К хищ.</t>
  </si>
  <si>
    <t>детр.  К сестн.</t>
  </si>
  <si>
    <t>1_M_1995</t>
  </si>
  <si>
    <t>2_M_1995</t>
  </si>
  <si>
    <t>3_M_1995</t>
  </si>
  <si>
    <t>4_M_1995</t>
  </si>
  <si>
    <t>5_M_1995</t>
  </si>
  <si>
    <t>6_M_1995</t>
  </si>
  <si>
    <t>1_M_1996</t>
  </si>
  <si>
    <t>2_M_1996</t>
  </si>
  <si>
    <t>3_M_1996</t>
  </si>
  <si>
    <t>4_M_1996</t>
  </si>
  <si>
    <t>5_M_1996</t>
  </si>
  <si>
    <t>1_M_1997</t>
  </si>
  <si>
    <t>2_M_1997</t>
  </si>
  <si>
    <t>3_M_1997</t>
  </si>
  <si>
    <t>4_M_1997</t>
  </si>
  <si>
    <t>5_M_1997</t>
  </si>
  <si>
    <t>1_M_1998</t>
  </si>
  <si>
    <t>2_M_1998</t>
  </si>
  <si>
    <t>3_M_1998</t>
  </si>
  <si>
    <t>4_M_1998</t>
  </si>
  <si>
    <t>5_M_1998</t>
  </si>
  <si>
    <t>1_M_1999</t>
  </si>
  <si>
    <t>2_M_1999</t>
  </si>
  <si>
    <t>3_M_1999</t>
  </si>
  <si>
    <t>4_M_1999</t>
  </si>
  <si>
    <t>5_M_1999</t>
  </si>
  <si>
    <t>6_M_1999</t>
  </si>
  <si>
    <t>7_M_1999</t>
  </si>
  <si>
    <t>8_M_1999</t>
  </si>
  <si>
    <t>9_M_1999</t>
  </si>
  <si>
    <t>10_M_1999</t>
  </si>
  <si>
    <t>1_M_2000</t>
  </si>
  <si>
    <t>2_M_2000</t>
  </si>
  <si>
    <t>3_M_2000</t>
  </si>
  <si>
    <t>4_M_2000</t>
  </si>
  <si>
    <t>5_M_2000</t>
  </si>
  <si>
    <t>6_M_2000</t>
  </si>
  <si>
    <t>1_M_2001</t>
  </si>
  <si>
    <t>2_M_2001</t>
  </si>
  <si>
    <t>3_M_2001</t>
  </si>
  <si>
    <t>4_M_2001</t>
  </si>
  <si>
    <t>5_M_2001</t>
  </si>
  <si>
    <t>6_M_2001</t>
  </si>
  <si>
    <t>1_M_2002</t>
  </si>
  <si>
    <t>2_M_2002</t>
  </si>
  <si>
    <t>3_M_2002</t>
  </si>
  <si>
    <t>4_M_2002</t>
  </si>
  <si>
    <t>5_M_2002</t>
  </si>
  <si>
    <t>6_M_2002</t>
  </si>
  <si>
    <t>1_M_2003</t>
  </si>
  <si>
    <t>2_M_2003</t>
  </si>
  <si>
    <t>3_M_2003</t>
  </si>
  <si>
    <t>4_M_2003</t>
  </si>
  <si>
    <t>5_M_2003</t>
  </si>
  <si>
    <t>6_M_2003</t>
  </si>
  <si>
    <t>1_M_2004</t>
  </si>
  <si>
    <t>2_M_2004</t>
  </si>
  <si>
    <t>3_M_2004</t>
  </si>
  <si>
    <t>4_M_2004</t>
  </si>
  <si>
    <t>5_M_2004</t>
  </si>
  <si>
    <t>6_M_2004</t>
  </si>
  <si>
    <t>1_M_2005</t>
  </si>
  <si>
    <t>2_M_2005</t>
  </si>
  <si>
    <t>3_M_2005</t>
  </si>
  <si>
    <t>4_M_2005</t>
  </si>
  <si>
    <t>5_M_2005</t>
  </si>
  <si>
    <t>6_M_2005</t>
  </si>
  <si>
    <t>1_M_2007</t>
  </si>
  <si>
    <t>2_M_2007</t>
  </si>
  <si>
    <t>3_M_2007</t>
  </si>
  <si>
    <t>4_M_2007</t>
  </si>
  <si>
    <t>5_M_2007</t>
  </si>
  <si>
    <t>6_M_2007</t>
  </si>
  <si>
    <t>7_M_2007</t>
  </si>
  <si>
    <t>1_M_2008</t>
  </si>
  <si>
    <t>2_M_2008</t>
  </si>
  <si>
    <t>3_M_2008</t>
  </si>
  <si>
    <t>4_M_2008</t>
  </si>
  <si>
    <t>5_M_2008</t>
  </si>
  <si>
    <t>6_M_2008</t>
  </si>
  <si>
    <t>1_M_2009</t>
  </si>
  <si>
    <t>2_M_2009</t>
  </si>
  <si>
    <t>3_M_2009</t>
  </si>
  <si>
    <t>4_M_2009</t>
  </si>
  <si>
    <t>5_M_2009</t>
  </si>
  <si>
    <t>6_M_2009</t>
  </si>
  <si>
    <t>7_M_2009</t>
  </si>
  <si>
    <t>3_M_2010</t>
  </si>
  <si>
    <t>8_M_2010</t>
  </si>
  <si>
    <t>2_M_2010</t>
  </si>
  <si>
    <t>6_M_2010</t>
  </si>
  <si>
    <t>4_M_2010</t>
  </si>
  <si>
    <t>7_M_2010</t>
  </si>
  <si>
    <t>5_M_2010</t>
  </si>
  <si>
    <t>1_M_2010</t>
  </si>
  <si>
    <t>1_M_2011</t>
  </si>
  <si>
    <t>2_M_2011</t>
  </si>
  <si>
    <t>3_M_2011</t>
  </si>
  <si>
    <t>4_M_2011</t>
  </si>
  <si>
    <t>5_M_2011</t>
  </si>
  <si>
    <t>6_M_2011</t>
  </si>
  <si>
    <t>1_M_2012</t>
  </si>
  <si>
    <t>2_M_2012</t>
  </si>
  <si>
    <t>3_M_2012</t>
  </si>
  <si>
    <t>4_M_2012</t>
  </si>
  <si>
    <t>5_M_2012</t>
  </si>
  <si>
    <t>6_M_2012</t>
  </si>
  <si>
    <t>1_M_2013</t>
  </si>
  <si>
    <t>2_M_2013</t>
  </si>
  <si>
    <t>3_M_2013</t>
  </si>
  <si>
    <t>4_M_2013</t>
  </si>
  <si>
    <t>5_M_2013</t>
  </si>
  <si>
    <t>6_M_2013</t>
  </si>
  <si>
    <t>1_M_2014</t>
  </si>
  <si>
    <t>2_M_2014</t>
  </si>
  <si>
    <t>3_M_2014</t>
  </si>
  <si>
    <t>4_M_2014</t>
  </si>
  <si>
    <t>5_M_2014</t>
  </si>
  <si>
    <t>6_M_2014</t>
  </si>
  <si>
    <t>5_M_2015</t>
  </si>
  <si>
    <t>6_M_2015</t>
  </si>
  <si>
    <t>1_M_2015</t>
  </si>
  <si>
    <t>8_M_2015</t>
  </si>
  <si>
    <t>2_M_2015</t>
  </si>
  <si>
    <t>3_M_2015</t>
  </si>
  <si>
    <t>7_M_2015</t>
  </si>
  <si>
    <t>3_M_2016</t>
  </si>
  <si>
    <t>6_M_2016</t>
  </si>
  <si>
    <t>4_M_2016</t>
  </si>
  <si>
    <t>5_M_2016</t>
  </si>
  <si>
    <t>1_M_2016</t>
  </si>
  <si>
    <t>2_M_2019</t>
  </si>
  <si>
    <t>1_M_2019</t>
  </si>
  <si>
    <t>3_M_2019</t>
  </si>
  <si>
    <t>1_M_2022</t>
  </si>
  <si>
    <t>4_M_2022</t>
  </si>
  <si>
    <t>2_M_2022</t>
  </si>
  <si>
    <t>5_M_2022</t>
  </si>
  <si>
    <t>6_M_2022</t>
  </si>
  <si>
    <t>1_M_2024</t>
  </si>
  <si>
    <t>2_M_2024</t>
  </si>
  <si>
    <t>3_M_2024</t>
  </si>
  <si>
    <t>4_M_2024</t>
  </si>
  <si>
    <t>5_M_2024</t>
  </si>
  <si>
    <t>6_M_2024</t>
  </si>
  <si>
    <t>7_M_2024</t>
  </si>
  <si>
    <t>8_M_2024</t>
  </si>
  <si>
    <t>9_M_2024</t>
  </si>
  <si>
    <t>1_M_2025</t>
  </si>
  <si>
    <t>2_M_2025</t>
  </si>
  <si>
    <t>3_M_2025</t>
  </si>
  <si>
    <t>1_2025</t>
  </si>
  <si>
    <t>2_2025</t>
  </si>
  <si>
    <t>3_2025</t>
  </si>
  <si>
    <t>4_2025</t>
  </si>
  <si>
    <t>5_2025</t>
  </si>
  <si>
    <t>6_2025</t>
  </si>
  <si>
    <t xml:space="preserve">Year </t>
  </si>
  <si>
    <t>Sample</t>
  </si>
  <si>
    <t>Число видов</t>
  </si>
  <si>
    <t>Обилие инфауны</t>
  </si>
  <si>
    <t>Обилие эпифауны</t>
  </si>
  <si>
    <t>Обилие нектобентоса</t>
  </si>
  <si>
    <t xml:space="preserve"> Доля инфауны</t>
  </si>
  <si>
    <t>Доля Эпифауны</t>
  </si>
  <si>
    <t>Доля нектобентоса</t>
  </si>
  <si>
    <t>Доля автотрофов</t>
  </si>
  <si>
    <t>Доля хищников</t>
  </si>
  <si>
    <t>Доля детритофагов</t>
  </si>
  <si>
    <t>Доля всеядных</t>
  </si>
  <si>
    <t>доля фитофагов</t>
  </si>
  <si>
    <t>Доля фильтраторов</t>
  </si>
  <si>
    <t>Доля  неизвестный тип питания</t>
  </si>
  <si>
    <t>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</si>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</sst>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charset val="134"/>
      <scheme val="minor"/>
    </font>
    <font>
      <b/>
      <sz val="11"/>
      <name val="Calibri"/>
      <charset val="20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0"/>
      <name val="Arial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1" fontId="4" fillId="0" borderId="0" xfId="0" applyNumberFormat="1" applyFont="1"/>
    <xf numFmtId="16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детрит к хищ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Динамика!$A$2:$A$26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2022</c:v>
                </c:pt>
                <c:pt idx="23">
                  <c:v>2024</c:v>
                </c:pt>
                <c:pt idx="24">
                  <c:v>2025</c:v>
                </c:pt>
              </c:numCache>
            </c:numRef>
          </c:xVal>
          <c:yVal>
            <c:numRef>
              <c:f>Динамика!$D$2:$D$26</c:f>
              <c:numCache>
                <c:formatCode>0.0</c:formatCode>
                <c:ptCount val="25"/>
                <c:pt idx="0">
                  <c:v>0.57330415754923436</c:v>
                </c:pt>
                <c:pt idx="1">
                  <c:v>1.4155495978552279</c:v>
                </c:pt>
                <c:pt idx="2">
                  <c:v>0.58778625954198471</c:v>
                </c:pt>
                <c:pt idx="3">
                  <c:v>0.30933852140077822</c:v>
                </c:pt>
                <c:pt idx="4">
                  <c:v>0.29756965026674576</c:v>
                </c:pt>
                <c:pt idx="5">
                  <c:v>0.22157434402332407</c:v>
                </c:pt>
                <c:pt idx="6">
                  <c:v>0.36459909228441673</c:v>
                </c:pt>
                <c:pt idx="7">
                  <c:v>0.68502202643171728</c:v>
                </c:pt>
                <c:pt idx="8">
                  <c:v>0.26818181818181819</c:v>
                </c:pt>
                <c:pt idx="9">
                  <c:v>0.40878378378378472</c:v>
                </c:pt>
                <c:pt idx="10">
                  <c:v>0.29458598726114527</c:v>
                </c:pt>
                <c:pt idx="11">
                  <c:v>0.10344827586206914</c:v>
                </c:pt>
                <c:pt idx="12">
                  <c:v>0.17898193760262759</c:v>
                </c:pt>
                <c:pt idx="13">
                  <c:v>0.23611111111111066</c:v>
                </c:pt>
                <c:pt idx="14">
                  <c:v>0.22170900692840648</c:v>
                </c:pt>
                <c:pt idx="15">
                  <c:v>0.1480362537764352</c:v>
                </c:pt>
                <c:pt idx="16">
                  <c:v>0.1257142857142857</c:v>
                </c:pt>
                <c:pt idx="17">
                  <c:v>0.13238770685579193</c:v>
                </c:pt>
                <c:pt idx="18">
                  <c:v>0.21691176470588244</c:v>
                </c:pt>
                <c:pt idx="19">
                  <c:v>0.18081180811808123</c:v>
                </c:pt>
                <c:pt idx="20">
                  <c:v>0.22093023255813954</c:v>
                </c:pt>
                <c:pt idx="21">
                  <c:v>0.11764705882352941</c:v>
                </c:pt>
                <c:pt idx="22">
                  <c:v>0.42990654205607476</c:v>
                </c:pt>
                <c:pt idx="23">
                  <c:v>0.18338108882521476</c:v>
                </c:pt>
                <c:pt idx="24">
                  <c:v>0.73333333333333306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4-44DF-8912-B88C33CF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36760"/>
        <c:axId val="429437744"/>
      </c:scatterChart>
      <c:valAx>
        <c:axId val="42943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37744"/>
        <c:crosses val="autoZero"/>
        <c:crossBetween val="midCat"/>
      </c:valAx>
      <c:valAx>
        <c:axId val="42943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3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92aecc-8d82-4f92-b6f4-47a134182a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сестн. к хищ.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Динамика!$A$2:$A$26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2022</c:v>
                </c:pt>
                <c:pt idx="23">
                  <c:v>2024</c:v>
                </c:pt>
                <c:pt idx="24">
                  <c:v>2025</c:v>
                </c:pt>
              </c:numCache>
            </c:numRef>
          </c:xVal>
          <c:yVal>
            <c:numRef>
              <c:f>Динамика!$F$2:$F$26</c:f>
              <c:numCache>
                <c:formatCode>0.0</c:formatCode>
                <c:ptCount val="25"/>
                <c:pt idx="0">
                  <c:v>1.0722100656455142</c:v>
                </c:pt>
                <c:pt idx="1">
                  <c:v>0.9839142091152816</c:v>
                </c:pt>
                <c:pt idx="2">
                  <c:v>0.51145038167938939</c:v>
                </c:pt>
                <c:pt idx="3">
                  <c:v>0.53307392996108949</c:v>
                </c:pt>
                <c:pt idx="4">
                  <c:v>0.57024303497332551</c:v>
                </c:pt>
                <c:pt idx="5">
                  <c:v>0.67930029154518856</c:v>
                </c:pt>
                <c:pt idx="6">
                  <c:v>0.83812405446293214</c:v>
                </c:pt>
                <c:pt idx="7">
                  <c:v>2.3766519823788492</c:v>
                </c:pt>
                <c:pt idx="8">
                  <c:v>0.63484848484848544</c:v>
                </c:pt>
                <c:pt idx="9">
                  <c:v>0.71621621621621601</c:v>
                </c:pt>
                <c:pt idx="10">
                  <c:v>0.30414012738853374</c:v>
                </c:pt>
                <c:pt idx="11">
                  <c:v>0.18678160919540265</c:v>
                </c:pt>
                <c:pt idx="12">
                  <c:v>0.28407224958949062</c:v>
                </c:pt>
                <c:pt idx="13">
                  <c:v>0.92708333333333104</c:v>
                </c:pt>
                <c:pt idx="14">
                  <c:v>1.2817551963048499</c:v>
                </c:pt>
                <c:pt idx="15">
                  <c:v>1.5574018126888234</c:v>
                </c:pt>
                <c:pt idx="16">
                  <c:v>5.9371428571428622</c:v>
                </c:pt>
                <c:pt idx="17">
                  <c:v>3.7115839243498869</c:v>
                </c:pt>
                <c:pt idx="18">
                  <c:v>5.2095588235294228</c:v>
                </c:pt>
                <c:pt idx="19">
                  <c:v>2.3173431734317345</c:v>
                </c:pt>
                <c:pt idx="20">
                  <c:v>0.54069767441860472</c:v>
                </c:pt>
                <c:pt idx="21">
                  <c:v>0.95098039215686181</c:v>
                </c:pt>
                <c:pt idx="22">
                  <c:v>0.58878504672897203</c:v>
                </c:pt>
                <c:pt idx="23">
                  <c:v>1.6991404011461311</c:v>
                </c:pt>
                <c:pt idx="24">
                  <c:v>12.366666666666699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D-43DC-9A42-70BDA8595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341288"/>
        <c:axId val="432347520"/>
      </c:scatterChart>
      <c:valAx>
        <c:axId val="43234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347520"/>
        <c:crosses val="autoZero"/>
        <c:crossBetween val="midCat"/>
      </c:valAx>
      <c:valAx>
        <c:axId val="4323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341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578934-61db-47d9-bf70-ba071683f70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детр. к сестн.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Динамика!$A$2:$A$26</c:f>
              <c:numCache>
                <c:formatCode>General</c:formatCode>
                <c:ptCount val="2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2019</c:v>
                </c:pt>
                <c:pt idx="22">
                  <c:v>2022</c:v>
                </c:pt>
                <c:pt idx="23">
                  <c:v>2024</c:v>
                </c:pt>
                <c:pt idx="24">
                  <c:v>2025</c:v>
                </c:pt>
              </c:numCache>
            </c:numRef>
          </c:xVal>
          <c:yVal>
            <c:numRef>
              <c:f>Динамика!$G$2:$G$27</c:f>
              <c:numCache>
                <c:formatCode>0.0</c:formatCode>
                <c:ptCount val="26"/>
                <c:pt idx="0">
                  <c:v>0.5346938775510206</c:v>
                </c:pt>
                <c:pt idx="1">
                  <c:v>1.4386920980926428</c:v>
                </c:pt>
                <c:pt idx="2">
                  <c:v>1.1492537313432836</c:v>
                </c:pt>
                <c:pt idx="3">
                  <c:v>0.58029197080291972</c:v>
                </c:pt>
                <c:pt idx="4">
                  <c:v>0.5218295218295218</c:v>
                </c:pt>
                <c:pt idx="5">
                  <c:v>0.32618025751073076</c:v>
                </c:pt>
                <c:pt idx="6">
                  <c:v>0.43501805054151677</c:v>
                </c:pt>
                <c:pt idx="7">
                  <c:v>0.28822984244671024</c:v>
                </c:pt>
                <c:pt idx="8">
                  <c:v>0.42243436754176572</c:v>
                </c:pt>
                <c:pt idx="9">
                  <c:v>0.57075471698113356</c:v>
                </c:pt>
                <c:pt idx="10">
                  <c:v>0.96858638743455494</c:v>
                </c:pt>
                <c:pt idx="11">
                  <c:v>0.55384615384615377</c:v>
                </c:pt>
                <c:pt idx="12">
                  <c:v>0.63005780346820994</c:v>
                </c:pt>
                <c:pt idx="13">
                  <c:v>0.25468164794007508</c:v>
                </c:pt>
                <c:pt idx="14">
                  <c:v>0.17297297297297298</c:v>
                </c:pt>
                <c:pt idx="15">
                  <c:v>9.5053346265761382E-2</c:v>
                </c:pt>
                <c:pt idx="16">
                  <c:v>2.1174205967276205E-2</c:v>
                </c:pt>
                <c:pt idx="17">
                  <c:v>3.5668789808917134E-2</c:v>
                </c:pt>
                <c:pt idx="18">
                  <c:v>4.1637261820747985E-2</c:v>
                </c:pt>
                <c:pt idx="19">
                  <c:v>7.8025477707006394E-2</c:v>
                </c:pt>
                <c:pt idx="20">
                  <c:v>0.40860215053763438</c:v>
                </c:pt>
                <c:pt idx="21">
                  <c:v>0.1237113402061857</c:v>
                </c:pt>
                <c:pt idx="22">
                  <c:v>0.73015873015873012</c:v>
                </c:pt>
                <c:pt idx="23">
                  <c:v>0.10792580101180435</c:v>
                </c:pt>
                <c:pt idx="24">
                  <c:v>5.9299191374662892E-2</c:v>
                </c:pt>
                <c:pt idx="25">
                  <c:v>7.5829383886255985E-2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4-46D8-8479-48176B9AD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213960"/>
        <c:axId val="473205760"/>
      </c:scatterChart>
      <c:valAx>
        <c:axId val="47321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205760"/>
        <c:crosses val="autoZero"/>
        <c:crossBetween val="midCat"/>
      </c:valAx>
      <c:valAx>
        <c:axId val="4732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213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73a97be-6aa3-49af-955c-4f79af43e7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число видов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проб'!$C$2:$C$157</c:f>
              <c:numCache>
                <c:formatCode>General</c:formatCode>
                <c:ptCount val="156"/>
                <c:pt idx="0">
                  <c:v>19</c:v>
                </c:pt>
                <c:pt idx="1">
                  <c:v>54</c:v>
                </c:pt>
                <c:pt idx="2">
                  <c:v>34</c:v>
                </c:pt>
                <c:pt idx="3">
                  <c:v>29</c:v>
                </c:pt>
                <c:pt idx="4">
                  <c:v>42</c:v>
                </c:pt>
                <c:pt idx="5">
                  <c:v>35</c:v>
                </c:pt>
                <c:pt idx="6">
                  <c:v>23</c:v>
                </c:pt>
                <c:pt idx="7">
                  <c:v>28</c:v>
                </c:pt>
                <c:pt idx="8">
                  <c:v>40</c:v>
                </c:pt>
                <c:pt idx="9">
                  <c:v>31</c:v>
                </c:pt>
                <c:pt idx="10">
                  <c:v>58</c:v>
                </c:pt>
                <c:pt idx="11">
                  <c:v>7</c:v>
                </c:pt>
                <c:pt idx="12">
                  <c:v>20</c:v>
                </c:pt>
                <c:pt idx="13">
                  <c:v>38</c:v>
                </c:pt>
                <c:pt idx="14">
                  <c:v>29</c:v>
                </c:pt>
                <c:pt idx="15">
                  <c:v>29</c:v>
                </c:pt>
                <c:pt idx="16">
                  <c:v>22</c:v>
                </c:pt>
                <c:pt idx="17">
                  <c:v>26</c:v>
                </c:pt>
                <c:pt idx="18">
                  <c:v>20</c:v>
                </c:pt>
                <c:pt idx="19">
                  <c:v>19</c:v>
                </c:pt>
                <c:pt idx="20">
                  <c:v>42</c:v>
                </c:pt>
                <c:pt idx="21">
                  <c:v>24</c:v>
                </c:pt>
                <c:pt idx="22">
                  <c:v>29</c:v>
                </c:pt>
                <c:pt idx="23">
                  <c:v>31</c:v>
                </c:pt>
                <c:pt idx="24">
                  <c:v>22</c:v>
                </c:pt>
                <c:pt idx="25">
                  <c:v>27</c:v>
                </c:pt>
                <c:pt idx="26">
                  <c:v>30</c:v>
                </c:pt>
                <c:pt idx="27">
                  <c:v>28</c:v>
                </c:pt>
                <c:pt idx="28">
                  <c:v>29</c:v>
                </c:pt>
                <c:pt idx="29">
                  <c:v>31</c:v>
                </c:pt>
                <c:pt idx="30">
                  <c:v>43</c:v>
                </c:pt>
                <c:pt idx="31">
                  <c:v>31</c:v>
                </c:pt>
                <c:pt idx="32">
                  <c:v>26</c:v>
                </c:pt>
                <c:pt idx="33">
                  <c:v>46</c:v>
                </c:pt>
                <c:pt idx="34">
                  <c:v>22</c:v>
                </c:pt>
                <c:pt idx="35">
                  <c:v>24</c:v>
                </c:pt>
                <c:pt idx="36">
                  <c:v>24</c:v>
                </c:pt>
                <c:pt idx="37">
                  <c:v>32</c:v>
                </c:pt>
                <c:pt idx="38">
                  <c:v>22</c:v>
                </c:pt>
                <c:pt idx="39">
                  <c:v>24</c:v>
                </c:pt>
                <c:pt idx="40">
                  <c:v>37</c:v>
                </c:pt>
                <c:pt idx="41">
                  <c:v>30</c:v>
                </c:pt>
                <c:pt idx="42">
                  <c:v>48</c:v>
                </c:pt>
                <c:pt idx="43">
                  <c:v>33</c:v>
                </c:pt>
                <c:pt idx="44">
                  <c:v>35</c:v>
                </c:pt>
                <c:pt idx="45">
                  <c:v>40</c:v>
                </c:pt>
                <c:pt idx="46">
                  <c:v>38</c:v>
                </c:pt>
                <c:pt idx="47">
                  <c:v>32</c:v>
                </c:pt>
                <c:pt idx="48">
                  <c:v>43</c:v>
                </c:pt>
                <c:pt idx="49">
                  <c:v>52</c:v>
                </c:pt>
                <c:pt idx="50">
                  <c:v>17</c:v>
                </c:pt>
                <c:pt idx="51">
                  <c:v>46</c:v>
                </c:pt>
                <c:pt idx="52">
                  <c:v>33</c:v>
                </c:pt>
                <c:pt idx="53">
                  <c:v>28</c:v>
                </c:pt>
                <c:pt idx="54">
                  <c:v>44</c:v>
                </c:pt>
                <c:pt idx="55">
                  <c:v>26</c:v>
                </c:pt>
                <c:pt idx="56">
                  <c:v>13</c:v>
                </c:pt>
                <c:pt idx="57">
                  <c:v>23</c:v>
                </c:pt>
                <c:pt idx="58">
                  <c:v>27</c:v>
                </c:pt>
                <c:pt idx="59">
                  <c:v>42</c:v>
                </c:pt>
                <c:pt idx="60">
                  <c:v>51</c:v>
                </c:pt>
                <c:pt idx="61">
                  <c:v>22</c:v>
                </c:pt>
                <c:pt idx="62">
                  <c:v>24</c:v>
                </c:pt>
                <c:pt idx="63">
                  <c:v>30</c:v>
                </c:pt>
                <c:pt idx="64">
                  <c:v>27</c:v>
                </c:pt>
                <c:pt idx="65">
                  <c:v>48</c:v>
                </c:pt>
                <c:pt idx="66">
                  <c:v>23</c:v>
                </c:pt>
                <c:pt idx="67">
                  <c:v>9</c:v>
                </c:pt>
                <c:pt idx="68">
                  <c:v>32</c:v>
                </c:pt>
                <c:pt idx="69">
                  <c:v>24</c:v>
                </c:pt>
                <c:pt idx="70">
                  <c:v>21</c:v>
                </c:pt>
                <c:pt idx="71">
                  <c:v>25</c:v>
                </c:pt>
                <c:pt idx="72">
                  <c:v>22</c:v>
                </c:pt>
                <c:pt idx="73">
                  <c:v>32</c:v>
                </c:pt>
                <c:pt idx="74">
                  <c:v>39</c:v>
                </c:pt>
                <c:pt idx="75">
                  <c:v>31</c:v>
                </c:pt>
                <c:pt idx="76">
                  <c:v>18</c:v>
                </c:pt>
                <c:pt idx="77">
                  <c:v>18</c:v>
                </c:pt>
                <c:pt idx="78">
                  <c:v>22</c:v>
                </c:pt>
                <c:pt idx="79">
                  <c:v>8</c:v>
                </c:pt>
                <c:pt idx="80">
                  <c:v>6</c:v>
                </c:pt>
                <c:pt idx="81">
                  <c:v>23</c:v>
                </c:pt>
                <c:pt idx="82">
                  <c:v>42</c:v>
                </c:pt>
                <c:pt idx="83">
                  <c:v>11</c:v>
                </c:pt>
                <c:pt idx="84">
                  <c:v>7</c:v>
                </c:pt>
                <c:pt idx="85">
                  <c:v>21</c:v>
                </c:pt>
                <c:pt idx="86">
                  <c:v>23</c:v>
                </c:pt>
                <c:pt idx="87">
                  <c:v>38</c:v>
                </c:pt>
                <c:pt idx="88">
                  <c:v>14</c:v>
                </c:pt>
                <c:pt idx="89">
                  <c:v>32</c:v>
                </c:pt>
                <c:pt idx="90">
                  <c:v>32</c:v>
                </c:pt>
                <c:pt idx="91">
                  <c:v>26</c:v>
                </c:pt>
                <c:pt idx="92">
                  <c:v>26</c:v>
                </c:pt>
                <c:pt idx="93">
                  <c:v>15</c:v>
                </c:pt>
                <c:pt idx="94">
                  <c:v>35</c:v>
                </c:pt>
                <c:pt idx="95">
                  <c:v>19</c:v>
                </c:pt>
                <c:pt idx="96">
                  <c:v>35</c:v>
                </c:pt>
                <c:pt idx="97">
                  <c:v>19</c:v>
                </c:pt>
                <c:pt idx="98">
                  <c:v>25</c:v>
                </c:pt>
                <c:pt idx="99">
                  <c:v>22</c:v>
                </c:pt>
                <c:pt idx="100">
                  <c:v>20</c:v>
                </c:pt>
                <c:pt idx="101">
                  <c:v>22</c:v>
                </c:pt>
                <c:pt idx="102">
                  <c:v>24</c:v>
                </c:pt>
                <c:pt idx="103">
                  <c:v>27</c:v>
                </c:pt>
                <c:pt idx="104">
                  <c:v>23</c:v>
                </c:pt>
                <c:pt idx="105">
                  <c:v>17</c:v>
                </c:pt>
                <c:pt idx="106">
                  <c:v>24</c:v>
                </c:pt>
                <c:pt idx="107">
                  <c:v>24</c:v>
                </c:pt>
                <c:pt idx="108">
                  <c:v>26</c:v>
                </c:pt>
                <c:pt idx="109">
                  <c:v>27</c:v>
                </c:pt>
                <c:pt idx="110">
                  <c:v>18</c:v>
                </c:pt>
                <c:pt idx="111">
                  <c:v>28</c:v>
                </c:pt>
                <c:pt idx="112">
                  <c:v>34</c:v>
                </c:pt>
                <c:pt idx="113">
                  <c:v>39</c:v>
                </c:pt>
                <c:pt idx="114">
                  <c:v>28</c:v>
                </c:pt>
                <c:pt idx="115">
                  <c:v>21</c:v>
                </c:pt>
                <c:pt idx="116">
                  <c:v>10</c:v>
                </c:pt>
                <c:pt idx="117">
                  <c:v>17</c:v>
                </c:pt>
                <c:pt idx="118">
                  <c:v>21</c:v>
                </c:pt>
                <c:pt idx="119">
                  <c:v>37</c:v>
                </c:pt>
                <c:pt idx="120">
                  <c:v>16</c:v>
                </c:pt>
                <c:pt idx="121">
                  <c:v>37</c:v>
                </c:pt>
                <c:pt idx="122">
                  <c:v>17</c:v>
                </c:pt>
                <c:pt idx="123">
                  <c:v>17</c:v>
                </c:pt>
                <c:pt idx="124">
                  <c:v>35</c:v>
                </c:pt>
                <c:pt idx="125">
                  <c:v>33</c:v>
                </c:pt>
                <c:pt idx="126">
                  <c:v>33</c:v>
                </c:pt>
                <c:pt idx="127">
                  <c:v>24</c:v>
                </c:pt>
                <c:pt idx="128">
                  <c:v>27</c:v>
                </c:pt>
                <c:pt idx="129">
                  <c:v>24</c:v>
                </c:pt>
                <c:pt idx="130">
                  <c:v>15</c:v>
                </c:pt>
                <c:pt idx="131">
                  <c:v>25</c:v>
                </c:pt>
                <c:pt idx="132">
                  <c:v>18</c:v>
                </c:pt>
                <c:pt idx="133">
                  <c:v>22</c:v>
                </c:pt>
                <c:pt idx="134">
                  <c:v>14</c:v>
                </c:pt>
                <c:pt idx="135">
                  <c:v>17</c:v>
                </c:pt>
                <c:pt idx="136">
                  <c:v>14</c:v>
                </c:pt>
                <c:pt idx="137">
                  <c:v>23</c:v>
                </c:pt>
                <c:pt idx="138">
                  <c:v>25</c:v>
                </c:pt>
                <c:pt idx="139">
                  <c:v>16</c:v>
                </c:pt>
                <c:pt idx="140">
                  <c:v>15</c:v>
                </c:pt>
                <c:pt idx="141">
                  <c:v>21</c:v>
                </c:pt>
                <c:pt idx="142">
                  <c:v>23</c:v>
                </c:pt>
                <c:pt idx="143">
                  <c:v>34</c:v>
                </c:pt>
                <c:pt idx="144">
                  <c:v>26</c:v>
                </c:pt>
                <c:pt idx="145">
                  <c:v>24</c:v>
                </c:pt>
                <c:pt idx="146">
                  <c:v>31</c:v>
                </c:pt>
                <c:pt idx="147">
                  <c:v>10</c:v>
                </c:pt>
                <c:pt idx="148">
                  <c:v>37</c:v>
                </c:pt>
                <c:pt idx="149">
                  <c:v>24</c:v>
                </c:pt>
                <c:pt idx="150">
                  <c:v>18</c:v>
                </c:pt>
                <c:pt idx="151">
                  <c:v>27</c:v>
                </c:pt>
                <c:pt idx="152">
                  <c:v>13</c:v>
                </c:pt>
                <c:pt idx="153">
                  <c:v>23</c:v>
                </c:pt>
                <c:pt idx="154">
                  <c:v>30</c:v>
                </c:pt>
                <c:pt idx="15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C-4B07-B89E-55B786B62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31408"/>
        <c:axId val="192330096"/>
      </c:scatterChart>
      <c:valAx>
        <c:axId val="1923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30096"/>
        <c:crosses val="autoZero"/>
        <c:crossBetween val="midCat"/>
      </c:valAx>
      <c:valAx>
        <c:axId val="1923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3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инфауны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проб'!$G$2:$G$157</c:f>
              <c:numCache>
                <c:formatCode>General</c:formatCode>
                <c:ptCount val="156"/>
                <c:pt idx="0">
                  <c:v>0.14545454545454545</c:v>
                </c:pt>
                <c:pt idx="1">
                  <c:v>0.29973474801061006</c:v>
                </c:pt>
                <c:pt idx="2">
                  <c:v>0.12727272727272726</c:v>
                </c:pt>
                <c:pt idx="3">
                  <c:v>0.22857142857142856</c:v>
                </c:pt>
                <c:pt idx="4">
                  <c:v>0.20477815699658702</c:v>
                </c:pt>
                <c:pt idx="5">
                  <c:v>0.60509554140127386</c:v>
                </c:pt>
                <c:pt idx="6">
                  <c:v>0.21875</c:v>
                </c:pt>
                <c:pt idx="7">
                  <c:v>0.59829059829059827</c:v>
                </c:pt>
                <c:pt idx="8">
                  <c:v>0.2537313432835821</c:v>
                </c:pt>
                <c:pt idx="9">
                  <c:v>0.42613636363636365</c:v>
                </c:pt>
                <c:pt idx="10">
                  <c:v>0.14327485380116958</c:v>
                </c:pt>
                <c:pt idx="11">
                  <c:v>0.16</c:v>
                </c:pt>
                <c:pt idx="12">
                  <c:v>4.1666666666666664E-2</c:v>
                </c:pt>
                <c:pt idx="13">
                  <c:v>0.42222222222222222</c:v>
                </c:pt>
                <c:pt idx="14">
                  <c:v>0.65573770491803274</c:v>
                </c:pt>
                <c:pt idx="15">
                  <c:v>0.20689655172413793</c:v>
                </c:pt>
                <c:pt idx="16">
                  <c:v>3.614457831325301E-2</c:v>
                </c:pt>
                <c:pt idx="17">
                  <c:v>5.1546391752577317E-2</c:v>
                </c:pt>
                <c:pt idx="18">
                  <c:v>1.5706806282722512E-2</c:v>
                </c:pt>
                <c:pt idx="19">
                  <c:v>1.6483516483516484E-2</c:v>
                </c:pt>
                <c:pt idx="20">
                  <c:v>0.11078717201166181</c:v>
                </c:pt>
                <c:pt idx="21">
                  <c:v>0.15568862275449102</c:v>
                </c:pt>
                <c:pt idx="22">
                  <c:v>0.21404682274247491</c:v>
                </c:pt>
                <c:pt idx="23">
                  <c:v>0.10606060606060606</c:v>
                </c:pt>
                <c:pt idx="24">
                  <c:v>4.8000000000000001E-2</c:v>
                </c:pt>
                <c:pt idx="25">
                  <c:v>1.9736842105263157E-2</c:v>
                </c:pt>
                <c:pt idx="26">
                  <c:v>6.8452380952380959E-2</c:v>
                </c:pt>
                <c:pt idx="27">
                  <c:v>0.26618705035971224</c:v>
                </c:pt>
                <c:pt idx="28">
                  <c:v>0.15447154471544716</c:v>
                </c:pt>
                <c:pt idx="29">
                  <c:v>0.16371681415929204</c:v>
                </c:pt>
                <c:pt idx="30">
                  <c:v>9.5623987034035657E-2</c:v>
                </c:pt>
                <c:pt idx="31">
                  <c:v>0.12345679012345678</c:v>
                </c:pt>
                <c:pt idx="32">
                  <c:v>0.11678832116788321</c:v>
                </c:pt>
                <c:pt idx="33">
                  <c:v>0.14880952380952381</c:v>
                </c:pt>
                <c:pt idx="34">
                  <c:v>0.23728813559322035</c:v>
                </c:pt>
                <c:pt idx="35">
                  <c:v>3.896103896103896E-2</c:v>
                </c:pt>
                <c:pt idx="36">
                  <c:v>0.30985915492957744</c:v>
                </c:pt>
                <c:pt idx="37">
                  <c:v>0.24175824175824176</c:v>
                </c:pt>
                <c:pt idx="38">
                  <c:v>0.52252252252252251</c:v>
                </c:pt>
                <c:pt idx="39">
                  <c:v>0.11702127659574468</c:v>
                </c:pt>
                <c:pt idx="40">
                  <c:v>7.18232044198895E-2</c:v>
                </c:pt>
                <c:pt idx="41">
                  <c:v>0.30463576158940397</c:v>
                </c:pt>
                <c:pt idx="42">
                  <c:v>4.3735224586288417E-2</c:v>
                </c:pt>
                <c:pt idx="43">
                  <c:v>5.3892215568862277E-2</c:v>
                </c:pt>
                <c:pt idx="44">
                  <c:v>3.8910505836575876E-2</c:v>
                </c:pt>
                <c:pt idx="45">
                  <c:v>9.3333333333333341E-3</c:v>
                </c:pt>
                <c:pt idx="46">
                  <c:v>3.484320557491289E-2</c:v>
                </c:pt>
                <c:pt idx="47">
                  <c:v>4.5226130653266333E-2</c:v>
                </c:pt>
                <c:pt idx="48">
                  <c:v>4.3103448275862072E-2</c:v>
                </c:pt>
                <c:pt idx="49">
                  <c:v>0.13818181818181818</c:v>
                </c:pt>
                <c:pt idx="50">
                  <c:v>0</c:v>
                </c:pt>
                <c:pt idx="51">
                  <c:v>7.9646017699115043E-2</c:v>
                </c:pt>
                <c:pt idx="52">
                  <c:v>2.1505376344086023E-2</c:v>
                </c:pt>
                <c:pt idx="53">
                  <c:v>0.1044776119402985</c:v>
                </c:pt>
                <c:pt idx="54">
                  <c:v>7.8369905956112859E-2</c:v>
                </c:pt>
                <c:pt idx="55">
                  <c:v>4.2553191489361701E-2</c:v>
                </c:pt>
                <c:pt idx="56">
                  <c:v>8.3333333333333329E-2</c:v>
                </c:pt>
                <c:pt idx="57">
                  <c:v>1.6E-2</c:v>
                </c:pt>
                <c:pt idx="58">
                  <c:v>0.1015625</c:v>
                </c:pt>
                <c:pt idx="59">
                  <c:v>0.28426395939086296</c:v>
                </c:pt>
                <c:pt idx="60">
                  <c:v>0.46400000000000002</c:v>
                </c:pt>
                <c:pt idx="61">
                  <c:v>7.6923076923076927E-2</c:v>
                </c:pt>
                <c:pt idx="62">
                  <c:v>0.12</c:v>
                </c:pt>
                <c:pt idx="63">
                  <c:v>0.10106382978723404</c:v>
                </c:pt>
                <c:pt idx="64">
                  <c:v>2.1459227467811159E-2</c:v>
                </c:pt>
                <c:pt idx="65">
                  <c:v>2.0512820512820513E-2</c:v>
                </c:pt>
                <c:pt idx="66">
                  <c:v>0</c:v>
                </c:pt>
                <c:pt idx="67">
                  <c:v>0</c:v>
                </c:pt>
                <c:pt idx="68">
                  <c:v>6.7796610169491523E-3</c:v>
                </c:pt>
                <c:pt idx="69">
                  <c:v>1.5873015873015872E-2</c:v>
                </c:pt>
                <c:pt idx="70">
                  <c:v>6.6666666666666666E-2</c:v>
                </c:pt>
                <c:pt idx="71">
                  <c:v>6.41025641025641E-3</c:v>
                </c:pt>
                <c:pt idx="72">
                  <c:v>1.9417475728155338E-2</c:v>
                </c:pt>
                <c:pt idx="73">
                  <c:v>5.0691244239631339E-2</c:v>
                </c:pt>
                <c:pt idx="74">
                  <c:v>8.6261980830670923E-2</c:v>
                </c:pt>
                <c:pt idx="75">
                  <c:v>7.8947368421052627E-2</c:v>
                </c:pt>
                <c:pt idx="76">
                  <c:v>0</c:v>
                </c:pt>
                <c:pt idx="77">
                  <c:v>0.02</c:v>
                </c:pt>
                <c:pt idx="78">
                  <c:v>6.8965517241379309E-2</c:v>
                </c:pt>
                <c:pt idx="79">
                  <c:v>0</c:v>
                </c:pt>
                <c:pt idx="80">
                  <c:v>3.2258064516129031E-2</c:v>
                </c:pt>
                <c:pt idx="81">
                  <c:v>0.28749999999999998</c:v>
                </c:pt>
                <c:pt idx="82">
                  <c:v>0.16761363636363635</c:v>
                </c:pt>
                <c:pt idx="83">
                  <c:v>6.8965517241379309E-2</c:v>
                </c:pt>
                <c:pt idx="84">
                  <c:v>0.27272727272727271</c:v>
                </c:pt>
                <c:pt idx="85">
                  <c:v>4.5454545454545456E-2</c:v>
                </c:pt>
                <c:pt idx="86">
                  <c:v>1.2345679012345678E-2</c:v>
                </c:pt>
                <c:pt idx="87">
                  <c:v>8.1967213114754092E-2</c:v>
                </c:pt>
                <c:pt idx="88">
                  <c:v>0.36666666666666664</c:v>
                </c:pt>
                <c:pt idx="89">
                  <c:v>3.2051282051282048E-2</c:v>
                </c:pt>
                <c:pt idx="90">
                  <c:v>7.2727272727272724E-2</c:v>
                </c:pt>
                <c:pt idx="91">
                  <c:v>0.38709677419354838</c:v>
                </c:pt>
                <c:pt idx="92">
                  <c:v>0.26315789473684209</c:v>
                </c:pt>
                <c:pt idx="93">
                  <c:v>1.3698630136986301E-2</c:v>
                </c:pt>
                <c:pt idx="94">
                  <c:v>0.15142857142857144</c:v>
                </c:pt>
                <c:pt idx="95">
                  <c:v>9.0909090909090905E-3</c:v>
                </c:pt>
                <c:pt idx="96">
                  <c:v>4.0312093628088429E-2</c:v>
                </c:pt>
                <c:pt idx="97">
                  <c:v>1.4285714285714285E-2</c:v>
                </c:pt>
                <c:pt idx="98">
                  <c:v>1.4970059880239521E-2</c:v>
                </c:pt>
                <c:pt idx="99">
                  <c:v>8.1081081081081086E-2</c:v>
                </c:pt>
                <c:pt idx="100">
                  <c:v>3.9603960396039604E-2</c:v>
                </c:pt>
                <c:pt idx="101">
                  <c:v>1.5151515151515152E-2</c:v>
                </c:pt>
                <c:pt idx="102">
                  <c:v>3.952569169960474E-3</c:v>
                </c:pt>
                <c:pt idx="103">
                  <c:v>4.2313117066290554E-3</c:v>
                </c:pt>
                <c:pt idx="104">
                  <c:v>9.8039215686274508E-3</c:v>
                </c:pt>
                <c:pt idx="105">
                  <c:v>0</c:v>
                </c:pt>
                <c:pt idx="106">
                  <c:v>1.8621973929236499E-3</c:v>
                </c:pt>
                <c:pt idx="107">
                  <c:v>1.098901098901099E-2</c:v>
                </c:pt>
                <c:pt idx="108">
                  <c:v>1.7331022530329288E-3</c:v>
                </c:pt>
                <c:pt idx="109">
                  <c:v>7.8125E-3</c:v>
                </c:pt>
                <c:pt idx="110">
                  <c:v>0</c:v>
                </c:pt>
                <c:pt idx="111">
                  <c:v>1.2468827930174564E-2</c:v>
                </c:pt>
                <c:pt idx="112">
                  <c:v>4.9382716049382713E-2</c:v>
                </c:pt>
                <c:pt idx="113">
                  <c:v>1.1278195488721804E-2</c:v>
                </c:pt>
                <c:pt idx="114">
                  <c:v>6.8965517241379309E-3</c:v>
                </c:pt>
                <c:pt idx="115">
                  <c:v>0</c:v>
                </c:pt>
                <c:pt idx="116">
                  <c:v>0</c:v>
                </c:pt>
                <c:pt idx="117">
                  <c:v>9.8039215686274508E-2</c:v>
                </c:pt>
                <c:pt idx="118">
                  <c:v>0</c:v>
                </c:pt>
                <c:pt idx="119">
                  <c:v>2.4875621890547263E-3</c:v>
                </c:pt>
                <c:pt idx="120">
                  <c:v>1.8181818181818181E-2</c:v>
                </c:pt>
                <c:pt idx="121">
                  <c:v>0.171875</c:v>
                </c:pt>
                <c:pt idx="122">
                  <c:v>0.19047619047619047</c:v>
                </c:pt>
                <c:pt idx="123">
                  <c:v>8.5106382978723402E-2</c:v>
                </c:pt>
                <c:pt idx="124">
                  <c:v>9.852216748768473E-3</c:v>
                </c:pt>
                <c:pt idx="125">
                  <c:v>0.13131313131313133</c:v>
                </c:pt>
                <c:pt idx="126">
                  <c:v>7.8651685393258425E-2</c:v>
                </c:pt>
                <c:pt idx="127">
                  <c:v>0.13725490196078433</c:v>
                </c:pt>
                <c:pt idx="128">
                  <c:v>0</c:v>
                </c:pt>
                <c:pt idx="129">
                  <c:v>0.2857142857142857</c:v>
                </c:pt>
                <c:pt idx="130">
                  <c:v>8.1081081081081086E-2</c:v>
                </c:pt>
                <c:pt idx="131">
                  <c:v>0.10784313725490197</c:v>
                </c:pt>
                <c:pt idx="132">
                  <c:v>9.7222222222222224E-2</c:v>
                </c:pt>
                <c:pt idx="133">
                  <c:v>2.8571428571428571E-2</c:v>
                </c:pt>
                <c:pt idx="134">
                  <c:v>3.0303030303030304E-2</c:v>
                </c:pt>
                <c:pt idx="135">
                  <c:v>0.12903225806451613</c:v>
                </c:pt>
                <c:pt idx="136">
                  <c:v>4.3478260869565216E-2</c:v>
                </c:pt>
                <c:pt idx="137">
                  <c:v>6.3492063492063489E-2</c:v>
                </c:pt>
                <c:pt idx="138">
                  <c:v>3.5714285714285712E-2</c:v>
                </c:pt>
                <c:pt idx="139">
                  <c:v>2.1276595744680851E-2</c:v>
                </c:pt>
                <c:pt idx="140">
                  <c:v>0</c:v>
                </c:pt>
                <c:pt idx="141">
                  <c:v>0.12371134020618557</c:v>
                </c:pt>
                <c:pt idx="142">
                  <c:v>3.3898305084745763E-2</c:v>
                </c:pt>
                <c:pt idx="143">
                  <c:v>2.0833333333333332E-2</c:v>
                </c:pt>
                <c:pt idx="144">
                  <c:v>0.05</c:v>
                </c:pt>
                <c:pt idx="145">
                  <c:v>1.8264840182648401E-2</c:v>
                </c:pt>
                <c:pt idx="146">
                  <c:v>0.10824742268041238</c:v>
                </c:pt>
                <c:pt idx="147">
                  <c:v>0.23529411764705882</c:v>
                </c:pt>
                <c:pt idx="148">
                  <c:v>4.9132947976878616E-2</c:v>
                </c:pt>
                <c:pt idx="149">
                  <c:v>6.4516129032258063E-2</c:v>
                </c:pt>
                <c:pt idx="150">
                  <c:v>5.2631578947368418E-2</c:v>
                </c:pt>
                <c:pt idx="151">
                  <c:v>5.2631578947368418E-2</c:v>
                </c:pt>
                <c:pt idx="152">
                  <c:v>1.5384615384615385E-2</c:v>
                </c:pt>
                <c:pt idx="153">
                  <c:v>2.1897810218978103E-2</c:v>
                </c:pt>
                <c:pt idx="154">
                  <c:v>9.2592592592592587E-2</c:v>
                </c:pt>
                <c:pt idx="155">
                  <c:v>1.8506700701978303E-2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9-4E27-8BB3-8B7EC4241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27544"/>
        <c:axId val="424027216"/>
      </c:scatterChart>
      <c:valAx>
        <c:axId val="424027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027216"/>
        <c:crosses val="autoZero"/>
        <c:crossBetween val="midCat"/>
      </c:valAx>
      <c:valAx>
        <c:axId val="42402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027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эпифауны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проб'!$H$2:$H$157</c:f>
              <c:numCache>
                <c:formatCode>General</c:formatCode>
                <c:ptCount val="156"/>
                <c:pt idx="0">
                  <c:v>0.83636363636363631</c:v>
                </c:pt>
                <c:pt idx="1">
                  <c:v>0.6870026525198939</c:v>
                </c:pt>
                <c:pt idx="2">
                  <c:v>0.8545454545454545</c:v>
                </c:pt>
                <c:pt idx="3">
                  <c:v>0.77142857142857146</c:v>
                </c:pt>
                <c:pt idx="4">
                  <c:v>0.76450511945392496</c:v>
                </c:pt>
                <c:pt idx="5">
                  <c:v>0.33757961783439489</c:v>
                </c:pt>
                <c:pt idx="6">
                  <c:v>0.77083333333333337</c:v>
                </c:pt>
                <c:pt idx="7">
                  <c:v>0.37606837606837606</c:v>
                </c:pt>
                <c:pt idx="8">
                  <c:v>0.74626865671641796</c:v>
                </c:pt>
                <c:pt idx="9">
                  <c:v>0.56818181818181823</c:v>
                </c:pt>
                <c:pt idx="10">
                  <c:v>0.85233918128654973</c:v>
                </c:pt>
                <c:pt idx="11">
                  <c:v>0.84</c:v>
                </c:pt>
                <c:pt idx="12">
                  <c:v>0.95</c:v>
                </c:pt>
                <c:pt idx="13">
                  <c:v>0.55555555555555558</c:v>
                </c:pt>
                <c:pt idx="14">
                  <c:v>0.32786885245901637</c:v>
                </c:pt>
                <c:pt idx="15">
                  <c:v>0.75862068965517238</c:v>
                </c:pt>
                <c:pt idx="16">
                  <c:v>0.96385542168674698</c:v>
                </c:pt>
                <c:pt idx="17">
                  <c:v>0.93814432989690721</c:v>
                </c:pt>
                <c:pt idx="18">
                  <c:v>0.72774869109947649</c:v>
                </c:pt>
                <c:pt idx="19">
                  <c:v>0.82967032967032972</c:v>
                </c:pt>
                <c:pt idx="20">
                  <c:v>0.8134110787172012</c:v>
                </c:pt>
                <c:pt idx="21">
                  <c:v>0.84431137724550898</c:v>
                </c:pt>
                <c:pt idx="22">
                  <c:v>0.78595317725752512</c:v>
                </c:pt>
                <c:pt idx="23">
                  <c:v>0.83030303030303032</c:v>
                </c:pt>
                <c:pt idx="24">
                  <c:v>0.94799999999999995</c:v>
                </c:pt>
                <c:pt idx="25">
                  <c:v>0.98026315789473684</c:v>
                </c:pt>
                <c:pt idx="26">
                  <c:v>0.93154761904761907</c:v>
                </c:pt>
                <c:pt idx="27">
                  <c:v>0.71223021582733814</c:v>
                </c:pt>
                <c:pt idx="28">
                  <c:v>0.83739837398373984</c:v>
                </c:pt>
                <c:pt idx="29">
                  <c:v>0.83628318584070793</c:v>
                </c:pt>
                <c:pt idx="30">
                  <c:v>0.90113452188006482</c:v>
                </c:pt>
                <c:pt idx="31">
                  <c:v>0.85185185185185186</c:v>
                </c:pt>
                <c:pt idx="32">
                  <c:v>0.81021897810218979</c:v>
                </c:pt>
                <c:pt idx="33">
                  <c:v>0.75595238095238093</c:v>
                </c:pt>
                <c:pt idx="34">
                  <c:v>0.74576271186440679</c:v>
                </c:pt>
                <c:pt idx="35">
                  <c:v>0.8571428571428571</c:v>
                </c:pt>
                <c:pt idx="36">
                  <c:v>0.676056338028169</c:v>
                </c:pt>
                <c:pt idx="37">
                  <c:v>0.69230769230769229</c:v>
                </c:pt>
                <c:pt idx="38">
                  <c:v>0.47747747747747749</c:v>
                </c:pt>
                <c:pt idx="39">
                  <c:v>0.88297872340425532</c:v>
                </c:pt>
                <c:pt idx="40">
                  <c:v>0.84530386740331487</c:v>
                </c:pt>
                <c:pt idx="41">
                  <c:v>0.62913907284768211</c:v>
                </c:pt>
                <c:pt idx="42">
                  <c:v>0.90307328605200943</c:v>
                </c:pt>
                <c:pt idx="43">
                  <c:v>0.93413173652694614</c:v>
                </c:pt>
                <c:pt idx="44">
                  <c:v>0.96108949416342415</c:v>
                </c:pt>
                <c:pt idx="45">
                  <c:v>0.9906666666666667</c:v>
                </c:pt>
                <c:pt idx="46">
                  <c:v>0.9616724738675958</c:v>
                </c:pt>
                <c:pt idx="47">
                  <c:v>0.95477386934673369</c:v>
                </c:pt>
                <c:pt idx="48">
                  <c:v>0.9568965517241379</c:v>
                </c:pt>
                <c:pt idx="49">
                  <c:v>0.86181818181818182</c:v>
                </c:pt>
                <c:pt idx="50">
                  <c:v>1</c:v>
                </c:pt>
                <c:pt idx="51">
                  <c:v>0.92035398230088494</c:v>
                </c:pt>
                <c:pt idx="52">
                  <c:v>0.978494623655914</c:v>
                </c:pt>
                <c:pt idx="53">
                  <c:v>0.89552238805970152</c:v>
                </c:pt>
                <c:pt idx="54">
                  <c:v>0.91849529780564265</c:v>
                </c:pt>
                <c:pt idx="55">
                  <c:v>0.93617021276595747</c:v>
                </c:pt>
                <c:pt idx="56">
                  <c:v>0.91666666666666663</c:v>
                </c:pt>
                <c:pt idx="57">
                  <c:v>0.98399999999999999</c:v>
                </c:pt>
                <c:pt idx="58">
                  <c:v>0.8984375</c:v>
                </c:pt>
                <c:pt idx="59">
                  <c:v>0.71573604060913709</c:v>
                </c:pt>
                <c:pt idx="60">
                  <c:v>0.51200000000000001</c:v>
                </c:pt>
                <c:pt idx="61">
                  <c:v>0.89230769230769236</c:v>
                </c:pt>
                <c:pt idx="62">
                  <c:v>0.8666666666666667</c:v>
                </c:pt>
                <c:pt idx="63">
                  <c:v>0.89893617021276595</c:v>
                </c:pt>
                <c:pt idx="64">
                  <c:v>0.96995708154506433</c:v>
                </c:pt>
                <c:pt idx="65">
                  <c:v>0.97948717948717945</c:v>
                </c:pt>
                <c:pt idx="66">
                  <c:v>1</c:v>
                </c:pt>
                <c:pt idx="67">
                  <c:v>1</c:v>
                </c:pt>
                <c:pt idx="68">
                  <c:v>0.99322033898305084</c:v>
                </c:pt>
                <c:pt idx="69">
                  <c:v>0.96825396825396826</c:v>
                </c:pt>
                <c:pt idx="70">
                  <c:v>0.93333333333333335</c:v>
                </c:pt>
                <c:pt idx="71">
                  <c:v>0.99358974358974361</c:v>
                </c:pt>
                <c:pt idx="72">
                  <c:v>0.98058252427184467</c:v>
                </c:pt>
                <c:pt idx="73">
                  <c:v>0.94930875576036866</c:v>
                </c:pt>
                <c:pt idx="74">
                  <c:v>0.91373801916932906</c:v>
                </c:pt>
                <c:pt idx="75">
                  <c:v>0.91578947368421049</c:v>
                </c:pt>
                <c:pt idx="76">
                  <c:v>1</c:v>
                </c:pt>
                <c:pt idx="77">
                  <c:v>0.98</c:v>
                </c:pt>
                <c:pt idx="78">
                  <c:v>0.91379310344827591</c:v>
                </c:pt>
                <c:pt idx="79">
                  <c:v>1</c:v>
                </c:pt>
                <c:pt idx="80">
                  <c:v>0.967741935483871</c:v>
                </c:pt>
                <c:pt idx="81">
                  <c:v>0.71250000000000002</c:v>
                </c:pt>
                <c:pt idx="82">
                  <c:v>0.82954545454545459</c:v>
                </c:pt>
                <c:pt idx="83">
                  <c:v>0.93103448275862066</c:v>
                </c:pt>
                <c:pt idx="84">
                  <c:v>0.72727272727272729</c:v>
                </c:pt>
                <c:pt idx="85">
                  <c:v>0.95454545454545459</c:v>
                </c:pt>
                <c:pt idx="86">
                  <c:v>0.98148148148148151</c:v>
                </c:pt>
                <c:pt idx="87">
                  <c:v>0.91803278688524592</c:v>
                </c:pt>
                <c:pt idx="88">
                  <c:v>0.6333333333333333</c:v>
                </c:pt>
                <c:pt idx="89">
                  <c:v>0.96794871794871795</c:v>
                </c:pt>
                <c:pt idx="90">
                  <c:v>0.92727272727272725</c:v>
                </c:pt>
                <c:pt idx="91">
                  <c:v>0.61290322580645162</c:v>
                </c:pt>
                <c:pt idx="92">
                  <c:v>0.73684210526315785</c:v>
                </c:pt>
                <c:pt idx="93">
                  <c:v>0.98630136986301364</c:v>
                </c:pt>
                <c:pt idx="94">
                  <c:v>0.84571428571428575</c:v>
                </c:pt>
                <c:pt idx="95">
                  <c:v>0.98181818181818181</c:v>
                </c:pt>
                <c:pt idx="96">
                  <c:v>0.95318595578673604</c:v>
                </c:pt>
                <c:pt idx="97">
                  <c:v>0.97142857142857142</c:v>
                </c:pt>
                <c:pt idx="98">
                  <c:v>0.98502994011976053</c:v>
                </c:pt>
                <c:pt idx="99">
                  <c:v>0.91891891891891897</c:v>
                </c:pt>
                <c:pt idx="100">
                  <c:v>0.96039603960396036</c:v>
                </c:pt>
                <c:pt idx="101">
                  <c:v>0.98484848484848486</c:v>
                </c:pt>
                <c:pt idx="102">
                  <c:v>0.99604743083003955</c:v>
                </c:pt>
                <c:pt idx="103">
                  <c:v>0.99576868829337095</c:v>
                </c:pt>
                <c:pt idx="104">
                  <c:v>0.99019607843137258</c:v>
                </c:pt>
                <c:pt idx="105">
                  <c:v>0.96</c:v>
                </c:pt>
                <c:pt idx="106">
                  <c:v>0.9981378026070763</c:v>
                </c:pt>
                <c:pt idx="107">
                  <c:v>0.98351648351648346</c:v>
                </c:pt>
                <c:pt idx="108">
                  <c:v>0.99826689774696709</c:v>
                </c:pt>
                <c:pt idx="109">
                  <c:v>0.9921875</c:v>
                </c:pt>
                <c:pt idx="110">
                  <c:v>1</c:v>
                </c:pt>
                <c:pt idx="111">
                  <c:v>0.98503740648379057</c:v>
                </c:pt>
                <c:pt idx="112">
                  <c:v>0.95061728395061729</c:v>
                </c:pt>
                <c:pt idx="113">
                  <c:v>0.98684210526315785</c:v>
                </c:pt>
                <c:pt idx="114">
                  <c:v>0.99310344827586206</c:v>
                </c:pt>
                <c:pt idx="115">
                  <c:v>1</c:v>
                </c:pt>
                <c:pt idx="116">
                  <c:v>1</c:v>
                </c:pt>
                <c:pt idx="117">
                  <c:v>0.90196078431372551</c:v>
                </c:pt>
                <c:pt idx="118">
                  <c:v>1</c:v>
                </c:pt>
                <c:pt idx="119">
                  <c:v>0.9925373134328358</c:v>
                </c:pt>
                <c:pt idx="120">
                  <c:v>0.96363636363636362</c:v>
                </c:pt>
                <c:pt idx="121">
                  <c:v>0.7578125</c:v>
                </c:pt>
                <c:pt idx="122">
                  <c:v>0.66666666666666663</c:v>
                </c:pt>
                <c:pt idx="123">
                  <c:v>0.82978723404255317</c:v>
                </c:pt>
                <c:pt idx="124">
                  <c:v>0.98029556650246308</c:v>
                </c:pt>
                <c:pt idx="125">
                  <c:v>0.86868686868686873</c:v>
                </c:pt>
                <c:pt idx="126">
                  <c:v>0.9213483146067416</c:v>
                </c:pt>
                <c:pt idx="127">
                  <c:v>0.86274509803921573</c:v>
                </c:pt>
                <c:pt idx="128">
                  <c:v>0.97959183673469385</c:v>
                </c:pt>
                <c:pt idx="129">
                  <c:v>0.61904761904761907</c:v>
                </c:pt>
                <c:pt idx="130">
                  <c:v>0.91891891891891897</c:v>
                </c:pt>
                <c:pt idx="131">
                  <c:v>0.89215686274509809</c:v>
                </c:pt>
                <c:pt idx="132">
                  <c:v>0.88888888888888884</c:v>
                </c:pt>
                <c:pt idx="133">
                  <c:v>0.94285714285714284</c:v>
                </c:pt>
                <c:pt idx="134">
                  <c:v>0.96969696969696972</c:v>
                </c:pt>
                <c:pt idx="135">
                  <c:v>0.87096774193548387</c:v>
                </c:pt>
                <c:pt idx="136">
                  <c:v>0.95652173913043481</c:v>
                </c:pt>
                <c:pt idx="137">
                  <c:v>0.93650793650793651</c:v>
                </c:pt>
                <c:pt idx="138">
                  <c:v>0.9107142857142857</c:v>
                </c:pt>
                <c:pt idx="139">
                  <c:v>0.97872340425531912</c:v>
                </c:pt>
                <c:pt idx="140">
                  <c:v>0.97142857142857142</c:v>
                </c:pt>
                <c:pt idx="141">
                  <c:v>0.87628865979381443</c:v>
                </c:pt>
                <c:pt idx="142">
                  <c:v>0.96610169491525422</c:v>
                </c:pt>
                <c:pt idx="143">
                  <c:v>0.94791666666666663</c:v>
                </c:pt>
                <c:pt idx="144">
                  <c:v>0.91249999999999998</c:v>
                </c:pt>
                <c:pt idx="145">
                  <c:v>0.96803652968036524</c:v>
                </c:pt>
                <c:pt idx="146">
                  <c:v>0.89175257731958768</c:v>
                </c:pt>
                <c:pt idx="147">
                  <c:v>0.76470588235294112</c:v>
                </c:pt>
                <c:pt idx="148">
                  <c:v>0.95086705202312138</c:v>
                </c:pt>
                <c:pt idx="149">
                  <c:v>0.93548387096774188</c:v>
                </c:pt>
                <c:pt idx="150">
                  <c:v>0.94736842105263153</c:v>
                </c:pt>
                <c:pt idx="151">
                  <c:v>0.94427244582043346</c:v>
                </c:pt>
                <c:pt idx="152">
                  <c:v>0.98461538461538467</c:v>
                </c:pt>
                <c:pt idx="153">
                  <c:v>0.97810218978102192</c:v>
                </c:pt>
                <c:pt idx="154">
                  <c:v>0.90740740740740744</c:v>
                </c:pt>
                <c:pt idx="155">
                  <c:v>0.98021697511167838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4-4EB9-815D-D300C2ADC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86232"/>
        <c:axId val="423487544"/>
      </c:scatterChart>
      <c:valAx>
        <c:axId val="423486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487544"/>
        <c:crosses val="autoZero"/>
        <c:crossBetween val="midCat"/>
      </c:valAx>
      <c:valAx>
        <c:axId val="42348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486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нектобентоса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проб'!$I$2:$I$157</c:f>
              <c:numCache>
                <c:formatCode>General</c:formatCode>
                <c:ptCount val="156"/>
                <c:pt idx="0">
                  <c:v>1.8181818181818181E-2</c:v>
                </c:pt>
                <c:pt idx="1">
                  <c:v>1.3262599469496022E-2</c:v>
                </c:pt>
                <c:pt idx="2">
                  <c:v>1.8181818181818181E-2</c:v>
                </c:pt>
                <c:pt idx="3">
                  <c:v>0</c:v>
                </c:pt>
                <c:pt idx="4">
                  <c:v>3.0716723549488054E-2</c:v>
                </c:pt>
                <c:pt idx="5">
                  <c:v>5.7324840764331211E-2</c:v>
                </c:pt>
                <c:pt idx="6">
                  <c:v>1.0416666666666666E-2</c:v>
                </c:pt>
                <c:pt idx="7">
                  <c:v>2.564102564102564E-2</c:v>
                </c:pt>
                <c:pt idx="8">
                  <c:v>0</c:v>
                </c:pt>
                <c:pt idx="9">
                  <c:v>5.681818181818182E-3</c:v>
                </c:pt>
                <c:pt idx="10">
                  <c:v>4.3859649122807015E-3</c:v>
                </c:pt>
                <c:pt idx="11">
                  <c:v>0</c:v>
                </c:pt>
                <c:pt idx="12">
                  <c:v>8.3333333333333332E-3</c:v>
                </c:pt>
                <c:pt idx="13">
                  <c:v>2.2222222222222223E-2</c:v>
                </c:pt>
                <c:pt idx="14">
                  <c:v>1.6393442622950821E-2</c:v>
                </c:pt>
                <c:pt idx="15">
                  <c:v>3.4482758620689655E-2</c:v>
                </c:pt>
                <c:pt idx="16">
                  <c:v>0</c:v>
                </c:pt>
                <c:pt idx="17">
                  <c:v>1.0309278350515464E-2</c:v>
                </c:pt>
                <c:pt idx="18">
                  <c:v>0.25654450261780104</c:v>
                </c:pt>
                <c:pt idx="19">
                  <c:v>0.15384615384615385</c:v>
                </c:pt>
                <c:pt idx="20">
                  <c:v>7.5801749271137031E-2</c:v>
                </c:pt>
                <c:pt idx="21">
                  <c:v>0</c:v>
                </c:pt>
                <c:pt idx="22">
                  <c:v>0</c:v>
                </c:pt>
                <c:pt idx="23">
                  <c:v>6.363636363636363E-2</c:v>
                </c:pt>
                <c:pt idx="24">
                  <c:v>4.0000000000000001E-3</c:v>
                </c:pt>
                <c:pt idx="25">
                  <c:v>0</c:v>
                </c:pt>
                <c:pt idx="26">
                  <c:v>0</c:v>
                </c:pt>
                <c:pt idx="27">
                  <c:v>2.1582733812949641E-2</c:v>
                </c:pt>
                <c:pt idx="28">
                  <c:v>8.130081300813009E-3</c:v>
                </c:pt>
                <c:pt idx="29">
                  <c:v>0</c:v>
                </c:pt>
                <c:pt idx="30">
                  <c:v>3.2414910858995136E-3</c:v>
                </c:pt>
                <c:pt idx="31">
                  <c:v>2.4691358024691357E-2</c:v>
                </c:pt>
                <c:pt idx="32">
                  <c:v>7.2992700729927001E-2</c:v>
                </c:pt>
                <c:pt idx="33">
                  <c:v>9.5238095238095233E-2</c:v>
                </c:pt>
                <c:pt idx="34">
                  <c:v>1.6949152542372881E-2</c:v>
                </c:pt>
                <c:pt idx="35">
                  <c:v>0.1038961038961039</c:v>
                </c:pt>
                <c:pt idx="36">
                  <c:v>1.4084507042253521E-2</c:v>
                </c:pt>
                <c:pt idx="37">
                  <c:v>6.5934065934065936E-2</c:v>
                </c:pt>
                <c:pt idx="38">
                  <c:v>0</c:v>
                </c:pt>
                <c:pt idx="39">
                  <c:v>0</c:v>
                </c:pt>
                <c:pt idx="40">
                  <c:v>8.2872928176795577E-2</c:v>
                </c:pt>
                <c:pt idx="41">
                  <c:v>6.6225165562913912E-2</c:v>
                </c:pt>
                <c:pt idx="42">
                  <c:v>5.3191489361702128E-2</c:v>
                </c:pt>
                <c:pt idx="43">
                  <c:v>1.1976047904191617E-2</c:v>
                </c:pt>
                <c:pt idx="44">
                  <c:v>0</c:v>
                </c:pt>
                <c:pt idx="45">
                  <c:v>0</c:v>
                </c:pt>
                <c:pt idx="46">
                  <c:v>3.4843205574912892E-3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3.134796238244514E-3</c:v>
                </c:pt>
                <c:pt idx="55">
                  <c:v>2.1276595744680851E-2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2.4E-2</c:v>
                </c:pt>
                <c:pt idx="61">
                  <c:v>3.0769230769230771E-2</c:v>
                </c:pt>
                <c:pt idx="62">
                  <c:v>1.3333333333333334E-2</c:v>
                </c:pt>
                <c:pt idx="63">
                  <c:v>0</c:v>
                </c:pt>
                <c:pt idx="64">
                  <c:v>8.5836909871244635E-3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1.5873015873015872E-2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5.263157894736842E-3</c:v>
                </c:pt>
                <c:pt idx="76">
                  <c:v>0</c:v>
                </c:pt>
                <c:pt idx="77">
                  <c:v>0</c:v>
                </c:pt>
                <c:pt idx="78">
                  <c:v>1.7241379310344827E-2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2.840909090909091E-3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6.1728395061728392E-3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2.8571428571428571E-3</c:v>
                </c:pt>
                <c:pt idx="95">
                  <c:v>9.0909090909090905E-3</c:v>
                </c:pt>
                <c:pt idx="96">
                  <c:v>6.5019505851755524E-3</c:v>
                </c:pt>
                <c:pt idx="97">
                  <c:v>1.4285714285714285E-2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0.04</c:v>
                </c:pt>
                <c:pt idx="106">
                  <c:v>0</c:v>
                </c:pt>
                <c:pt idx="107">
                  <c:v>5.4945054945054949E-3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2.4937655860349127E-3</c:v>
                </c:pt>
                <c:pt idx="112">
                  <c:v>0</c:v>
                </c:pt>
                <c:pt idx="113">
                  <c:v>1.8796992481203006E-3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4.9751243781094526E-3</c:v>
                </c:pt>
                <c:pt idx="120">
                  <c:v>1.8181818181818181E-2</c:v>
                </c:pt>
                <c:pt idx="121">
                  <c:v>7.03125E-2</c:v>
                </c:pt>
                <c:pt idx="122">
                  <c:v>0.14285714285714285</c:v>
                </c:pt>
                <c:pt idx="123">
                  <c:v>8.5106382978723402E-2</c:v>
                </c:pt>
                <c:pt idx="124">
                  <c:v>9.852216748768473E-3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2.0408163265306121E-2</c:v>
                </c:pt>
                <c:pt idx="129">
                  <c:v>9.5238095238095233E-2</c:v>
                </c:pt>
                <c:pt idx="130">
                  <c:v>0</c:v>
                </c:pt>
                <c:pt idx="131">
                  <c:v>0</c:v>
                </c:pt>
                <c:pt idx="132">
                  <c:v>1.3888888888888888E-2</c:v>
                </c:pt>
                <c:pt idx="133">
                  <c:v>2.8571428571428571E-2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5.3571428571428568E-2</c:v>
                </c:pt>
                <c:pt idx="139">
                  <c:v>0</c:v>
                </c:pt>
                <c:pt idx="140">
                  <c:v>2.8571428571428571E-2</c:v>
                </c:pt>
                <c:pt idx="141">
                  <c:v>0</c:v>
                </c:pt>
                <c:pt idx="142">
                  <c:v>0</c:v>
                </c:pt>
                <c:pt idx="143">
                  <c:v>3.125E-2</c:v>
                </c:pt>
                <c:pt idx="144">
                  <c:v>3.7499999999999999E-2</c:v>
                </c:pt>
                <c:pt idx="145">
                  <c:v>1.3698630136986301E-2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3.0959752321981426E-3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1.2763241863433313E-3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7-4EE5-BB50-32CEF31E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018360"/>
        <c:axId val="424011800"/>
      </c:scatterChart>
      <c:valAx>
        <c:axId val="424018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011800"/>
        <c:crosses val="autoZero"/>
        <c:crossBetween val="midCat"/>
      </c:valAx>
      <c:valAx>
        <c:axId val="42401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4018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</a:t>
            </a:r>
            <a:r>
              <a:rPr lang="ru-RU" baseline="0"/>
              <a:t> автотрофов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проб'!$Q$2:$Q$157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1.1834319526627219E-2</c:v>
                </c:pt>
                <c:pt idx="44">
                  <c:v>1.1627906976744186E-2</c:v>
                </c:pt>
                <c:pt idx="45">
                  <c:v>8.0000000000000002E-3</c:v>
                </c:pt>
                <c:pt idx="46">
                  <c:v>1.3937282229965157E-2</c:v>
                </c:pt>
                <c:pt idx="47">
                  <c:v>2.0100502512562814E-2</c:v>
                </c:pt>
                <c:pt idx="48">
                  <c:v>1.2931034482758621E-2</c:v>
                </c:pt>
                <c:pt idx="49">
                  <c:v>1.0791366906474821E-2</c:v>
                </c:pt>
                <c:pt idx="50">
                  <c:v>0</c:v>
                </c:pt>
                <c:pt idx="51">
                  <c:v>4.4150110375275938E-3</c:v>
                </c:pt>
                <c:pt idx="52">
                  <c:v>3.1914893617021274E-2</c:v>
                </c:pt>
                <c:pt idx="53">
                  <c:v>1.4814814814814815E-2</c:v>
                </c:pt>
                <c:pt idx="54">
                  <c:v>0</c:v>
                </c:pt>
                <c:pt idx="55">
                  <c:v>4.1666666666666664E-2</c:v>
                </c:pt>
                <c:pt idx="56">
                  <c:v>4.1666666666666664E-2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5.3191489361702126E-3</c:v>
                </c:pt>
                <c:pt idx="64">
                  <c:v>0</c:v>
                </c:pt>
                <c:pt idx="65">
                  <c:v>1.0101010101010102E-2</c:v>
                </c:pt>
                <c:pt idx="66">
                  <c:v>0.24</c:v>
                </c:pt>
                <c:pt idx="67">
                  <c:v>0</c:v>
                </c:pt>
                <c:pt idx="68">
                  <c:v>1.3422818791946308E-2</c:v>
                </c:pt>
                <c:pt idx="69">
                  <c:v>6.25E-2</c:v>
                </c:pt>
                <c:pt idx="70">
                  <c:v>2.2222222222222223E-2</c:v>
                </c:pt>
                <c:pt idx="71">
                  <c:v>0</c:v>
                </c:pt>
                <c:pt idx="72">
                  <c:v>1.9417475728155338E-2</c:v>
                </c:pt>
                <c:pt idx="73">
                  <c:v>9.1743119266055051E-3</c:v>
                </c:pt>
                <c:pt idx="74">
                  <c:v>3.1847133757961785E-3</c:v>
                </c:pt>
                <c:pt idx="75">
                  <c:v>1.0362694300518135E-2</c:v>
                </c:pt>
                <c:pt idx="76">
                  <c:v>2.4390243902439025E-2</c:v>
                </c:pt>
                <c:pt idx="77">
                  <c:v>0.02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8.5227272727272721E-3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8.6956521739130436E-3</c:v>
                </c:pt>
                <c:pt idx="93">
                  <c:v>0</c:v>
                </c:pt>
                <c:pt idx="94">
                  <c:v>0</c:v>
                </c:pt>
                <c:pt idx="95">
                  <c:v>9.0090090090090089E-3</c:v>
                </c:pt>
                <c:pt idx="96">
                  <c:v>2.5974025974025974E-3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3.0303030303030304E-2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0.08</c:v>
                </c:pt>
                <c:pt idx="106">
                  <c:v>1.8587360594795538E-3</c:v>
                </c:pt>
                <c:pt idx="107">
                  <c:v>0</c:v>
                </c:pt>
                <c:pt idx="108">
                  <c:v>3.4662045060658577E-3</c:v>
                </c:pt>
                <c:pt idx="109">
                  <c:v>0</c:v>
                </c:pt>
                <c:pt idx="110">
                  <c:v>0</c:v>
                </c:pt>
                <c:pt idx="111">
                  <c:v>4.9875311720698253E-3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2.3076923076923078E-2</c:v>
                </c:pt>
                <c:pt idx="122">
                  <c:v>0</c:v>
                </c:pt>
                <c:pt idx="123">
                  <c:v>0</c:v>
                </c:pt>
                <c:pt idx="124">
                  <c:v>1.4634146341463415E-2</c:v>
                </c:pt>
                <c:pt idx="125">
                  <c:v>0.03</c:v>
                </c:pt>
                <c:pt idx="126">
                  <c:v>5.5555555555555552E-2</c:v>
                </c:pt>
                <c:pt idx="127">
                  <c:v>7.6923076923076927E-2</c:v>
                </c:pt>
                <c:pt idx="128">
                  <c:v>5.7692307692307696E-2</c:v>
                </c:pt>
                <c:pt idx="129">
                  <c:v>9.5238095238095233E-2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1.5625E-2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5.1813471502590676E-3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3.0769230769230769E-3</c:v>
                </c:pt>
                <c:pt idx="152">
                  <c:v>0</c:v>
                </c:pt>
                <c:pt idx="153">
                  <c:v>1.4598540145985401E-2</c:v>
                </c:pt>
                <c:pt idx="154">
                  <c:v>0</c:v>
                </c:pt>
                <c:pt idx="155">
                  <c:v>6.3694267515923564E-4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0-4B29-BF83-17C2AA64B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63016"/>
        <c:axId val="429963344"/>
      </c:scatterChart>
      <c:valAx>
        <c:axId val="429963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963344"/>
        <c:crosses val="autoZero"/>
        <c:crossBetween val="midCat"/>
      </c:valAx>
      <c:valAx>
        <c:axId val="4299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963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</a:t>
            </a:r>
            <a:r>
              <a:rPr lang="ru-RU" baseline="0"/>
              <a:t> хищников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проб'!$R$2:$R$157</c:f>
              <c:numCache>
                <c:formatCode>General</c:formatCode>
                <c:ptCount val="156"/>
                <c:pt idx="0">
                  <c:v>0.35714285714285715</c:v>
                </c:pt>
                <c:pt idx="1">
                  <c:v>0.48010610079575594</c:v>
                </c:pt>
                <c:pt idx="2">
                  <c:v>0.44242424242424244</c:v>
                </c:pt>
                <c:pt idx="3">
                  <c:v>0.46285714285714286</c:v>
                </c:pt>
                <c:pt idx="4">
                  <c:v>0.13651877133105803</c:v>
                </c:pt>
                <c:pt idx="5">
                  <c:v>0.24203821656050956</c:v>
                </c:pt>
                <c:pt idx="6">
                  <c:v>0.58333333333333337</c:v>
                </c:pt>
                <c:pt idx="7">
                  <c:v>0.64102564102564108</c:v>
                </c:pt>
                <c:pt idx="8">
                  <c:v>0.56218905472636815</c:v>
                </c:pt>
                <c:pt idx="9">
                  <c:v>0.42045454545454547</c:v>
                </c:pt>
                <c:pt idx="10">
                  <c:v>6.2865497076023388E-2</c:v>
                </c:pt>
                <c:pt idx="11">
                  <c:v>0.76</c:v>
                </c:pt>
                <c:pt idx="12">
                  <c:v>0.7583333333333333</c:v>
                </c:pt>
                <c:pt idx="13">
                  <c:v>0.13333333333333333</c:v>
                </c:pt>
                <c:pt idx="14">
                  <c:v>9.8360655737704916E-2</c:v>
                </c:pt>
                <c:pt idx="15">
                  <c:v>0.17241379310344829</c:v>
                </c:pt>
                <c:pt idx="16">
                  <c:v>0.19277108433734941</c:v>
                </c:pt>
                <c:pt idx="17">
                  <c:v>0.1134020618556701</c:v>
                </c:pt>
                <c:pt idx="18">
                  <c:v>0.772020725388601</c:v>
                </c:pt>
                <c:pt idx="19">
                  <c:v>0.48087431693989069</c:v>
                </c:pt>
                <c:pt idx="20">
                  <c:v>0.62608695652173918</c:v>
                </c:pt>
                <c:pt idx="21">
                  <c:v>0.6227544910179641</c:v>
                </c:pt>
                <c:pt idx="22">
                  <c:v>0.46333333333333332</c:v>
                </c:pt>
                <c:pt idx="23">
                  <c:v>0.66666666666666663</c:v>
                </c:pt>
                <c:pt idx="24">
                  <c:v>0.64143426294820716</c:v>
                </c:pt>
                <c:pt idx="25">
                  <c:v>0.30634573304157547</c:v>
                </c:pt>
                <c:pt idx="26">
                  <c:v>0.40532544378698226</c:v>
                </c:pt>
                <c:pt idx="27">
                  <c:v>0.43884892086330934</c:v>
                </c:pt>
                <c:pt idx="28">
                  <c:v>0.47199999999999998</c:v>
                </c:pt>
                <c:pt idx="29">
                  <c:v>0.61002178649237471</c:v>
                </c:pt>
                <c:pt idx="30">
                  <c:v>0.5854838709677419</c:v>
                </c:pt>
                <c:pt idx="31">
                  <c:v>0.35185185185185186</c:v>
                </c:pt>
                <c:pt idx="32">
                  <c:v>0.66423357664233573</c:v>
                </c:pt>
                <c:pt idx="33">
                  <c:v>0.5535714285714286</c:v>
                </c:pt>
                <c:pt idx="34">
                  <c:v>0.47457627118644069</c:v>
                </c:pt>
                <c:pt idx="35">
                  <c:v>0.23376623376623376</c:v>
                </c:pt>
                <c:pt idx="36">
                  <c:v>0.49295774647887325</c:v>
                </c:pt>
                <c:pt idx="37">
                  <c:v>0.2608695652173913</c:v>
                </c:pt>
                <c:pt idx="38">
                  <c:v>0.31858407079646017</c:v>
                </c:pt>
                <c:pt idx="39">
                  <c:v>0.56382978723404253</c:v>
                </c:pt>
                <c:pt idx="40">
                  <c:v>0.35714285714285715</c:v>
                </c:pt>
                <c:pt idx="41">
                  <c:v>0.46357615894039733</c:v>
                </c:pt>
                <c:pt idx="42">
                  <c:v>0.46580188679245282</c:v>
                </c:pt>
                <c:pt idx="43">
                  <c:v>0.17751479289940827</c:v>
                </c:pt>
                <c:pt idx="44">
                  <c:v>4.2635658914728682E-2</c:v>
                </c:pt>
                <c:pt idx="45">
                  <c:v>0.104</c:v>
                </c:pt>
                <c:pt idx="46">
                  <c:v>0.6376306620209059</c:v>
                </c:pt>
                <c:pt idx="47">
                  <c:v>0.29145728643216079</c:v>
                </c:pt>
                <c:pt idx="48">
                  <c:v>0.33620689655172414</c:v>
                </c:pt>
                <c:pt idx="49">
                  <c:v>0.16187050359712229</c:v>
                </c:pt>
                <c:pt idx="50">
                  <c:v>0.26666666666666666</c:v>
                </c:pt>
                <c:pt idx="51">
                  <c:v>0.67770419426048567</c:v>
                </c:pt>
                <c:pt idx="52">
                  <c:v>0.37234042553191488</c:v>
                </c:pt>
                <c:pt idx="53">
                  <c:v>0.32592592592592595</c:v>
                </c:pt>
                <c:pt idx="54">
                  <c:v>0.59062499999999996</c:v>
                </c:pt>
                <c:pt idx="55">
                  <c:v>6.25E-2</c:v>
                </c:pt>
                <c:pt idx="56">
                  <c:v>0.33333333333333331</c:v>
                </c:pt>
                <c:pt idx="57">
                  <c:v>0.77777777777777779</c:v>
                </c:pt>
                <c:pt idx="58">
                  <c:v>0.63565891472868219</c:v>
                </c:pt>
                <c:pt idx="59">
                  <c:v>0.30808080808080807</c:v>
                </c:pt>
                <c:pt idx="60">
                  <c:v>0.1640625</c:v>
                </c:pt>
                <c:pt idx="61">
                  <c:v>0.69696969696969702</c:v>
                </c:pt>
                <c:pt idx="62">
                  <c:v>0.76666666666666672</c:v>
                </c:pt>
                <c:pt idx="63">
                  <c:v>0.20744680851063829</c:v>
                </c:pt>
                <c:pt idx="64">
                  <c:v>0.64529914529914534</c:v>
                </c:pt>
                <c:pt idx="65">
                  <c:v>0.68181818181818177</c:v>
                </c:pt>
                <c:pt idx="66">
                  <c:v>0.24</c:v>
                </c:pt>
                <c:pt idx="67">
                  <c:v>0.8202247191011236</c:v>
                </c:pt>
                <c:pt idx="68">
                  <c:v>0.80201342281879195</c:v>
                </c:pt>
                <c:pt idx="69">
                  <c:v>0.109375</c:v>
                </c:pt>
                <c:pt idx="70">
                  <c:v>0.33333333333333331</c:v>
                </c:pt>
                <c:pt idx="71">
                  <c:v>0.85623003194888181</c:v>
                </c:pt>
                <c:pt idx="72">
                  <c:v>0.72815533980582525</c:v>
                </c:pt>
                <c:pt idx="73">
                  <c:v>0.83486238532110091</c:v>
                </c:pt>
                <c:pt idx="74">
                  <c:v>0.66242038216560506</c:v>
                </c:pt>
                <c:pt idx="75">
                  <c:v>0.63730569948186533</c:v>
                </c:pt>
                <c:pt idx="76">
                  <c:v>0.45121951219512196</c:v>
                </c:pt>
                <c:pt idx="77">
                  <c:v>0.46</c:v>
                </c:pt>
                <c:pt idx="78">
                  <c:v>0.25862068965517243</c:v>
                </c:pt>
                <c:pt idx="79">
                  <c:v>5.2631578947368418E-2</c:v>
                </c:pt>
                <c:pt idx="80">
                  <c:v>0.90625</c:v>
                </c:pt>
                <c:pt idx="81">
                  <c:v>0.46913580246913578</c:v>
                </c:pt>
                <c:pt idx="82">
                  <c:v>0.41477272727272729</c:v>
                </c:pt>
                <c:pt idx="83">
                  <c:v>0.51724137931034486</c:v>
                </c:pt>
                <c:pt idx="84">
                  <c:v>0.5</c:v>
                </c:pt>
                <c:pt idx="85">
                  <c:v>0.550561797752809</c:v>
                </c:pt>
                <c:pt idx="86">
                  <c:v>0.1402439024390244</c:v>
                </c:pt>
                <c:pt idx="87">
                  <c:v>0.53094462540716614</c:v>
                </c:pt>
                <c:pt idx="88">
                  <c:v>0.43333333333333335</c:v>
                </c:pt>
                <c:pt idx="89">
                  <c:v>0.42038216560509556</c:v>
                </c:pt>
                <c:pt idx="90">
                  <c:v>0.47904191616766467</c:v>
                </c:pt>
                <c:pt idx="91">
                  <c:v>0.17204301075268819</c:v>
                </c:pt>
                <c:pt idx="92">
                  <c:v>0.40869565217391307</c:v>
                </c:pt>
                <c:pt idx="93">
                  <c:v>0.20547945205479451</c:v>
                </c:pt>
                <c:pt idx="94">
                  <c:v>0.36285714285714288</c:v>
                </c:pt>
                <c:pt idx="95">
                  <c:v>0.45045045045045046</c:v>
                </c:pt>
                <c:pt idx="96">
                  <c:v>0.33896103896103896</c:v>
                </c:pt>
                <c:pt idx="97">
                  <c:v>0.46478873239436619</c:v>
                </c:pt>
                <c:pt idx="98">
                  <c:v>0.27761194029850744</c:v>
                </c:pt>
                <c:pt idx="99">
                  <c:v>0.4838709677419355</c:v>
                </c:pt>
                <c:pt idx="100">
                  <c:v>0.18627450980392157</c:v>
                </c:pt>
                <c:pt idx="101">
                  <c:v>0.31818181818181818</c:v>
                </c:pt>
                <c:pt idx="102">
                  <c:v>0.16470588235294117</c:v>
                </c:pt>
                <c:pt idx="103">
                  <c:v>7.7574047954866013E-2</c:v>
                </c:pt>
                <c:pt idx="104">
                  <c:v>0.23529411764705882</c:v>
                </c:pt>
                <c:pt idx="105">
                  <c:v>0.4</c:v>
                </c:pt>
                <c:pt idx="106">
                  <c:v>5.0185873605947957E-2</c:v>
                </c:pt>
                <c:pt idx="107">
                  <c:v>0.45054945054945056</c:v>
                </c:pt>
                <c:pt idx="108">
                  <c:v>0.16464471403812825</c:v>
                </c:pt>
                <c:pt idx="109">
                  <c:v>0.16342412451361868</c:v>
                </c:pt>
                <c:pt idx="110">
                  <c:v>0.30252100840336132</c:v>
                </c:pt>
                <c:pt idx="111">
                  <c:v>0.33416458852867831</c:v>
                </c:pt>
                <c:pt idx="112">
                  <c:v>8.6065573770491802E-2</c:v>
                </c:pt>
                <c:pt idx="113">
                  <c:v>8.2629107981220654E-2</c:v>
                </c:pt>
                <c:pt idx="114">
                  <c:v>0.32646048109965636</c:v>
                </c:pt>
                <c:pt idx="115">
                  <c:v>0.42028985507246375</c:v>
                </c:pt>
                <c:pt idx="116">
                  <c:v>0.43902439024390244</c:v>
                </c:pt>
                <c:pt idx="117">
                  <c:v>0.25</c:v>
                </c:pt>
                <c:pt idx="118">
                  <c:v>0.25454545454545452</c:v>
                </c:pt>
                <c:pt idx="119">
                  <c:v>0.23267326732673269</c:v>
                </c:pt>
                <c:pt idx="120">
                  <c:v>0.37272727272727274</c:v>
                </c:pt>
                <c:pt idx="121">
                  <c:v>0.27692307692307694</c:v>
                </c:pt>
                <c:pt idx="122">
                  <c:v>0.31818181818181818</c:v>
                </c:pt>
                <c:pt idx="123">
                  <c:v>0.20833333333333334</c:v>
                </c:pt>
                <c:pt idx="124">
                  <c:v>0.29268292682926828</c:v>
                </c:pt>
                <c:pt idx="125">
                  <c:v>0.55000000000000004</c:v>
                </c:pt>
                <c:pt idx="126">
                  <c:v>0.53333333333333333</c:v>
                </c:pt>
                <c:pt idx="127">
                  <c:v>0.51923076923076927</c:v>
                </c:pt>
                <c:pt idx="128">
                  <c:v>0.51923076923076927</c:v>
                </c:pt>
                <c:pt idx="129">
                  <c:v>0.19047619047619047</c:v>
                </c:pt>
                <c:pt idx="130">
                  <c:v>0.29729729729729731</c:v>
                </c:pt>
                <c:pt idx="131">
                  <c:v>0.35922330097087379</c:v>
                </c:pt>
                <c:pt idx="132">
                  <c:v>0.72222222222222221</c:v>
                </c:pt>
                <c:pt idx="133">
                  <c:v>0.45945945945945948</c:v>
                </c:pt>
                <c:pt idx="134">
                  <c:v>0.47761194029850745</c:v>
                </c:pt>
                <c:pt idx="135">
                  <c:v>0.40625</c:v>
                </c:pt>
                <c:pt idx="136">
                  <c:v>0.45833333333333331</c:v>
                </c:pt>
                <c:pt idx="137">
                  <c:v>0.5</c:v>
                </c:pt>
                <c:pt idx="138">
                  <c:v>0.39285714285714285</c:v>
                </c:pt>
                <c:pt idx="139">
                  <c:v>0.36170212765957449</c:v>
                </c:pt>
                <c:pt idx="140">
                  <c:v>0.54285714285714282</c:v>
                </c:pt>
                <c:pt idx="141">
                  <c:v>0.33673469387755101</c:v>
                </c:pt>
                <c:pt idx="142">
                  <c:v>0.38983050847457629</c:v>
                </c:pt>
                <c:pt idx="143">
                  <c:v>0.46113989637305697</c:v>
                </c:pt>
                <c:pt idx="144">
                  <c:v>0.1875</c:v>
                </c:pt>
                <c:pt idx="145">
                  <c:v>0.24657534246575341</c:v>
                </c:pt>
                <c:pt idx="146">
                  <c:v>0.25641025641025639</c:v>
                </c:pt>
                <c:pt idx="147">
                  <c:v>0.47058823529411764</c:v>
                </c:pt>
                <c:pt idx="148">
                  <c:v>4.0345821325648415E-2</c:v>
                </c:pt>
                <c:pt idx="149">
                  <c:v>7.8125E-2</c:v>
                </c:pt>
                <c:pt idx="150">
                  <c:v>0.58441558441558439</c:v>
                </c:pt>
                <c:pt idx="151">
                  <c:v>0.6</c:v>
                </c:pt>
                <c:pt idx="152">
                  <c:v>0.61538461538461542</c:v>
                </c:pt>
                <c:pt idx="153">
                  <c:v>0.35766423357664234</c:v>
                </c:pt>
                <c:pt idx="154">
                  <c:v>0.70046082949308752</c:v>
                </c:pt>
                <c:pt idx="155">
                  <c:v>0.62611464968152863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8-4922-90FA-D48516E5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855512"/>
        <c:axId val="427856496"/>
      </c:scatterChart>
      <c:valAx>
        <c:axId val="427855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856496"/>
        <c:crosses val="autoZero"/>
        <c:crossBetween val="midCat"/>
      </c:valAx>
      <c:valAx>
        <c:axId val="4278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7855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детритофагов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проб'!$S$2:$S$157</c:f>
              <c:numCache>
                <c:formatCode>General</c:formatCode>
                <c:ptCount val="156"/>
                <c:pt idx="0">
                  <c:v>0.10714285714285714</c:v>
                </c:pt>
                <c:pt idx="1">
                  <c:v>0.21485411140583555</c:v>
                </c:pt>
                <c:pt idx="2">
                  <c:v>0.12121212121212122</c:v>
                </c:pt>
                <c:pt idx="3">
                  <c:v>0.12</c:v>
                </c:pt>
                <c:pt idx="4">
                  <c:v>0.17406143344709898</c:v>
                </c:pt>
                <c:pt idx="5">
                  <c:v>0.5286624203821656</c:v>
                </c:pt>
                <c:pt idx="6">
                  <c:v>8.3333333333333329E-2</c:v>
                </c:pt>
                <c:pt idx="7">
                  <c:v>0.1623931623931624</c:v>
                </c:pt>
                <c:pt idx="8">
                  <c:v>0.11940298507462686</c:v>
                </c:pt>
                <c:pt idx="9">
                  <c:v>0.19886363636363635</c:v>
                </c:pt>
                <c:pt idx="10">
                  <c:v>0.64619883040935677</c:v>
                </c:pt>
                <c:pt idx="11">
                  <c:v>0.08</c:v>
                </c:pt>
                <c:pt idx="12">
                  <c:v>8.3333333333333329E-2</c:v>
                </c:pt>
                <c:pt idx="13">
                  <c:v>0.24444444444444444</c:v>
                </c:pt>
                <c:pt idx="14">
                  <c:v>0.72131147540983609</c:v>
                </c:pt>
                <c:pt idx="15">
                  <c:v>0.34482758620689657</c:v>
                </c:pt>
                <c:pt idx="16">
                  <c:v>0.21686746987951808</c:v>
                </c:pt>
                <c:pt idx="17">
                  <c:v>5.1546391752577317E-2</c:v>
                </c:pt>
                <c:pt idx="18">
                  <c:v>0.13471502590673576</c:v>
                </c:pt>
                <c:pt idx="19">
                  <c:v>0.19125683060109289</c:v>
                </c:pt>
                <c:pt idx="20">
                  <c:v>0.16521739130434782</c:v>
                </c:pt>
                <c:pt idx="21">
                  <c:v>0.1497005988023952</c:v>
                </c:pt>
                <c:pt idx="22">
                  <c:v>5.3333333333333337E-2</c:v>
                </c:pt>
                <c:pt idx="23">
                  <c:v>9.1445427728613568E-2</c:v>
                </c:pt>
                <c:pt idx="24">
                  <c:v>0.14741035856573706</c:v>
                </c:pt>
                <c:pt idx="25">
                  <c:v>0.22975929978118162</c:v>
                </c:pt>
                <c:pt idx="26">
                  <c:v>0.21597633136094674</c:v>
                </c:pt>
                <c:pt idx="27">
                  <c:v>0.1079136690647482</c:v>
                </c:pt>
                <c:pt idx="28">
                  <c:v>0.128</c:v>
                </c:pt>
                <c:pt idx="29">
                  <c:v>0.18954248366013071</c:v>
                </c:pt>
                <c:pt idx="30">
                  <c:v>0.15645161290322582</c:v>
                </c:pt>
                <c:pt idx="31">
                  <c:v>0.15432098765432098</c:v>
                </c:pt>
                <c:pt idx="32">
                  <c:v>5.1094890510948905E-2</c:v>
                </c:pt>
                <c:pt idx="33">
                  <c:v>0.11904761904761904</c:v>
                </c:pt>
                <c:pt idx="34">
                  <c:v>0.13559322033898305</c:v>
                </c:pt>
                <c:pt idx="35">
                  <c:v>0.11688311688311688</c:v>
                </c:pt>
                <c:pt idx="36">
                  <c:v>9.8591549295774641E-2</c:v>
                </c:pt>
                <c:pt idx="37">
                  <c:v>0.17391304347826086</c:v>
                </c:pt>
                <c:pt idx="38">
                  <c:v>9.7345132743362831E-2</c:v>
                </c:pt>
                <c:pt idx="39">
                  <c:v>0.11702127659574468</c:v>
                </c:pt>
                <c:pt idx="40">
                  <c:v>9.3406593406593408E-2</c:v>
                </c:pt>
                <c:pt idx="41">
                  <c:v>0.12582781456953643</c:v>
                </c:pt>
                <c:pt idx="42">
                  <c:v>0.19693396226415094</c:v>
                </c:pt>
                <c:pt idx="43">
                  <c:v>0.25443786982248523</c:v>
                </c:pt>
                <c:pt idx="44">
                  <c:v>0.33333333333333331</c:v>
                </c:pt>
                <c:pt idx="45">
                  <c:v>5.6000000000000001E-2</c:v>
                </c:pt>
                <c:pt idx="46">
                  <c:v>0.12195121951219512</c:v>
                </c:pt>
                <c:pt idx="47">
                  <c:v>0.24623115577889448</c:v>
                </c:pt>
                <c:pt idx="48">
                  <c:v>0.2413793103448276</c:v>
                </c:pt>
                <c:pt idx="49">
                  <c:v>0.23741007194244604</c:v>
                </c:pt>
                <c:pt idx="50">
                  <c:v>0.2</c:v>
                </c:pt>
                <c:pt idx="51">
                  <c:v>3.0905077262693158E-2</c:v>
                </c:pt>
                <c:pt idx="52">
                  <c:v>3.1914893617021274E-2</c:v>
                </c:pt>
                <c:pt idx="53">
                  <c:v>0.24444444444444444</c:v>
                </c:pt>
                <c:pt idx="54">
                  <c:v>0.14374999999999999</c:v>
                </c:pt>
                <c:pt idx="55">
                  <c:v>4.1666666666666664E-2</c:v>
                </c:pt>
                <c:pt idx="56">
                  <c:v>0.20833333333333334</c:v>
                </c:pt>
                <c:pt idx="57">
                  <c:v>4.7619047619047616E-2</c:v>
                </c:pt>
                <c:pt idx="58">
                  <c:v>3.875968992248062E-2</c:v>
                </c:pt>
                <c:pt idx="59">
                  <c:v>0.26767676767676768</c:v>
                </c:pt>
                <c:pt idx="60">
                  <c:v>0.390625</c:v>
                </c:pt>
                <c:pt idx="61">
                  <c:v>0.13636363636363635</c:v>
                </c:pt>
                <c:pt idx="62">
                  <c:v>0.04</c:v>
                </c:pt>
                <c:pt idx="63">
                  <c:v>0.43085106382978722</c:v>
                </c:pt>
                <c:pt idx="64">
                  <c:v>0.20940170940170941</c:v>
                </c:pt>
                <c:pt idx="65">
                  <c:v>0.10101010101010101</c:v>
                </c:pt>
                <c:pt idx="66">
                  <c:v>0.04</c:v>
                </c:pt>
                <c:pt idx="67">
                  <c:v>0.1348314606741573</c:v>
                </c:pt>
                <c:pt idx="68">
                  <c:v>5.7046979865771813E-2</c:v>
                </c:pt>
                <c:pt idx="69">
                  <c:v>0.125</c:v>
                </c:pt>
                <c:pt idx="70">
                  <c:v>6.6666666666666666E-2</c:v>
                </c:pt>
                <c:pt idx="71">
                  <c:v>6.7092651757188496E-2</c:v>
                </c:pt>
                <c:pt idx="72">
                  <c:v>9.7087378640776698E-2</c:v>
                </c:pt>
                <c:pt idx="73">
                  <c:v>6.8807339449541288E-2</c:v>
                </c:pt>
                <c:pt idx="74">
                  <c:v>0.16560509554140126</c:v>
                </c:pt>
                <c:pt idx="75">
                  <c:v>6.7357512953367879E-2</c:v>
                </c:pt>
                <c:pt idx="76">
                  <c:v>2.4390243902439025E-2</c:v>
                </c:pt>
                <c:pt idx="77">
                  <c:v>0.12</c:v>
                </c:pt>
                <c:pt idx="78">
                  <c:v>0.36206896551724138</c:v>
                </c:pt>
                <c:pt idx="79">
                  <c:v>0</c:v>
                </c:pt>
                <c:pt idx="80">
                  <c:v>0</c:v>
                </c:pt>
                <c:pt idx="81">
                  <c:v>8.6419753086419748E-2</c:v>
                </c:pt>
                <c:pt idx="82">
                  <c:v>9.0909090909090912E-2</c:v>
                </c:pt>
                <c:pt idx="83">
                  <c:v>0.13793103448275862</c:v>
                </c:pt>
                <c:pt idx="84">
                  <c:v>0.16666666666666666</c:v>
                </c:pt>
                <c:pt idx="85">
                  <c:v>0.25842696629213485</c:v>
                </c:pt>
                <c:pt idx="86">
                  <c:v>9.1463414634146339E-2</c:v>
                </c:pt>
                <c:pt idx="87">
                  <c:v>8.4690553745928335E-2</c:v>
                </c:pt>
                <c:pt idx="88">
                  <c:v>0.2</c:v>
                </c:pt>
                <c:pt idx="89">
                  <c:v>5.0955414012738856E-2</c:v>
                </c:pt>
                <c:pt idx="90">
                  <c:v>0.10778443113772455</c:v>
                </c:pt>
                <c:pt idx="91">
                  <c:v>5.3763440860215055E-2</c:v>
                </c:pt>
                <c:pt idx="92">
                  <c:v>0.13043478260869565</c:v>
                </c:pt>
                <c:pt idx="93">
                  <c:v>4.1095890410958902E-2</c:v>
                </c:pt>
                <c:pt idx="94">
                  <c:v>0.13428571428571429</c:v>
                </c:pt>
                <c:pt idx="95">
                  <c:v>5.4054054054054057E-2</c:v>
                </c:pt>
                <c:pt idx="96">
                  <c:v>3.2467532467532464E-2</c:v>
                </c:pt>
                <c:pt idx="97">
                  <c:v>8.4507042253521125E-2</c:v>
                </c:pt>
                <c:pt idx="98">
                  <c:v>1.7910447761194031E-2</c:v>
                </c:pt>
                <c:pt idx="99">
                  <c:v>4.3010752688172046E-2</c:v>
                </c:pt>
                <c:pt idx="100">
                  <c:v>0</c:v>
                </c:pt>
                <c:pt idx="101">
                  <c:v>4.5454545454545456E-2</c:v>
                </c:pt>
                <c:pt idx="102">
                  <c:v>2.3529411764705882E-2</c:v>
                </c:pt>
                <c:pt idx="103">
                  <c:v>1.2693935119887164E-2</c:v>
                </c:pt>
                <c:pt idx="104">
                  <c:v>3.9215686274509803E-2</c:v>
                </c:pt>
                <c:pt idx="105">
                  <c:v>0</c:v>
                </c:pt>
                <c:pt idx="106">
                  <c:v>7.4349442379182153E-3</c:v>
                </c:pt>
                <c:pt idx="107">
                  <c:v>5.4945054945054944E-2</c:v>
                </c:pt>
                <c:pt idx="108">
                  <c:v>2.0797227036395149E-2</c:v>
                </c:pt>
                <c:pt idx="109">
                  <c:v>4.6692607003891051E-2</c:v>
                </c:pt>
                <c:pt idx="110">
                  <c:v>6.7226890756302518E-2</c:v>
                </c:pt>
                <c:pt idx="111">
                  <c:v>2.4937655860349128E-2</c:v>
                </c:pt>
                <c:pt idx="112">
                  <c:v>4.5081967213114756E-2</c:v>
                </c:pt>
                <c:pt idx="113">
                  <c:v>2.7230046948356807E-2</c:v>
                </c:pt>
                <c:pt idx="114">
                  <c:v>3.4364261168384883E-2</c:v>
                </c:pt>
                <c:pt idx="115">
                  <c:v>4.3478260869565216E-2</c:v>
                </c:pt>
                <c:pt idx="116">
                  <c:v>4.878048780487805E-2</c:v>
                </c:pt>
                <c:pt idx="117">
                  <c:v>7.6923076923076927E-2</c:v>
                </c:pt>
                <c:pt idx="118">
                  <c:v>7.2727272727272724E-2</c:v>
                </c:pt>
                <c:pt idx="119">
                  <c:v>2.4752475247524754E-2</c:v>
                </c:pt>
                <c:pt idx="120">
                  <c:v>2.7272727272727271E-2</c:v>
                </c:pt>
                <c:pt idx="121">
                  <c:v>8.461538461538462E-2</c:v>
                </c:pt>
                <c:pt idx="122">
                  <c:v>0.36363636363636365</c:v>
                </c:pt>
                <c:pt idx="123">
                  <c:v>0.16666666666666666</c:v>
                </c:pt>
                <c:pt idx="124">
                  <c:v>2.4390243902439025E-2</c:v>
                </c:pt>
                <c:pt idx="125">
                  <c:v>0.14000000000000001</c:v>
                </c:pt>
                <c:pt idx="126">
                  <c:v>6.6666666666666666E-2</c:v>
                </c:pt>
                <c:pt idx="127">
                  <c:v>0.11538461538461539</c:v>
                </c:pt>
                <c:pt idx="128">
                  <c:v>5.7692307692307696E-2</c:v>
                </c:pt>
                <c:pt idx="129">
                  <c:v>0.21428571428571427</c:v>
                </c:pt>
                <c:pt idx="130">
                  <c:v>0.10810810810810811</c:v>
                </c:pt>
                <c:pt idx="131">
                  <c:v>6.7961165048543687E-2</c:v>
                </c:pt>
                <c:pt idx="132">
                  <c:v>1.3888888888888888E-2</c:v>
                </c:pt>
                <c:pt idx="133">
                  <c:v>0.13513513513513514</c:v>
                </c:pt>
                <c:pt idx="134">
                  <c:v>0.23880597014925373</c:v>
                </c:pt>
                <c:pt idx="135">
                  <c:v>0.25</c:v>
                </c:pt>
                <c:pt idx="136">
                  <c:v>0.16666666666666666</c:v>
                </c:pt>
                <c:pt idx="137">
                  <c:v>0.203125</c:v>
                </c:pt>
                <c:pt idx="138">
                  <c:v>0.21428571428571427</c:v>
                </c:pt>
                <c:pt idx="139">
                  <c:v>8.5106382978723402E-2</c:v>
                </c:pt>
                <c:pt idx="140">
                  <c:v>1.4285714285714285E-2</c:v>
                </c:pt>
                <c:pt idx="141">
                  <c:v>5.1020408163265307E-2</c:v>
                </c:pt>
                <c:pt idx="142">
                  <c:v>5.0847457627118647E-2</c:v>
                </c:pt>
                <c:pt idx="143">
                  <c:v>4.6632124352331605E-2</c:v>
                </c:pt>
                <c:pt idx="144">
                  <c:v>0.1125</c:v>
                </c:pt>
                <c:pt idx="145">
                  <c:v>2.2831050228310501E-2</c:v>
                </c:pt>
                <c:pt idx="146">
                  <c:v>8.2051282051282051E-2</c:v>
                </c:pt>
                <c:pt idx="147">
                  <c:v>0.17647058823529413</c:v>
                </c:pt>
                <c:pt idx="148">
                  <c:v>4.0345821325648415E-2</c:v>
                </c:pt>
                <c:pt idx="149">
                  <c:v>7.8125E-2</c:v>
                </c:pt>
                <c:pt idx="150">
                  <c:v>9.0909090909090912E-2</c:v>
                </c:pt>
                <c:pt idx="151">
                  <c:v>3.0769230769230771E-2</c:v>
                </c:pt>
                <c:pt idx="152">
                  <c:v>1.5384615384615385E-2</c:v>
                </c:pt>
                <c:pt idx="153">
                  <c:v>3.6496350364963501E-2</c:v>
                </c:pt>
                <c:pt idx="154">
                  <c:v>3.6866359447004608E-2</c:v>
                </c:pt>
                <c:pt idx="155">
                  <c:v>2.1019108280254776E-2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D-4D5E-ADBE-6F8E03CF4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11368"/>
        <c:axId val="432616616"/>
      </c:scatterChart>
      <c:valAx>
        <c:axId val="43261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616616"/>
        <c:crosses val="autoZero"/>
        <c:crossBetween val="midCat"/>
      </c:valAx>
      <c:valAx>
        <c:axId val="43261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611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всеядных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проб'!$T$2:$T$157</c:f>
              <c:numCache>
                <c:formatCode>General</c:formatCode>
                <c:ptCount val="156"/>
                <c:pt idx="0">
                  <c:v>3.5714285714285712E-2</c:v>
                </c:pt>
                <c:pt idx="1">
                  <c:v>2.6525198938992044E-2</c:v>
                </c:pt>
                <c:pt idx="2">
                  <c:v>2.4242424242424242E-2</c:v>
                </c:pt>
                <c:pt idx="3">
                  <c:v>0</c:v>
                </c:pt>
                <c:pt idx="4">
                  <c:v>1.0238907849829351E-2</c:v>
                </c:pt>
                <c:pt idx="5">
                  <c:v>3.1847133757961783E-2</c:v>
                </c:pt>
                <c:pt idx="6">
                  <c:v>2.0833333333333332E-2</c:v>
                </c:pt>
                <c:pt idx="7">
                  <c:v>8.5470085470085479E-3</c:v>
                </c:pt>
                <c:pt idx="8">
                  <c:v>9.9502487562189053E-3</c:v>
                </c:pt>
                <c:pt idx="9">
                  <c:v>5.681818181818182E-3</c:v>
                </c:pt>
                <c:pt idx="10">
                  <c:v>8.771929824561403E-3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1.6393442622950821E-2</c:v>
                </c:pt>
                <c:pt idx="15">
                  <c:v>0.10344827586206896</c:v>
                </c:pt>
                <c:pt idx="16">
                  <c:v>1.8072289156626505E-2</c:v>
                </c:pt>
                <c:pt idx="17">
                  <c:v>6.1855670103092786E-2</c:v>
                </c:pt>
                <c:pt idx="18">
                  <c:v>1.5544041450777202E-2</c:v>
                </c:pt>
                <c:pt idx="19">
                  <c:v>1.6393442622950821E-2</c:v>
                </c:pt>
                <c:pt idx="20">
                  <c:v>8.6956521739130436E-3</c:v>
                </c:pt>
                <c:pt idx="21">
                  <c:v>1.1976047904191617E-2</c:v>
                </c:pt>
                <c:pt idx="22">
                  <c:v>6.6666666666666671E-3</c:v>
                </c:pt>
                <c:pt idx="23">
                  <c:v>0</c:v>
                </c:pt>
                <c:pt idx="24">
                  <c:v>3.9840637450199202E-3</c:v>
                </c:pt>
                <c:pt idx="25">
                  <c:v>2.1881838074398249E-3</c:v>
                </c:pt>
                <c:pt idx="26">
                  <c:v>5.9171597633136093E-3</c:v>
                </c:pt>
                <c:pt idx="27">
                  <c:v>1.4388489208633094E-2</c:v>
                </c:pt>
                <c:pt idx="28">
                  <c:v>1.6E-2</c:v>
                </c:pt>
                <c:pt idx="29">
                  <c:v>2.1786492374727671E-3</c:v>
                </c:pt>
                <c:pt idx="30">
                  <c:v>6.4516129032258064E-3</c:v>
                </c:pt>
                <c:pt idx="31">
                  <c:v>1.2345679012345678E-2</c:v>
                </c:pt>
                <c:pt idx="32">
                  <c:v>2.9197080291970802E-2</c:v>
                </c:pt>
                <c:pt idx="33">
                  <c:v>3.5714285714285712E-2</c:v>
                </c:pt>
                <c:pt idx="34">
                  <c:v>3.3898305084745763E-2</c:v>
                </c:pt>
                <c:pt idx="35">
                  <c:v>6.4935064935064929E-2</c:v>
                </c:pt>
                <c:pt idx="36">
                  <c:v>2.8169014084507043E-2</c:v>
                </c:pt>
                <c:pt idx="37">
                  <c:v>2.1739130434782608E-2</c:v>
                </c:pt>
                <c:pt idx="38">
                  <c:v>0</c:v>
                </c:pt>
                <c:pt idx="39">
                  <c:v>1.0638297872340425E-2</c:v>
                </c:pt>
                <c:pt idx="40">
                  <c:v>4.9450549450549448E-2</c:v>
                </c:pt>
                <c:pt idx="41">
                  <c:v>2.6490066225165563E-2</c:v>
                </c:pt>
                <c:pt idx="42">
                  <c:v>2.3584905660377358E-3</c:v>
                </c:pt>
                <c:pt idx="43">
                  <c:v>1.7751479289940829E-2</c:v>
                </c:pt>
                <c:pt idx="44">
                  <c:v>1.937984496124031E-2</c:v>
                </c:pt>
                <c:pt idx="45">
                  <c:v>6.6666666666666671E-3</c:v>
                </c:pt>
                <c:pt idx="46">
                  <c:v>6.9686411149825784E-3</c:v>
                </c:pt>
                <c:pt idx="47">
                  <c:v>0</c:v>
                </c:pt>
                <c:pt idx="48">
                  <c:v>4.3103448275862068E-3</c:v>
                </c:pt>
                <c:pt idx="49">
                  <c:v>3.237410071942446E-2</c:v>
                </c:pt>
                <c:pt idx="50">
                  <c:v>0</c:v>
                </c:pt>
                <c:pt idx="51">
                  <c:v>1.3245033112582781E-2</c:v>
                </c:pt>
                <c:pt idx="52">
                  <c:v>0</c:v>
                </c:pt>
                <c:pt idx="53">
                  <c:v>0</c:v>
                </c:pt>
                <c:pt idx="54">
                  <c:v>1.5625E-2</c:v>
                </c:pt>
                <c:pt idx="55">
                  <c:v>2.0833333333333332E-2</c:v>
                </c:pt>
                <c:pt idx="56">
                  <c:v>0</c:v>
                </c:pt>
                <c:pt idx="57">
                  <c:v>1.5873015873015872E-2</c:v>
                </c:pt>
                <c:pt idx="58">
                  <c:v>3.1007751937984496E-2</c:v>
                </c:pt>
                <c:pt idx="59">
                  <c:v>2.0202020202020204E-2</c:v>
                </c:pt>
                <c:pt idx="60">
                  <c:v>9.375E-2</c:v>
                </c:pt>
                <c:pt idx="61">
                  <c:v>1.5151515151515152E-2</c:v>
                </c:pt>
                <c:pt idx="62">
                  <c:v>6.6666666666666671E-3</c:v>
                </c:pt>
                <c:pt idx="63">
                  <c:v>1.0638297872340425E-2</c:v>
                </c:pt>
                <c:pt idx="64">
                  <c:v>0</c:v>
                </c:pt>
                <c:pt idx="65">
                  <c:v>7.575757575757576E-3</c:v>
                </c:pt>
                <c:pt idx="66">
                  <c:v>0</c:v>
                </c:pt>
                <c:pt idx="67">
                  <c:v>0</c:v>
                </c:pt>
                <c:pt idx="68">
                  <c:v>1.6778523489932886E-2</c:v>
                </c:pt>
                <c:pt idx="69">
                  <c:v>4.6875E-2</c:v>
                </c:pt>
                <c:pt idx="70">
                  <c:v>0</c:v>
                </c:pt>
                <c:pt idx="71">
                  <c:v>9.5846645367412137E-3</c:v>
                </c:pt>
                <c:pt idx="72">
                  <c:v>1.9417475728155338E-2</c:v>
                </c:pt>
                <c:pt idx="73">
                  <c:v>9.1743119266055051E-3</c:v>
                </c:pt>
                <c:pt idx="74">
                  <c:v>1.9108280254777069E-2</c:v>
                </c:pt>
                <c:pt idx="75">
                  <c:v>2.072538860103627E-2</c:v>
                </c:pt>
                <c:pt idx="76">
                  <c:v>7.3170731707317069E-2</c:v>
                </c:pt>
                <c:pt idx="77">
                  <c:v>0.02</c:v>
                </c:pt>
                <c:pt idx="78">
                  <c:v>3.4482758620689655E-2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3.4482758620689655E-2</c:v>
                </c:pt>
                <c:pt idx="84">
                  <c:v>0</c:v>
                </c:pt>
                <c:pt idx="85">
                  <c:v>2.247191011235955E-2</c:v>
                </c:pt>
                <c:pt idx="86">
                  <c:v>6.0975609756097563E-3</c:v>
                </c:pt>
                <c:pt idx="87">
                  <c:v>6.5146579804560263E-3</c:v>
                </c:pt>
                <c:pt idx="88">
                  <c:v>3.3333333333333333E-2</c:v>
                </c:pt>
                <c:pt idx="89">
                  <c:v>0</c:v>
                </c:pt>
                <c:pt idx="90">
                  <c:v>1.1976047904191617E-2</c:v>
                </c:pt>
                <c:pt idx="91">
                  <c:v>0</c:v>
                </c:pt>
                <c:pt idx="92">
                  <c:v>1.7391304347826087E-2</c:v>
                </c:pt>
                <c:pt idx="93">
                  <c:v>2.7397260273972601E-2</c:v>
                </c:pt>
                <c:pt idx="94">
                  <c:v>8.5714285714285719E-3</c:v>
                </c:pt>
                <c:pt idx="95">
                  <c:v>0</c:v>
                </c:pt>
                <c:pt idx="96">
                  <c:v>2.5974025974025974E-3</c:v>
                </c:pt>
                <c:pt idx="97">
                  <c:v>0</c:v>
                </c:pt>
                <c:pt idx="98">
                  <c:v>5.9701492537313433E-3</c:v>
                </c:pt>
                <c:pt idx="99">
                  <c:v>5.3763440860215058E-3</c:v>
                </c:pt>
                <c:pt idx="100">
                  <c:v>0</c:v>
                </c:pt>
                <c:pt idx="101">
                  <c:v>1.5151515151515152E-2</c:v>
                </c:pt>
                <c:pt idx="102">
                  <c:v>0</c:v>
                </c:pt>
                <c:pt idx="103">
                  <c:v>2.8208744710860366E-3</c:v>
                </c:pt>
                <c:pt idx="104">
                  <c:v>0</c:v>
                </c:pt>
                <c:pt idx="105">
                  <c:v>0.04</c:v>
                </c:pt>
                <c:pt idx="106">
                  <c:v>0</c:v>
                </c:pt>
                <c:pt idx="107">
                  <c:v>5.4945054945054949E-3</c:v>
                </c:pt>
                <c:pt idx="108">
                  <c:v>5.1993067590987872E-3</c:v>
                </c:pt>
                <c:pt idx="109">
                  <c:v>3.8910505836575876E-3</c:v>
                </c:pt>
                <c:pt idx="110">
                  <c:v>8.4033613445378148E-3</c:v>
                </c:pt>
                <c:pt idx="111">
                  <c:v>2.4937655860349127E-3</c:v>
                </c:pt>
                <c:pt idx="112">
                  <c:v>4.0983606557377051E-3</c:v>
                </c:pt>
                <c:pt idx="113">
                  <c:v>5.6338028169014088E-3</c:v>
                </c:pt>
                <c:pt idx="114">
                  <c:v>3.4364261168384879E-3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1.8181818181818181E-2</c:v>
                </c:pt>
                <c:pt idx="119">
                  <c:v>1.2376237623762377E-2</c:v>
                </c:pt>
                <c:pt idx="120">
                  <c:v>9.0909090909090905E-3</c:v>
                </c:pt>
                <c:pt idx="121">
                  <c:v>1.5384615384615385E-2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0.01</c:v>
                </c:pt>
                <c:pt idx="126">
                  <c:v>3.3333333333333333E-2</c:v>
                </c:pt>
                <c:pt idx="127">
                  <c:v>0</c:v>
                </c:pt>
                <c:pt idx="128">
                  <c:v>3.8461538461538464E-2</c:v>
                </c:pt>
                <c:pt idx="129">
                  <c:v>2.3809523809523808E-2</c:v>
                </c:pt>
                <c:pt idx="130">
                  <c:v>0</c:v>
                </c:pt>
                <c:pt idx="131">
                  <c:v>9.7087378640776691E-3</c:v>
                </c:pt>
                <c:pt idx="132">
                  <c:v>1.3888888888888888E-2</c:v>
                </c:pt>
                <c:pt idx="133">
                  <c:v>2.7027027027027029E-2</c:v>
                </c:pt>
                <c:pt idx="134">
                  <c:v>1.4925373134328358E-2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3.5714285714285712E-2</c:v>
                </c:pt>
                <c:pt idx="139">
                  <c:v>0</c:v>
                </c:pt>
                <c:pt idx="140">
                  <c:v>2.8571428571428571E-2</c:v>
                </c:pt>
                <c:pt idx="141">
                  <c:v>0</c:v>
                </c:pt>
                <c:pt idx="142">
                  <c:v>0</c:v>
                </c:pt>
                <c:pt idx="143">
                  <c:v>5.1813471502590676E-3</c:v>
                </c:pt>
                <c:pt idx="144">
                  <c:v>0</c:v>
                </c:pt>
                <c:pt idx="145">
                  <c:v>9.1324200913242004E-3</c:v>
                </c:pt>
                <c:pt idx="146">
                  <c:v>5.1282051282051282E-3</c:v>
                </c:pt>
                <c:pt idx="147">
                  <c:v>0</c:v>
                </c:pt>
                <c:pt idx="148">
                  <c:v>2.881844380403458E-3</c:v>
                </c:pt>
                <c:pt idx="149">
                  <c:v>3.125E-2</c:v>
                </c:pt>
                <c:pt idx="150">
                  <c:v>0</c:v>
                </c:pt>
                <c:pt idx="151">
                  <c:v>3.0769230769230769E-3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1.910828025477707E-3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4-41EC-9806-387E25FDC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23208"/>
        <c:axId val="429424848"/>
      </c:scatterChart>
      <c:valAx>
        <c:axId val="42942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24848"/>
        <c:crosses val="autoZero"/>
        <c:crossBetween val="midCat"/>
      </c:valAx>
      <c:valAx>
        <c:axId val="4294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23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фиотфагов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550382502493051E-2"/>
          <c:y val="0.17171296296296298"/>
          <c:w val="0.8575805880425245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проб'!$U$2:$U$157</c:f>
              <c:numCache>
                <c:formatCode>General</c:formatCode>
                <c:ptCount val="156"/>
                <c:pt idx="0">
                  <c:v>0</c:v>
                </c:pt>
                <c:pt idx="1">
                  <c:v>2.6525198938992044E-2</c:v>
                </c:pt>
                <c:pt idx="2">
                  <c:v>0</c:v>
                </c:pt>
                <c:pt idx="3">
                  <c:v>0</c:v>
                </c:pt>
                <c:pt idx="4">
                  <c:v>6.8259385665529011E-3</c:v>
                </c:pt>
                <c:pt idx="5">
                  <c:v>0</c:v>
                </c:pt>
                <c:pt idx="6">
                  <c:v>0</c:v>
                </c:pt>
                <c:pt idx="7">
                  <c:v>8.5470085470085479E-3</c:v>
                </c:pt>
                <c:pt idx="8">
                  <c:v>0</c:v>
                </c:pt>
                <c:pt idx="9">
                  <c:v>0</c:v>
                </c:pt>
                <c:pt idx="10">
                  <c:v>7.3099415204678359E-3</c:v>
                </c:pt>
                <c:pt idx="11">
                  <c:v>0</c:v>
                </c:pt>
                <c:pt idx="12">
                  <c:v>0</c:v>
                </c:pt>
                <c:pt idx="13">
                  <c:v>4.4444444444444446E-2</c:v>
                </c:pt>
                <c:pt idx="14">
                  <c:v>1.6393442622950821E-2</c:v>
                </c:pt>
                <c:pt idx="15">
                  <c:v>6.8965517241379309E-2</c:v>
                </c:pt>
                <c:pt idx="16">
                  <c:v>0.16265060240963855</c:v>
                </c:pt>
                <c:pt idx="17">
                  <c:v>2.0618556701030927E-2</c:v>
                </c:pt>
                <c:pt idx="18">
                  <c:v>5.1813471502590676E-3</c:v>
                </c:pt>
                <c:pt idx="19">
                  <c:v>0</c:v>
                </c:pt>
                <c:pt idx="20">
                  <c:v>2.0289855072463767E-2</c:v>
                </c:pt>
                <c:pt idx="21">
                  <c:v>1.1976047904191617E-2</c:v>
                </c:pt>
                <c:pt idx="22">
                  <c:v>1.3333333333333334E-2</c:v>
                </c:pt>
                <c:pt idx="23">
                  <c:v>0</c:v>
                </c:pt>
                <c:pt idx="24">
                  <c:v>0</c:v>
                </c:pt>
                <c:pt idx="25">
                  <c:v>1.0940919037199124E-2</c:v>
                </c:pt>
                <c:pt idx="26">
                  <c:v>0</c:v>
                </c:pt>
                <c:pt idx="27">
                  <c:v>2.8776978417266189E-2</c:v>
                </c:pt>
                <c:pt idx="28">
                  <c:v>1.6E-2</c:v>
                </c:pt>
                <c:pt idx="29">
                  <c:v>8.7145969498910684E-3</c:v>
                </c:pt>
                <c:pt idx="30">
                  <c:v>4.8387096774193551E-3</c:v>
                </c:pt>
                <c:pt idx="31">
                  <c:v>3.7037037037037035E-2</c:v>
                </c:pt>
                <c:pt idx="32">
                  <c:v>2.1897810218978103E-2</c:v>
                </c:pt>
                <c:pt idx="33">
                  <c:v>2.976190476190476E-2</c:v>
                </c:pt>
                <c:pt idx="34">
                  <c:v>1.6949152542372881E-2</c:v>
                </c:pt>
                <c:pt idx="35">
                  <c:v>3.896103896103896E-2</c:v>
                </c:pt>
                <c:pt idx="36">
                  <c:v>0</c:v>
                </c:pt>
                <c:pt idx="37">
                  <c:v>0</c:v>
                </c:pt>
                <c:pt idx="38">
                  <c:v>8.8495575221238937E-3</c:v>
                </c:pt>
                <c:pt idx="39">
                  <c:v>1.0638297872340425E-2</c:v>
                </c:pt>
                <c:pt idx="40">
                  <c:v>1.6483516483516484E-2</c:v>
                </c:pt>
                <c:pt idx="41">
                  <c:v>0</c:v>
                </c:pt>
                <c:pt idx="42">
                  <c:v>1.6509433962264151E-2</c:v>
                </c:pt>
                <c:pt idx="43">
                  <c:v>0</c:v>
                </c:pt>
                <c:pt idx="44">
                  <c:v>5.0387596899224806E-2</c:v>
                </c:pt>
                <c:pt idx="45">
                  <c:v>8.0000000000000002E-3</c:v>
                </c:pt>
                <c:pt idx="46">
                  <c:v>3.4843205574912892E-3</c:v>
                </c:pt>
                <c:pt idx="47">
                  <c:v>1.0050251256281407E-2</c:v>
                </c:pt>
                <c:pt idx="48">
                  <c:v>1.7241379310344827E-2</c:v>
                </c:pt>
                <c:pt idx="49">
                  <c:v>7.9136690647482008E-2</c:v>
                </c:pt>
                <c:pt idx="50">
                  <c:v>2.6666666666666668E-2</c:v>
                </c:pt>
                <c:pt idx="51">
                  <c:v>0.10154525386313466</c:v>
                </c:pt>
                <c:pt idx="52">
                  <c:v>5.3191489361702128E-2</c:v>
                </c:pt>
                <c:pt idx="53">
                  <c:v>0</c:v>
                </c:pt>
                <c:pt idx="54">
                  <c:v>1.8749999999999999E-2</c:v>
                </c:pt>
                <c:pt idx="55">
                  <c:v>6.25E-2</c:v>
                </c:pt>
                <c:pt idx="56">
                  <c:v>0</c:v>
                </c:pt>
                <c:pt idx="57">
                  <c:v>2.3809523809523808E-2</c:v>
                </c:pt>
                <c:pt idx="58">
                  <c:v>7.7519379844961239E-3</c:v>
                </c:pt>
                <c:pt idx="59">
                  <c:v>5.0505050505050509E-3</c:v>
                </c:pt>
                <c:pt idx="60">
                  <c:v>4.6875E-2</c:v>
                </c:pt>
                <c:pt idx="61">
                  <c:v>0</c:v>
                </c:pt>
                <c:pt idx="62">
                  <c:v>0.02</c:v>
                </c:pt>
                <c:pt idx="63">
                  <c:v>1.5957446808510637E-2</c:v>
                </c:pt>
                <c:pt idx="64">
                  <c:v>4.2735042735042739E-3</c:v>
                </c:pt>
                <c:pt idx="65">
                  <c:v>4.0404040404040407E-2</c:v>
                </c:pt>
                <c:pt idx="66">
                  <c:v>0.12</c:v>
                </c:pt>
                <c:pt idx="67">
                  <c:v>0</c:v>
                </c:pt>
                <c:pt idx="68">
                  <c:v>1.0067114093959731E-2</c:v>
                </c:pt>
                <c:pt idx="69">
                  <c:v>7.8125E-2</c:v>
                </c:pt>
                <c:pt idx="70">
                  <c:v>2.2222222222222223E-2</c:v>
                </c:pt>
                <c:pt idx="71">
                  <c:v>6.3897763578274758E-3</c:v>
                </c:pt>
                <c:pt idx="72">
                  <c:v>1.9417475728155338E-2</c:v>
                </c:pt>
                <c:pt idx="73">
                  <c:v>0</c:v>
                </c:pt>
                <c:pt idx="74">
                  <c:v>3.1847133757961785E-3</c:v>
                </c:pt>
                <c:pt idx="75">
                  <c:v>5.1813471502590676E-3</c:v>
                </c:pt>
                <c:pt idx="76">
                  <c:v>4.878048780487805E-2</c:v>
                </c:pt>
                <c:pt idx="77">
                  <c:v>0</c:v>
                </c:pt>
                <c:pt idx="78">
                  <c:v>0.10344827586206896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2.840909090909091E-3</c:v>
                </c:pt>
                <c:pt idx="83">
                  <c:v>0</c:v>
                </c:pt>
                <c:pt idx="84">
                  <c:v>0</c:v>
                </c:pt>
                <c:pt idx="85">
                  <c:v>1.1235955056179775E-2</c:v>
                </c:pt>
                <c:pt idx="86">
                  <c:v>0</c:v>
                </c:pt>
                <c:pt idx="87">
                  <c:v>3.2573289902280132E-3</c:v>
                </c:pt>
                <c:pt idx="88">
                  <c:v>0</c:v>
                </c:pt>
                <c:pt idx="89">
                  <c:v>1.9108280254777069E-2</c:v>
                </c:pt>
                <c:pt idx="90">
                  <c:v>1.1976047904191617E-2</c:v>
                </c:pt>
                <c:pt idx="91">
                  <c:v>4.3010752688172046E-2</c:v>
                </c:pt>
                <c:pt idx="92">
                  <c:v>0</c:v>
                </c:pt>
                <c:pt idx="93">
                  <c:v>4.1095890410958902E-2</c:v>
                </c:pt>
                <c:pt idx="94">
                  <c:v>1.7142857142857144E-2</c:v>
                </c:pt>
                <c:pt idx="95">
                  <c:v>1.8018018018018018E-2</c:v>
                </c:pt>
                <c:pt idx="96">
                  <c:v>1.038961038961039E-2</c:v>
                </c:pt>
                <c:pt idx="97">
                  <c:v>1.4084507042253521E-2</c:v>
                </c:pt>
                <c:pt idx="98">
                  <c:v>8.9552238805970154E-3</c:v>
                </c:pt>
                <c:pt idx="99">
                  <c:v>2.1505376344086023E-2</c:v>
                </c:pt>
                <c:pt idx="100">
                  <c:v>2.9411764705882353E-2</c:v>
                </c:pt>
                <c:pt idx="101">
                  <c:v>3.0303030303030304E-2</c:v>
                </c:pt>
                <c:pt idx="102">
                  <c:v>1.1764705882352941E-2</c:v>
                </c:pt>
                <c:pt idx="103">
                  <c:v>4.2313117066290554E-3</c:v>
                </c:pt>
                <c:pt idx="104">
                  <c:v>3.9215686274509803E-2</c:v>
                </c:pt>
                <c:pt idx="105">
                  <c:v>0.04</c:v>
                </c:pt>
                <c:pt idx="106">
                  <c:v>3.7174721189591076E-3</c:v>
                </c:pt>
                <c:pt idx="107">
                  <c:v>5.4945054945054949E-3</c:v>
                </c:pt>
                <c:pt idx="108">
                  <c:v>5.1993067590987872E-3</c:v>
                </c:pt>
                <c:pt idx="109">
                  <c:v>3.8910505836575876E-2</c:v>
                </c:pt>
                <c:pt idx="110">
                  <c:v>8.4033613445378148E-3</c:v>
                </c:pt>
                <c:pt idx="111">
                  <c:v>2.4937655860349127E-3</c:v>
                </c:pt>
                <c:pt idx="112">
                  <c:v>0</c:v>
                </c:pt>
                <c:pt idx="113">
                  <c:v>2.8169014084507044E-3</c:v>
                </c:pt>
                <c:pt idx="114">
                  <c:v>3.4364261168384879E-3</c:v>
                </c:pt>
                <c:pt idx="115">
                  <c:v>4.3478260869565216E-2</c:v>
                </c:pt>
                <c:pt idx="116">
                  <c:v>0</c:v>
                </c:pt>
                <c:pt idx="117">
                  <c:v>1.9230769230769232E-2</c:v>
                </c:pt>
                <c:pt idx="118">
                  <c:v>0</c:v>
                </c:pt>
                <c:pt idx="119">
                  <c:v>0</c:v>
                </c:pt>
                <c:pt idx="120">
                  <c:v>2.7272727272727271E-2</c:v>
                </c:pt>
                <c:pt idx="121">
                  <c:v>0</c:v>
                </c:pt>
                <c:pt idx="122">
                  <c:v>0</c:v>
                </c:pt>
                <c:pt idx="123">
                  <c:v>2.0833333333333332E-2</c:v>
                </c:pt>
                <c:pt idx="124">
                  <c:v>4.8780487804878049E-3</c:v>
                </c:pt>
                <c:pt idx="125">
                  <c:v>0.04</c:v>
                </c:pt>
                <c:pt idx="126">
                  <c:v>1.1111111111111112E-2</c:v>
                </c:pt>
                <c:pt idx="127">
                  <c:v>0</c:v>
                </c:pt>
                <c:pt idx="128">
                  <c:v>3.8461538461538464E-2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1.5625E-2</c:v>
                </c:pt>
                <c:pt idx="138">
                  <c:v>1.7857142857142856E-2</c:v>
                </c:pt>
                <c:pt idx="139">
                  <c:v>0</c:v>
                </c:pt>
                <c:pt idx="140">
                  <c:v>0</c:v>
                </c:pt>
                <c:pt idx="141">
                  <c:v>1.020408163265306E-2</c:v>
                </c:pt>
                <c:pt idx="142">
                  <c:v>1.6949152542372881E-2</c:v>
                </c:pt>
                <c:pt idx="143">
                  <c:v>1.0362694300518135E-2</c:v>
                </c:pt>
                <c:pt idx="144">
                  <c:v>0</c:v>
                </c:pt>
                <c:pt idx="145">
                  <c:v>4.5662100456621002E-3</c:v>
                </c:pt>
                <c:pt idx="146">
                  <c:v>0</c:v>
                </c:pt>
                <c:pt idx="147">
                  <c:v>0</c:v>
                </c:pt>
                <c:pt idx="148">
                  <c:v>5.763688760806916E-3</c:v>
                </c:pt>
                <c:pt idx="149">
                  <c:v>0</c:v>
                </c:pt>
                <c:pt idx="150">
                  <c:v>0</c:v>
                </c:pt>
                <c:pt idx="151">
                  <c:v>6.1538461538461538E-3</c:v>
                </c:pt>
                <c:pt idx="152">
                  <c:v>0</c:v>
                </c:pt>
                <c:pt idx="153">
                  <c:v>7.2992700729927005E-3</c:v>
                </c:pt>
                <c:pt idx="154">
                  <c:v>0</c:v>
                </c:pt>
                <c:pt idx="155">
                  <c:v>6.3694267515923564E-4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B-4AD0-B887-1C622F81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421240"/>
        <c:axId val="429421896"/>
      </c:scatterChart>
      <c:valAx>
        <c:axId val="42942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21896"/>
        <c:crosses val="autoZero"/>
        <c:crossBetween val="midCat"/>
      </c:valAx>
      <c:valAx>
        <c:axId val="42942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9421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фильтрторов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'характеристика проб'!$A$2:$A$157</c:f>
              <c:numCache>
                <c:formatCode>General</c:formatCode>
                <c:ptCount val="156"/>
                <c:pt idx="0">
                  <c:v>1995</c:v>
                </c:pt>
                <c:pt idx="1">
                  <c:v>1995</c:v>
                </c:pt>
                <c:pt idx="2">
                  <c:v>1995</c:v>
                </c:pt>
                <c:pt idx="3">
                  <c:v>1995</c:v>
                </c:pt>
                <c:pt idx="4">
                  <c:v>1995</c:v>
                </c:pt>
                <c:pt idx="5">
                  <c:v>1995</c:v>
                </c:pt>
                <c:pt idx="6">
                  <c:v>1996</c:v>
                </c:pt>
                <c:pt idx="7">
                  <c:v>1996</c:v>
                </c:pt>
                <c:pt idx="8">
                  <c:v>1996</c:v>
                </c:pt>
                <c:pt idx="9">
                  <c:v>1996</c:v>
                </c:pt>
                <c:pt idx="10">
                  <c:v>1996</c:v>
                </c:pt>
                <c:pt idx="11">
                  <c:v>1997</c:v>
                </c:pt>
                <c:pt idx="12">
                  <c:v>1997</c:v>
                </c:pt>
                <c:pt idx="13">
                  <c:v>1997</c:v>
                </c:pt>
                <c:pt idx="14">
                  <c:v>1997</c:v>
                </c:pt>
                <c:pt idx="15">
                  <c:v>1997</c:v>
                </c:pt>
                <c:pt idx="16">
                  <c:v>1998</c:v>
                </c:pt>
                <c:pt idx="17">
                  <c:v>1998</c:v>
                </c:pt>
                <c:pt idx="18">
                  <c:v>1998</c:v>
                </c:pt>
                <c:pt idx="19">
                  <c:v>1998</c:v>
                </c:pt>
                <c:pt idx="20">
                  <c:v>1998</c:v>
                </c:pt>
                <c:pt idx="21">
                  <c:v>1999</c:v>
                </c:pt>
                <c:pt idx="22">
                  <c:v>1999</c:v>
                </c:pt>
                <c:pt idx="23">
                  <c:v>1999</c:v>
                </c:pt>
                <c:pt idx="24">
                  <c:v>1999</c:v>
                </c:pt>
                <c:pt idx="25">
                  <c:v>1999</c:v>
                </c:pt>
                <c:pt idx="26">
                  <c:v>1999</c:v>
                </c:pt>
                <c:pt idx="27">
                  <c:v>1999</c:v>
                </c:pt>
                <c:pt idx="28">
                  <c:v>1999</c:v>
                </c:pt>
                <c:pt idx="29">
                  <c:v>1999</c:v>
                </c:pt>
                <c:pt idx="30">
                  <c:v>1999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2001</c:v>
                </c:pt>
                <c:pt idx="38">
                  <c:v>2001</c:v>
                </c:pt>
                <c:pt idx="39">
                  <c:v>2001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2002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2002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2003</c:v>
                </c:pt>
                <c:pt idx="53">
                  <c:v>2003</c:v>
                </c:pt>
                <c:pt idx="54">
                  <c:v>2003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2004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2007</c:v>
                </c:pt>
                <c:pt idx="67">
                  <c:v>2007</c:v>
                </c:pt>
                <c:pt idx="68">
                  <c:v>2007</c:v>
                </c:pt>
                <c:pt idx="69">
                  <c:v>2007</c:v>
                </c:pt>
                <c:pt idx="70">
                  <c:v>2007</c:v>
                </c:pt>
                <c:pt idx="71">
                  <c:v>2007</c:v>
                </c:pt>
                <c:pt idx="72">
                  <c:v>2007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2009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2010</c:v>
                </c:pt>
                <c:pt idx="87">
                  <c:v>2010</c:v>
                </c:pt>
                <c:pt idx="88">
                  <c:v>2010</c:v>
                </c:pt>
                <c:pt idx="89">
                  <c:v>2010</c:v>
                </c:pt>
                <c:pt idx="90">
                  <c:v>2010</c:v>
                </c:pt>
                <c:pt idx="91">
                  <c:v>2010</c:v>
                </c:pt>
                <c:pt idx="92">
                  <c:v>2010</c:v>
                </c:pt>
                <c:pt idx="93">
                  <c:v>2010</c:v>
                </c:pt>
                <c:pt idx="94">
                  <c:v>2011</c:v>
                </c:pt>
                <c:pt idx="95">
                  <c:v>2011</c:v>
                </c:pt>
                <c:pt idx="96">
                  <c:v>2011</c:v>
                </c:pt>
                <c:pt idx="97">
                  <c:v>2011</c:v>
                </c:pt>
                <c:pt idx="98">
                  <c:v>2011</c:v>
                </c:pt>
                <c:pt idx="99">
                  <c:v>2011</c:v>
                </c:pt>
                <c:pt idx="100">
                  <c:v>2012</c:v>
                </c:pt>
                <c:pt idx="101">
                  <c:v>2012</c:v>
                </c:pt>
                <c:pt idx="102">
                  <c:v>2012</c:v>
                </c:pt>
                <c:pt idx="103">
                  <c:v>2012</c:v>
                </c:pt>
                <c:pt idx="104">
                  <c:v>2012</c:v>
                </c:pt>
                <c:pt idx="105">
                  <c:v>2012</c:v>
                </c:pt>
                <c:pt idx="106">
                  <c:v>2013</c:v>
                </c:pt>
                <c:pt idx="107">
                  <c:v>2013</c:v>
                </c:pt>
                <c:pt idx="108">
                  <c:v>2013</c:v>
                </c:pt>
                <c:pt idx="109">
                  <c:v>2013</c:v>
                </c:pt>
                <c:pt idx="110">
                  <c:v>2013</c:v>
                </c:pt>
                <c:pt idx="111">
                  <c:v>2013</c:v>
                </c:pt>
                <c:pt idx="112">
                  <c:v>2014</c:v>
                </c:pt>
                <c:pt idx="113">
                  <c:v>2014</c:v>
                </c:pt>
                <c:pt idx="114">
                  <c:v>2014</c:v>
                </c:pt>
                <c:pt idx="115">
                  <c:v>2014</c:v>
                </c:pt>
                <c:pt idx="116">
                  <c:v>2014</c:v>
                </c:pt>
                <c:pt idx="117">
                  <c:v>2014</c:v>
                </c:pt>
                <c:pt idx="118">
                  <c:v>2015</c:v>
                </c:pt>
                <c:pt idx="119">
                  <c:v>2015</c:v>
                </c:pt>
                <c:pt idx="120">
                  <c:v>2015</c:v>
                </c:pt>
                <c:pt idx="121">
                  <c:v>2015</c:v>
                </c:pt>
                <c:pt idx="122">
                  <c:v>2015</c:v>
                </c:pt>
                <c:pt idx="123">
                  <c:v>2015</c:v>
                </c:pt>
                <c:pt idx="124">
                  <c:v>2015</c:v>
                </c:pt>
                <c:pt idx="125">
                  <c:v>2016</c:v>
                </c:pt>
                <c:pt idx="126">
                  <c:v>2016</c:v>
                </c:pt>
                <c:pt idx="127">
                  <c:v>2016</c:v>
                </c:pt>
                <c:pt idx="128">
                  <c:v>2016</c:v>
                </c:pt>
                <c:pt idx="129">
                  <c:v>2016</c:v>
                </c:pt>
                <c:pt idx="130">
                  <c:v>2019</c:v>
                </c:pt>
                <c:pt idx="131">
                  <c:v>2019</c:v>
                </c:pt>
                <c:pt idx="132">
                  <c:v>2019</c:v>
                </c:pt>
                <c:pt idx="133">
                  <c:v>2022</c:v>
                </c:pt>
                <c:pt idx="134">
                  <c:v>2022</c:v>
                </c:pt>
                <c:pt idx="135">
                  <c:v>2022</c:v>
                </c:pt>
                <c:pt idx="136">
                  <c:v>2022</c:v>
                </c:pt>
                <c:pt idx="137">
                  <c:v>2022</c:v>
                </c:pt>
                <c:pt idx="138">
                  <c:v>2024</c:v>
                </c:pt>
                <c:pt idx="139">
                  <c:v>2024</c:v>
                </c:pt>
                <c:pt idx="140">
                  <c:v>2024</c:v>
                </c:pt>
                <c:pt idx="141">
                  <c:v>2024</c:v>
                </c:pt>
                <c:pt idx="142">
                  <c:v>2024</c:v>
                </c:pt>
                <c:pt idx="143">
                  <c:v>2024</c:v>
                </c:pt>
                <c:pt idx="144">
                  <c:v>2024</c:v>
                </c:pt>
                <c:pt idx="145">
                  <c:v>2024</c:v>
                </c:pt>
                <c:pt idx="146">
                  <c:v>2024</c:v>
                </c:pt>
                <c:pt idx="147">
                  <c:v>2025</c:v>
                </c:pt>
                <c:pt idx="148">
                  <c:v>2025</c:v>
                </c:pt>
                <c:pt idx="149">
                  <c:v>2025</c:v>
                </c:pt>
                <c:pt idx="150">
                  <c:v>2025</c:v>
                </c:pt>
                <c:pt idx="151">
                  <c:v>2025</c:v>
                </c:pt>
                <c:pt idx="152">
                  <c:v>2025</c:v>
                </c:pt>
                <c:pt idx="153">
                  <c:v>2025</c:v>
                </c:pt>
                <c:pt idx="154">
                  <c:v>2025</c:v>
                </c:pt>
                <c:pt idx="155">
                  <c:v>2025</c:v>
                </c:pt>
              </c:numCache>
            </c:numRef>
          </c:xVal>
          <c:yVal>
            <c:numRef>
              <c:f>'характеристика проб'!$V$2:$V$157</c:f>
              <c:numCache>
                <c:formatCode>General</c:formatCode>
                <c:ptCount val="156"/>
                <c:pt idx="0">
                  <c:v>0.48214285714285715</c:v>
                </c:pt>
                <c:pt idx="1">
                  <c:v>0.24933687002652519</c:v>
                </c:pt>
                <c:pt idx="2">
                  <c:v>0.41212121212121211</c:v>
                </c:pt>
                <c:pt idx="3">
                  <c:v>0.41714285714285715</c:v>
                </c:pt>
                <c:pt idx="4">
                  <c:v>0.67235494880546076</c:v>
                </c:pt>
                <c:pt idx="5">
                  <c:v>0.19745222929936307</c:v>
                </c:pt>
                <c:pt idx="6">
                  <c:v>0.3125</c:v>
                </c:pt>
                <c:pt idx="7">
                  <c:v>0.17948717948717949</c:v>
                </c:pt>
                <c:pt idx="8">
                  <c:v>0.30845771144278605</c:v>
                </c:pt>
                <c:pt idx="9">
                  <c:v>0.375</c:v>
                </c:pt>
                <c:pt idx="10">
                  <c:v>0.27485380116959063</c:v>
                </c:pt>
                <c:pt idx="11">
                  <c:v>0.16</c:v>
                </c:pt>
                <c:pt idx="12">
                  <c:v>0.15833333333333333</c:v>
                </c:pt>
                <c:pt idx="13">
                  <c:v>0.57777777777777772</c:v>
                </c:pt>
                <c:pt idx="14">
                  <c:v>0.14754098360655737</c:v>
                </c:pt>
                <c:pt idx="15">
                  <c:v>0.31034482758620691</c:v>
                </c:pt>
                <c:pt idx="16">
                  <c:v>0.40963855421686746</c:v>
                </c:pt>
                <c:pt idx="17">
                  <c:v>0.75257731958762886</c:v>
                </c:pt>
                <c:pt idx="18">
                  <c:v>7.2538860103626937E-2</c:v>
                </c:pt>
                <c:pt idx="19">
                  <c:v>0.31147540983606559</c:v>
                </c:pt>
                <c:pt idx="20">
                  <c:v>0.17971014492753623</c:v>
                </c:pt>
                <c:pt idx="21">
                  <c:v>0.20359281437125748</c:v>
                </c:pt>
                <c:pt idx="22">
                  <c:v>0.44666666666666666</c:v>
                </c:pt>
                <c:pt idx="23">
                  <c:v>0.22713864306784662</c:v>
                </c:pt>
                <c:pt idx="24">
                  <c:v>0.20717131474103587</c:v>
                </c:pt>
                <c:pt idx="25">
                  <c:v>0.45076586433260396</c:v>
                </c:pt>
                <c:pt idx="26">
                  <c:v>0.37278106508875741</c:v>
                </c:pt>
                <c:pt idx="27">
                  <c:v>0.41007194244604317</c:v>
                </c:pt>
                <c:pt idx="28">
                  <c:v>0.36799999999999999</c:v>
                </c:pt>
                <c:pt idx="29">
                  <c:v>0.17429193899782136</c:v>
                </c:pt>
                <c:pt idx="30">
                  <c:v>0.24193548387096775</c:v>
                </c:pt>
                <c:pt idx="31">
                  <c:v>0.44444444444444442</c:v>
                </c:pt>
                <c:pt idx="32">
                  <c:v>0.22627737226277372</c:v>
                </c:pt>
                <c:pt idx="33">
                  <c:v>0.25595238095238093</c:v>
                </c:pt>
                <c:pt idx="34">
                  <c:v>0.33898305084745761</c:v>
                </c:pt>
                <c:pt idx="35">
                  <c:v>0.53246753246753242</c:v>
                </c:pt>
                <c:pt idx="36">
                  <c:v>0.36619718309859156</c:v>
                </c:pt>
                <c:pt idx="37">
                  <c:v>0.53260869565217395</c:v>
                </c:pt>
                <c:pt idx="38">
                  <c:v>0.55752212389380529</c:v>
                </c:pt>
                <c:pt idx="39">
                  <c:v>0.2978723404255319</c:v>
                </c:pt>
                <c:pt idx="40">
                  <c:v>0.48351648351648352</c:v>
                </c:pt>
                <c:pt idx="41">
                  <c:v>0.38410596026490068</c:v>
                </c:pt>
                <c:pt idx="42">
                  <c:v>0.31603773584905659</c:v>
                </c:pt>
                <c:pt idx="43">
                  <c:v>0.52662721893491127</c:v>
                </c:pt>
                <c:pt idx="44">
                  <c:v>0.53875968992248058</c:v>
                </c:pt>
                <c:pt idx="45">
                  <c:v>0.81733333333333336</c:v>
                </c:pt>
                <c:pt idx="46">
                  <c:v>0.21602787456445993</c:v>
                </c:pt>
                <c:pt idx="47">
                  <c:v>0.43216080402010049</c:v>
                </c:pt>
                <c:pt idx="48">
                  <c:v>0.38793103448275862</c:v>
                </c:pt>
                <c:pt idx="49">
                  <c:v>0.46762589928057552</c:v>
                </c:pt>
                <c:pt idx="50">
                  <c:v>0.49333333333333335</c:v>
                </c:pt>
                <c:pt idx="51">
                  <c:v>0.16997792494481237</c:v>
                </c:pt>
                <c:pt idx="52">
                  <c:v>0.5</c:v>
                </c:pt>
                <c:pt idx="53">
                  <c:v>0.40740740740740738</c:v>
                </c:pt>
                <c:pt idx="54">
                  <c:v>0.22812499999999999</c:v>
                </c:pt>
                <c:pt idx="55">
                  <c:v>0.75</c:v>
                </c:pt>
                <c:pt idx="56">
                  <c:v>0.41666666666666669</c:v>
                </c:pt>
                <c:pt idx="57">
                  <c:v>0.12698412698412698</c:v>
                </c:pt>
                <c:pt idx="58">
                  <c:v>0.27906976744186046</c:v>
                </c:pt>
                <c:pt idx="59">
                  <c:v>0.39393939393939392</c:v>
                </c:pt>
                <c:pt idx="60">
                  <c:v>0.28125</c:v>
                </c:pt>
                <c:pt idx="61">
                  <c:v>0.13636363636363635</c:v>
                </c:pt>
                <c:pt idx="62">
                  <c:v>0.16666666666666666</c:v>
                </c:pt>
                <c:pt idx="63">
                  <c:v>0.32978723404255317</c:v>
                </c:pt>
                <c:pt idx="64">
                  <c:v>0.13675213675213677</c:v>
                </c:pt>
                <c:pt idx="65">
                  <c:v>0.15909090909090909</c:v>
                </c:pt>
                <c:pt idx="66">
                  <c:v>0.32</c:v>
                </c:pt>
                <c:pt idx="67">
                  <c:v>4.49438202247191E-2</c:v>
                </c:pt>
                <c:pt idx="68">
                  <c:v>9.0604026845637578E-2</c:v>
                </c:pt>
                <c:pt idx="69">
                  <c:v>0.5625</c:v>
                </c:pt>
                <c:pt idx="70">
                  <c:v>0.55555555555555558</c:v>
                </c:pt>
                <c:pt idx="71">
                  <c:v>5.7507987220447282E-2</c:v>
                </c:pt>
                <c:pt idx="72">
                  <c:v>0.11650485436893204</c:v>
                </c:pt>
                <c:pt idx="73">
                  <c:v>7.3394495412844041E-2</c:v>
                </c:pt>
                <c:pt idx="74">
                  <c:v>0.1464968152866242</c:v>
                </c:pt>
                <c:pt idx="75">
                  <c:v>0.24352331606217617</c:v>
                </c:pt>
                <c:pt idx="76">
                  <c:v>0.37804878048780488</c:v>
                </c:pt>
                <c:pt idx="77">
                  <c:v>0.38</c:v>
                </c:pt>
                <c:pt idx="78">
                  <c:v>0.2413793103448276</c:v>
                </c:pt>
                <c:pt idx="79">
                  <c:v>0.92105263157894735</c:v>
                </c:pt>
                <c:pt idx="80">
                  <c:v>6.25E-2</c:v>
                </c:pt>
                <c:pt idx="81">
                  <c:v>0.43209876543209874</c:v>
                </c:pt>
                <c:pt idx="82">
                  <c:v>0.48295454545454547</c:v>
                </c:pt>
                <c:pt idx="83">
                  <c:v>0.31034482758620691</c:v>
                </c:pt>
                <c:pt idx="84">
                  <c:v>0.25</c:v>
                </c:pt>
                <c:pt idx="85">
                  <c:v>0.14606741573033707</c:v>
                </c:pt>
                <c:pt idx="86">
                  <c:v>0.75</c:v>
                </c:pt>
                <c:pt idx="87">
                  <c:v>0.36807817589576547</c:v>
                </c:pt>
                <c:pt idx="88">
                  <c:v>0.33333333333333331</c:v>
                </c:pt>
                <c:pt idx="89">
                  <c:v>0.50318471337579618</c:v>
                </c:pt>
                <c:pt idx="90">
                  <c:v>0.3772455089820359</c:v>
                </c:pt>
                <c:pt idx="91">
                  <c:v>0.73118279569892475</c:v>
                </c:pt>
                <c:pt idx="92">
                  <c:v>0.42608695652173911</c:v>
                </c:pt>
                <c:pt idx="93">
                  <c:v>0.68493150684931503</c:v>
                </c:pt>
                <c:pt idx="94">
                  <c:v>0.47714285714285715</c:v>
                </c:pt>
                <c:pt idx="95">
                  <c:v>0.45945945945945948</c:v>
                </c:pt>
                <c:pt idx="96">
                  <c:v>0.61168831168831173</c:v>
                </c:pt>
                <c:pt idx="97">
                  <c:v>0.42253521126760563</c:v>
                </c:pt>
                <c:pt idx="98">
                  <c:v>0.68656716417910446</c:v>
                </c:pt>
                <c:pt idx="99">
                  <c:v>0.44086021505376344</c:v>
                </c:pt>
                <c:pt idx="100">
                  <c:v>0.77450980392156865</c:v>
                </c:pt>
                <c:pt idx="101">
                  <c:v>0.56060606060606055</c:v>
                </c:pt>
                <c:pt idx="102">
                  <c:v>0.792156862745098</c:v>
                </c:pt>
                <c:pt idx="103">
                  <c:v>0.90267983074753178</c:v>
                </c:pt>
                <c:pt idx="104">
                  <c:v>0.68627450980392157</c:v>
                </c:pt>
                <c:pt idx="105">
                  <c:v>0.44</c:v>
                </c:pt>
                <c:pt idx="106">
                  <c:v>0.93494423791821557</c:v>
                </c:pt>
                <c:pt idx="107">
                  <c:v>0.48351648351648352</c:v>
                </c:pt>
                <c:pt idx="108">
                  <c:v>0.80069324090121319</c:v>
                </c:pt>
                <c:pt idx="109">
                  <c:v>0.74319066147859925</c:v>
                </c:pt>
                <c:pt idx="110">
                  <c:v>0.61344537815126055</c:v>
                </c:pt>
                <c:pt idx="111">
                  <c:v>0.63092269326683292</c:v>
                </c:pt>
                <c:pt idx="112">
                  <c:v>0.86065573770491799</c:v>
                </c:pt>
                <c:pt idx="113">
                  <c:v>0.8807511737089202</c:v>
                </c:pt>
                <c:pt idx="114">
                  <c:v>0.62886597938144329</c:v>
                </c:pt>
                <c:pt idx="115">
                  <c:v>0.46376811594202899</c:v>
                </c:pt>
                <c:pt idx="116">
                  <c:v>0.51219512195121952</c:v>
                </c:pt>
                <c:pt idx="117">
                  <c:v>0.63461538461538458</c:v>
                </c:pt>
                <c:pt idx="118">
                  <c:v>0.61818181818181817</c:v>
                </c:pt>
                <c:pt idx="119">
                  <c:v>0.71287128712871284</c:v>
                </c:pt>
                <c:pt idx="120">
                  <c:v>0.5636363636363636</c:v>
                </c:pt>
                <c:pt idx="121">
                  <c:v>0.58461538461538465</c:v>
                </c:pt>
                <c:pt idx="122">
                  <c:v>0.27272727272727271</c:v>
                </c:pt>
                <c:pt idx="123">
                  <c:v>0.58333333333333337</c:v>
                </c:pt>
                <c:pt idx="124">
                  <c:v>0.65365853658536588</c:v>
                </c:pt>
                <c:pt idx="125">
                  <c:v>0.22</c:v>
                </c:pt>
                <c:pt idx="126">
                  <c:v>0.27777777777777779</c:v>
                </c:pt>
                <c:pt idx="127">
                  <c:v>0.26923076923076922</c:v>
                </c:pt>
                <c:pt idx="128">
                  <c:v>0.23076923076923078</c:v>
                </c:pt>
                <c:pt idx="129">
                  <c:v>0.47619047619047616</c:v>
                </c:pt>
                <c:pt idx="130">
                  <c:v>0.59459459459459463</c:v>
                </c:pt>
                <c:pt idx="131">
                  <c:v>0.55339805825242716</c:v>
                </c:pt>
                <c:pt idx="132">
                  <c:v>0.25</c:v>
                </c:pt>
                <c:pt idx="133">
                  <c:v>0.32432432432432434</c:v>
                </c:pt>
                <c:pt idx="134">
                  <c:v>0.2537313432835821</c:v>
                </c:pt>
                <c:pt idx="135">
                  <c:v>0.3125</c:v>
                </c:pt>
                <c:pt idx="136">
                  <c:v>0.33333333333333331</c:v>
                </c:pt>
                <c:pt idx="137">
                  <c:v>0.25</c:v>
                </c:pt>
                <c:pt idx="138">
                  <c:v>0.3392857142857143</c:v>
                </c:pt>
                <c:pt idx="139">
                  <c:v>0.55319148936170215</c:v>
                </c:pt>
                <c:pt idx="140">
                  <c:v>0.4</c:v>
                </c:pt>
                <c:pt idx="141">
                  <c:v>0.59183673469387754</c:v>
                </c:pt>
                <c:pt idx="142">
                  <c:v>0.5423728813559322</c:v>
                </c:pt>
                <c:pt idx="143">
                  <c:v>0.46632124352331605</c:v>
                </c:pt>
                <c:pt idx="144">
                  <c:v>0.7</c:v>
                </c:pt>
                <c:pt idx="145">
                  <c:v>0.71689497716894979</c:v>
                </c:pt>
                <c:pt idx="146">
                  <c:v>0.6512820512820513</c:v>
                </c:pt>
                <c:pt idx="147">
                  <c:v>0.35294117647058826</c:v>
                </c:pt>
                <c:pt idx="148">
                  <c:v>0.90778097982708938</c:v>
                </c:pt>
                <c:pt idx="149">
                  <c:v>0.78125</c:v>
                </c:pt>
                <c:pt idx="150">
                  <c:v>0.31168831168831168</c:v>
                </c:pt>
                <c:pt idx="151">
                  <c:v>0.35076923076923078</c:v>
                </c:pt>
                <c:pt idx="152">
                  <c:v>0.36923076923076925</c:v>
                </c:pt>
                <c:pt idx="153">
                  <c:v>0.58394160583941601</c:v>
                </c:pt>
                <c:pt idx="154">
                  <c:v>0.25806451612903225</c:v>
                </c:pt>
                <c:pt idx="155">
                  <c:v>0.34777070063694265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3-472B-92FE-929A3848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048912"/>
        <c:axId val="431040384"/>
      </c:scatterChart>
      <c:valAx>
        <c:axId val="43104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040384"/>
        <c:crosses val="autoZero"/>
        <c:crossBetween val="midCat"/>
      </c:valAx>
      <c:valAx>
        <c:axId val="4310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04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30</xdr:row>
      <xdr:rowOff>19050</xdr:rowOff>
    </xdr:from>
    <xdr:to>
      <xdr:col>17</xdr:col>
      <xdr:colOff>257175</xdr:colOff>
      <xdr:row>44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15</xdr:row>
      <xdr:rowOff>114300</xdr:rowOff>
    </xdr:from>
    <xdr:to>
      <xdr:col>17</xdr:col>
      <xdr:colOff>333375</xdr:colOff>
      <xdr:row>30</xdr:row>
      <xdr:rowOff>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28575</xdr:colOff>
      <xdr:row>1</xdr:row>
      <xdr:rowOff>9525</xdr:rowOff>
    </xdr:from>
    <xdr:to>
      <xdr:col>17</xdr:col>
      <xdr:colOff>333375</xdr:colOff>
      <xdr:row>15</xdr:row>
      <xdr:rowOff>85725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133350</xdr:rowOff>
    </xdr:from>
    <xdr:to>
      <xdr:col>7</xdr:col>
      <xdr:colOff>428625</xdr:colOff>
      <xdr:row>15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</xdr:row>
      <xdr:rowOff>9525</xdr:rowOff>
    </xdr:from>
    <xdr:to>
      <xdr:col>15</xdr:col>
      <xdr:colOff>314325</xdr:colOff>
      <xdr:row>15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16</xdr:row>
      <xdr:rowOff>19050</xdr:rowOff>
    </xdr:from>
    <xdr:to>
      <xdr:col>7</xdr:col>
      <xdr:colOff>447675</xdr:colOff>
      <xdr:row>30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16</xdr:row>
      <xdr:rowOff>9525</xdr:rowOff>
    </xdr:from>
    <xdr:to>
      <xdr:col>15</xdr:col>
      <xdr:colOff>314325</xdr:colOff>
      <xdr:row>30</xdr:row>
      <xdr:rowOff>85725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161925</xdr:colOff>
      <xdr:row>31</xdr:row>
      <xdr:rowOff>19050</xdr:rowOff>
    </xdr:from>
    <xdr:to>
      <xdr:col>7</xdr:col>
      <xdr:colOff>466725</xdr:colOff>
      <xdr:row>45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533401</xdr:colOff>
      <xdr:row>31</xdr:row>
      <xdr:rowOff>33618</xdr:rowOff>
    </xdr:from>
    <xdr:to>
      <xdr:col>15</xdr:col>
      <xdr:colOff>268942</xdr:colOff>
      <xdr:row>45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228600</xdr:colOff>
      <xdr:row>47</xdr:row>
      <xdr:rowOff>0</xdr:rowOff>
    </xdr:from>
    <xdr:to>
      <xdr:col>7</xdr:col>
      <xdr:colOff>533400</xdr:colOff>
      <xdr:row>61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66675</xdr:colOff>
      <xdr:row>47</xdr:row>
      <xdr:rowOff>66675</xdr:rowOff>
    </xdr:from>
    <xdr:to>
      <xdr:col>15</xdr:col>
      <xdr:colOff>371475</xdr:colOff>
      <xdr:row>61</xdr:row>
      <xdr:rowOff>142875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228600</xdr:colOff>
      <xdr:row>64</xdr:row>
      <xdr:rowOff>76200</xdr:rowOff>
    </xdr:from>
    <xdr:to>
      <xdr:col>7</xdr:col>
      <xdr:colOff>533400</xdr:colOff>
      <xdr:row>78</xdr:row>
      <xdr:rowOff>152400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89647</xdr:colOff>
      <xdr:row>64</xdr:row>
      <xdr:rowOff>89647</xdr:rowOff>
    </xdr:from>
    <xdr:to>
      <xdr:col>15</xdr:col>
      <xdr:colOff>425823</xdr:colOff>
      <xdr:row>78</xdr:row>
      <xdr:rowOff>165847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69"/>
  <sheetViews>
    <sheetView workbookViewId="0">
      <selection activeCell="G269" sqref="G269:AF269"/>
    </sheetView>
  </sheetViews>
  <sheetFormatPr defaultColWidth="9" defaultRowHeight="14.4"/>
  <cols>
    <col min="1" max="1" width="32.44140625" customWidth="1"/>
    <col min="2" max="2" width="32.44140625" hidden="1" customWidth="1"/>
    <col min="3" max="3" width="15.6640625" hidden="1" customWidth="1"/>
    <col min="4" max="4" width="16" hidden="1" customWidth="1"/>
    <col min="5" max="5" width="17.6640625" customWidth="1"/>
    <col min="6" max="6" width="26" customWidth="1"/>
    <col min="7" max="32" width="19.109375" customWidth="1"/>
    <col min="16249" max="16249" width="8.6640625" customWidth="1"/>
    <col min="16252" max="16252" width="9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2007</v>
      </c>
      <c r="S1" s="1">
        <v>2008</v>
      </c>
      <c r="T1" s="1">
        <v>2009</v>
      </c>
      <c r="U1" s="1">
        <v>2010</v>
      </c>
      <c r="V1" s="1">
        <v>2011</v>
      </c>
      <c r="W1" s="1">
        <v>2012</v>
      </c>
      <c r="X1" s="1">
        <v>2013</v>
      </c>
      <c r="Y1" s="1">
        <v>2014</v>
      </c>
      <c r="Z1" s="1">
        <v>2015</v>
      </c>
      <c r="AA1" s="1">
        <v>2016</v>
      </c>
      <c r="AB1" s="1">
        <v>2019</v>
      </c>
      <c r="AC1" s="1">
        <v>2022</v>
      </c>
      <c r="AD1" s="1">
        <v>2024</v>
      </c>
      <c r="AE1" s="1" t="s">
        <v>6</v>
      </c>
      <c r="AF1" s="1" t="s">
        <v>7</v>
      </c>
    </row>
    <row r="2" spans="1:32" hidden="1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6">
        <v>0</v>
      </c>
      <c r="H2" s="6">
        <v>0.2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hidden="1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0.16666666666666699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s="6">
        <v>1.3333333333333299</v>
      </c>
      <c r="H4" s="6">
        <v>1.2</v>
      </c>
      <c r="I4" s="6">
        <v>0.2</v>
      </c>
      <c r="J4" s="6">
        <v>0</v>
      </c>
      <c r="K4" s="6">
        <v>0.6</v>
      </c>
      <c r="L4" s="6">
        <v>0.16666666666666699</v>
      </c>
      <c r="M4" s="6">
        <v>0</v>
      </c>
      <c r="N4" s="6">
        <v>0.16666666666666699</v>
      </c>
      <c r="O4" s="6">
        <v>0</v>
      </c>
      <c r="P4" s="6">
        <v>0</v>
      </c>
      <c r="Q4" s="6">
        <v>0.16666666666666699</v>
      </c>
      <c r="R4" s="6">
        <v>0</v>
      </c>
      <c r="S4" s="6">
        <v>0.16666666666666699</v>
      </c>
      <c r="T4" s="6">
        <v>0.28571428571428598</v>
      </c>
      <c r="U4" s="6">
        <v>0.125</v>
      </c>
      <c r="V4" s="6">
        <v>0</v>
      </c>
      <c r="W4" s="6">
        <v>0</v>
      </c>
      <c r="X4" s="6">
        <v>0</v>
      </c>
      <c r="Y4" s="6">
        <v>0.66666666666666696</v>
      </c>
      <c r="Z4" s="6">
        <v>0.14285714285714299</v>
      </c>
      <c r="AA4" s="6">
        <v>0.8</v>
      </c>
      <c r="AB4" s="6">
        <v>0.33333333333333298</v>
      </c>
      <c r="AC4" s="6">
        <v>0</v>
      </c>
      <c r="AD4" s="6">
        <v>0</v>
      </c>
      <c r="AE4" s="6">
        <v>0.33333333333333298</v>
      </c>
      <c r="AF4" s="6">
        <v>0.33333333333333298</v>
      </c>
    </row>
    <row r="5" spans="1:32" hidden="1">
      <c r="A5" t="s">
        <v>22</v>
      </c>
      <c r="B5" t="s">
        <v>22</v>
      </c>
      <c r="C5" t="s">
        <v>19</v>
      </c>
      <c r="D5" t="s">
        <v>20</v>
      </c>
      <c r="E5" t="s">
        <v>15</v>
      </c>
      <c r="F5" t="s">
        <v>16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0.16666666666666699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hidden="1">
      <c r="A6" t="s">
        <v>23</v>
      </c>
      <c r="B6" t="s">
        <v>23</v>
      </c>
      <c r="C6" t="s">
        <v>24</v>
      </c>
      <c r="D6" t="s">
        <v>25</v>
      </c>
      <c r="E6" t="s">
        <v>15</v>
      </c>
      <c r="F6" t="s">
        <v>26</v>
      </c>
      <c r="G6" s="6">
        <v>1.3333333333333299</v>
      </c>
      <c r="H6" s="6">
        <v>0</v>
      </c>
      <c r="I6" s="6">
        <v>0</v>
      </c>
      <c r="J6" s="6">
        <v>0</v>
      </c>
      <c r="K6" s="6">
        <v>0.1</v>
      </c>
      <c r="L6" s="6">
        <v>0.33333333333333298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hidden="1">
      <c r="A7" t="s">
        <v>27</v>
      </c>
      <c r="B7" t="s">
        <v>27</v>
      </c>
      <c r="C7" t="s">
        <v>24</v>
      </c>
      <c r="D7" t="s">
        <v>25</v>
      </c>
      <c r="E7" t="s">
        <v>28</v>
      </c>
      <c r="F7" t="s">
        <v>29</v>
      </c>
      <c r="G7" s="6">
        <v>0</v>
      </c>
      <c r="H7" s="6">
        <v>0</v>
      </c>
      <c r="I7" s="6">
        <v>0</v>
      </c>
      <c r="J7" s="6">
        <v>0</v>
      </c>
      <c r="K7" s="6">
        <v>1.3</v>
      </c>
      <c r="L7" s="6">
        <v>0</v>
      </c>
      <c r="M7" s="6">
        <v>0.66666666666666696</v>
      </c>
      <c r="N7" s="6">
        <v>0</v>
      </c>
      <c r="O7" s="6">
        <v>0</v>
      </c>
      <c r="P7" s="6">
        <v>0.16666666666666699</v>
      </c>
      <c r="Q7" s="6">
        <v>0</v>
      </c>
      <c r="R7" s="6">
        <v>0</v>
      </c>
      <c r="S7" s="6">
        <v>0.66666666666666696</v>
      </c>
      <c r="T7" s="6">
        <v>0.14285714285714299</v>
      </c>
      <c r="U7" s="6">
        <v>0.375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hidden="1">
      <c r="A8" t="s">
        <v>30</v>
      </c>
      <c r="B8" t="s">
        <v>30</v>
      </c>
      <c r="C8" t="s">
        <v>24</v>
      </c>
      <c r="D8" t="s">
        <v>25</v>
      </c>
      <c r="E8" t="s">
        <v>15</v>
      </c>
      <c r="F8" t="s">
        <v>26</v>
      </c>
      <c r="G8" s="6">
        <v>0.66666666666666696</v>
      </c>
      <c r="H8" s="6">
        <v>0.8</v>
      </c>
      <c r="I8" s="6">
        <v>0</v>
      </c>
      <c r="J8" s="6">
        <v>0.4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0.16666666666666699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hidden="1">
      <c r="A9" t="s">
        <v>31</v>
      </c>
      <c r="B9" t="s">
        <v>32</v>
      </c>
      <c r="C9" t="s">
        <v>24</v>
      </c>
      <c r="D9" t="s">
        <v>25</v>
      </c>
      <c r="E9" t="s">
        <v>15</v>
      </c>
      <c r="F9" t="s">
        <v>26</v>
      </c>
      <c r="G9" s="6">
        <v>0</v>
      </c>
      <c r="H9" s="6">
        <v>1.8</v>
      </c>
      <c r="I9" s="6">
        <v>0.6</v>
      </c>
      <c r="J9" s="6">
        <v>0</v>
      </c>
      <c r="K9" s="6">
        <v>0.3</v>
      </c>
      <c r="L9" s="6">
        <v>1</v>
      </c>
      <c r="M9" s="6">
        <v>0.83333333333333304</v>
      </c>
      <c r="N9" s="6">
        <v>0</v>
      </c>
      <c r="O9" s="6">
        <v>0.33333333333333298</v>
      </c>
      <c r="P9" s="6">
        <v>0.83333333333333304</v>
      </c>
      <c r="Q9" s="6">
        <v>0.33333333333333298</v>
      </c>
      <c r="R9" s="6">
        <v>0</v>
      </c>
      <c r="S9" s="6">
        <v>0.16666666666666699</v>
      </c>
      <c r="T9" s="6">
        <v>1.4285714285714299</v>
      </c>
      <c r="U9" s="6">
        <v>0.875</v>
      </c>
      <c r="V9" s="6">
        <v>0.16666666666666699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0.2</v>
      </c>
      <c r="AD9" s="6">
        <v>0.11111111111111099</v>
      </c>
      <c r="AE9" s="6">
        <v>0</v>
      </c>
      <c r="AF9" s="6">
        <v>0</v>
      </c>
    </row>
    <row r="10" spans="1:32">
      <c r="A10" t="s">
        <v>33</v>
      </c>
      <c r="B10" t="s">
        <v>33</v>
      </c>
      <c r="C10" t="s">
        <v>24</v>
      </c>
      <c r="D10" t="s">
        <v>25</v>
      </c>
      <c r="E10" t="s">
        <v>21</v>
      </c>
      <c r="F10" t="s">
        <v>26</v>
      </c>
      <c r="G10" s="6">
        <v>0</v>
      </c>
      <c r="H10" s="6">
        <v>0.2</v>
      </c>
      <c r="I10" s="6">
        <v>0.2</v>
      </c>
      <c r="J10" s="6">
        <v>0</v>
      </c>
      <c r="K10" s="6">
        <v>0.2</v>
      </c>
      <c r="L10" s="6">
        <v>0</v>
      </c>
      <c r="M10" s="6">
        <v>0</v>
      </c>
      <c r="N10" s="6">
        <v>0</v>
      </c>
      <c r="O10" s="6">
        <v>0.5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hidden="1">
      <c r="A11" t="s">
        <v>34</v>
      </c>
      <c r="B11" t="s">
        <v>34</v>
      </c>
      <c r="C11" t="s">
        <v>9</v>
      </c>
      <c r="D11" t="s">
        <v>10</v>
      </c>
      <c r="E11" t="s">
        <v>11</v>
      </c>
      <c r="F11" t="s">
        <v>12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0.16666666666666699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0.16666666666666699</v>
      </c>
      <c r="Y11" s="6">
        <v>0</v>
      </c>
      <c r="Z11" s="6">
        <v>0</v>
      </c>
      <c r="AA11" s="6">
        <v>0</v>
      </c>
      <c r="AB11" s="6">
        <v>0</v>
      </c>
      <c r="AC11" s="6">
        <v>0.2</v>
      </c>
      <c r="AD11" s="6">
        <v>0</v>
      </c>
      <c r="AE11" s="6">
        <v>0</v>
      </c>
      <c r="AF11" s="6">
        <v>0</v>
      </c>
    </row>
    <row r="12" spans="1:32" hidden="1">
      <c r="A12" t="s">
        <v>35</v>
      </c>
      <c r="B12" t="s">
        <v>35</v>
      </c>
      <c r="C12" t="s">
        <v>9</v>
      </c>
      <c r="D12" t="s">
        <v>10</v>
      </c>
      <c r="E12" t="s">
        <v>11</v>
      </c>
      <c r="F12" t="s">
        <v>12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0.33333333333333298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2" hidden="1">
      <c r="A13" t="s">
        <v>36</v>
      </c>
      <c r="B13" t="s">
        <v>36</v>
      </c>
      <c r="C13" t="s">
        <v>9</v>
      </c>
      <c r="D13" t="s">
        <v>10</v>
      </c>
      <c r="E13" t="s">
        <v>11</v>
      </c>
      <c r="F13" t="s">
        <v>12</v>
      </c>
      <c r="G13" s="6">
        <v>0.66666666666666696</v>
      </c>
      <c r="H13" s="6">
        <v>0.4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2">
      <c r="A14" t="s">
        <v>37</v>
      </c>
      <c r="B14" t="s">
        <v>37</v>
      </c>
      <c r="C14" t="s">
        <v>19</v>
      </c>
      <c r="D14" t="s">
        <v>20</v>
      </c>
      <c r="E14" t="s">
        <v>21</v>
      </c>
      <c r="F14" t="s">
        <v>16</v>
      </c>
      <c r="G14" s="6">
        <v>3.6666666666666701</v>
      </c>
      <c r="H14" s="6">
        <v>1.8</v>
      </c>
      <c r="I14" s="6">
        <v>0.8</v>
      </c>
      <c r="J14" s="6">
        <v>2.8</v>
      </c>
      <c r="K14" s="6">
        <v>2.5</v>
      </c>
      <c r="L14" s="6">
        <v>1</v>
      </c>
      <c r="M14" s="6">
        <v>2.5</v>
      </c>
      <c r="N14" s="6">
        <v>4.3333333333333304</v>
      </c>
      <c r="O14" s="6">
        <v>2.8333333333333299</v>
      </c>
      <c r="P14" s="6">
        <v>2.8333333333333299</v>
      </c>
      <c r="Q14" s="6">
        <v>1.8333333333333299</v>
      </c>
      <c r="R14" s="6">
        <v>2.4285714285714302</v>
      </c>
      <c r="S14" s="6">
        <v>3.8333333333333299</v>
      </c>
      <c r="T14" s="6">
        <v>2.28571428571429</v>
      </c>
      <c r="U14" s="6">
        <v>2.75</v>
      </c>
      <c r="V14" s="6">
        <v>4.6666666666666696</v>
      </c>
      <c r="W14" s="6">
        <v>2.3333333333333299</v>
      </c>
      <c r="X14" s="6">
        <v>2.3333333333333299</v>
      </c>
      <c r="Y14" s="6">
        <v>3.3333333333333299</v>
      </c>
      <c r="Z14" s="6">
        <v>4.28571428571429</v>
      </c>
      <c r="AA14" s="6">
        <v>1.6</v>
      </c>
      <c r="AB14" s="6">
        <v>2</v>
      </c>
      <c r="AC14" s="6">
        <v>0.2</v>
      </c>
      <c r="AD14" s="6">
        <v>2.4444444444444402</v>
      </c>
      <c r="AE14" s="6">
        <v>1</v>
      </c>
      <c r="AF14" s="6">
        <v>9.6666666666666696</v>
      </c>
    </row>
    <row r="15" spans="1:32" hidden="1">
      <c r="A15" t="s">
        <v>38</v>
      </c>
      <c r="B15" t="s">
        <v>38</v>
      </c>
      <c r="C15" t="s">
        <v>24</v>
      </c>
      <c r="D15" t="s">
        <v>25</v>
      </c>
      <c r="E15" t="s">
        <v>15</v>
      </c>
      <c r="F15" t="s">
        <v>26</v>
      </c>
      <c r="G15" s="6">
        <v>0</v>
      </c>
      <c r="H15" s="6">
        <v>0.2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2" hidden="1">
      <c r="A16" t="s">
        <v>39</v>
      </c>
      <c r="B16" t="s">
        <v>39</v>
      </c>
      <c r="C16" t="s">
        <v>40</v>
      </c>
      <c r="D16" t="s">
        <v>41</v>
      </c>
      <c r="E16" t="s">
        <v>42</v>
      </c>
      <c r="F16" t="s">
        <v>42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3</v>
      </c>
      <c r="P16" s="6">
        <v>0.33333333333333298</v>
      </c>
      <c r="Q16" s="6">
        <v>0.33333333333333298</v>
      </c>
      <c r="R16" s="6">
        <v>0</v>
      </c>
      <c r="S16" s="6">
        <v>0</v>
      </c>
      <c r="T16" s="6">
        <v>0.28571428571428598</v>
      </c>
      <c r="U16" s="6">
        <v>0.75</v>
      </c>
      <c r="V16" s="6">
        <v>1.8333333333333299</v>
      </c>
      <c r="W16" s="6">
        <v>3.3333333333333299</v>
      </c>
      <c r="X16" s="6">
        <v>18.1666666666667</v>
      </c>
      <c r="Y16" s="6">
        <v>63</v>
      </c>
      <c r="Z16" s="6">
        <v>13</v>
      </c>
      <c r="AA16" s="6">
        <v>0.6</v>
      </c>
      <c r="AB16" s="6">
        <v>0</v>
      </c>
      <c r="AC16" s="6">
        <v>0.2</v>
      </c>
      <c r="AD16" s="6">
        <v>0.33333333333333298</v>
      </c>
      <c r="AE16" s="6">
        <v>0</v>
      </c>
      <c r="AF16" s="6">
        <v>0</v>
      </c>
    </row>
    <row r="17" spans="1:32" hidden="1">
      <c r="A17" t="s">
        <v>43</v>
      </c>
      <c r="B17" t="s">
        <v>43</v>
      </c>
      <c r="C17" t="s">
        <v>44</v>
      </c>
      <c r="D17" t="s">
        <v>45</v>
      </c>
      <c r="E17" t="s">
        <v>46</v>
      </c>
      <c r="F17" t="s">
        <v>16</v>
      </c>
      <c r="G17" s="6">
        <v>0.66666666666666696</v>
      </c>
      <c r="H17" s="6">
        <v>1.2</v>
      </c>
      <c r="I17" s="6">
        <v>0.4</v>
      </c>
      <c r="J17" s="6">
        <v>0.6</v>
      </c>
      <c r="K17" s="6">
        <v>1.8</v>
      </c>
      <c r="L17" s="6">
        <v>0.33333333333333298</v>
      </c>
      <c r="M17" s="6">
        <v>0.16666666666666699</v>
      </c>
      <c r="N17" s="6">
        <v>0.33333333333333298</v>
      </c>
      <c r="O17" s="6">
        <v>0.16666666666666699</v>
      </c>
      <c r="P17" s="6">
        <v>0.5</v>
      </c>
      <c r="Q17" s="6">
        <v>0.16666666666666699</v>
      </c>
      <c r="R17" s="6">
        <v>0.28571428571428598</v>
      </c>
      <c r="S17" s="6">
        <v>0</v>
      </c>
      <c r="T17" s="6">
        <v>0</v>
      </c>
      <c r="U17" s="6">
        <v>0.25</v>
      </c>
      <c r="V17" s="6">
        <v>0.16666666666666699</v>
      </c>
      <c r="W17" s="6">
        <v>0.16666666666666699</v>
      </c>
      <c r="X17" s="6">
        <v>0.66666666666666696</v>
      </c>
      <c r="Y17" s="6">
        <v>1.8333333333333299</v>
      </c>
      <c r="Z17" s="6">
        <v>0.42857142857142899</v>
      </c>
      <c r="AA17" s="6">
        <v>0.2</v>
      </c>
      <c r="AB17" s="6">
        <v>0.66666666666666696</v>
      </c>
      <c r="AC17" s="6">
        <v>0.2</v>
      </c>
      <c r="AD17" s="6">
        <v>1.6666666666666701</v>
      </c>
      <c r="AE17" s="6">
        <v>2</v>
      </c>
      <c r="AF17" s="6">
        <v>0.5</v>
      </c>
    </row>
    <row r="18" spans="1:32" hidden="1">
      <c r="A18" t="s">
        <v>47</v>
      </c>
      <c r="B18" t="s">
        <v>48</v>
      </c>
      <c r="C18" t="s">
        <v>24</v>
      </c>
      <c r="D18" t="s">
        <v>25</v>
      </c>
      <c r="E18" t="s">
        <v>15</v>
      </c>
      <c r="F18" t="s">
        <v>29</v>
      </c>
      <c r="G18" s="6">
        <v>0</v>
      </c>
      <c r="H18" s="6">
        <v>0</v>
      </c>
      <c r="I18" s="6">
        <v>0</v>
      </c>
      <c r="J18" s="6">
        <v>0.6</v>
      </c>
      <c r="K18" s="6">
        <v>0.3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0.16666666666666699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hidden="1">
      <c r="A19" t="s">
        <v>49</v>
      </c>
      <c r="B19" t="s">
        <v>50</v>
      </c>
      <c r="C19" t="s">
        <v>24</v>
      </c>
      <c r="D19" t="s">
        <v>25</v>
      </c>
      <c r="E19" t="s">
        <v>15</v>
      </c>
      <c r="F19" t="s">
        <v>29</v>
      </c>
      <c r="G19" s="6">
        <v>0</v>
      </c>
      <c r="H19" s="6">
        <v>0</v>
      </c>
      <c r="I19" s="6">
        <v>0</v>
      </c>
      <c r="J19" s="6">
        <v>0.4</v>
      </c>
      <c r="K19" s="6">
        <v>0.8</v>
      </c>
      <c r="L19" s="6">
        <v>0</v>
      </c>
      <c r="M19" s="6">
        <v>0.16666666666666699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</row>
    <row r="20" spans="1:32">
      <c r="A20" t="s">
        <v>51</v>
      </c>
      <c r="B20" t="s">
        <v>51</v>
      </c>
      <c r="C20" t="s">
        <v>9</v>
      </c>
      <c r="D20" t="s">
        <v>52</v>
      </c>
      <c r="E20" t="s">
        <v>21</v>
      </c>
      <c r="F20" t="s">
        <v>16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5.6666666666666696</v>
      </c>
      <c r="O20" s="6">
        <v>14.1666666666667</v>
      </c>
      <c r="P20" s="6">
        <v>1.6666666666666701</v>
      </c>
      <c r="Q20" s="6">
        <v>0.83333333333333304</v>
      </c>
      <c r="R20" s="6">
        <v>0.85714285714285698</v>
      </c>
      <c r="S20" s="6">
        <v>0.83333333333333304</v>
      </c>
      <c r="T20" s="6">
        <v>10.285714285714301</v>
      </c>
      <c r="U20" s="6">
        <v>16.625</v>
      </c>
      <c r="V20" s="6">
        <v>73.3333333333333</v>
      </c>
      <c r="W20" s="6">
        <v>2.6666666666666701</v>
      </c>
      <c r="X20" s="6">
        <v>151.5</v>
      </c>
      <c r="Y20" s="6">
        <v>82.6666666666667</v>
      </c>
      <c r="Z20" s="6">
        <v>12.5714285714286</v>
      </c>
      <c r="AA20" s="6">
        <v>4.2</v>
      </c>
      <c r="AB20" s="6">
        <v>19</v>
      </c>
      <c r="AC20" s="6">
        <v>0.4</v>
      </c>
      <c r="AD20" s="6">
        <v>9.6666666666666696</v>
      </c>
      <c r="AE20" s="6">
        <v>5</v>
      </c>
      <c r="AF20" s="6">
        <v>31.5</v>
      </c>
    </row>
    <row r="21" spans="1:32">
      <c r="A21" t="s">
        <v>53</v>
      </c>
      <c r="B21" t="s">
        <v>53</v>
      </c>
      <c r="C21" t="s">
        <v>9</v>
      </c>
      <c r="D21" t="s">
        <v>52</v>
      </c>
      <c r="E21" t="s">
        <v>21</v>
      </c>
      <c r="F21" t="s">
        <v>16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5.1666666666666696</v>
      </c>
      <c r="O21" s="6">
        <v>0</v>
      </c>
      <c r="P21" s="6">
        <v>1.3333333333333299</v>
      </c>
      <c r="Q21" s="6">
        <v>0.33333333333333298</v>
      </c>
      <c r="R21" s="6">
        <v>0.42857142857142899</v>
      </c>
      <c r="S21" s="6">
        <v>0.5</v>
      </c>
      <c r="T21" s="6">
        <v>3.4285714285714302</v>
      </c>
      <c r="U21" s="6">
        <v>7.25</v>
      </c>
      <c r="V21" s="6">
        <v>8.1666666666666696</v>
      </c>
      <c r="W21" s="6">
        <v>1.3333333333333299</v>
      </c>
      <c r="X21" s="6">
        <v>0.66666666666666696</v>
      </c>
      <c r="Y21" s="6">
        <v>4.3333333333333304</v>
      </c>
      <c r="Z21" s="6">
        <v>6.1428571428571397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2">
      <c r="A22" t="s">
        <v>54</v>
      </c>
      <c r="B22" t="s">
        <v>55</v>
      </c>
      <c r="C22" t="s">
        <v>9</v>
      </c>
      <c r="D22" t="s">
        <v>52</v>
      </c>
      <c r="E22" t="s">
        <v>21</v>
      </c>
      <c r="F22" t="s">
        <v>16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13.1666666666667</v>
      </c>
      <c r="O22" s="6">
        <v>1</v>
      </c>
      <c r="P22" s="6">
        <v>0.33333333333333298</v>
      </c>
      <c r="Q22" s="6">
        <v>0.33333333333333298</v>
      </c>
      <c r="R22" s="6">
        <v>0.14285714285714299</v>
      </c>
      <c r="S22" s="6">
        <v>0</v>
      </c>
      <c r="T22" s="6">
        <v>1.71428571428571</v>
      </c>
      <c r="U22" s="6">
        <v>11.5</v>
      </c>
      <c r="V22" s="6">
        <v>0</v>
      </c>
      <c r="W22" s="6">
        <v>77.8333333333333</v>
      </c>
      <c r="X22" s="6">
        <v>0</v>
      </c>
      <c r="Y22" s="6">
        <v>14.3333333333333</v>
      </c>
      <c r="Z22" s="6">
        <v>19</v>
      </c>
      <c r="AA22" s="6">
        <v>0</v>
      </c>
      <c r="AB22" s="6">
        <v>0</v>
      </c>
      <c r="AC22" s="6">
        <v>0.2</v>
      </c>
      <c r="AD22" s="6">
        <v>0</v>
      </c>
      <c r="AE22" s="6">
        <v>0</v>
      </c>
      <c r="AF22" s="6">
        <v>0</v>
      </c>
    </row>
    <row r="23" spans="1:32">
      <c r="A23" t="s">
        <v>56</v>
      </c>
      <c r="B23" t="s">
        <v>56</v>
      </c>
      <c r="C23" t="s">
        <v>40</v>
      </c>
      <c r="D23" t="s">
        <v>41</v>
      </c>
      <c r="E23" t="s">
        <v>21</v>
      </c>
      <c r="F23" t="s">
        <v>16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0.16666666666666699</v>
      </c>
      <c r="P23" s="6">
        <v>0</v>
      </c>
      <c r="Q23" s="6">
        <v>0.16666666666666699</v>
      </c>
      <c r="R23" s="6">
        <v>0</v>
      </c>
      <c r="S23" s="6">
        <v>0</v>
      </c>
      <c r="T23" s="6">
        <v>0.28571428571428598</v>
      </c>
      <c r="U23" s="6">
        <v>1</v>
      </c>
      <c r="V23" s="6">
        <v>2.3333333333333299</v>
      </c>
      <c r="W23" s="6">
        <v>1.5</v>
      </c>
      <c r="X23" s="6">
        <v>7.3333333333333304</v>
      </c>
      <c r="Y23" s="6">
        <v>5.3333333333333304</v>
      </c>
      <c r="Z23" s="6">
        <v>0.57142857142857095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</row>
    <row r="24" spans="1:32" hidden="1">
      <c r="A24" t="s">
        <v>57</v>
      </c>
      <c r="B24" t="s">
        <v>57</v>
      </c>
      <c r="C24" t="s">
        <v>19</v>
      </c>
      <c r="D24" t="s">
        <v>20</v>
      </c>
      <c r="E24" t="s">
        <v>11</v>
      </c>
      <c r="F24" t="s">
        <v>16</v>
      </c>
      <c r="G24" s="6">
        <v>1.1666666666666701</v>
      </c>
      <c r="H24" s="6">
        <v>1.4</v>
      </c>
      <c r="I24" s="6">
        <v>0.4</v>
      </c>
      <c r="J24" s="6">
        <v>0.6</v>
      </c>
      <c r="K24" s="6">
        <v>0.4</v>
      </c>
      <c r="L24" s="6">
        <v>0.83333333333333304</v>
      </c>
      <c r="M24" s="6">
        <v>1</v>
      </c>
      <c r="N24" s="6">
        <v>0.83333333333333304</v>
      </c>
      <c r="O24" s="6">
        <v>0.83333333333333304</v>
      </c>
      <c r="P24" s="6">
        <v>0.5</v>
      </c>
      <c r="Q24" s="6">
        <v>0.16666666666666699</v>
      </c>
      <c r="R24" s="6">
        <v>0.28571428571428598</v>
      </c>
      <c r="S24" s="6">
        <v>0.16666666666666699</v>
      </c>
      <c r="T24" s="6">
        <v>0</v>
      </c>
      <c r="U24" s="6">
        <v>0</v>
      </c>
      <c r="V24" s="6">
        <v>0.33333333333333298</v>
      </c>
      <c r="W24" s="6">
        <v>0.16666666666666699</v>
      </c>
      <c r="X24" s="6">
        <v>0.5</v>
      </c>
      <c r="Y24" s="6">
        <v>0.16666666666666699</v>
      </c>
      <c r="Z24" s="6">
        <v>0.85714285714285698</v>
      </c>
      <c r="AA24" s="6">
        <v>0.4</v>
      </c>
      <c r="AB24" s="6">
        <v>0.33333333333333298</v>
      </c>
      <c r="AC24" s="6">
        <v>0</v>
      </c>
      <c r="AD24" s="6">
        <v>0.22222222222222199</v>
      </c>
      <c r="AE24" s="6">
        <v>0.66666666666666696</v>
      </c>
      <c r="AF24" s="6">
        <v>0.5</v>
      </c>
    </row>
    <row r="25" spans="1:32" hidden="1">
      <c r="A25" t="s">
        <v>58</v>
      </c>
      <c r="B25" t="s">
        <v>58</v>
      </c>
      <c r="C25" t="s">
        <v>19</v>
      </c>
      <c r="D25" t="s">
        <v>20</v>
      </c>
      <c r="E25" t="s">
        <v>11</v>
      </c>
      <c r="F25" t="s">
        <v>16</v>
      </c>
      <c r="G25" s="6">
        <v>0</v>
      </c>
      <c r="H25" s="6">
        <v>0.2</v>
      </c>
      <c r="I25" s="6">
        <v>0</v>
      </c>
      <c r="J25" s="6">
        <v>0.8</v>
      </c>
      <c r="K25" s="6">
        <v>0.3</v>
      </c>
      <c r="L25" s="6">
        <v>0.5</v>
      </c>
      <c r="M25" s="6">
        <v>0.16666666666666699</v>
      </c>
      <c r="N25" s="6">
        <v>0.5</v>
      </c>
      <c r="O25" s="6">
        <v>0.16666666666666699</v>
      </c>
      <c r="P25" s="6">
        <v>0.83333333333333304</v>
      </c>
      <c r="Q25" s="6">
        <v>0</v>
      </c>
      <c r="R25" s="6">
        <v>0.14285714285714299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0.11111111111111099</v>
      </c>
      <c r="AE25" s="6">
        <v>0</v>
      </c>
      <c r="AF25" s="6">
        <v>0</v>
      </c>
    </row>
    <row r="26" spans="1:32" hidden="1">
      <c r="A26" t="s">
        <v>59</v>
      </c>
      <c r="B26" t="s">
        <v>59</v>
      </c>
      <c r="C26" t="s">
        <v>9</v>
      </c>
      <c r="D26" t="s">
        <v>10</v>
      </c>
      <c r="E26" t="s">
        <v>42</v>
      </c>
      <c r="F26" t="s">
        <v>42</v>
      </c>
      <c r="G26" s="6">
        <v>0.16666666666666699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</row>
    <row r="27" spans="1:32" hidden="1">
      <c r="A27" t="s">
        <v>60</v>
      </c>
      <c r="B27" t="s">
        <v>61</v>
      </c>
      <c r="C27" t="s">
        <v>24</v>
      </c>
      <c r="D27" t="s">
        <v>25</v>
      </c>
      <c r="E27" t="s">
        <v>15</v>
      </c>
      <c r="F27" t="s">
        <v>26</v>
      </c>
      <c r="G27" s="6">
        <v>0.16666666666666699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</row>
    <row r="28" spans="1:32" hidden="1">
      <c r="A28" t="s">
        <v>62</v>
      </c>
      <c r="B28" t="s">
        <v>63</v>
      </c>
      <c r="C28" t="s">
        <v>24</v>
      </c>
      <c r="D28" t="s">
        <v>25</v>
      </c>
      <c r="E28" t="s">
        <v>28</v>
      </c>
      <c r="F28" t="s">
        <v>29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0.16666666666666699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>
      <c r="A29" t="s">
        <v>64</v>
      </c>
      <c r="B29" t="s">
        <v>65</v>
      </c>
      <c r="C29" t="s">
        <v>65</v>
      </c>
      <c r="E29" t="s">
        <v>21</v>
      </c>
      <c r="F29" t="s">
        <v>16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0.66666666666666696</v>
      </c>
      <c r="O29" s="6">
        <v>1</v>
      </c>
      <c r="P29" s="6">
        <v>0.66666666666666696</v>
      </c>
      <c r="Q29" s="6">
        <v>0</v>
      </c>
      <c r="R29" s="6">
        <v>0.71428571428571397</v>
      </c>
      <c r="S29" s="6">
        <v>0</v>
      </c>
      <c r="T29" s="6">
        <v>0.42857142857142899</v>
      </c>
      <c r="U29" s="6">
        <v>0.5</v>
      </c>
      <c r="V29" s="6">
        <v>0.66666666666666696</v>
      </c>
      <c r="W29" s="6">
        <v>1</v>
      </c>
      <c r="X29" s="6">
        <v>0.66666666666666696</v>
      </c>
      <c r="Y29" s="6">
        <v>0.66666666666666696</v>
      </c>
      <c r="Z29" s="6">
        <v>1</v>
      </c>
      <c r="AA29" s="6">
        <v>0.8</v>
      </c>
      <c r="AB29" s="6">
        <v>0</v>
      </c>
      <c r="AC29" s="6">
        <v>0.8</v>
      </c>
      <c r="AD29" s="6">
        <v>0.88888888888888895</v>
      </c>
      <c r="AE29" s="6">
        <v>0.66666666666666696</v>
      </c>
      <c r="AF29" s="6">
        <v>1</v>
      </c>
    </row>
    <row r="30" spans="1:32" hidden="1">
      <c r="A30" t="s">
        <v>66</v>
      </c>
      <c r="B30" t="s">
        <v>66</v>
      </c>
      <c r="C30" t="s">
        <v>19</v>
      </c>
      <c r="D30" t="s">
        <v>20</v>
      </c>
      <c r="E30" t="s">
        <v>15</v>
      </c>
      <c r="F30" t="s">
        <v>16</v>
      </c>
      <c r="G30" s="6">
        <v>0</v>
      </c>
      <c r="H30" s="6">
        <v>0.2</v>
      </c>
      <c r="I30" s="6">
        <v>0.2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0.16666666666666699</v>
      </c>
      <c r="Z30" s="6">
        <v>0</v>
      </c>
      <c r="AA30" s="6">
        <v>0</v>
      </c>
      <c r="AB30" s="6">
        <v>0</v>
      </c>
      <c r="AC30" s="6">
        <v>0</v>
      </c>
      <c r="AD30" s="6">
        <v>0.11111111111111099</v>
      </c>
      <c r="AE30" s="6">
        <v>0</v>
      </c>
      <c r="AF30" s="6">
        <v>0</v>
      </c>
    </row>
    <row r="31" spans="1:32" hidden="1">
      <c r="A31" t="s">
        <v>67</v>
      </c>
      <c r="B31" t="s">
        <v>68</v>
      </c>
      <c r="C31" t="s">
        <v>19</v>
      </c>
      <c r="D31" t="s">
        <v>20</v>
      </c>
      <c r="E31" t="s">
        <v>15</v>
      </c>
      <c r="F31" t="s">
        <v>16</v>
      </c>
      <c r="G31" s="6">
        <v>0.33333333333333298</v>
      </c>
      <c r="H31" s="6">
        <v>0</v>
      </c>
      <c r="I31" s="6">
        <v>0.2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0.33333333333333298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</row>
    <row r="32" spans="1:32" hidden="1">
      <c r="A32" t="s">
        <v>69</v>
      </c>
      <c r="B32" t="s">
        <v>69</v>
      </c>
      <c r="C32" t="s">
        <v>19</v>
      </c>
      <c r="D32" t="s">
        <v>20</v>
      </c>
      <c r="E32" t="s">
        <v>15</v>
      </c>
      <c r="F32" t="s">
        <v>16</v>
      </c>
      <c r="G32" s="6">
        <v>0.16666666666666699</v>
      </c>
      <c r="H32" s="6">
        <v>0.2</v>
      </c>
      <c r="I32" s="6">
        <v>0.4</v>
      </c>
      <c r="J32" s="6">
        <v>0</v>
      </c>
      <c r="K32" s="6">
        <v>0.6</v>
      </c>
      <c r="L32" s="6">
        <v>0</v>
      </c>
      <c r="M32" s="6">
        <v>0</v>
      </c>
      <c r="N32" s="6">
        <v>0.16666666666666699</v>
      </c>
      <c r="O32" s="6">
        <v>0</v>
      </c>
      <c r="P32" s="6">
        <v>0</v>
      </c>
      <c r="Q32" s="6">
        <v>0</v>
      </c>
      <c r="R32" s="6">
        <v>0.42857142857142899</v>
      </c>
      <c r="S32" s="6">
        <v>0</v>
      </c>
      <c r="T32" s="6">
        <v>0</v>
      </c>
      <c r="U32" s="6">
        <v>0.375</v>
      </c>
      <c r="V32" s="6">
        <v>0</v>
      </c>
      <c r="W32" s="6">
        <v>0</v>
      </c>
      <c r="X32" s="6">
        <v>0</v>
      </c>
      <c r="Y32" s="6">
        <v>0</v>
      </c>
      <c r="Z32" s="6">
        <v>0.14285714285714299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0.83333333333333304</v>
      </c>
    </row>
    <row r="33" spans="1:32" hidden="1">
      <c r="A33" t="s">
        <v>70</v>
      </c>
      <c r="B33" t="s">
        <v>71</v>
      </c>
      <c r="C33" t="s">
        <v>19</v>
      </c>
      <c r="D33" t="s">
        <v>20</v>
      </c>
      <c r="E33" t="s">
        <v>46</v>
      </c>
      <c r="F33" t="s">
        <v>16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0.16666666666666699</v>
      </c>
      <c r="O33" s="6">
        <v>0</v>
      </c>
      <c r="P33" s="6">
        <v>0.16666666666666699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0.22222222222222199</v>
      </c>
      <c r="AE33" s="6">
        <v>0</v>
      </c>
      <c r="AF33" s="6">
        <v>0</v>
      </c>
    </row>
    <row r="34" spans="1:32" hidden="1">
      <c r="A34" t="s">
        <v>72</v>
      </c>
      <c r="B34" t="s">
        <v>72</v>
      </c>
      <c r="C34" t="s">
        <v>19</v>
      </c>
      <c r="D34" t="s">
        <v>20</v>
      </c>
      <c r="E34" t="s">
        <v>15</v>
      </c>
      <c r="F34" t="s">
        <v>16</v>
      </c>
      <c r="G34" s="6">
        <v>0.33333333333333298</v>
      </c>
      <c r="H34" s="6">
        <v>0.4</v>
      </c>
      <c r="I34" s="6">
        <v>0.2</v>
      </c>
      <c r="J34" s="6">
        <v>0.2</v>
      </c>
      <c r="K34" s="6">
        <v>0</v>
      </c>
      <c r="L34" s="6">
        <v>0.33333333333333298</v>
      </c>
      <c r="M34" s="6">
        <v>0</v>
      </c>
      <c r="N34" s="6">
        <v>0.16666666666666699</v>
      </c>
      <c r="O34" s="6">
        <v>0</v>
      </c>
      <c r="P34" s="6">
        <v>0</v>
      </c>
      <c r="Q34" s="6">
        <v>0</v>
      </c>
      <c r="R34" s="6">
        <v>0</v>
      </c>
      <c r="S34" s="6">
        <v>0.5</v>
      </c>
      <c r="T34" s="6">
        <v>0</v>
      </c>
      <c r="U34" s="6">
        <v>0</v>
      </c>
      <c r="V34" s="6">
        <v>0.33333333333333298</v>
      </c>
      <c r="W34" s="6">
        <v>0</v>
      </c>
      <c r="X34" s="6">
        <v>0.33333333333333298</v>
      </c>
      <c r="Y34" s="6">
        <v>0.16666666666666699</v>
      </c>
      <c r="Z34" s="6">
        <v>0</v>
      </c>
      <c r="AA34" s="6">
        <v>0.2</v>
      </c>
      <c r="AB34" s="6">
        <v>0.33333333333333298</v>
      </c>
      <c r="AC34" s="6">
        <v>0</v>
      </c>
      <c r="AD34" s="6">
        <v>0</v>
      </c>
      <c r="AE34" s="6">
        <v>0</v>
      </c>
      <c r="AF34" s="6">
        <v>0</v>
      </c>
    </row>
    <row r="35" spans="1:32" hidden="1">
      <c r="A35" t="s">
        <v>73</v>
      </c>
      <c r="B35" t="s">
        <v>73</v>
      </c>
      <c r="C35" t="s">
        <v>19</v>
      </c>
      <c r="D35" t="s">
        <v>20</v>
      </c>
      <c r="E35" t="s">
        <v>15</v>
      </c>
      <c r="F35" t="s">
        <v>16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0.16666666666666699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0.11111111111111099</v>
      </c>
      <c r="AE35" s="6">
        <v>0</v>
      </c>
      <c r="AF35" s="6">
        <v>0</v>
      </c>
    </row>
    <row r="36" spans="1:32" hidden="1">
      <c r="A36" t="s">
        <v>74</v>
      </c>
      <c r="B36" t="s">
        <v>74</v>
      </c>
      <c r="C36" t="s">
        <v>24</v>
      </c>
      <c r="D36" t="s">
        <v>25</v>
      </c>
      <c r="E36" t="s">
        <v>15</v>
      </c>
      <c r="F36" t="s">
        <v>26</v>
      </c>
      <c r="G36" s="6">
        <v>0.66666666666666696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0.125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</row>
    <row r="37" spans="1:32" hidden="1">
      <c r="A37" t="s">
        <v>75</v>
      </c>
      <c r="B37" t="s">
        <v>75</v>
      </c>
      <c r="C37" t="s">
        <v>9</v>
      </c>
      <c r="D37" t="s">
        <v>10</v>
      </c>
      <c r="E37" t="s">
        <v>46</v>
      </c>
      <c r="F37" t="s">
        <v>16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0.16666666666666699</v>
      </c>
      <c r="O37" s="6">
        <v>0</v>
      </c>
      <c r="P37" s="6">
        <v>0</v>
      </c>
      <c r="Q37" s="6">
        <v>0</v>
      </c>
      <c r="R37" s="6">
        <v>0.14285714285714299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1</v>
      </c>
      <c r="AB37" s="6">
        <v>0</v>
      </c>
      <c r="AC37" s="6">
        <v>0</v>
      </c>
      <c r="AD37" s="6">
        <v>0.11111111111111099</v>
      </c>
      <c r="AE37" s="6">
        <v>0</v>
      </c>
      <c r="AF37" s="6">
        <v>0</v>
      </c>
    </row>
    <row r="38" spans="1:32" hidden="1">
      <c r="A38" t="s">
        <v>76</v>
      </c>
      <c r="B38" t="s">
        <v>77</v>
      </c>
      <c r="C38" t="s">
        <v>24</v>
      </c>
      <c r="D38" t="s">
        <v>25</v>
      </c>
      <c r="E38" t="s">
        <v>46</v>
      </c>
      <c r="F38" t="s">
        <v>16</v>
      </c>
      <c r="G38" s="6">
        <v>1.8333333333333299</v>
      </c>
      <c r="H38" s="6">
        <v>3.8</v>
      </c>
      <c r="I38" s="6">
        <v>0</v>
      </c>
      <c r="J38" s="6">
        <v>0.6</v>
      </c>
      <c r="K38" s="6">
        <v>0</v>
      </c>
      <c r="L38" s="6">
        <v>0.33333333333333298</v>
      </c>
      <c r="M38" s="6">
        <v>0.16666666666666699</v>
      </c>
      <c r="N38" s="6">
        <v>0.5</v>
      </c>
      <c r="O38" s="6">
        <v>0.33333333333333298</v>
      </c>
      <c r="P38" s="6">
        <v>0.16666666666666699</v>
      </c>
      <c r="Q38" s="6">
        <v>0.66666666666666696</v>
      </c>
      <c r="R38" s="6">
        <v>0</v>
      </c>
      <c r="S38" s="6">
        <v>1</v>
      </c>
      <c r="T38" s="6">
        <v>0.28571428571428598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0.2</v>
      </c>
      <c r="AB38" s="6">
        <v>0</v>
      </c>
      <c r="AC38" s="6">
        <v>0</v>
      </c>
      <c r="AD38" s="6">
        <v>0</v>
      </c>
      <c r="AE38" s="6">
        <v>0</v>
      </c>
      <c r="AF38" s="6">
        <v>0.16666666666666699</v>
      </c>
    </row>
    <row r="39" spans="1:32" hidden="1">
      <c r="A39" t="s">
        <v>78</v>
      </c>
      <c r="B39" t="s">
        <v>79</v>
      </c>
      <c r="C39" t="s">
        <v>80</v>
      </c>
      <c r="D39" t="s">
        <v>81</v>
      </c>
      <c r="E39" t="s">
        <v>42</v>
      </c>
      <c r="F39" t="s">
        <v>42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0.16666666666666699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</row>
    <row r="40" spans="1:32" hidden="1">
      <c r="A40" t="s">
        <v>82</v>
      </c>
      <c r="B40" t="s">
        <v>83</v>
      </c>
      <c r="C40" t="s">
        <v>84</v>
      </c>
      <c r="D40" t="s">
        <v>85</v>
      </c>
      <c r="E40" t="s">
        <v>86</v>
      </c>
      <c r="F40" t="s">
        <v>16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0.16666666666666699</v>
      </c>
      <c r="O40" s="6">
        <v>0</v>
      </c>
      <c r="P40" s="6">
        <v>0</v>
      </c>
      <c r="Q40" s="6">
        <v>0.16666666666666699</v>
      </c>
      <c r="R40" s="6">
        <v>0.14285714285714299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</row>
    <row r="41" spans="1:32" hidden="1">
      <c r="A41" t="s">
        <v>87</v>
      </c>
      <c r="B41" t="s">
        <v>87</v>
      </c>
      <c r="C41" t="s">
        <v>24</v>
      </c>
      <c r="D41" t="s">
        <v>25</v>
      </c>
      <c r="E41" t="s">
        <v>15</v>
      </c>
      <c r="F41" t="s">
        <v>26</v>
      </c>
      <c r="G41" s="6">
        <v>0.33333333333333298</v>
      </c>
      <c r="H41" s="6">
        <v>2.4</v>
      </c>
      <c r="I41" s="6">
        <v>7.2</v>
      </c>
      <c r="J41" s="6">
        <v>0</v>
      </c>
      <c r="K41" s="6">
        <v>0.3</v>
      </c>
      <c r="L41" s="6">
        <v>0</v>
      </c>
      <c r="M41" s="6">
        <v>0.16666666666666699</v>
      </c>
      <c r="N41" s="6">
        <v>0</v>
      </c>
      <c r="O41" s="6">
        <v>0.16666666666666699</v>
      </c>
      <c r="P41" s="6">
        <v>0</v>
      </c>
      <c r="Q41" s="6">
        <v>0.16666666666666699</v>
      </c>
      <c r="R41" s="6">
        <v>0</v>
      </c>
      <c r="S41" s="6">
        <v>0</v>
      </c>
      <c r="T41" s="6">
        <v>0.71428571428571397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0.66666666666666696</v>
      </c>
      <c r="AF41" s="6">
        <v>0</v>
      </c>
    </row>
    <row r="42" spans="1:32" hidden="1">
      <c r="A42" t="s">
        <v>88</v>
      </c>
      <c r="B42" t="s">
        <v>88</v>
      </c>
      <c r="C42" t="s">
        <v>40</v>
      </c>
      <c r="D42" t="s">
        <v>41</v>
      </c>
      <c r="E42" t="s">
        <v>42</v>
      </c>
      <c r="F42" t="s">
        <v>42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0.16666666666666699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0.16666666666666699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hidden="1">
      <c r="A43" t="s">
        <v>89</v>
      </c>
      <c r="B43" t="s">
        <v>89</v>
      </c>
      <c r="C43" t="s">
        <v>44</v>
      </c>
      <c r="D43" t="s">
        <v>90</v>
      </c>
      <c r="E43" t="s">
        <v>15</v>
      </c>
      <c r="F43" t="s">
        <v>26</v>
      </c>
      <c r="G43" s="6">
        <v>1.6666666666666701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</row>
    <row r="44" spans="1:32" hidden="1">
      <c r="A44" t="s">
        <v>91</v>
      </c>
      <c r="B44" t="s">
        <v>91</v>
      </c>
      <c r="C44" t="s">
        <v>9</v>
      </c>
      <c r="D44" t="s">
        <v>92</v>
      </c>
      <c r="E44" t="s">
        <v>42</v>
      </c>
      <c r="F44" t="s">
        <v>42</v>
      </c>
      <c r="G44" s="6">
        <v>0.5</v>
      </c>
      <c r="H44" s="6">
        <v>0.8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0.16666666666666699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</row>
    <row r="45" spans="1:32">
      <c r="A45" t="s">
        <v>93</v>
      </c>
      <c r="B45" t="s">
        <v>94</v>
      </c>
      <c r="C45" t="s">
        <v>24</v>
      </c>
      <c r="D45" t="s">
        <v>25</v>
      </c>
      <c r="E45" t="s">
        <v>21</v>
      </c>
      <c r="F45" t="s">
        <v>16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0.16666666666666699</v>
      </c>
      <c r="N45" s="6">
        <v>0</v>
      </c>
      <c r="O45" s="6">
        <v>0.16666666666666699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</row>
    <row r="46" spans="1:32">
      <c r="A46" t="s">
        <v>95</v>
      </c>
      <c r="B46" t="s">
        <v>96</v>
      </c>
      <c r="C46" t="s">
        <v>19</v>
      </c>
      <c r="D46" t="s">
        <v>97</v>
      </c>
      <c r="E46" t="s">
        <v>21</v>
      </c>
      <c r="F46" t="s">
        <v>16</v>
      </c>
      <c r="G46" s="6">
        <v>0</v>
      </c>
      <c r="H46" s="6">
        <v>0.2</v>
      </c>
      <c r="I46" s="6">
        <v>0.2</v>
      </c>
      <c r="J46" s="6">
        <v>0.6</v>
      </c>
      <c r="K46" s="6">
        <v>0.2</v>
      </c>
      <c r="L46" s="6">
        <v>0.5</v>
      </c>
      <c r="M46" s="6">
        <v>0.5</v>
      </c>
      <c r="N46" s="6">
        <v>0.33333333333333298</v>
      </c>
      <c r="O46" s="6">
        <v>0.16666666666666699</v>
      </c>
      <c r="P46" s="6">
        <v>0.16666666666666699</v>
      </c>
      <c r="Q46" s="6">
        <v>0</v>
      </c>
      <c r="R46" s="6">
        <v>0</v>
      </c>
      <c r="S46" s="6">
        <v>0.33333333333333298</v>
      </c>
      <c r="T46" s="6">
        <v>0</v>
      </c>
      <c r="U46" s="6">
        <v>0.125</v>
      </c>
      <c r="V46" s="6">
        <v>0</v>
      </c>
      <c r="W46" s="6">
        <v>0</v>
      </c>
      <c r="X46" s="6">
        <v>0</v>
      </c>
      <c r="Y46" s="6">
        <v>0.33333333333333298</v>
      </c>
      <c r="Z46" s="6">
        <v>0.14285714285714299</v>
      </c>
      <c r="AA46" s="6">
        <v>0.2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</row>
    <row r="47" spans="1:32">
      <c r="A47" t="s">
        <v>98</v>
      </c>
      <c r="B47" t="s">
        <v>99</v>
      </c>
      <c r="C47" t="s">
        <v>24</v>
      </c>
      <c r="D47" t="s">
        <v>25</v>
      </c>
      <c r="E47" t="s">
        <v>21</v>
      </c>
      <c r="F47" t="s">
        <v>26</v>
      </c>
      <c r="G47" s="6">
        <v>0.5</v>
      </c>
      <c r="H47" s="6">
        <v>0.2</v>
      </c>
      <c r="I47" s="6">
        <v>0.4</v>
      </c>
      <c r="J47" s="6">
        <v>0</v>
      </c>
      <c r="K47" s="6">
        <v>0.5</v>
      </c>
      <c r="L47" s="6">
        <v>0</v>
      </c>
      <c r="M47" s="6">
        <v>0.5</v>
      </c>
      <c r="N47" s="6">
        <v>0</v>
      </c>
      <c r="O47" s="6">
        <v>0</v>
      </c>
      <c r="P47" s="6">
        <v>0.16666666666666699</v>
      </c>
      <c r="Q47" s="6">
        <v>0</v>
      </c>
      <c r="R47" s="6">
        <v>0</v>
      </c>
      <c r="S47" s="6">
        <v>0</v>
      </c>
      <c r="T47" s="6">
        <v>0.85714285714285698</v>
      </c>
      <c r="U47" s="6">
        <v>0.125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0.2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</row>
    <row r="48" spans="1:32">
      <c r="A48" t="s">
        <v>100</v>
      </c>
      <c r="B48" t="s">
        <v>100</v>
      </c>
      <c r="C48" t="s">
        <v>19</v>
      </c>
      <c r="D48" t="s">
        <v>97</v>
      </c>
      <c r="E48" t="s">
        <v>21</v>
      </c>
      <c r="F48" t="s">
        <v>26</v>
      </c>
      <c r="G48" s="6">
        <v>1.1666666666666701</v>
      </c>
      <c r="H48" s="6">
        <v>3.4</v>
      </c>
      <c r="I48" s="6">
        <v>0.6</v>
      </c>
      <c r="J48" s="6">
        <v>0</v>
      </c>
      <c r="K48" s="6">
        <v>0.2</v>
      </c>
      <c r="L48" s="6">
        <v>0.16666666666666699</v>
      </c>
      <c r="M48" s="6">
        <v>0.16666666666666699</v>
      </c>
      <c r="N48" s="6">
        <v>0.16666666666666699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0.33333333333333298</v>
      </c>
      <c r="W48" s="6">
        <v>0.16666666666666699</v>
      </c>
      <c r="X48" s="6">
        <v>0</v>
      </c>
      <c r="Y48" s="6">
        <v>0.16666666666666699</v>
      </c>
      <c r="Z48" s="6">
        <v>0.85714285714285698</v>
      </c>
      <c r="AA48" s="6">
        <v>0</v>
      </c>
      <c r="AB48" s="6">
        <v>0</v>
      </c>
      <c r="AC48" s="6">
        <v>0</v>
      </c>
      <c r="AD48" s="6">
        <v>0.44444444444444398</v>
      </c>
      <c r="AE48" s="6">
        <v>0</v>
      </c>
      <c r="AF48" s="6">
        <v>2</v>
      </c>
    </row>
    <row r="49" spans="1:32" hidden="1">
      <c r="A49" t="s">
        <v>101</v>
      </c>
      <c r="B49" t="s">
        <v>101</v>
      </c>
      <c r="C49" t="s">
        <v>24</v>
      </c>
      <c r="D49" t="s">
        <v>25</v>
      </c>
      <c r="E49" t="s">
        <v>15</v>
      </c>
      <c r="F49" t="s">
        <v>26</v>
      </c>
      <c r="G49" s="6">
        <v>1</v>
      </c>
      <c r="H49" s="6">
        <v>1</v>
      </c>
      <c r="I49" s="6">
        <v>0.2</v>
      </c>
      <c r="J49" s="6">
        <v>0</v>
      </c>
      <c r="K49" s="6">
        <v>0.3</v>
      </c>
      <c r="L49" s="6">
        <v>0.66666666666666696</v>
      </c>
      <c r="M49" s="6">
        <v>1.1666666666666701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</row>
    <row r="50" spans="1:32" hidden="1">
      <c r="A50" t="s">
        <v>102</v>
      </c>
      <c r="B50" t="s">
        <v>103</v>
      </c>
      <c r="C50" t="s">
        <v>84</v>
      </c>
      <c r="D50" t="s">
        <v>85</v>
      </c>
      <c r="E50" t="s">
        <v>86</v>
      </c>
      <c r="F50" t="s">
        <v>16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0.33333333333333298</v>
      </c>
      <c r="O50" s="6">
        <v>0.16666666666666699</v>
      </c>
      <c r="P50" s="6">
        <v>0</v>
      </c>
      <c r="Q50" s="6">
        <v>0</v>
      </c>
      <c r="R50" s="6">
        <v>0.57142857142857095</v>
      </c>
      <c r="S50" s="6">
        <v>0</v>
      </c>
      <c r="T50" s="6">
        <v>0.14285714285714299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</row>
    <row r="51" spans="1:32" hidden="1">
      <c r="A51" t="s">
        <v>104</v>
      </c>
      <c r="B51" t="s">
        <v>105</v>
      </c>
      <c r="C51" t="s">
        <v>19</v>
      </c>
      <c r="D51" t="s">
        <v>20</v>
      </c>
      <c r="E51" t="s">
        <v>11</v>
      </c>
      <c r="F51" t="s">
        <v>16</v>
      </c>
      <c r="G51" s="6">
        <v>0</v>
      </c>
      <c r="H51" s="6">
        <v>0</v>
      </c>
      <c r="I51" s="6">
        <v>0</v>
      </c>
      <c r="J51" s="6">
        <v>0.2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</row>
    <row r="52" spans="1:32" hidden="1">
      <c r="A52" t="s">
        <v>106</v>
      </c>
      <c r="B52" t="s">
        <v>106</v>
      </c>
      <c r="C52" t="s">
        <v>80</v>
      </c>
      <c r="D52" t="s">
        <v>81</v>
      </c>
      <c r="E52" t="s">
        <v>86</v>
      </c>
      <c r="F52" t="s">
        <v>16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0.16666666666666699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</row>
    <row r="53" spans="1:32" hidden="1">
      <c r="A53" t="s">
        <v>107</v>
      </c>
      <c r="B53" t="s">
        <v>108</v>
      </c>
      <c r="C53" t="s">
        <v>9</v>
      </c>
      <c r="D53" t="s">
        <v>10</v>
      </c>
      <c r="E53" t="s">
        <v>15</v>
      </c>
      <c r="F53" t="s">
        <v>16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0.16666666666666699</v>
      </c>
      <c r="N53" s="6">
        <v>0.16666666666666699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</row>
    <row r="54" spans="1:32" hidden="1">
      <c r="A54" t="s">
        <v>109</v>
      </c>
      <c r="B54" t="s">
        <v>110</v>
      </c>
      <c r="C54" t="s">
        <v>19</v>
      </c>
      <c r="D54" t="s">
        <v>20</v>
      </c>
      <c r="E54" t="s">
        <v>46</v>
      </c>
      <c r="F54" t="s">
        <v>16</v>
      </c>
      <c r="G54" s="6">
        <v>0.16666666666666699</v>
      </c>
      <c r="H54" s="6">
        <v>0</v>
      </c>
      <c r="I54" s="6">
        <v>0</v>
      </c>
      <c r="J54" s="6">
        <v>0</v>
      </c>
      <c r="K54" s="6">
        <v>0.2</v>
      </c>
      <c r="L54" s="6">
        <v>0.16666666666666699</v>
      </c>
      <c r="M54" s="6">
        <v>0</v>
      </c>
      <c r="N54" s="6">
        <v>0.16666666666666699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0.2</v>
      </c>
      <c r="AD54" s="6">
        <v>0.11111111111111099</v>
      </c>
      <c r="AE54" s="6">
        <v>0</v>
      </c>
      <c r="AF54" s="6">
        <v>0</v>
      </c>
    </row>
    <row r="55" spans="1:32" hidden="1">
      <c r="A55" t="s">
        <v>111</v>
      </c>
      <c r="B55" t="s">
        <v>111</v>
      </c>
      <c r="C55" t="s">
        <v>24</v>
      </c>
      <c r="D55" t="s">
        <v>25</v>
      </c>
      <c r="E55" t="s">
        <v>15</v>
      </c>
      <c r="F55" t="s">
        <v>26</v>
      </c>
      <c r="G55" s="6">
        <v>0.16666666666666699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</row>
    <row r="56" spans="1:32">
      <c r="A56" t="s">
        <v>112</v>
      </c>
      <c r="B56" t="s">
        <v>112</v>
      </c>
      <c r="C56" t="s">
        <v>19</v>
      </c>
      <c r="D56" t="s">
        <v>97</v>
      </c>
      <c r="E56" t="s">
        <v>21</v>
      </c>
      <c r="F56" t="s">
        <v>26</v>
      </c>
      <c r="G56" s="6">
        <v>1</v>
      </c>
      <c r="H56" s="6">
        <v>1.8</v>
      </c>
      <c r="I56" s="6">
        <v>0.4</v>
      </c>
      <c r="J56" s="6">
        <v>2</v>
      </c>
      <c r="K56" s="6">
        <v>0.8</v>
      </c>
      <c r="L56" s="6">
        <v>0.33333333333333298</v>
      </c>
      <c r="M56" s="6">
        <v>1.6666666666666701</v>
      </c>
      <c r="N56" s="6">
        <v>2.8333333333333299</v>
      </c>
      <c r="O56" s="6">
        <v>9</v>
      </c>
      <c r="P56" s="6">
        <v>0.83333333333333304</v>
      </c>
      <c r="Q56" s="6">
        <v>2</v>
      </c>
      <c r="R56" s="6">
        <v>0</v>
      </c>
      <c r="S56" s="6">
        <v>0.5</v>
      </c>
      <c r="T56" s="6">
        <v>4.4285714285714297</v>
      </c>
      <c r="U56" s="6">
        <v>0.875</v>
      </c>
      <c r="V56" s="6">
        <v>9.6666666666666696</v>
      </c>
      <c r="W56" s="6">
        <v>1</v>
      </c>
      <c r="X56" s="6">
        <v>0.66666666666666696</v>
      </c>
      <c r="Y56" s="6">
        <v>2.3333333333333299</v>
      </c>
      <c r="Z56" s="6">
        <v>1</v>
      </c>
      <c r="AA56" s="6">
        <v>0</v>
      </c>
      <c r="AB56" s="6">
        <v>1</v>
      </c>
      <c r="AC56" s="6">
        <v>0</v>
      </c>
      <c r="AD56" s="6">
        <v>0.11111111111111099</v>
      </c>
      <c r="AE56" s="6">
        <v>1.6666666666666701</v>
      </c>
      <c r="AF56" s="6">
        <v>2.8333333333333299</v>
      </c>
    </row>
    <row r="57" spans="1:32" hidden="1">
      <c r="A57" t="s">
        <v>113</v>
      </c>
      <c r="B57" t="s">
        <v>113</v>
      </c>
      <c r="C57" t="s">
        <v>44</v>
      </c>
      <c r="D57" t="s">
        <v>45</v>
      </c>
      <c r="E57" t="s">
        <v>46</v>
      </c>
      <c r="F57" t="s">
        <v>16</v>
      </c>
      <c r="G57" s="6">
        <v>0</v>
      </c>
      <c r="H57" s="6">
        <v>0.2</v>
      </c>
      <c r="I57" s="6">
        <v>0.2</v>
      </c>
      <c r="J57" s="6">
        <v>0.2</v>
      </c>
      <c r="K57" s="6">
        <v>0.1</v>
      </c>
      <c r="L57" s="6">
        <v>0.16666666666666699</v>
      </c>
      <c r="M57" s="6">
        <v>0</v>
      </c>
      <c r="N57" s="6">
        <v>0.16666666666666699</v>
      </c>
      <c r="O57" s="6">
        <v>0</v>
      </c>
      <c r="P57" s="6">
        <v>0.16666666666666699</v>
      </c>
      <c r="Q57" s="6">
        <v>0.33333333333333298</v>
      </c>
      <c r="R57" s="6">
        <v>0.14285714285714299</v>
      </c>
      <c r="S57" s="6">
        <v>0.66666666666666696</v>
      </c>
      <c r="T57" s="6">
        <v>0.14285714285714299</v>
      </c>
      <c r="U57" s="6">
        <v>0</v>
      </c>
      <c r="V57" s="6">
        <v>0</v>
      </c>
      <c r="W57" s="6">
        <v>0.16666666666666699</v>
      </c>
      <c r="X57" s="6">
        <v>0.16666666666666699</v>
      </c>
      <c r="Y57" s="6">
        <v>0.16666666666666699</v>
      </c>
      <c r="Z57" s="6">
        <v>0.14285714285714299</v>
      </c>
      <c r="AA57" s="6">
        <v>0.2</v>
      </c>
      <c r="AB57" s="6">
        <v>0</v>
      </c>
      <c r="AC57" s="6">
        <v>0</v>
      </c>
      <c r="AD57" s="6">
        <v>0.11111111111111099</v>
      </c>
      <c r="AE57" s="6">
        <v>0.33333333333333298</v>
      </c>
      <c r="AF57" s="6">
        <v>0.66666666666666696</v>
      </c>
    </row>
    <row r="58" spans="1:32" hidden="1">
      <c r="A58" t="s">
        <v>114</v>
      </c>
      <c r="B58" t="s">
        <v>115</v>
      </c>
      <c r="C58" t="s">
        <v>19</v>
      </c>
      <c r="D58" t="s">
        <v>20</v>
      </c>
      <c r="E58" t="s">
        <v>15</v>
      </c>
      <c r="F58" t="s">
        <v>16</v>
      </c>
      <c r="G58" s="6">
        <v>0.5</v>
      </c>
      <c r="H58" s="6">
        <v>1.2</v>
      </c>
      <c r="I58" s="6">
        <v>0.6</v>
      </c>
      <c r="J58" s="6">
        <v>0</v>
      </c>
      <c r="K58" s="6">
        <v>0.2</v>
      </c>
      <c r="L58" s="6">
        <v>0</v>
      </c>
      <c r="M58" s="6">
        <v>0.5</v>
      </c>
      <c r="N58" s="6">
        <v>0.16666666666666699</v>
      </c>
      <c r="O58" s="6">
        <v>0</v>
      </c>
      <c r="P58" s="6">
        <v>0</v>
      </c>
      <c r="Q58" s="6">
        <v>0.5</v>
      </c>
      <c r="R58" s="6">
        <v>0.14285714285714299</v>
      </c>
      <c r="S58" s="6">
        <v>1</v>
      </c>
      <c r="T58" s="6">
        <v>0.42857142857142899</v>
      </c>
      <c r="U58" s="6">
        <v>0.125</v>
      </c>
      <c r="V58" s="6">
        <v>1.1666666666666701</v>
      </c>
      <c r="W58" s="6">
        <v>0</v>
      </c>
      <c r="X58" s="6">
        <v>0.83333333333333304</v>
      </c>
      <c r="Y58" s="6">
        <v>1.3333333333333299</v>
      </c>
      <c r="Z58" s="6">
        <v>0.28571428571428598</v>
      </c>
      <c r="AA58" s="6">
        <v>0.2</v>
      </c>
      <c r="AB58" s="6">
        <v>0</v>
      </c>
      <c r="AC58" s="6">
        <v>0.4</v>
      </c>
      <c r="AD58" s="6">
        <v>0.33333333333333298</v>
      </c>
      <c r="AE58" s="6">
        <v>0.33333333333333298</v>
      </c>
      <c r="AF58" s="6">
        <v>0.16666666666666699</v>
      </c>
    </row>
    <row r="59" spans="1:32" hidden="1">
      <c r="A59" t="s">
        <v>116</v>
      </c>
      <c r="B59" t="s">
        <v>116</v>
      </c>
      <c r="C59" t="s">
        <v>19</v>
      </c>
      <c r="D59" t="s">
        <v>20</v>
      </c>
      <c r="E59" t="s">
        <v>15</v>
      </c>
      <c r="F59" t="s">
        <v>16</v>
      </c>
      <c r="G59" s="6">
        <v>0.16666666666666699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</row>
    <row r="60" spans="1:32">
      <c r="A60" t="s">
        <v>117</v>
      </c>
      <c r="B60" t="s">
        <v>117</v>
      </c>
      <c r="C60" t="s">
        <v>19</v>
      </c>
      <c r="D60" t="s">
        <v>97</v>
      </c>
      <c r="E60" t="s">
        <v>21</v>
      </c>
      <c r="F60" t="s">
        <v>26</v>
      </c>
      <c r="G60" s="6">
        <v>0</v>
      </c>
      <c r="H60" s="6">
        <v>0.2</v>
      </c>
      <c r="I60" s="6">
        <v>0</v>
      </c>
      <c r="J60" s="6">
        <v>0.2</v>
      </c>
      <c r="K60" s="6">
        <v>0</v>
      </c>
      <c r="L60" s="6">
        <v>0</v>
      </c>
      <c r="M60" s="6">
        <v>0.16666666666666699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0.28571428571428598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0.5</v>
      </c>
    </row>
    <row r="61" spans="1:32">
      <c r="A61" t="s">
        <v>118</v>
      </c>
      <c r="B61" t="s">
        <v>119</v>
      </c>
      <c r="C61" t="s">
        <v>24</v>
      </c>
      <c r="D61" t="s">
        <v>25</v>
      </c>
      <c r="E61" t="s">
        <v>21</v>
      </c>
      <c r="F61" t="s">
        <v>16</v>
      </c>
      <c r="G61" s="6">
        <v>1.1666666666666701</v>
      </c>
      <c r="H61" s="6">
        <v>0.4</v>
      </c>
      <c r="I61" s="6">
        <v>0.4</v>
      </c>
      <c r="J61" s="6">
        <v>0</v>
      </c>
      <c r="K61" s="6">
        <v>0.1</v>
      </c>
      <c r="L61" s="6">
        <v>0</v>
      </c>
      <c r="M61" s="6">
        <v>0.33333333333333298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1.55555555555556</v>
      </c>
      <c r="AE61" s="6">
        <v>0.33333333333333298</v>
      </c>
      <c r="AF61" s="6">
        <v>0.83333333333333304</v>
      </c>
    </row>
    <row r="62" spans="1:32">
      <c r="A62" t="s">
        <v>120</v>
      </c>
      <c r="B62" t="s">
        <v>120</v>
      </c>
      <c r="C62" t="s">
        <v>40</v>
      </c>
      <c r="D62" t="s">
        <v>41</v>
      </c>
      <c r="E62" t="s">
        <v>21</v>
      </c>
      <c r="F62" t="s">
        <v>16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0.33333333333333298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</row>
    <row r="63" spans="1:32" hidden="1">
      <c r="A63" t="s">
        <v>121</v>
      </c>
      <c r="B63" t="s">
        <v>121</v>
      </c>
      <c r="C63" t="s">
        <v>19</v>
      </c>
      <c r="D63" t="s">
        <v>20</v>
      </c>
      <c r="E63" t="s">
        <v>15</v>
      </c>
      <c r="F63" t="s">
        <v>16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0.16666666666666699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</row>
    <row r="64" spans="1:32" hidden="1">
      <c r="A64" t="s">
        <v>122</v>
      </c>
      <c r="B64" t="s">
        <v>122</v>
      </c>
      <c r="C64" t="s">
        <v>19</v>
      </c>
      <c r="D64" t="s">
        <v>20</v>
      </c>
      <c r="E64" t="s">
        <v>15</v>
      </c>
      <c r="F64" t="s">
        <v>16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0.16666666666666699</v>
      </c>
      <c r="O64" s="6">
        <v>0.16666666666666699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</row>
    <row r="65" spans="1:32" hidden="1">
      <c r="A65" t="s">
        <v>123</v>
      </c>
      <c r="B65" t="s">
        <v>123</v>
      </c>
      <c r="C65" t="s">
        <v>124</v>
      </c>
      <c r="D65" t="s">
        <v>125</v>
      </c>
      <c r="E65" t="s">
        <v>86</v>
      </c>
      <c r="F65" t="s">
        <v>16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0.5</v>
      </c>
      <c r="O65" s="6">
        <v>0</v>
      </c>
      <c r="P65" s="6">
        <v>0</v>
      </c>
      <c r="Q65" s="6">
        <v>0</v>
      </c>
      <c r="R65" s="6">
        <v>0.14285714285714299</v>
      </c>
      <c r="S65" s="6">
        <v>0</v>
      </c>
      <c r="T65" s="6">
        <v>0</v>
      </c>
      <c r="U65" s="6">
        <v>0</v>
      </c>
      <c r="V65" s="6">
        <v>0</v>
      </c>
      <c r="W65" s="6">
        <v>0.16666666666666699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0.16666666666666699</v>
      </c>
    </row>
    <row r="66" spans="1:32" hidden="1">
      <c r="A66" t="s">
        <v>126</v>
      </c>
      <c r="B66" t="s">
        <v>126</v>
      </c>
      <c r="C66" t="s">
        <v>9</v>
      </c>
      <c r="D66" t="s">
        <v>10</v>
      </c>
      <c r="E66" t="s">
        <v>15</v>
      </c>
      <c r="F66" t="s">
        <v>26</v>
      </c>
      <c r="G66" s="6">
        <v>1</v>
      </c>
      <c r="H66" s="6">
        <v>0.4</v>
      </c>
      <c r="I66" s="6">
        <v>0.4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0.16666666666666699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0.25</v>
      </c>
      <c r="V66" s="6">
        <v>0.83333333333333304</v>
      </c>
      <c r="W66" s="6">
        <v>0</v>
      </c>
      <c r="X66" s="6">
        <v>0</v>
      </c>
      <c r="Y66" s="6">
        <v>0.16666666666666699</v>
      </c>
      <c r="Z66" s="6">
        <v>0.28571428571428598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0.16666666666666699</v>
      </c>
    </row>
    <row r="67" spans="1:32" hidden="1">
      <c r="A67" t="s">
        <v>127</v>
      </c>
      <c r="B67" t="s">
        <v>127</v>
      </c>
      <c r="C67" t="s">
        <v>9</v>
      </c>
      <c r="D67" t="s">
        <v>10</v>
      </c>
      <c r="E67" t="s">
        <v>15</v>
      </c>
      <c r="F67" t="s">
        <v>26</v>
      </c>
      <c r="G67" s="6">
        <v>1.3333333333333299</v>
      </c>
      <c r="H67" s="6">
        <v>1.2</v>
      </c>
      <c r="I67" s="6">
        <v>0.2</v>
      </c>
      <c r="J67" s="6">
        <v>0.2</v>
      </c>
      <c r="K67" s="6">
        <v>0.2</v>
      </c>
      <c r="L67" s="6">
        <v>0.66666666666666696</v>
      </c>
      <c r="M67" s="6">
        <v>0.66666666666666696</v>
      </c>
      <c r="N67" s="6">
        <v>0.16666666666666699</v>
      </c>
      <c r="O67" s="6">
        <v>0.66666666666666696</v>
      </c>
      <c r="P67" s="6">
        <v>0</v>
      </c>
      <c r="Q67" s="6">
        <v>0</v>
      </c>
      <c r="R67" s="6">
        <v>0</v>
      </c>
      <c r="S67" s="6">
        <v>0</v>
      </c>
      <c r="T67" s="6">
        <v>0.14285714285714299</v>
      </c>
      <c r="U67" s="6">
        <v>0.25</v>
      </c>
      <c r="V67" s="6">
        <v>0.83333333333333304</v>
      </c>
      <c r="W67" s="6">
        <v>0</v>
      </c>
      <c r="X67" s="6">
        <v>0.16666666666666699</v>
      </c>
      <c r="Y67" s="6">
        <v>0.33333333333333298</v>
      </c>
      <c r="Z67" s="6">
        <v>0</v>
      </c>
      <c r="AA67" s="6">
        <v>0</v>
      </c>
      <c r="AB67" s="6">
        <v>0</v>
      </c>
      <c r="AC67" s="6">
        <v>0</v>
      </c>
      <c r="AD67" s="6">
        <v>0.55555555555555602</v>
      </c>
      <c r="AE67" s="6">
        <v>0.33333333333333298</v>
      </c>
      <c r="AF67" s="6">
        <v>0.83333333333333304</v>
      </c>
    </row>
    <row r="68" spans="1:32" hidden="1">
      <c r="A68" t="s">
        <v>128</v>
      </c>
      <c r="B68" t="s">
        <v>128</v>
      </c>
      <c r="C68" t="s">
        <v>9</v>
      </c>
      <c r="D68" t="s">
        <v>10</v>
      </c>
      <c r="E68" t="s">
        <v>15</v>
      </c>
      <c r="F68" t="s">
        <v>26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0.125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</row>
    <row r="69" spans="1:32" hidden="1">
      <c r="A69" t="s">
        <v>129</v>
      </c>
      <c r="B69" t="s">
        <v>130</v>
      </c>
      <c r="C69" t="s">
        <v>124</v>
      </c>
      <c r="D69" t="s">
        <v>125</v>
      </c>
      <c r="E69" t="s">
        <v>42</v>
      </c>
      <c r="F69" t="s">
        <v>42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0.16666666666666699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</row>
    <row r="70" spans="1:32">
      <c r="A70" t="s">
        <v>131</v>
      </c>
      <c r="B70" t="s">
        <v>131</v>
      </c>
      <c r="C70" t="s">
        <v>40</v>
      </c>
      <c r="D70" t="s">
        <v>41</v>
      </c>
      <c r="E70" t="s">
        <v>21</v>
      </c>
      <c r="F70" t="s">
        <v>16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0.5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0.33333333333333298</v>
      </c>
      <c r="W70" s="6">
        <v>0</v>
      </c>
      <c r="X70" s="6">
        <v>0.16666666666666699</v>
      </c>
      <c r="Y70" s="6">
        <v>0.16666666666666699</v>
      </c>
      <c r="Z70" s="6">
        <v>0.14285714285714299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</row>
    <row r="71" spans="1:32">
      <c r="A71" t="s">
        <v>132</v>
      </c>
      <c r="B71" t="s">
        <v>132</v>
      </c>
      <c r="C71" t="s">
        <v>40</v>
      </c>
      <c r="D71" t="s">
        <v>41</v>
      </c>
      <c r="E71" t="s">
        <v>21</v>
      </c>
      <c r="F71" t="s">
        <v>16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0.5</v>
      </c>
      <c r="O71" s="6">
        <v>0</v>
      </c>
      <c r="P71" s="6">
        <v>0.16666666666666699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</row>
    <row r="72" spans="1:32" hidden="1">
      <c r="A72" t="s">
        <v>133</v>
      </c>
      <c r="B72" t="s">
        <v>134</v>
      </c>
      <c r="C72" t="s">
        <v>24</v>
      </c>
      <c r="D72" t="s">
        <v>25</v>
      </c>
      <c r="E72" t="s">
        <v>15</v>
      </c>
      <c r="F72" t="s">
        <v>26</v>
      </c>
      <c r="G72" s="6">
        <v>1.5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</row>
    <row r="73" spans="1:32" hidden="1">
      <c r="A73" t="s">
        <v>135</v>
      </c>
      <c r="B73" t="s">
        <v>135</v>
      </c>
      <c r="C73" t="s">
        <v>24</v>
      </c>
      <c r="D73" t="s">
        <v>25</v>
      </c>
      <c r="E73" t="s">
        <v>15</v>
      </c>
      <c r="F73" t="s">
        <v>26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0.66666666666666696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</row>
    <row r="74" spans="1:32" hidden="1">
      <c r="A74" t="s">
        <v>136</v>
      </c>
      <c r="B74" t="s">
        <v>136</v>
      </c>
      <c r="C74" t="s">
        <v>9</v>
      </c>
      <c r="D74" t="s">
        <v>10</v>
      </c>
      <c r="E74" t="s">
        <v>11</v>
      </c>
      <c r="F74" t="s">
        <v>12</v>
      </c>
      <c r="G74" s="6">
        <v>0</v>
      </c>
      <c r="H74" s="6">
        <v>0</v>
      </c>
      <c r="I74" s="6">
        <v>0.2</v>
      </c>
      <c r="J74" s="6">
        <v>0.4</v>
      </c>
      <c r="K74" s="6">
        <v>0.1</v>
      </c>
      <c r="L74" s="6">
        <v>0.16666666666666699</v>
      </c>
      <c r="M74" s="6">
        <v>0.66666666666666696</v>
      </c>
      <c r="N74" s="6">
        <v>0</v>
      </c>
      <c r="O74" s="6">
        <v>0.16666666666666699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0.16666666666666699</v>
      </c>
      <c r="X74" s="6">
        <v>0</v>
      </c>
      <c r="Y74" s="6">
        <v>0</v>
      </c>
      <c r="Z74" s="6">
        <v>0</v>
      </c>
      <c r="AA74" s="6">
        <v>0</v>
      </c>
      <c r="AB74" s="6">
        <v>0.33333333333333298</v>
      </c>
      <c r="AC74" s="6">
        <v>0</v>
      </c>
      <c r="AD74" s="6">
        <v>0.11111111111111099</v>
      </c>
      <c r="AE74" s="6">
        <v>0</v>
      </c>
      <c r="AF74" s="6">
        <v>0.16666666666666699</v>
      </c>
    </row>
    <row r="75" spans="1:32" hidden="1">
      <c r="A75" t="s">
        <v>137</v>
      </c>
      <c r="B75" t="s">
        <v>138</v>
      </c>
      <c r="C75" t="s">
        <v>124</v>
      </c>
      <c r="D75" t="s">
        <v>125</v>
      </c>
      <c r="E75" t="s">
        <v>86</v>
      </c>
      <c r="F75" t="s">
        <v>16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0.16666666666666699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</row>
    <row r="76" spans="1:32">
      <c r="A76" t="s">
        <v>139</v>
      </c>
      <c r="B76" t="s">
        <v>140</v>
      </c>
      <c r="C76" t="s">
        <v>19</v>
      </c>
      <c r="D76" t="s">
        <v>97</v>
      </c>
      <c r="E76" t="s">
        <v>21</v>
      </c>
      <c r="F76" t="s">
        <v>26</v>
      </c>
      <c r="G76" s="6">
        <v>0.5</v>
      </c>
      <c r="H76" s="6">
        <v>0.6</v>
      </c>
      <c r="I76" s="6">
        <v>0.4</v>
      </c>
      <c r="J76" s="6">
        <v>0.8</v>
      </c>
      <c r="K76" s="6">
        <v>1.5</v>
      </c>
      <c r="L76" s="6">
        <v>0.33333333333333298</v>
      </c>
      <c r="M76" s="6">
        <v>1.5</v>
      </c>
      <c r="N76" s="6">
        <v>1.5</v>
      </c>
      <c r="O76" s="6">
        <v>0.83333333333333304</v>
      </c>
      <c r="P76" s="6">
        <v>2.6666666666666701</v>
      </c>
      <c r="Q76" s="6">
        <v>0.66666666666666696</v>
      </c>
      <c r="R76" s="6">
        <v>0.42857142857142899</v>
      </c>
      <c r="S76" s="6">
        <v>1.3333333333333299</v>
      </c>
      <c r="T76" s="6">
        <v>0.57142857142857095</v>
      </c>
      <c r="U76" s="6">
        <v>7.375</v>
      </c>
      <c r="V76" s="6">
        <v>0.66666666666666696</v>
      </c>
      <c r="W76" s="6">
        <v>0.5</v>
      </c>
      <c r="X76" s="6">
        <v>0.83333333333333304</v>
      </c>
      <c r="Y76" s="6">
        <v>0.66666666666666696</v>
      </c>
      <c r="Z76" s="6">
        <v>0.14285714285714299</v>
      </c>
      <c r="AA76" s="6">
        <v>0</v>
      </c>
      <c r="AB76" s="6">
        <v>1</v>
      </c>
      <c r="AC76" s="6">
        <v>0</v>
      </c>
      <c r="AD76" s="6">
        <v>0.22222222222222199</v>
      </c>
      <c r="AE76" s="6">
        <v>0</v>
      </c>
      <c r="AF76" s="6">
        <v>0.5</v>
      </c>
    </row>
    <row r="77" spans="1:32" hidden="1">
      <c r="A77" t="s">
        <v>141</v>
      </c>
      <c r="B77" t="s">
        <v>142</v>
      </c>
      <c r="C77" t="s">
        <v>84</v>
      </c>
      <c r="D77" t="s">
        <v>85</v>
      </c>
      <c r="E77" t="s">
        <v>86</v>
      </c>
      <c r="F77" t="s">
        <v>16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0.14285714285714299</v>
      </c>
      <c r="S77" s="6">
        <v>0</v>
      </c>
      <c r="T77" s="6">
        <v>0.14285714285714299</v>
      </c>
      <c r="U77" s="6">
        <v>0.125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</row>
    <row r="78" spans="1:32" hidden="1">
      <c r="A78" t="s">
        <v>143</v>
      </c>
      <c r="B78" t="s">
        <v>144</v>
      </c>
      <c r="C78" t="s">
        <v>19</v>
      </c>
      <c r="D78" t="s">
        <v>20</v>
      </c>
      <c r="E78" t="s">
        <v>145</v>
      </c>
      <c r="F78" t="s">
        <v>16</v>
      </c>
      <c r="G78" s="6">
        <v>1.3333333333333299</v>
      </c>
      <c r="H78" s="6">
        <v>0</v>
      </c>
      <c r="I78" s="6">
        <v>0</v>
      </c>
      <c r="J78" s="6">
        <v>0</v>
      </c>
      <c r="K78" s="6">
        <v>0</v>
      </c>
      <c r="L78" s="6">
        <v>0.16666666666666699</v>
      </c>
      <c r="M78" s="6">
        <v>0.5</v>
      </c>
      <c r="N78" s="6">
        <v>0.33333333333333298</v>
      </c>
      <c r="O78" s="6">
        <v>0.5</v>
      </c>
      <c r="P78" s="6">
        <v>0</v>
      </c>
      <c r="Q78" s="6">
        <v>0.33333333333333298</v>
      </c>
      <c r="R78" s="6">
        <v>0.28571428571428598</v>
      </c>
      <c r="S78" s="6">
        <v>0</v>
      </c>
      <c r="T78" s="6">
        <v>0</v>
      </c>
      <c r="U78" s="6">
        <v>0</v>
      </c>
      <c r="V78" s="6">
        <v>0</v>
      </c>
      <c r="W78" s="6">
        <v>0.16666666666666699</v>
      </c>
      <c r="X78" s="6">
        <v>0</v>
      </c>
      <c r="Y78" s="6">
        <v>0</v>
      </c>
      <c r="Z78" s="6">
        <v>0.42857142857142899</v>
      </c>
      <c r="AA78" s="6">
        <v>0.2</v>
      </c>
      <c r="AB78" s="6">
        <v>0</v>
      </c>
      <c r="AC78" s="6">
        <v>0</v>
      </c>
      <c r="AD78" s="6">
        <v>0</v>
      </c>
      <c r="AE78" s="6">
        <v>0</v>
      </c>
      <c r="AF78" s="6">
        <v>0.16666666666666699</v>
      </c>
    </row>
    <row r="79" spans="1:32" hidden="1">
      <c r="A79" t="s">
        <v>146</v>
      </c>
      <c r="B79" t="s">
        <v>147</v>
      </c>
      <c r="C79" t="s">
        <v>24</v>
      </c>
      <c r="D79" t="s">
        <v>25</v>
      </c>
      <c r="E79" t="s">
        <v>15</v>
      </c>
      <c r="F79" t="s">
        <v>26</v>
      </c>
      <c r="G79" s="6">
        <v>1.8333333333333299</v>
      </c>
      <c r="H79" s="6">
        <v>1.8</v>
      </c>
      <c r="I79" s="6">
        <v>0.2</v>
      </c>
      <c r="J79" s="6">
        <v>0.8</v>
      </c>
      <c r="K79" s="6">
        <v>1.4</v>
      </c>
      <c r="L79" s="6">
        <v>0.33333333333333298</v>
      </c>
      <c r="M79" s="6">
        <v>1.3333333333333299</v>
      </c>
      <c r="N79" s="6">
        <v>1.5</v>
      </c>
      <c r="O79" s="6">
        <v>0.33333333333333298</v>
      </c>
      <c r="P79" s="6">
        <v>0.16666666666666699</v>
      </c>
      <c r="Q79" s="6">
        <v>0.66666666666666696</v>
      </c>
      <c r="R79" s="6">
        <v>0</v>
      </c>
      <c r="S79" s="6">
        <v>0.16666666666666699</v>
      </c>
      <c r="T79" s="6">
        <v>0.14285714285714299</v>
      </c>
      <c r="U79" s="6">
        <v>0.125</v>
      </c>
      <c r="V79" s="6">
        <v>0</v>
      </c>
      <c r="W79" s="6">
        <v>0</v>
      </c>
      <c r="X79" s="6">
        <v>0</v>
      </c>
      <c r="Y79" s="6">
        <v>0</v>
      </c>
      <c r="Z79" s="6">
        <v>0.57142857142857095</v>
      </c>
      <c r="AA79" s="6">
        <v>0.4</v>
      </c>
      <c r="AB79" s="6">
        <v>0</v>
      </c>
      <c r="AC79" s="6">
        <v>0.2</v>
      </c>
      <c r="AD79" s="6">
        <v>0</v>
      </c>
      <c r="AE79" s="6">
        <v>0.33333333333333298</v>
      </c>
      <c r="AF79" s="6">
        <v>0.5</v>
      </c>
    </row>
    <row r="80" spans="1:32" hidden="1">
      <c r="A80" t="s">
        <v>148</v>
      </c>
      <c r="B80" t="s">
        <v>148</v>
      </c>
      <c r="C80" t="s">
        <v>9</v>
      </c>
      <c r="D80" t="s">
        <v>10</v>
      </c>
      <c r="E80" t="s">
        <v>42</v>
      </c>
      <c r="F80" t="s">
        <v>42</v>
      </c>
      <c r="G80" s="6">
        <v>0</v>
      </c>
      <c r="H80" s="6">
        <v>0</v>
      </c>
      <c r="I80" s="6">
        <v>0</v>
      </c>
      <c r="J80" s="6">
        <v>0</v>
      </c>
      <c r="K80" s="6">
        <v>0.1</v>
      </c>
      <c r="L80" s="6">
        <v>0</v>
      </c>
      <c r="M80" s="6">
        <v>0.16666666666666699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1</v>
      </c>
      <c r="AA80" s="6">
        <v>0</v>
      </c>
      <c r="AB80" s="6">
        <v>0</v>
      </c>
      <c r="AC80" s="6">
        <v>0</v>
      </c>
      <c r="AD80" s="6">
        <v>8.3333333333333304</v>
      </c>
      <c r="AE80" s="6">
        <v>0</v>
      </c>
      <c r="AF80" s="6">
        <v>0</v>
      </c>
    </row>
    <row r="81" spans="1:32" hidden="1">
      <c r="A81" t="s">
        <v>149</v>
      </c>
      <c r="B81" t="s">
        <v>149</v>
      </c>
      <c r="C81" t="s">
        <v>24</v>
      </c>
      <c r="D81" t="s">
        <v>25</v>
      </c>
      <c r="E81" t="s">
        <v>46</v>
      </c>
      <c r="F81" t="s">
        <v>16</v>
      </c>
      <c r="G81" s="6">
        <v>0.16666666666666699</v>
      </c>
      <c r="H81" s="6">
        <v>0</v>
      </c>
      <c r="I81" s="6">
        <v>0</v>
      </c>
      <c r="J81" s="6">
        <v>0.2</v>
      </c>
      <c r="K81" s="6">
        <v>0</v>
      </c>
      <c r="L81" s="6">
        <v>0</v>
      </c>
      <c r="M81" s="6">
        <v>0</v>
      </c>
      <c r="N81" s="6">
        <v>0</v>
      </c>
      <c r="O81" s="6">
        <v>0.16666666666666699</v>
      </c>
      <c r="P81" s="6">
        <v>0</v>
      </c>
      <c r="Q81" s="6">
        <v>0.16666666666666699</v>
      </c>
      <c r="R81" s="6">
        <v>0</v>
      </c>
      <c r="S81" s="6">
        <v>0</v>
      </c>
      <c r="T81" s="6">
        <v>0.28571428571428598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</row>
    <row r="82" spans="1:32" hidden="1">
      <c r="A82" t="s">
        <v>150</v>
      </c>
      <c r="B82" t="s">
        <v>150</v>
      </c>
      <c r="C82" t="s">
        <v>9</v>
      </c>
      <c r="D82" t="s">
        <v>10</v>
      </c>
      <c r="E82" t="s">
        <v>42</v>
      </c>
      <c r="F82" t="s">
        <v>42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0.16666666666666699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0.33333333333333298</v>
      </c>
      <c r="AC82" s="6">
        <v>0</v>
      </c>
      <c r="AD82" s="6">
        <v>0</v>
      </c>
      <c r="AE82" s="6">
        <v>0</v>
      </c>
      <c r="AF82" s="6">
        <v>0</v>
      </c>
    </row>
    <row r="83" spans="1:32">
      <c r="A83" t="s">
        <v>151</v>
      </c>
      <c r="B83" t="s">
        <v>151</v>
      </c>
      <c r="C83" t="s">
        <v>24</v>
      </c>
      <c r="D83" t="s">
        <v>25</v>
      </c>
      <c r="E83" t="s">
        <v>21</v>
      </c>
      <c r="F83" t="s">
        <v>26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0.33333333333333298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</row>
    <row r="84" spans="1:32">
      <c r="A84" t="s">
        <v>152</v>
      </c>
      <c r="B84" t="s">
        <v>153</v>
      </c>
      <c r="C84" t="s">
        <v>24</v>
      </c>
      <c r="D84" t="s">
        <v>25</v>
      </c>
      <c r="E84" t="s">
        <v>21</v>
      </c>
      <c r="F84" t="s">
        <v>26</v>
      </c>
      <c r="G84" s="6">
        <v>5.5</v>
      </c>
      <c r="H84" s="6">
        <v>14</v>
      </c>
      <c r="I84" s="6">
        <v>1</v>
      </c>
      <c r="J84" s="6">
        <v>5.2</v>
      </c>
      <c r="K84" s="6">
        <v>13.3</v>
      </c>
      <c r="L84" s="6">
        <v>4.3333333333333304</v>
      </c>
      <c r="M84" s="6">
        <v>10.6666666666667</v>
      </c>
      <c r="N84" s="6">
        <v>0</v>
      </c>
      <c r="O84" s="6">
        <v>2.5</v>
      </c>
      <c r="P84" s="6">
        <v>2.1666666666666701</v>
      </c>
      <c r="Q84" s="6">
        <v>1.8333333333333299</v>
      </c>
      <c r="R84" s="6">
        <v>0</v>
      </c>
      <c r="S84" s="6">
        <v>2.5</v>
      </c>
      <c r="T84" s="6">
        <v>1.8571428571428601</v>
      </c>
      <c r="U84" s="6">
        <v>1.125</v>
      </c>
      <c r="V84" s="6">
        <v>0</v>
      </c>
      <c r="W84" s="6">
        <v>0</v>
      </c>
      <c r="X84" s="6">
        <v>0</v>
      </c>
      <c r="Y84" s="6">
        <v>0.33333333333333298</v>
      </c>
      <c r="Z84" s="6">
        <v>0.42857142857142899</v>
      </c>
      <c r="AA84" s="6">
        <v>1.4</v>
      </c>
      <c r="AB84" s="6">
        <v>0.66666666666666696</v>
      </c>
      <c r="AC84" s="6">
        <v>0.4</v>
      </c>
      <c r="AD84" s="6">
        <v>0.77777777777777801</v>
      </c>
      <c r="AE84" s="6">
        <v>0.33333333333333298</v>
      </c>
      <c r="AF84" s="6">
        <v>0</v>
      </c>
    </row>
    <row r="85" spans="1:32" hidden="1">
      <c r="A85" t="s">
        <v>154</v>
      </c>
      <c r="B85" t="s">
        <v>154</v>
      </c>
      <c r="C85" t="s">
        <v>40</v>
      </c>
      <c r="D85" t="s">
        <v>41</v>
      </c>
      <c r="E85" t="s">
        <v>42</v>
      </c>
      <c r="F85" t="s">
        <v>42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0.16666666666666699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</row>
    <row r="86" spans="1:32" hidden="1">
      <c r="A86" t="s">
        <v>155</v>
      </c>
      <c r="B86" t="s">
        <v>155</v>
      </c>
      <c r="C86" t="s">
        <v>24</v>
      </c>
      <c r="D86" t="s">
        <v>25</v>
      </c>
      <c r="E86" t="s">
        <v>46</v>
      </c>
      <c r="F86" t="s">
        <v>16</v>
      </c>
      <c r="G86" s="6">
        <v>0.33333333333333298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</row>
    <row r="87" spans="1:32" hidden="1">
      <c r="A87" t="s">
        <v>156</v>
      </c>
      <c r="B87" t="s">
        <v>156</v>
      </c>
      <c r="C87" t="s">
        <v>24</v>
      </c>
      <c r="D87" t="s">
        <v>25</v>
      </c>
      <c r="E87" t="s">
        <v>46</v>
      </c>
      <c r="F87" t="s">
        <v>16</v>
      </c>
      <c r="G87" s="6">
        <v>0</v>
      </c>
      <c r="H87" s="6">
        <v>0</v>
      </c>
      <c r="I87" s="6">
        <v>0</v>
      </c>
      <c r="J87" s="6">
        <v>0</v>
      </c>
      <c r="K87" s="6">
        <v>0.3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</row>
    <row r="88" spans="1:32" hidden="1">
      <c r="A88" t="s">
        <v>157</v>
      </c>
      <c r="B88" t="s">
        <v>157</v>
      </c>
      <c r="C88" t="s">
        <v>24</v>
      </c>
      <c r="D88" t="s">
        <v>25</v>
      </c>
      <c r="E88" t="s">
        <v>46</v>
      </c>
      <c r="F88" t="s">
        <v>16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0.16666666666666699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</row>
    <row r="89" spans="1:32" hidden="1">
      <c r="A89" t="s">
        <v>158</v>
      </c>
      <c r="B89" t="s">
        <v>158</v>
      </c>
      <c r="C89" t="s">
        <v>24</v>
      </c>
      <c r="D89" t="s">
        <v>25</v>
      </c>
      <c r="E89" t="s">
        <v>46</v>
      </c>
      <c r="F89" t="s">
        <v>16</v>
      </c>
      <c r="G89" s="6">
        <v>0</v>
      </c>
      <c r="H89" s="6">
        <v>0.2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0.22222222222222199</v>
      </c>
      <c r="AE89" s="6">
        <v>0</v>
      </c>
      <c r="AF89" s="6">
        <v>0</v>
      </c>
    </row>
    <row r="90" spans="1:32" hidden="1">
      <c r="A90" t="s">
        <v>159</v>
      </c>
      <c r="B90" t="s">
        <v>159</v>
      </c>
      <c r="C90" t="s">
        <v>9</v>
      </c>
      <c r="D90" t="s">
        <v>160</v>
      </c>
      <c r="E90" t="s">
        <v>46</v>
      </c>
      <c r="F90" t="s">
        <v>16</v>
      </c>
      <c r="G90" s="6">
        <v>0.33333333333333298</v>
      </c>
      <c r="H90" s="6">
        <v>1.2</v>
      </c>
      <c r="I90" s="6">
        <v>0.4</v>
      </c>
      <c r="J90" s="6">
        <v>2</v>
      </c>
      <c r="K90" s="6">
        <v>0</v>
      </c>
      <c r="L90" s="6">
        <v>0.33333333333333298</v>
      </c>
      <c r="M90" s="6">
        <v>1.3333333333333299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</row>
    <row r="91" spans="1:32" hidden="1">
      <c r="A91" t="s">
        <v>161</v>
      </c>
      <c r="B91" t="s">
        <v>161</v>
      </c>
      <c r="C91" t="s">
        <v>24</v>
      </c>
      <c r="D91" t="s">
        <v>25</v>
      </c>
      <c r="E91" t="s">
        <v>46</v>
      </c>
      <c r="F91" t="s">
        <v>26</v>
      </c>
      <c r="G91" s="6">
        <v>0.16666666666666699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</row>
    <row r="92" spans="1:32">
      <c r="A92" t="s">
        <v>162</v>
      </c>
      <c r="B92" t="s">
        <v>163</v>
      </c>
      <c r="C92" t="s">
        <v>24</v>
      </c>
      <c r="D92" t="s">
        <v>25</v>
      </c>
      <c r="E92" t="s">
        <v>21</v>
      </c>
      <c r="F92" t="s">
        <v>26</v>
      </c>
      <c r="G92" s="6">
        <v>0</v>
      </c>
      <c r="H92" s="6">
        <v>0.4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</row>
    <row r="93" spans="1:32">
      <c r="A93" t="s">
        <v>164</v>
      </c>
      <c r="B93" t="s">
        <v>164</v>
      </c>
      <c r="C93" t="s">
        <v>165</v>
      </c>
      <c r="D93" t="s">
        <v>166</v>
      </c>
      <c r="E93" t="s">
        <v>21</v>
      </c>
      <c r="F93" t="s">
        <v>16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0.16666666666666699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</row>
    <row r="94" spans="1:32">
      <c r="A94" t="s">
        <v>167</v>
      </c>
      <c r="B94" t="s">
        <v>167</v>
      </c>
      <c r="C94" t="s">
        <v>65</v>
      </c>
      <c r="D94" t="s">
        <v>168</v>
      </c>
      <c r="E94" t="s">
        <v>21</v>
      </c>
      <c r="F94" t="s">
        <v>16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0.33333333333333298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</row>
    <row r="95" spans="1:32" hidden="1">
      <c r="A95" t="s">
        <v>169</v>
      </c>
      <c r="B95" t="s">
        <v>169</v>
      </c>
      <c r="C95" t="s">
        <v>124</v>
      </c>
      <c r="D95" t="s">
        <v>125</v>
      </c>
      <c r="E95" t="s">
        <v>86</v>
      </c>
      <c r="F95" t="s">
        <v>16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0.14285714285714299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0.33333333333333298</v>
      </c>
    </row>
    <row r="96" spans="1:32" hidden="1">
      <c r="A96" t="s">
        <v>170</v>
      </c>
      <c r="B96" t="s">
        <v>170</v>
      </c>
      <c r="C96" t="s">
        <v>24</v>
      </c>
      <c r="D96" t="s">
        <v>25</v>
      </c>
      <c r="E96" t="s">
        <v>42</v>
      </c>
      <c r="F96" t="s">
        <v>42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0.2</v>
      </c>
      <c r="AB96" s="6">
        <v>0</v>
      </c>
      <c r="AC96" s="6">
        <v>0</v>
      </c>
      <c r="AD96" s="6">
        <v>0</v>
      </c>
      <c r="AE96" s="6">
        <v>0</v>
      </c>
      <c r="AF96" s="6">
        <v>0.16666666666666699</v>
      </c>
    </row>
    <row r="97" spans="1:32" hidden="1">
      <c r="A97" t="s">
        <v>171</v>
      </c>
      <c r="B97" t="s">
        <v>172</v>
      </c>
      <c r="C97" t="s">
        <v>24</v>
      </c>
      <c r="D97" t="s">
        <v>25</v>
      </c>
      <c r="E97" t="s">
        <v>46</v>
      </c>
      <c r="F97" t="s">
        <v>16</v>
      </c>
      <c r="G97" s="6">
        <v>2.6666666666666701</v>
      </c>
      <c r="H97" s="6">
        <v>4.4000000000000004</v>
      </c>
      <c r="I97" s="6">
        <v>1.6</v>
      </c>
      <c r="J97" s="6">
        <v>0.4</v>
      </c>
      <c r="K97" s="6">
        <v>2.2000000000000002</v>
      </c>
      <c r="L97" s="6">
        <v>0.16666666666666699</v>
      </c>
      <c r="M97" s="6">
        <v>1</v>
      </c>
      <c r="N97" s="6">
        <v>0</v>
      </c>
      <c r="O97" s="6">
        <v>1</v>
      </c>
      <c r="P97" s="6">
        <v>0</v>
      </c>
      <c r="Q97" s="6">
        <v>0.66666666666666696</v>
      </c>
      <c r="R97" s="6">
        <v>0</v>
      </c>
      <c r="S97" s="6">
        <v>0.33333333333333298</v>
      </c>
      <c r="T97" s="6">
        <v>0.28571428571428598</v>
      </c>
      <c r="U97" s="6">
        <v>0</v>
      </c>
      <c r="V97" s="6">
        <v>0</v>
      </c>
      <c r="W97" s="6">
        <v>0</v>
      </c>
      <c r="X97" s="6">
        <v>0</v>
      </c>
      <c r="Y97" s="6">
        <v>0.66666666666666696</v>
      </c>
      <c r="Z97" s="6">
        <v>0.71428571428571397</v>
      </c>
      <c r="AA97" s="6">
        <v>0.8</v>
      </c>
      <c r="AB97" s="6">
        <v>1.3333333333333299</v>
      </c>
      <c r="AC97" s="6">
        <v>0.4</v>
      </c>
      <c r="AD97" s="6">
        <v>0</v>
      </c>
      <c r="AE97" s="6">
        <v>1.6666666666666701</v>
      </c>
      <c r="AF97" s="6">
        <v>1.6666666666666701</v>
      </c>
    </row>
    <row r="98" spans="1:32" hidden="1">
      <c r="A98" t="s">
        <v>173</v>
      </c>
      <c r="B98" t="s">
        <v>173</v>
      </c>
      <c r="C98" t="s">
        <v>24</v>
      </c>
      <c r="D98" t="s">
        <v>25</v>
      </c>
      <c r="E98" t="s">
        <v>46</v>
      </c>
      <c r="F98" t="s">
        <v>26</v>
      </c>
      <c r="G98" s="6">
        <v>0.16666666666666699</v>
      </c>
      <c r="H98" s="6">
        <v>0</v>
      </c>
      <c r="I98" s="6">
        <v>0</v>
      </c>
      <c r="J98" s="6">
        <v>0.2</v>
      </c>
      <c r="K98" s="6">
        <v>0</v>
      </c>
      <c r="L98" s="6">
        <v>0</v>
      </c>
      <c r="M98" s="6">
        <v>0.16666666666666699</v>
      </c>
      <c r="N98" s="6">
        <v>0</v>
      </c>
      <c r="O98" s="6">
        <v>0.16666666666666699</v>
      </c>
      <c r="P98" s="6">
        <v>0.33333333333333298</v>
      </c>
      <c r="Q98" s="6">
        <v>0</v>
      </c>
      <c r="R98" s="6">
        <v>0</v>
      </c>
      <c r="S98" s="6">
        <v>0</v>
      </c>
      <c r="T98" s="6">
        <v>0</v>
      </c>
      <c r="U98" s="6">
        <v>0.125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0.11111111111111099</v>
      </c>
      <c r="AE98" s="6">
        <v>0</v>
      </c>
      <c r="AF98" s="6">
        <v>0</v>
      </c>
    </row>
    <row r="99" spans="1:32" hidden="1">
      <c r="A99" t="s">
        <v>174</v>
      </c>
      <c r="B99" t="s">
        <v>174</v>
      </c>
      <c r="C99" t="s">
        <v>165</v>
      </c>
      <c r="D99" t="s">
        <v>175</v>
      </c>
      <c r="E99" t="s">
        <v>15</v>
      </c>
      <c r="F99" t="s">
        <v>26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0.16666666666666699</v>
      </c>
      <c r="M99" s="6">
        <v>0</v>
      </c>
      <c r="N99" s="6">
        <v>0</v>
      </c>
      <c r="O99" s="6">
        <v>0.16666666666666699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</row>
    <row r="100" spans="1:32" hidden="1">
      <c r="A100" t="s">
        <v>176</v>
      </c>
      <c r="B100" t="s">
        <v>176</v>
      </c>
      <c r="C100" t="s">
        <v>9</v>
      </c>
      <c r="D100" t="s">
        <v>10</v>
      </c>
      <c r="E100" t="s">
        <v>11</v>
      </c>
      <c r="F100" t="s">
        <v>12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0.5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0.11111111111111099</v>
      </c>
      <c r="AE100" s="6">
        <v>0</v>
      </c>
      <c r="AF100" s="6">
        <v>0</v>
      </c>
    </row>
    <row r="101" spans="1:32" hidden="1">
      <c r="A101" t="s">
        <v>177</v>
      </c>
      <c r="B101" t="s">
        <v>177</v>
      </c>
      <c r="C101" t="s">
        <v>24</v>
      </c>
      <c r="D101" t="s">
        <v>25</v>
      </c>
      <c r="E101" t="s">
        <v>46</v>
      </c>
      <c r="F101" t="s">
        <v>16</v>
      </c>
      <c r="G101" s="6">
        <v>5</v>
      </c>
      <c r="H101" s="6">
        <v>1.6</v>
      </c>
      <c r="I101" s="6">
        <v>0.6</v>
      </c>
      <c r="J101" s="6">
        <v>1.2</v>
      </c>
      <c r="K101" s="6">
        <v>5.4</v>
      </c>
      <c r="L101" s="6">
        <v>2.5</v>
      </c>
      <c r="M101" s="6">
        <v>3</v>
      </c>
      <c r="N101" s="6">
        <v>4.8333333333333304</v>
      </c>
      <c r="O101" s="6">
        <v>6.1666666666666696</v>
      </c>
      <c r="P101" s="6">
        <v>2.1666666666666701</v>
      </c>
      <c r="Q101" s="6">
        <v>2.8333333333333299</v>
      </c>
      <c r="R101" s="6">
        <v>0.14285714285714299</v>
      </c>
      <c r="S101" s="6">
        <v>1.1666666666666701</v>
      </c>
      <c r="T101" s="6">
        <v>0.42857142857142899</v>
      </c>
      <c r="U101" s="6">
        <v>1.75</v>
      </c>
      <c r="V101" s="6">
        <v>0</v>
      </c>
      <c r="W101" s="6">
        <v>0.16666666666666699</v>
      </c>
      <c r="X101" s="6">
        <v>0</v>
      </c>
      <c r="Y101" s="6">
        <v>0.33333333333333298</v>
      </c>
      <c r="Z101" s="6">
        <v>2</v>
      </c>
      <c r="AA101" s="6">
        <v>2.2000000000000002</v>
      </c>
      <c r="AB101" s="6">
        <v>2</v>
      </c>
      <c r="AC101" s="6">
        <v>2</v>
      </c>
      <c r="AD101" s="6">
        <v>2.5555555555555598</v>
      </c>
      <c r="AE101" s="6">
        <v>1.6666666666666701</v>
      </c>
      <c r="AF101" s="6">
        <v>5.5</v>
      </c>
    </row>
    <row r="102" spans="1:32" hidden="1">
      <c r="A102" t="s">
        <v>178</v>
      </c>
      <c r="B102" t="s">
        <v>178</v>
      </c>
      <c r="C102" t="s">
        <v>179</v>
      </c>
      <c r="D102" t="s">
        <v>180</v>
      </c>
      <c r="E102" t="s">
        <v>42</v>
      </c>
      <c r="F102" t="s">
        <v>42</v>
      </c>
      <c r="G102" s="6">
        <v>10.6666666666667</v>
      </c>
      <c r="H102" s="6">
        <v>28.6</v>
      </c>
      <c r="I102" s="6">
        <v>19.399999999999999</v>
      </c>
      <c r="J102" s="6">
        <v>44.4</v>
      </c>
      <c r="K102" s="6">
        <v>40.9</v>
      </c>
      <c r="L102" s="6">
        <v>21.6666666666667</v>
      </c>
      <c r="M102" s="6">
        <v>47</v>
      </c>
      <c r="N102" s="6">
        <v>44.8333333333333</v>
      </c>
      <c r="O102" s="6">
        <v>11.6666666666667</v>
      </c>
      <c r="P102" s="6">
        <v>49.6666666666667</v>
      </c>
      <c r="Q102" s="6">
        <v>36.5</v>
      </c>
      <c r="R102" s="6">
        <v>18.428571428571399</v>
      </c>
      <c r="S102" s="6">
        <v>45.3333333333333</v>
      </c>
      <c r="T102" s="6">
        <v>10.8571428571429</v>
      </c>
      <c r="U102" s="6">
        <v>12.25</v>
      </c>
      <c r="V102" s="6">
        <v>24.5</v>
      </c>
      <c r="W102" s="6">
        <v>10.6666666666667</v>
      </c>
      <c r="X102" s="6">
        <v>18</v>
      </c>
      <c r="Y102" s="6">
        <v>33</v>
      </c>
      <c r="Z102" s="6">
        <v>4.1428571428571397</v>
      </c>
      <c r="AA102" s="6">
        <v>3.8</v>
      </c>
      <c r="AB102" s="6">
        <v>6</v>
      </c>
      <c r="AC102" s="6">
        <v>3.4</v>
      </c>
      <c r="AD102" s="6">
        <v>9.8888888888888893</v>
      </c>
      <c r="AE102" s="6">
        <v>36.6666666666667</v>
      </c>
      <c r="AF102" s="6">
        <v>45.3333333333333</v>
      </c>
    </row>
    <row r="103" spans="1:32" hidden="1">
      <c r="A103" t="s">
        <v>181</v>
      </c>
      <c r="B103" t="s">
        <v>182</v>
      </c>
      <c r="C103" t="s">
        <v>44</v>
      </c>
      <c r="D103" t="s">
        <v>45</v>
      </c>
      <c r="E103" t="s">
        <v>46</v>
      </c>
      <c r="F103" t="s">
        <v>16</v>
      </c>
      <c r="G103" s="6">
        <v>0.16666666666666699</v>
      </c>
      <c r="H103" s="6">
        <v>0</v>
      </c>
      <c r="I103" s="6">
        <v>0.4</v>
      </c>
      <c r="J103" s="6">
        <v>0</v>
      </c>
      <c r="K103" s="6">
        <v>0.4</v>
      </c>
      <c r="L103" s="6">
        <v>0.33333333333333298</v>
      </c>
      <c r="M103" s="6">
        <v>0.66666666666666696</v>
      </c>
      <c r="N103" s="6">
        <v>0.33333333333333298</v>
      </c>
      <c r="O103" s="6">
        <v>0.5</v>
      </c>
      <c r="P103" s="6">
        <v>0.33333333333333298</v>
      </c>
      <c r="Q103" s="6">
        <v>0.5</v>
      </c>
      <c r="R103" s="6">
        <v>0.42857142857142899</v>
      </c>
      <c r="S103" s="6">
        <v>0.33333333333333298</v>
      </c>
      <c r="T103" s="6">
        <v>0.14285714285714299</v>
      </c>
      <c r="U103" s="6">
        <v>0.625</v>
      </c>
      <c r="V103" s="6">
        <v>0.33333333333333298</v>
      </c>
      <c r="W103" s="6">
        <v>0.33333333333333298</v>
      </c>
      <c r="X103" s="6">
        <v>0.33333333333333298</v>
      </c>
      <c r="Y103" s="6">
        <v>0.16666666666666699</v>
      </c>
      <c r="Z103" s="6">
        <v>0.14285714285714299</v>
      </c>
      <c r="AA103" s="6">
        <v>0.2</v>
      </c>
      <c r="AB103" s="6">
        <v>0.33333333333333298</v>
      </c>
      <c r="AC103" s="6">
        <v>0</v>
      </c>
      <c r="AD103" s="6">
        <v>0.44444444444444398</v>
      </c>
      <c r="AE103" s="6">
        <v>0</v>
      </c>
      <c r="AF103" s="6">
        <v>0.83333333333333304</v>
      </c>
    </row>
    <row r="104" spans="1:32">
      <c r="A104" t="s">
        <v>183</v>
      </c>
      <c r="B104" t="s">
        <v>184</v>
      </c>
      <c r="C104" t="s">
        <v>19</v>
      </c>
      <c r="D104" t="s">
        <v>97</v>
      </c>
      <c r="E104" t="s">
        <v>21</v>
      </c>
      <c r="F104" t="s">
        <v>16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0.66666666666666696</v>
      </c>
      <c r="Q104" s="6">
        <v>0</v>
      </c>
      <c r="R104" s="6">
        <v>0</v>
      </c>
      <c r="S104" s="6">
        <v>0</v>
      </c>
      <c r="T104" s="6">
        <v>0</v>
      </c>
      <c r="U104" s="6">
        <v>0.125</v>
      </c>
      <c r="V104" s="6">
        <v>0.33333333333333298</v>
      </c>
      <c r="W104" s="6">
        <v>0</v>
      </c>
      <c r="X104" s="6">
        <v>0</v>
      </c>
      <c r="Y104" s="6">
        <v>0.16666666666666699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</row>
    <row r="105" spans="1:32">
      <c r="A105" t="s">
        <v>184</v>
      </c>
      <c r="B105" t="s">
        <v>184</v>
      </c>
      <c r="C105" t="s">
        <v>19</v>
      </c>
      <c r="D105" t="s">
        <v>97</v>
      </c>
      <c r="E105" t="s">
        <v>21</v>
      </c>
      <c r="F105" t="s">
        <v>16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0.5</v>
      </c>
      <c r="M105" s="6">
        <v>1.5</v>
      </c>
      <c r="N105" s="6">
        <v>0.66666666666666696</v>
      </c>
      <c r="O105" s="6">
        <v>1.6666666666666701</v>
      </c>
      <c r="P105" s="6">
        <v>0</v>
      </c>
      <c r="Q105" s="6">
        <v>0.66666666666666696</v>
      </c>
      <c r="R105" s="6">
        <v>2.71428571428571</v>
      </c>
      <c r="S105" s="6">
        <v>0.5</v>
      </c>
      <c r="T105" s="6">
        <v>0.42857142857142899</v>
      </c>
      <c r="U105" s="6">
        <v>1.75</v>
      </c>
      <c r="V105" s="6">
        <v>1</v>
      </c>
      <c r="W105" s="6">
        <v>2.8333333333333299</v>
      </c>
      <c r="X105" s="6">
        <v>11.8333333333333</v>
      </c>
      <c r="Y105" s="6">
        <v>5.5</v>
      </c>
      <c r="Z105" s="6">
        <v>4.8571428571428603</v>
      </c>
      <c r="AA105" s="6">
        <v>0.8</v>
      </c>
      <c r="AB105" s="6">
        <v>1.3333333333333299</v>
      </c>
      <c r="AC105" s="6">
        <v>1.8</v>
      </c>
      <c r="AD105" s="6">
        <v>2.7777777777777799</v>
      </c>
      <c r="AE105" s="6">
        <v>0</v>
      </c>
      <c r="AF105" s="6">
        <v>10</v>
      </c>
    </row>
    <row r="106" spans="1:32" hidden="1">
      <c r="A106" t="s">
        <v>185</v>
      </c>
      <c r="B106" t="s">
        <v>185</v>
      </c>
      <c r="C106" t="s">
        <v>24</v>
      </c>
      <c r="D106" t="s">
        <v>25</v>
      </c>
      <c r="E106" t="s">
        <v>15</v>
      </c>
      <c r="F106" t="s">
        <v>26</v>
      </c>
      <c r="G106" s="6">
        <v>0</v>
      </c>
      <c r="H106" s="6">
        <v>0</v>
      </c>
      <c r="I106" s="6">
        <v>0</v>
      </c>
      <c r="J106" s="6">
        <v>0.2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</row>
    <row r="107" spans="1:32">
      <c r="A107" t="s">
        <v>186</v>
      </c>
      <c r="B107" t="s">
        <v>186</v>
      </c>
      <c r="C107" t="s">
        <v>19</v>
      </c>
      <c r="D107" t="s">
        <v>97</v>
      </c>
      <c r="E107" t="s">
        <v>21</v>
      </c>
      <c r="F107" t="s">
        <v>16</v>
      </c>
      <c r="G107" s="6">
        <v>5.3333333333333304</v>
      </c>
      <c r="H107" s="6">
        <v>3.6</v>
      </c>
      <c r="I107" s="6">
        <v>1.6</v>
      </c>
      <c r="J107" s="6">
        <v>24.4</v>
      </c>
      <c r="K107" s="6">
        <v>13.2</v>
      </c>
      <c r="L107" s="6">
        <v>11.3333333333333</v>
      </c>
      <c r="M107" s="6">
        <v>20</v>
      </c>
      <c r="N107" s="6">
        <v>53</v>
      </c>
      <c r="O107" s="6">
        <v>21.1666666666667</v>
      </c>
      <c r="P107" s="6">
        <v>10.5</v>
      </c>
      <c r="Q107" s="6">
        <v>4.8333333333333304</v>
      </c>
      <c r="R107" s="6">
        <v>4.4285714285714297</v>
      </c>
      <c r="S107" s="6">
        <v>5.6666666666666696</v>
      </c>
      <c r="T107" s="6">
        <v>7.1428571428571397</v>
      </c>
      <c r="U107" s="6">
        <v>8.75</v>
      </c>
      <c r="V107" s="6">
        <v>38.1666666666667</v>
      </c>
      <c r="W107" s="6">
        <v>45.8333333333333</v>
      </c>
      <c r="X107" s="6">
        <v>61.1666666666667</v>
      </c>
      <c r="Y107" s="6">
        <v>22.3333333333333</v>
      </c>
      <c r="Z107" s="6">
        <v>20.714285714285701</v>
      </c>
      <c r="AA107" s="6">
        <v>1.2</v>
      </c>
      <c r="AB107" s="6">
        <v>0</v>
      </c>
      <c r="AC107" s="6">
        <v>0.4</v>
      </c>
      <c r="AD107" s="6">
        <v>16.6666666666667</v>
      </c>
      <c r="AE107" s="6">
        <v>8.3333333333333304</v>
      </c>
      <c r="AF107" s="6">
        <v>8</v>
      </c>
    </row>
    <row r="108" spans="1:32" hidden="1">
      <c r="A108" t="s">
        <v>187</v>
      </c>
      <c r="B108" t="s">
        <v>187</v>
      </c>
      <c r="C108" t="s">
        <v>9</v>
      </c>
      <c r="D108" t="s">
        <v>10</v>
      </c>
      <c r="E108" t="s">
        <v>11</v>
      </c>
      <c r="F108" t="s">
        <v>16</v>
      </c>
      <c r="G108" s="6">
        <v>0.16666666666666699</v>
      </c>
      <c r="H108" s="6">
        <v>0</v>
      </c>
      <c r="I108" s="6">
        <v>0</v>
      </c>
      <c r="J108" s="6">
        <v>0.4</v>
      </c>
      <c r="K108" s="6">
        <v>0.1</v>
      </c>
      <c r="L108" s="6">
        <v>0</v>
      </c>
      <c r="M108" s="6">
        <v>0</v>
      </c>
      <c r="N108" s="6">
        <v>0.5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</row>
    <row r="109" spans="1:32">
      <c r="A109" t="s">
        <v>188</v>
      </c>
      <c r="B109" t="s">
        <v>188</v>
      </c>
      <c r="C109" t="s">
        <v>165</v>
      </c>
      <c r="D109" t="s">
        <v>166</v>
      </c>
      <c r="E109" t="s">
        <v>21</v>
      </c>
      <c r="F109" t="s">
        <v>16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0.16666666666666699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</row>
    <row r="110" spans="1:32" hidden="1">
      <c r="A110" t="s">
        <v>189</v>
      </c>
      <c r="B110" t="s">
        <v>190</v>
      </c>
      <c r="C110" t="s">
        <v>19</v>
      </c>
      <c r="D110" t="s">
        <v>20</v>
      </c>
      <c r="E110" t="s">
        <v>15</v>
      </c>
      <c r="F110" t="s">
        <v>16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0.16666666666666699</v>
      </c>
      <c r="O110" s="6">
        <v>0.33333333333333298</v>
      </c>
      <c r="P110" s="6">
        <v>0</v>
      </c>
      <c r="Q110" s="6">
        <v>0</v>
      </c>
      <c r="R110" s="6">
        <v>0.14285714285714299</v>
      </c>
      <c r="S110" s="6">
        <v>0</v>
      </c>
      <c r="T110" s="6">
        <v>0.14285714285714299</v>
      </c>
      <c r="U110" s="6">
        <v>0.125</v>
      </c>
      <c r="V110" s="6">
        <v>0</v>
      </c>
      <c r="W110" s="6">
        <v>0</v>
      </c>
      <c r="X110" s="6">
        <v>0.33333333333333298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0.11111111111111099</v>
      </c>
      <c r="AE110" s="6">
        <v>0</v>
      </c>
      <c r="AF110" s="6">
        <v>0.33333333333333298</v>
      </c>
    </row>
    <row r="111" spans="1:32" hidden="1">
      <c r="A111" t="s">
        <v>166</v>
      </c>
      <c r="B111" t="s">
        <v>166</v>
      </c>
      <c r="C111" t="s">
        <v>165</v>
      </c>
      <c r="D111" t="s">
        <v>166</v>
      </c>
      <c r="E111" t="s">
        <v>28</v>
      </c>
      <c r="F111" t="s">
        <v>29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0.33333333333333298</v>
      </c>
      <c r="O111" s="6">
        <v>0.83333333333333304</v>
      </c>
      <c r="P111" s="6">
        <v>0.83333333333333304</v>
      </c>
      <c r="Q111" s="6">
        <v>0.33333333333333298</v>
      </c>
      <c r="R111" s="6">
        <v>0.57142857142857095</v>
      </c>
      <c r="S111" s="6">
        <v>0</v>
      </c>
      <c r="T111" s="6">
        <v>0.28571428571428598</v>
      </c>
      <c r="U111" s="6">
        <v>0.5</v>
      </c>
      <c r="V111" s="6">
        <v>0.83333333333333304</v>
      </c>
      <c r="W111" s="6">
        <v>0.33333333333333298</v>
      </c>
      <c r="X111" s="6">
        <v>0.16666666666666699</v>
      </c>
      <c r="Y111" s="6">
        <v>0.83333333333333304</v>
      </c>
      <c r="Z111" s="6">
        <v>0.85714285714285698</v>
      </c>
      <c r="AA111" s="6">
        <v>0.6</v>
      </c>
      <c r="AB111" s="6">
        <v>0</v>
      </c>
      <c r="AC111" s="6">
        <v>1</v>
      </c>
      <c r="AD111" s="6">
        <v>0.33333333333333298</v>
      </c>
      <c r="AE111" s="6">
        <v>0.66666666666666696</v>
      </c>
      <c r="AF111" s="6">
        <v>0.66666666666666696</v>
      </c>
    </row>
    <row r="112" spans="1:32" hidden="1">
      <c r="A112" t="s">
        <v>191</v>
      </c>
      <c r="B112" t="s">
        <v>192</v>
      </c>
      <c r="C112" t="s">
        <v>19</v>
      </c>
      <c r="D112" t="s">
        <v>193</v>
      </c>
      <c r="E112" t="s">
        <v>42</v>
      </c>
      <c r="F112" t="s">
        <v>42</v>
      </c>
      <c r="G112" s="6">
        <v>1.1666666666666701</v>
      </c>
      <c r="H112" s="6">
        <v>2</v>
      </c>
      <c r="I112" s="6">
        <v>0.6</v>
      </c>
      <c r="J112" s="6">
        <v>6.6</v>
      </c>
      <c r="K112" s="6">
        <v>3.7</v>
      </c>
      <c r="L112" s="6">
        <v>0</v>
      </c>
      <c r="M112" s="6">
        <v>2.1666666666666701</v>
      </c>
      <c r="N112" s="6">
        <v>2.1666666666666701</v>
      </c>
      <c r="O112" s="6">
        <v>0.83333333333333304</v>
      </c>
      <c r="P112" s="6">
        <v>4.6666666666666696</v>
      </c>
      <c r="Q112" s="6">
        <v>4.1666666666666696</v>
      </c>
      <c r="R112" s="6">
        <v>4.71428571428571</v>
      </c>
      <c r="S112" s="6">
        <v>3.1666666666666701</v>
      </c>
      <c r="T112" s="6">
        <v>0.28571428571428598</v>
      </c>
      <c r="U112" s="6">
        <v>2.375</v>
      </c>
      <c r="V112" s="6">
        <v>1.1666666666666701</v>
      </c>
      <c r="W112" s="6">
        <v>2</v>
      </c>
      <c r="X112" s="6">
        <v>1.1666666666666701</v>
      </c>
      <c r="Y112" s="6">
        <v>1.6666666666666701</v>
      </c>
      <c r="Z112" s="6">
        <v>1.28571428571429</v>
      </c>
      <c r="AA112" s="6">
        <v>1.2</v>
      </c>
      <c r="AB112" s="6">
        <v>0.66666666666666696</v>
      </c>
      <c r="AC112" s="6">
        <v>0.8</v>
      </c>
      <c r="AD112" s="6">
        <v>0.44444444444444398</v>
      </c>
      <c r="AE112" s="6">
        <v>1.3333333333333299</v>
      </c>
      <c r="AF112" s="6">
        <v>0.83333333333333304</v>
      </c>
    </row>
    <row r="113" spans="1:32" hidden="1">
      <c r="A113" t="s">
        <v>194</v>
      </c>
      <c r="B113" t="s">
        <v>195</v>
      </c>
      <c r="C113" t="s">
        <v>9</v>
      </c>
      <c r="D113" t="s">
        <v>10</v>
      </c>
      <c r="E113" t="s">
        <v>11</v>
      </c>
      <c r="F113" t="s">
        <v>16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0.2</v>
      </c>
      <c r="AB113" s="6">
        <v>0</v>
      </c>
      <c r="AC113" s="6">
        <v>0</v>
      </c>
      <c r="AD113" s="6">
        <v>0.11111111111111099</v>
      </c>
      <c r="AE113" s="6">
        <v>0</v>
      </c>
      <c r="AF113" s="6">
        <v>0</v>
      </c>
    </row>
    <row r="114" spans="1:32">
      <c r="A114" t="s">
        <v>196</v>
      </c>
      <c r="B114" t="s">
        <v>197</v>
      </c>
      <c r="C114" t="s">
        <v>24</v>
      </c>
      <c r="D114" t="s">
        <v>25</v>
      </c>
      <c r="E114" t="s">
        <v>21</v>
      </c>
      <c r="F114" t="s">
        <v>16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0.16666666666666699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</row>
    <row r="115" spans="1:32">
      <c r="A115" t="s">
        <v>198</v>
      </c>
      <c r="B115" t="s">
        <v>198</v>
      </c>
      <c r="C115" t="s">
        <v>24</v>
      </c>
      <c r="D115" t="s">
        <v>25</v>
      </c>
      <c r="E115" t="s">
        <v>21</v>
      </c>
      <c r="F115" t="s">
        <v>16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0.5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0.22222222222222199</v>
      </c>
      <c r="AE115" s="6">
        <v>0</v>
      </c>
      <c r="AF115" s="6">
        <v>0</v>
      </c>
    </row>
    <row r="116" spans="1:32">
      <c r="A116" t="s">
        <v>199</v>
      </c>
      <c r="B116" t="s">
        <v>199</v>
      </c>
      <c r="C116" t="s">
        <v>24</v>
      </c>
      <c r="D116" t="s">
        <v>25</v>
      </c>
      <c r="E116" t="s">
        <v>21</v>
      </c>
      <c r="F116" t="s">
        <v>16</v>
      </c>
      <c r="G116" s="6">
        <v>0.5</v>
      </c>
      <c r="H116" s="6">
        <v>1.4</v>
      </c>
      <c r="I116" s="6">
        <v>0.2</v>
      </c>
      <c r="J116" s="6">
        <v>0.2</v>
      </c>
      <c r="K116" s="6">
        <v>0.8</v>
      </c>
      <c r="L116" s="6">
        <v>0.16666666666666699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</row>
    <row r="117" spans="1:32">
      <c r="A117" t="s">
        <v>200</v>
      </c>
      <c r="B117" t="s">
        <v>200</v>
      </c>
      <c r="C117" t="s">
        <v>24</v>
      </c>
      <c r="D117" t="s">
        <v>25</v>
      </c>
      <c r="E117" t="s">
        <v>21</v>
      </c>
      <c r="F117" t="s">
        <v>16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0.16666666666666699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</row>
    <row r="118" spans="1:32" hidden="1">
      <c r="A118" t="s">
        <v>201</v>
      </c>
      <c r="B118" t="s">
        <v>202</v>
      </c>
      <c r="C118" t="s">
        <v>19</v>
      </c>
      <c r="D118" t="s">
        <v>97</v>
      </c>
      <c r="E118" t="s">
        <v>15</v>
      </c>
      <c r="F118" t="s">
        <v>26</v>
      </c>
      <c r="G118" s="6">
        <v>0.16666666666666699</v>
      </c>
      <c r="H118" s="6">
        <v>0.2</v>
      </c>
      <c r="I118" s="6">
        <v>0.4</v>
      </c>
      <c r="J118" s="6">
        <v>0</v>
      </c>
      <c r="K118" s="6">
        <v>0</v>
      </c>
      <c r="L118" s="6">
        <v>0.33333333333333298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0.14285714285714299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</row>
    <row r="119" spans="1:32" hidden="1">
      <c r="A119" t="s">
        <v>203</v>
      </c>
      <c r="B119" t="s">
        <v>203</v>
      </c>
      <c r="C119" t="s">
        <v>19</v>
      </c>
      <c r="D119" t="s">
        <v>20</v>
      </c>
      <c r="E119" t="s">
        <v>15</v>
      </c>
      <c r="F119" t="s">
        <v>16</v>
      </c>
      <c r="G119" s="6">
        <v>0.16666666666666699</v>
      </c>
      <c r="H119" s="6">
        <v>0</v>
      </c>
      <c r="I119" s="6">
        <v>0</v>
      </c>
      <c r="J119" s="6">
        <v>0.6</v>
      </c>
      <c r="K119" s="6">
        <v>0.8</v>
      </c>
      <c r="L119" s="6">
        <v>0.16666666666666699</v>
      </c>
      <c r="M119" s="6">
        <v>0</v>
      </c>
      <c r="N119" s="6">
        <v>0.83333333333333304</v>
      </c>
      <c r="O119" s="6">
        <v>1.3333333333333299</v>
      </c>
      <c r="P119" s="6">
        <v>0.33333333333333298</v>
      </c>
      <c r="Q119" s="6">
        <v>0.33333333333333298</v>
      </c>
      <c r="R119" s="6">
        <v>0.42857142857142899</v>
      </c>
      <c r="S119" s="6">
        <v>0.83333333333333304</v>
      </c>
      <c r="T119" s="6">
        <v>0</v>
      </c>
      <c r="U119" s="6">
        <v>0.125</v>
      </c>
      <c r="V119" s="6">
        <v>0</v>
      </c>
      <c r="W119" s="6">
        <v>0.16666666666666699</v>
      </c>
      <c r="X119" s="6">
        <v>0.33333333333333298</v>
      </c>
      <c r="Y119" s="6">
        <v>0.16666666666666699</v>
      </c>
      <c r="Z119" s="6">
        <v>0.28571428571428598</v>
      </c>
      <c r="AA119" s="6">
        <v>0</v>
      </c>
      <c r="AB119" s="6">
        <v>0</v>
      </c>
      <c r="AC119" s="6">
        <v>0.4</v>
      </c>
      <c r="AD119" s="6">
        <v>0</v>
      </c>
      <c r="AE119" s="6">
        <v>0</v>
      </c>
      <c r="AF119" s="6">
        <v>0.5</v>
      </c>
    </row>
    <row r="120" spans="1:32" hidden="1">
      <c r="A120" t="s">
        <v>204</v>
      </c>
      <c r="B120" t="s">
        <v>204</v>
      </c>
      <c r="C120" t="s">
        <v>24</v>
      </c>
      <c r="D120" t="s">
        <v>25</v>
      </c>
      <c r="E120" t="s">
        <v>46</v>
      </c>
      <c r="F120" t="s">
        <v>16</v>
      </c>
      <c r="G120" s="6">
        <v>0</v>
      </c>
      <c r="H120" s="6">
        <v>0</v>
      </c>
      <c r="I120" s="6">
        <v>0</v>
      </c>
      <c r="J120" s="6">
        <v>0.6</v>
      </c>
      <c r="K120" s="6">
        <v>1</v>
      </c>
      <c r="L120" s="6">
        <v>0.33333333333333298</v>
      </c>
      <c r="M120" s="6">
        <v>0.16666666666666699</v>
      </c>
      <c r="N120" s="6">
        <v>0.33333333333333298</v>
      </c>
      <c r="O120" s="6">
        <v>0.16666666666666699</v>
      </c>
      <c r="P120" s="6">
        <v>0</v>
      </c>
      <c r="Q120" s="6">
        <v>0.33333333333333298</v>
      </c>
      <c r="R120" s="6">
        <v>0</v>
      </c>
      <c r="S120" s="6">
        <v>0.33333333333333298</v>
      </c>
      <c r="T120" s="6">
        <v>0</v>
      </c>
      <c r="U120" s="6">
        <v>0.125</v>
      </c>
      <c r="V120" s="6">
        <v>0</v>
      </c>
      <c r="W120" s="6">
        <v>0</v>
      </c>
      <c r="X120" s="6">
        <v>0</v>
      </c>
      <c r="Y120" s="6">
        <v>0</v>
      </c>
      <c r="Z120" s="6">
        <v>0.14285714285714299</v>
      </c>
      <c r="AA120" s="6">
        <v>0</v>
      </c>
      <c r="AB120" s="6">
        <v>0</v>
      </c>
      <c r="AC120" s="6">
        <v>0</v>
      </c>
      <c r="AD120" s="6">
        <v>0.88888888888888895</v>
      </c>
      <c r="AE120" s="6">
        <v>0</v>
      </c>
      <c r="AF120" s="6">
        <v>0</v>
      </c>
    </row>
    <row r="121" spans="1:32" hidden="1">
      <c r="A121" t="s">
        <v>205</v>
      </c>
      <c r="B121" t="s">
        <v>205</v>
      </c>
      <c r="C121" t="s">
        <v>9</v>
      </c>
      <c r="D121" t="s">
        <v>10</v>
      </c>
      <c r="E121" t="s">
        <v>15</v>
      </c>
      <c r="F121" t="s">
        <v>26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0.16666666666666699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</row>
    <row r="122" spans="1:32">
      <c r="A122" t="s">
        <v>206</v>
      </c>
      <c r="B122" t="s">
        <v>207</v>
      </c>
      <c r="C122" t="s">
        <v>65</v>
      </c>
      <c r="D122" t="s">
        <v>208</v>
      </c>
      <c r="E122" t="s">
        <v>21</v>
      </c>
      <c r="F122" t="s">
        <v>16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0.5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</row>
    <row r="123" spans="1:32" hidden="1">
      <c r="A123" t="s">
        <v>209</v>
      </c>
      <c r="B123" t="s">
        <v>209</v>
      </c>
      <c r="C123" t="s">
        <v>19</v>
      </c>
      <c r="D123" t="s">
        <v>20</v>
      </c>
      <c r="E123" t="s">
        <v>145</v>
      </c>
      <c r="F123" t="s">
        <v>16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0.16666666666666699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0.14285714285714299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</row>
    <row r="124" spans="1:32" hidden="1">
      <c r="A124" t="s">
        <v>210</v>
      </c>
      <c r="B124" t="s">
        <v>210</v>
      </c>
      <c r="C124" t="s">
        <v>19</v>
      </c>
      <c r="D124" t="s">
        <v>20</v>
      </c>
      <c r="E124" t="s">
        <v>145</v>
      </c>
      <c r="F124" t="s">
        <v>16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0.33333333333333298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0.125</v>
      </c>
      <c r="V124" s="6">
        <v>0</v>
      </c>
      <c r="W124" s="6">
        <v>0.33333333333333298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</row>
    <row r="125" spans="1:32" hidden="1">
      <c r="A125" t="s">
        <v>211</v>
      </c>
      <c r="B125" t="s">
        <v>211</v>
      </c>
      <c r="C125" t="s">
        <v>165</v>
      </c>
      <c r="D125" t="s">
        <v>212</v>
      </c>
      <c r="E125" t="s">
        <v>46</v>
      </c>
      <c r="F125" t="s">
        <v>16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0.16666666666666699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0.4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</row>
    <row r="126" spans="1:32" hidden="1">
      <c r="A126" t="s">
        <v>213</v>
      </c>
      <c r="B126" t="s">
        <v>213</v>
      </c>
      <c r="C126" t="s">
        <v>165</v>
      </c>
      <c r="D126" t="s">
        <v>212</v>
      </c>
      <c r="E126" t="s">
        <v>46</v>
      </c>
      <c r="F126" t="s">
        <v>16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0.16666666666666699</v>
      </c>
      <c r="O126" s="6">
        <v>0.16666666666666699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0.28571428571428598</v>
      </c>
      <c r="AA126" s="6">
        <v>0</v>
      </c>
      <c r="AB126" s="6">
        <v>0</v>
      </c>
      <c r="AC126" s="6">
        <v>0</v>
      </c>
      <c r="AD126" s="6">
        <v>0.22222222222222199</v>
      </c>
      <c r="AE126" s="6">
        <v>0</v>
      </c>
      <c r="AF126" s="6">
        <v>0</v>
      </c>
    </row>
    <row r="127" spans="1:32" hidden="1">
      <c r="A127" t="s">
        <v>214</v>
      </c>
      <c r="B127" t="s">
        <v>215</v>
      </c>
      <c r="C127" t="s">
        <v>24</v>
      </c>
      <c r="D127" t="s">
        <v>25</v>
      </c>
      <c r="E127" t="s">
        <v>42</v>
      </c>
      <c r="F127" t="s">
        <v>42</v>
      </c>
      <c r="G127" s="6">
        <v>0.16666666666666699</v>
      </c>
      <c r="H127" s="6">
        <v>1</v>
      </c>
      <c r="I127" s="6">
        <v>0.2</v>
      </c>
      <c r="J127" s="6">
        <v>0.6</v>
      </c>
      <c r="K127" s="6">
        <v>0.6</v>
      </c>
      <c r="L127" s="6">
        <v>1</v>
      </c>
      <c r="M127" s="6">
        <v>0.16666666666666699</v>
      </c>
      <c r="N127" s="6">
        <v>0</v>
      </c>
      <c r="O127" s="6">
        <v>0.83333333333333304</v>
      </c>
      <c r="P127" s="6">
        <v>1.3333333333333299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0.28571428571428598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1.3333333333333299</v>
      </c>
    </row>
    <row r="128" spans="1:32" hidden="1">
      <c r="A128" t="s">
        <v>216</v>
      </c>
      <c r="B128" t="s">
        <v>217</v>
      </c>
      <c r="C128" t="s">
        <v>19</v>
      </c>
      <c r="D128" t="s">
        <v>20</v>
      </c>
      <c r="E128" t="s">
        <v>15</v>
      </c>
      <c r="F128" t="s">
        <v>16</v>
      </c>
      <c r="G128" s="6">
        <v>0.16666666666666699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</row>
    <row r="129" spans="1:32">
      <c r="A129" t="s">
        <v>218</v>
      </c>
      <c r="B129" t="s">
        <v>218</v>
      </c>
      <c r="C129" t="s">
        <v>19</v>
      </c>
      <c r="D129" t="s">
        <v>97</v>
      </c>
      <c r="E129" t="s">
        <v>21</v>
      </c>
      <c r="F129" t="s">
        <v>26</v>
      </c>
      <c r="G129" s="6">
        <v>0</v>
      </c>
      <c r="H129" s="6">
        <v>0.8</v>
      </c>
      <c r="I129" s="6">
        <v>0.4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</row>
    <row r="130" spans="1:32" hidden="1">
      <c r="A130" t="s">
        <v>219</v>
      </c>
      <c r="B130" t="s">
        <v>219</v>
      </c>
      <c r="C130" t="s">
        <v>19</v>
      </c>
      <c r="D130" t="s">
        <v>97</v>
      </c>
      <c r="E130" t="s">
        <v>15</v>
      </c>
      <c r="F130" t="s">
        <v>26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0.14285714285714299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</row>
    <row r="131" spans="1:32" hidden="1">
      <c r="A131" t="s">
        <v>220</v>
      </c>
      <c r="B131" t="s">
        <v>220</v>
      </c>
      <c r="C131" t="s">
        <v>19</v>
      </c>
      <c r="D131" t="s">
        <v>97</v>
      </c>
      <c r="E131" t="s">
        <v>15</v>
      </c>
      <c r="F131" t="s">
        <v>26</v>
      </c>
      <c r="G131" s="6">
        <v>8.3333333333333304</v>
      </c>
      <c r="H131" s="6">
        <v>0.4</v>
      </c>
      <c r="I131" s="6">
        <v>0.6</v>
      </c>
      <c r="J131" s="6">
        <v>0</v>
      </c>
      <c r="K131" s="6">
        <v>0.2</v>
      </c>
      <c r="L131" s="6">
        <v>0</v>
      </c>
      <c r="M131" s="6">
        <v>0</v>
      </c>
      <c r="N131" s="6">
        <v>0</v>
      </c>
      <c r="O131" s="6">
        <v>0.16666666666666699</v>
      </c>
      <c r="P131" s="6">
        <v>0</v>
      </c>
      <c r="Q131" s="6">
        <v>0</v>
      </c>
      <c r="R131" s="6">
        <v>0.14285714285714299</v>
      </c>
      <c r="S131" s="6">
        <v>0</v>
      </c>
      <c r="T131" s="6">
        <v>0</v>
      </c>
      <c r="U131" s="6">
        <v>0.125</v>
      </c>
      <c r="V131" s="6">
        <v>2</v>
      </c>
      <c r="W131" s="6">
        <v>0</v>
      </c>
      <c r="X131" s="6">
        <v>0.16666666666666699</v>
      </c>
      <c r="Y131" s="6">
        <v>0</v>
      </c>
      <c r="Z131" s="6">
        <v>0</v>
      </c>
      <c r="AA131" s="6">
        <v>0.2</v>
      </c>
      <c r="AB131" s="6">
        <v>0.33333333333333298</v>
      </c>
      <c r="AC131" s="6">
        <v>0</v>
      </c>
      <c r="AD131" s="6">
        <v>0.11111111111111099</v>
      </c>
      <c r="AE131" s="6">
        <v>0</v>
      </c>
      <c r="AF131" s="6">
        <v>0</v>
      </c>
    </row>
    <row r="132" spans="1:32" hidden="1">
      <c r="A132" t="s">
        <v>221</v>
      </c>
      <c r="B132" t="s">
        <v>221</v>
      </c>
      <c r="C132" t="s">
        <v>24</v>
      </c>
      <c r="D132" t="s">
        <v>25</v>
      </c>
      <c r="E132" t="s">
        <v>15</v>
      </c>
      <c r="F132" t="s">
        <v>26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0.16666666666666699</v>
      </c>
      <c r="M132" s="6">
        <v>0.16666666666666699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</row>
    <row r="133" spans="1:32" hidden="1">
      <c r="A133" t="s">
        <v>222</v>
      </c>
      <c r="B133" t="s">
        <v>222</v>
      </c>
      <c r="C133" t="s">
        <v>19</v>
      </c>
      <c r="D133" t="s">
        <v>20</v>
      </c>
      <c r="E133" t="s">
        <v>145</v>
      </c>
      <c r="F133" t="s">
        <v>16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0.16666666666666699</v>
      </c>
      <c r="O133" s="6">
        <v>0.33333333333333298</v>
      </c>
      <c r="P133" s="6">
        <v>0</v>
      </c>
      <c r="Q133" s="6">
        <v>0</v>
      </c>
      <c r="R133" s="6">
        <v>0.14285714285714299</v>
      </c>
      <c r="S133" s="6">
        <v>0</v>
      </c>
      <c r="T133" s="6">
        <v>0.14285714285714299</v>
      </c>
      <c r="U133" s="6">
        <v>0.375</v>
      </c>
      <c r="V133" s="6">
        <v>2.6666666666666701</v>
      </c>
      <c r="W133" s="6">
        <v>0</v>
      </c>
      <c r="X133" s="6">
        <v>0.66666666666666696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</row>
    <row r="134" spans="1:32" hidden="1">
      <c r="A134" t="s">
        <v>223</v>
      </c>
      <c r="B134" t="s">
        <v>223</v>
      </c>
      <c r="C134" t="s">
        <v>19</v>
      </c>
      <c r="D134" t="s">
        <v>20</v>
      </c>
      <c r="E134" t="s">
        <v>145</v>
      </c>
      <c r="F134" t="s">
        <v>16</v>
      </c>
      <c r="G134" s="6">
        <v>0.16666666666666699</v>
      </c>
      <c r="H134" s="6">
        <v>0</v>
      </c>
      <c r="I134" s="6">
        <v>0.4</v>
      </c>
      <c r="J134" s="6">
        <v>1.4</v>
      </c>
      <c r="K134" s="6">
        <v>1.1000000000000001</v>
      </c>
      <c r="L134" s="6">
        <v>0.33333333333333298</v>
      </c>
      <c r="M134" s="6">
        <v>0</v>
      </c>
      <c r="N134" s="6">
        <v>0.16666666666666699</v>
      </c>
      <c r="O134" s="6">
        <v>1.8333333333333299</v>
      </c>
      <c r="P134" s="6">
        <v>0.66666666666666696</v>
      </c>
      <c r="Q134" s="6">
        <v>0.5</v>
      </c>
      <c r="R134" s="6">
        <v>0.42857142857142899</v>
      </c>
      <c r="S134" s="6">
        <v>0.5</v>
      </c>
      <c r="T134" s="6">
        <v>0</v>
      </c>
      <c r="U134" s="6">
        <v>0</v>
      </c>
      <c r="V134" s="6">
        <v>0</v>
      </c>
      <c r="W134" s="6">
        <v>1.5</v>
      </c>
      <c r="X134" s="6">
        <v>0.66666666666666696</v>
      </c>
      <c r="Y134" s="6">
        <v>0.16666666666666699</v>
      </c>
      <c r="Z134" s="6">
        <v>0</v>
      </c>
      <c r="AA134" s="6">
        <v>0.4</v>
      </c>
      <c r="AB134" s="6">
        <v>0</v>
      </c>
      <c r="AC134" s="6">
        <v>0.2</v>
      </c>
      <c r="AD134" s="6">
        <v>0.22222222222222199</v>
      </c>
      <c r="AE134" s="6">
        <v>0.33333333333333298</v>
      </c>
      <c r="AF134" s="6">
        <v>0.5</v>
      </c>
    </row>
    <row r="135" spans="1:32" hidden="1">
      <c r="A135" t="s">
        <v>224</v>
      </c>
      <c r="B135" t="s">
        <v>224</v>
      </c>
      <c r="C135" t="s">
        <v>19</v>
      </c>
      <c r="D135" t="s">
        <v>20</v>
      </c>
      <c r="E135" t="s">
        <v>145</v>
      </c>
      <c r="F135" t="s">
        <v>16</v>
      </c>
      <c r="G135" s="6">
        <v>0</v>
      </c>
      <c r="H135" s="6">
        <v>0.2</v>
      </c>
      <c r="I135" s="6">
        <v>0</v>
      </c>
      <c r="J135" s="6">
        <v>1</v>
      </c>
      <c r="K135" s="6">
        <v>0.6</v>
      </c>
      <c r="L135" s="6">
        <v>0</v>
      </c>
      <c r="M135" s="6">
        <v>0.83333333333333304</v>
      </c>
      <c r="N135" s="6">
        <v>0.33333333333333298</v>
      </c>
      <c r="O135" s="6">
        <v>0.16666666666666699</v>
      </c>
      <c r="P135" s="6">
        <v>0</v>
      </c>
      <c r="Q135" s="6">
        <v>0.16666666666666699</v>
      </c>
      <c r="R135" s="6">
        <v>0</v>
      </c>
      <c r="S135" s="6">
        <v>0</v>
      </c>
      <c r="T135" s="6">
        <v>0</v>
      </c>
      <c r="U135" s="6">
        <v>0.25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0.22222222222222199</v>
      </c>
      <c r="AE135" s="6">
        <v>0</v>
      </c>
      <c r="AF135" s="6">
        <v>0</v>
      </c>
    </row>
    <row r="136" spans="1:32" hidden="1">
      <c r="A136" t="s">
        <v>225</v>
      </c>
      <c r="B136" t="s">
        <v>225</v>
      </c>
      <c r="C136" t="s">
        <v>19</v>
      </c>
      <c r="D136" t="s">
        <v>20</v>
      </c>
      <c r="E136" t="s">
        <v>145</v>
      </c>
      <c r="F136" t="s">
        <v>16</v>
      </c>
      <c r="G136" s="6">
        <v>0.16666666666666699</v>
      </c>
      <c r="H136" s="6">
        <v>0</v>
      </c>
      <c r="I136" s="6">
        <v>0</v>
      </c>
      <c r="J136" s="6">
        <v>0</v>
      </c>
      <c r="K136" s="6">
        <v>0</v>
      </c>
      <c r="L136" s="6">
        <v>0.16666666666666699</v>
      </c>
      <c r="M136" s="6">
        <v>0.66666666666666696</v>
      </c>
      <c r="N136" s="6">
        <v>0</v>
      </c>
      <c r="O136" s="6">
        <v>0</v>
      </c>
      <c r="P136" s="6">
        <v>0.5</v>
      </c>
      <c r="Q136" s="6">
        <v>0</v>
      </c>
      <c r="R136" s="6">
        <v>0</v>
      </c>
      <c r="S136" s="6">
        <v>0</v>
      </c>
      <c r="T136" s="6">
        <v>0</v>
      </c>
      <c r="U136" s="6">
        <v>0.125</v>
      </c>
      <c r="V136" s="6">
        <v>0.16666666666666699</v>
      </c>
      <c r="W136" s="6">
        <v>0.5</v>
      </c>
      <c r="X136" s="6">
        <v>0</v>
      </c>
      <c r="Y136" s="6">
        <v>0</v>
      </c>
      <c r="Z136" s="6">
        <v>0.14285714285714299</v>
      </c>
      <c r="AA136" s="6">
        <v>0</v>
      </c>
      <c r="AB136" s="6">
        <v>0</v>
      </c>
      <c r="AC136" s="6">
        <v>0</v>
      </c>
      <c r="AD136" s="6">
        <v>0.11111111111111099</v>
      </c>
      <c r="AE136" s="6">
        <v>0</v>
      </c>
      <c r="AF136" s="6">
        <v>0</v>
      </c>
    </row>
    <row r="137" spans="1:32" hidden="1">
      <c r="A137" t="s">
        <v>226</v>
      </c>
      <c r="B137" t="s">
        <v>227</v>
      </c>
      <c r="C137" t="s">
        <v>19</v>
      </c>
      <c r="D137" t="s">
        <v>20</v>
      </c>
      <c r="E137" t="s">
        <v>145</v>
      </c>
      <c r="F137" t="s">
        <v>12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0.66666666666666696</v>
      </c>
      <c r="M137" s="6">
        <v>0</v>
      </c>
      <c r="N137" s="6">
        <v>0</v>
      </c>
      <c r="O137" s="6">
        <v>0</v>
      </c>
      <c r="P137" s="6">
        <v>0.16666666666666699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</row>
    <row r="138" spans="1:32" hidden="1">
      <c r="A138" t="s">
        <v>228</v>
      </c>
      <c r="B138" t="s">
        <v>229</v>
      </c>
      <c r="C138" t="s">
        <v>19</v>
      </c>
      <c r="D138" t="s">
        <v>20</v>
      </c>
      <c r="E138" t="s">
        <v>145</v>
      </c>
      <c r="F138" t="s">
        <v>16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0.16666666666666699</v>
      </c>
      <c r="P138" s="6">
        <v>0.5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</row>
    <row r="139" spans="1:32" hidden="1">
      <c r="A139" t="s">
        <v>230</v>
      </c>
      <c r="B139" t="s">
        <v>231</v>
      </c>
      <c r="C139" t="s">
        <v>9</v>
      </c>
      <c r="D139" t="s">
        <v>10</v>
      </c>
      <c r="E139" t="s">
        <v>11</v>
      </c>
      <c r="F139" t="s">
        <v>12</v>
      </c>
      <c r="G139" s="6">
        <v>0</v>
      </c>
      <c r="H139" s="6">
        <v>0</v>
      </c>
      <c r="I139" s="6">
        <v>0</v>
      </c>
      <c r="J139" s="6">
        <v>0.4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</row>
    <row r="140" spans="1:32" hidden="1">
      <c r="A140" t="s">
        <v>232</v>
      </c>
      <c r="B140" t="s">
        <v>232</v>
      </c>
      <c r="C140" t="s">
        <v>24</v>
      </c>
      <c r="D140" t="s">
        <v>25</v>
      </c>
      <c r="E140" t="s">
        <v>46</v>
      </c>
      <c r="F140" t="s">
        <v>26</v>
      </c>
      <c r="G140" s="6">
        <v>0.33333333333333298</v>
      </c>
      <c r="H140" s="6">
        <v>0.6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</row>
    <row r="141" spans="1:32" hidden="1">
      <c r="A141" t="s">
        <v>233</v>
      </c>
      <c r="B141" t="s">
        <v>234</v>
      </c>
      <c r="C141" t="s">
        <v>24</v>
      </c>
      <c r="D141" t="s">
        <v>25</v>
      </c>
      <c r="E141" t="s">
        <v>15</v>
      </c>
      <c r="F141" t="s">
        <v>26</v>
      </c>
      <c r="G141" s="6">
        <v>0</v>
      </c>
      <c r="H141" s="6">
        <v>0.2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0.16666666666666699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</row>
    <row r="142" spans="1:32">
      <c r="A142" t="s">
        <v>235</v>
      </c>
      <c r="B142" t="s">
        <v>235</v>
      </c>
      <c r="C142" t="s">
        <v>19</v>
      </c>
      <c r="D142" t="s">
        <v>97</v>
      </c>
      <c r="E142" t="s">
        <v>21</v>
      </c>
      <c r="F142" t="s">
        <v>16</v>
      </c>
      <c r="G142" s="6">
        <v>0.16666666666666699</v>
      </c>
      <c r="H142" s="6">
        <v>0</v>
      </c>
      <c r="I142" s="6">
        <v>0</v>
      </c>
      <c r="J142" s="6">
        <v>0</v>
      </c>
      <c r="K142" s="6">
        <v>0</v>
      </c>
      <c r="L142" s="6">
        <v>0.16666666666666699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0.25</v>
      </c>
      <c r="V142" s="6">
        <v>0.16666666666666699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</row>
    <row r="143" spans="1:32" hidden="1">
      <c r="A143" t="s">
        <v>236</v>
      </c>
      <c r="B143" t="s">
        <v>236</v>
      </c>
      <c r="C143" t="s">
        <v>19</v>
      </c>
      <c r="D143" t="s">
        <v>20</v>
      </c>
      <c r="E143" t="s">
        <v>11</v>
      </c>
      <c r="F143" t="s">
        <v>16</v>
      </c>
      <c r="G143" s="6">
        <v>0</v>
      </c>
      <c r="H143" s="6">
        <v>0.2</v>
      </c>
      <c r="I143" s="6">
        <v>0</v>
      </c>
      <c r="J143" s="6">
        <v>0</v>
      </c>
      <c r="K143" s="6">
        <v>0</v>
      </c>
      <c r="L143" s="6">
        <v>0.33333333333333298</v>
      </c>
      <c r="M143" s="6">
        <v>0</v>
      </c>
      <c r="N143" s="6">
        <v>0</v>
      </c>
      <c r="O143" s="6">
        <v>0.16666666666666699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0.28571428571428598</v>
      </c>
      <c r="AA143" s="6">
        <v>0.2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</row>
    <row r="144" spans="1:32">
      <c r="A144" t="s">
        <v>237</v>
      </c>
      <c r="B144" t="s">
        <v>238</v>
      </c>
      <c r="C144" t="s">
        <v>40</v>
      </c>
      <c r="D144" t="s">
        <v>41</v>
      </c>
      <c r="E144" t="s">
        <v>21</v>
      </c>
      <c r="F144" t="s">
        <v>16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1.8333333333333299</v>
      </c>
      <c r="N144" s="6">
        <v>0</v>
      </c>
      <c r="O144" s="6">
        <v>0</v>
      </c>
      <c r="P144" s="6">
        <v>0</v>
      </c>
      <c r="Q144" s="6">
        <v>1.1666666666666701</v>
      </c>
      <c r="R144" s="6">
        <v>0</v>
      </c>
      <c r="S144" s="6">
        <v>0.5</v>
      </c>
      <c r="T144" s="6">
        <v>0</v>
      </c>
      <c r="U144" s="6">
        <v>2.25</v>
      </c>
      <c r="V144" s="6">
        <v>2.1666666666666701</v>
      </c>
      <c r="W144" s="6">
        <v>3.6666666666666701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</row>
    <row r="145" spans="1:32">
      <c r="A145" t="s">
        <v>239</v>
      </c>
      <c r="B145" t="s">
        <v>240</v>
      </c>
      <c r="C145" t="s">
        <v>40</v>
      </c>
      <c r="D145" t="s">
        <v>41</v>
      </c>
      <c r="E145" t="s">
        <v>21</v>
      </c>
      <c r="F145" t="s">
        <v>16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0.16666666666666699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</row>
    <row r="146" spans="1:32">
      <c r="A146" t="s">
        <v>241</v>
      </c>
      <c r="B146" t="s">
        <v>242</v>
      </c>
      <c r="C146" t="s">
        <v>40</v>
      </c>
      <c r="D146" t="s">
        <v>41</v>
      </c>
      <c r="E146" t="s">
        <v>21</v>
      </c>
      <c r="F146" t="s">
        <v>16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0.16666666666666699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0.42857142857142899</v>
      </c>
      <c r="S146" s="6">
        <v>1.8333333333333299</v>
      </c>
      <c r="T146" s="6">
        <v>0.85714285714285698</v>
      </c>
      <c r="U146" s="6">
        <v>0.125</v>
      </c>
      <c r="V146" s="6">
        <v>0.16666666666666699</v>
      </c>
      <c r="W146" s="6">
        <v>1.1666666666666701</v>
      </c>
      <c r="X146" s="6">
        <v>0</v>
      </c>
      <c r="Y146" s="6">
        <v>2.6666666666666701</v>
      </c>
      <c r="Z146" s="6">
        <v>0</v>
      </c>
      <c r="AA146" s="6">
        <v>0</v>
      </c>
      <c r="AB146" s="6">
        <v>0</v>
      </c>
      <c r="AC146" s="6">
        <v>0.2</v>
      </c>
      <c r="AD146" s="6">
        <v>0</v>
      </c>
      <c r="AE146" s="6">
        <v>0</v>
      </c>
      <c r="AF146" s="6">
        <v>0</v>
      </c>
    </row>
    <row r="147" spans="1:32" hidden="1">
      <c r="A147" t="s">
        <v>243</v>
      </c>
      <c r="B147" t="s">
        <v>243</v>
      </c>
      <c r="C147" t="s">
        <v>165</v>
      </c>
      <c r="D147" t="s">
        <v>166</v>
      </c>
      <c r="E147" t="s">
        <v>15</v>
      </c>
      <c r="F147" t="s">
        <v>16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0.16666666666666699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0.125</v>
      </c>
      <c r="V147" s="6">
        <v>0.33333333333333298</v>
      </c>
      <c r="W147" s="6">
        <v>0</v>
      </c>
      <c r="X147" s="6">
        <v>0.16666666666666699</v>
      </c>
      <c r="Y147" s="6">
        <v>0</v>
      </c>
      <c r="Z147" s="6">
        <v>0</v>
      </c>
      <c r="AA147" s="6">
        <v>0.2</v>
      </c>
      <c r="AB147" s="6">
        <v>0.33333333333333298</v>
      </c>
      <c r="AC147" s="6">
        <v>0</v>
      </c>
      <c r="AD147" s="6">
        <v>0</v>
      </c>
      <c r="AE147" s="6">
        <v>0</v>
      </c>
      <c r="AF147" s="6">
        <v>0</v>
      </c>
    </row>
    <row r="148" spans="1:32">
      <c r="A148" t="s">
        <v>244</v>
      </c>
      <c r="B148" t="s">
        <v>245</v>
      </c>
      <c r="C148" t="s">
        <v>19</v>
      </c>
      <c r="D148" t="s">
        <v>97</v>
      </c>
      <c r="E148" t="s">
        <v>21</v>
      </c>
      <c r="F148" t="s">
        <v>16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0.16666666666666699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0.14285714285714299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0.33333333333333298</v>
      </c>
      <c r="AF148" s="6">
        <v>0.16666666666666699</v>
      </c>
    </row>
    <row r="149" spans="1:32">
      <c r="A149" t="s">
        <v>246</v>
      </c>
      <c r="B149" t="s">
        <v>246</v>
      </c>
      <c r="C149" t="s">
        <v>19</v>
      </c>
      <c r="D149" t="s">
        <v>97</v>
      </c>
      <c r="E149" t="s">
        <v>21</v>
      </c>
      <c r="F149" t="s">
        <v>16</v>
      </c>
      <c r="G149" s="6">
        <v>0.83333333333333304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0.5</v>
      </c>
      <c r="O149" s="6">
        <v>0</v>
      </c>
      <c r="P149" s="6">
        <v>0</v>
      </c>
      <c r="Q149" s="6">
        <v>0</v>
      </c>
      <c r="R149" s="6">
        <v>0</v>
      </c>
      <c r="S149" s="6">
        <v>0.33333333333333298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6.3333333333333304</v>
      </c>
      <c r="AE149" s="6">
        <v>0</v>
      </c>
      <c r="AF149" s="6">
        <v>0.16666666666666699</v>
      </c>
    </row>
    <row r="150" spans="1:32">
      <c r="A150" t="s">
        <v>247</v>
      </c>
      <c r="B150" t="s">
        <v>246</v>
      </c>
      <c r="C150" t="s">
        <v>19</v>
      </c>
      <c r="D150" t="s">
        <v>97</v>
      </c>
      <c r="E150" t="s">
        <v>21</v>
      </c>
      <c r="F150" t="s">
        <v>16</v>
      </c>
      <c r="G150" s="6">
        <v>1.3333333333333299</v>
      </c>
      <c r="H150" s="6">
        <v>0</v>
      </c>
      <c r="I150" s="6">
        <v>0</v>
      </c>
      <c r="J150" s="6">
        <v>1</v>
      </c>
      <c r="K150" s="6">
        <v>0</v>
      </c>
      <c r="L150" s="6">
        <v>0</v>
      </c>
      <c r="M150" s="6">
        <v>0</v>
      </c>
      <c r="N150" s="6">
        <v>0</v>
      </c>
      <c r="O150" s="6">
        <v>1.5</v>
      </c>
      <c r="P150" s="6">
        <v>0.16666666666666699</v>
      </c>
      <c r="Q150" s="6">
        <v>0</v>
      </c>
      <c r="R150" s="6">
        <v>0</v>
      </c>
      <c r="S150" s="6">
        <v>0.16666666666666699</v>
      </c>
      <c r="T150" s="6">
        <v>0</v>
      </c>
      <c r="U150" s="6">
        <v>0.625</v>
      </c>
      <c r="V150" s="6">
        <v>0</v>
      </c>
      <c r="W150" s="6">
        <v>0</v>
      </c>
      <c r="X150" s="6">
        <v>0.16666666666666699</v>
      </c>
      <c r="Y150" s="6">
        <v>0</v>
      </c>
      <c r="Z150" s="6">
        <v>0</v>
      </c>
      <c r="AA150" s="6">
        <v>0</v>
      </c>
      <c r="AB150" s="6">
        <v>0</v>
      </c>
      <c r="AC150" s="6">
        <v>0.2</v>
      </c>
      <c r="AD150" s="6">
        <v>0</v>
      </c>
      <c r="AE150" s="6">
        <v>0</v>
      </c>
      <c r="AF150" s="6">
        <v>0</v>
      </c>
    </row>
    <row r="151" spans="1:32">
      <c r="A151" t="s">
        <v>248</v>
      </c>
      <c r="B151" t="s">
        <v>249</v>
      </c>
      <c r="C151" t="s">
        <v>19</v>
      </c>
      <c r="D151" t="s">
        <v>97</v>
      </c>
      <c r="E151" t="s">
        <v>21</v>
      </c>
      <c r="F151" t="s">
        <v>16</v>
      </c>
      <c r="G151" s="6">
        <v>3.1666666666666701</v>
      </c>
      <c r="H151" s="6">
        <v>1.8</v>
      </c>
      <c r="I151" s="6">
        <v>0.6</v>
      </c>
      <c r="J151" s="6">
        <v>1.6</v>
      </c>
      <c r="K151" s="6">
        <v>1.7</v>
      </c>
      <c r="L151" s="6">
        <v>0.5</v>
      </c>
      <c r="M151" s="6">
        <v>3.6666666666666701</v>
      </c>
      <c r="N151" s="6">
        <v>15.3333333333333</v>
      </c>
      <c r="O151" s="6">
        <v>0.33333333333333298</v>
      </c>
      <c r="P151" s="6">
        <v>0</v>
      </c>
      <c r="Q151" s="6">
        <v>0.5</v>
      </c>
      <c r="R151" s="6">
        <v>0.14285714285714299</v>
      </c>
      <c r="S151" s="6">
        <v>0.66666666666666696</v>
      </c>
      <c r="T151" s="6">
        <v>0</v>
      </c>
      <c r="U151" s="6">
        <v>0</v>
      </c>
      <c r="V151" s="6">
        <v>1</v>
      </c>
      <c r="W151" s="6">
        <v>0.5</v>
      </c>
      <c r="X151" s="6">
        <v>1</v>
      </c>
      <c r="Y151" s="6">
        <v>0.5</v>
      </c>
      <c r="Z151" s="6">
        <v>1.71428571428571</v>
      </c>
      <c r="AA151" s="6">
        <v>1.6</v>
      </c>
      <c r="AB151" s="6">
        <v>0</v>
      </c>
      <c r="AC151" s="6">
        <v>0.2</v>
      </c>
      <c r="AD151" s="6">
        <v>0</v>
      </c>
      <c r="AE151" s="6">
        <v>4.3333333333333304</v>
      </c>
      <c r="AF151" s="6">
        <v>1.1666666666666701</v>
      </c>
    </row>
    <row r="152" spans="1:32">
      <c r="A152" t="s">
        <v>250</v>
      </c>
      <c r="B152" t="s">
        <v>251</v>
      </c>
      <c r="C152" t="s">
        <v>19</v>
      </c>
      <c r="D152" t="s">
        <v>97</v>
      </c>
      <c r="E152" t="s">
        <v>21</v>
      </c>
      <c r="F152" t="s">
        <v>26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2</v>
      </c>
      <c r="W152" s="6">
        <v>0</v>
      </c>
      <c r="X152" s="6">
        <v>0</v>
      </c>
      <c r="Y152" s="6">
        <v>0</v>
      </c>
      <c r="Z152" s="6">
        <v>0</v>
      </c>
      <c r="AA152" s="6">
        <v>0.2</v>
      </c>
      <c r="AB152" s="6">
        <v>0</v>
      </c>
      <c r="AC152" s="6">
        <v>0</v>
      </c>
      <c r="AD152" s="6">
        <v>0</v>
      </c>
      <c r="AE152" s="6">
        <v>0.33333333333333298</v>
      </c>
      <c r="AF152" s="6">
        <v>0</v>
      </c>
    </row>
    <row r="153" spans="1:32">
      <c r="A153" t="s">
        <v>252</v>
      </c>
      <c r="B153" t="s">
        <v>252</v>
      </c>
      <c r="C153" t="s">
        <v>19</v>
      </c>
      <c r="D153" t="s">
        <v>97</v>
      </c>
      <c r="E153" t="s">
        <v>21</v>
      </c>
      <c r="F153" t="s">
        <v>26</v>
      </c>
      <c r="G153" s="6">
        <v>1.8333333333333299</v>
      </c>
      <c r="H153" s="6">
        <v>0.2</v>
      </c>
      <c r="I153" s="6">
        <v>0.2</v>
      </c>
      <c r="J153" s="6">
        <v>0</v>
      </c>
      <c r="K153" s="6">
        <v>0.1</v>
      </c>
      <c r="L153" s="6">
        <v>0</v>
      </c>
      <c r="M153" s="6">
        <v>0.83333333333333304</v>
      </c>
      <c r="N153" s="6">
        <v>0</v>
      </c>
      <c r="O153" s="6">
        <v>0.33333333333333298</v>
      </c>
      <c r="P153" s="6">
        <v>0.33333333333333298</v>
      </c>
      <c r="Q153" s="6">
        <v>0</v>
      </c>
      <c r="R153" s="6">
        <v>0</v>
      </c>
      <c r="S153" s="6">
        <v>0</v>
      </c>
      <c r="T153" s="6">
        <v>0.14285714285714299</v>
      </c>
      <c r="U153" s="6">
        <v>0</v>
      </c>
      <c r="V153" s="6">
        <v>0.16666666666666699</v>
      </c>
      <c r="W153" s="6">
        <v>0</v>
      </c>
      <c r="X153" s="6">
        <v>0</v>
      </c>
      <c r="Y153" s="6">
        <v>0</v>
      </c>
      <c r="Z153" s="6">
        <v>0.14285714285714299</v>
      </c>
      <c r="AA153" s="6">
        <v>0</v>
      </c>
      <c r="AB153" s="6">
        <v>0.66666666666666696</v>
      </c>
      <c r="AC153" s="6">
        <v>0</v>
      </c>
      <c r="AD153" s="6">
        <v>0.22222222222222199</v>
      </c>
      <c r="AE153" s="6">
        <v>0</v>
      </c>
      <c r="AF153" s="6">
        <v>0</v>
      </c>
    </row>
    <row r="154" spans="1:32" hidden="1">
      <c r="A154" t="s">
        <v>253</v>
      </c>
      <c r="B154" t="s">
        <v>253</v>
      </c>
      <c r="C154" t="s">
        <v>9</v>
      </c>
      <c r="D154" t="s">
        <v>10</v>
      </c>
      <c r="E154" t="s">
        <v>28</v>
      </c>
      <c r="F154" t="s">
        <v>16</v>
      </c>
      <c r="G154" s="6">
        <v>0</v>
      </c>
      <c r="H154" s="6">
        <v>0</v>
      </c>
      <c r="I154" s="6">
        <v>0</v>
      </c>
      <c r="J154" s="6">
        <v>0</v>
      </c>
      <c r="K154" s="6">
        <v>0.5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0.71428571428571397</v>
      </c>
      <c r="AA154" s="6">
        <v>0.2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</row>
    <row r="155" spans="1:32" hidden="1">
      <c r="A155" t="s">
        <v>254</v>
      </c>
      <c r="B155" t="s">
        <v>254</v>
      </c>
      <c r="C155" t="s">
        <v>9</v>
      </c>
      <c r="D155" t="s">
        <v>10</v>
      </c>
      <c r="E155" t="s">
        <v>28</v>
      </c>
      <c r="F155" t="s">
        <v>16</v>
      </c>
      <c r="G155" s="6">
        <v>0.16666666666666699</v>
      </c>
      <c r="H155" s="6">
        <v>0</v>
      </c>
      <c r="I155" s="6">
        <v>0</v>
      </c>
      <c r="J155" s="6">
        <v>0</v>
      </c>
      <c r="K155" s="6">
        <v>0</v>
      </c>
      <c r="L155" s="6">
        <v>0.66666666666666696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0.11111111111111099</v>
      </c>
      <c r="AE155" s="6">
        <v>0</v>
      </c>
      <c r="AF155" s="6">
        <v>0</v>
      </c>
    </row>
    <row r="156" spans="1:32">
      <c r="A156" t="s">
        <v>255</v>
      </c>
      <c r="B156" t="s">
        <v>255</v>
      </c>
      <c r="C156" t="s">
        <v>19</v>
      </c>
      <c r="D156" t="s">
        <v>97</v>
      </c>
      <c r="E156" t="s">
        <v>21</v>
      </c>
      <c r="F156" t="s">
        <v>16</v>
      </c>
      <c r="G156" s="6">
        <v>10</v>
      </c>
      <c r="H156" s="6">
        <v>0.4</v>
      </c>
      <c r="I156" s="6">
        <v>0.2</v>
      </c>
      <c r="J156" s="6">
        <v>3.2</v>
      </c>
      <c r="K156" s="6">
        <v>3</v>
      </c>
      <c r="L156" s="6">
        <v>6.6666666666666696</v>
      </c>
      <c r="M156" s="6">
        <v>3</v>
      </c>
      <c r="N156" s="6">
        <v>17</v>
      </c>
      <c r="O156" s="6">
        <v>2</v>
      </c>
      <c r="P156" s="6">
        <v>1.5</v>
      </c>
      <c r="Q156" s="6">
        <v>0.33333333333333298</v>
      </c>
      <c r="R156" s="6">
        <v>4</v>
      </c>
      <c r="S156" s="6">
        <v>6.1666666666666696</v>
      </c>
      <c r="T156" s="6">
        <v>1.5714285714285701</v>
      </c>
      <c r="U156" s="6">
        <v>3.125</v>
      </c>
      <c r="V156" s="6">
        <v>23.1666666666667</v>
      </c>
      <c r="W156" s="6">
        <v>28.1666666666667</v>
      </c>
      <c r="X156" s="6">
        <v>22.1666666666667</v>
      </c>
      <c r="Y156" s="6">
        <v>85.6666666666667</v>
      </c>
      <c r="Z156" s="6">
        <v>11.5714285714286</v>
      </c>
      <c r="AA156" s="6">
        <v>0.4</v>
      </c>
      <c r="AB156" s="6">
        <v>1.3333333333333299</v>
      </c>
      <c r="AC156" s="6">
        <v>0</v>
      </c>
      <c r="AD156" s="6">
        <v>1.1111111111111101</v>
      </c>
      <c r="AE156" s="6">
        <v>0</v>
      </c>
      <c r="AF156" s="6">
        <v>0.5</v>
      </c>
    </row>
    <row r="157" spans="1:32" hidden="1">
      <c r="A157" t="s">
        <v>256</v>
      </c>
      <c r="B157" t="s">
        <v>257</v>
      </c>
      <c r="C157" t="s">
        <v>256</v>
      </c>
      <c r="E157" t="s">
        <v>15</v>
      </c>
      <c r="F157" t="s">
        <v>26</v>
      </c>
      <c r="G157" s="6">
        <v>11.1666666666667</v>
      </c>
      <c r="H157" s="6">
        <v>5.6</v>
      </c>
      <c r="I157" s="6">
        <v>0.2</v>
      </c>
      <c r="J157" s="6">
        <v>0.4</v>
      </c>
      <c r="K157" s="6">
        <v>7.9</v>
      </c>
      <c r="L157" s="6">
        <v>2.8333333333333299</v>
      </c>
      <c r="M157" s="6">
        <v>2.1666666666666701</v>
      </c>
      <c r="N157" s="6">
        <v>1.8333333333333299</v>
      </c>
      <c r="O157" s="6">
        <v>0.66666666666666696</v>
      </c>
      <c r="P157" s="6">
        <v>2.6666666666666701</v>
      </c>
      <c r="Q157" s="6">
        <v>2.1666666666666701</v>
      </c>
      <c r="R157" s="6">
        <v>0.14285714285714299</v>
      </c>
      <c r="S157" s="6">
        <v>3.6666666666666701</v>
      </c>
      <c r="T157" s="6">
        <v>0.57142857142857095</v>
      </c>
      <c r="U157" s="6">
        <v>1.125</v>
      </c>
      <c r="V157" s="6">
        <v>0</v>
      </c>
      <c r="W157" s="6">
        <v>0</v>
      </c>
      <c r="X157" s="6">
        <v>0</v>
      </c>
      <c r="Y157" s="6">
        <v>0.16666666666666699</v>
      </c>
      <c r="Z157" s="6">
        <v>0.14285714285714299</v>
      </c>
      <c r="AA157" s="6">
        <v>1</v>
      </c>
      <c r="AB157" s="6">
        <v>0.66666666666666696</v>
      </c>
      <c r="AC157" s="6">
        <v>1</v>
      </c>
      <c r="AD157" s="6">
        <v>1.2222222222222201</v>
      </c>
      <c r="AE157" s="6">
        <v>1.3333333333333299</v>
      </c>
      <c r="AF157" s="6">
        <v>2.8333333333333299</v>
      </c>
    </row>
    <row r="158" spans="1:32">
      <c r="A158" t="s">
        <v>258</v>
      </c>
      <c r="B158" t="s">
        <v>258</v>
      </c>
      <c r="C158" t="s">
        <v>24</v>
      </c>
      <c r="D158" t="s">
        <v>25</v>
      </c>
      <c r="E158" t="s">
        <v>21</v>
      </c>
      <c r="F158" t="s">
        <v>16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0.33333333333333298</v>
      </c>
      <c r="AC158" s="6">
        <v>0</v>
      </c>
      <c r="AD158" s="6">
        <v>0</v>
      </c>
      <c r="AE158" s="6">
        <v>0</v>
      </c>
      <c r="AF158" s="6">
        <v>0</v>
      </c>
    </row>
    <row r="159" spans="1:32" hidden="1">
      <c r="A159" t="s">
        <v>259</v>
      </c>
      <c r="B159" t="s">
        <v>260</v>
      </c>
      <c r="C159" t="s">
        <v>24</v>
      </c>
      <c r="D159" t="s">
        <v>25</v>
      </c>
      <c r="E159" t="s">
        <v>46</v>
      </c>
      <c r="F159" t="s">
        <v>26</v>
      </c>
      <c r="G159" s="6">
        <v>0.33333333333333298</v>
      </c>
      <c r="H159" s="6">
        <v>0</v>
      </c>
      <c r="I159" s="6">
        <v>0</v>
      </c>
      <c r="J159" s="6">
        <v>0</v>
      </c>
      <c r="K159" s="6">
        <v>0.1</v>
      </c>
      <c r="L159" s="6">
        <v>0.33333333333333298</v>
      </c>
      <c r="M159" s="6">
        <v>0.16666666666666699</v>
      </c>
      <c r="N159" s="6">
        <v>0</v>
      </c>
      <c r="O159" s="6">
        <v>0.33333333333333298</v>
      </c>
      <c r="P159" s="6">
        <v>0.33333333333333298</v>
      </c>
      <c r="Q159" s="6">
        <v>0.16666666666666699</v>
      </c>
      <c r="R159" s="6">
        <v>0</v>
      </c>
      <c r="S159" s="6">
        <v>0</v>
      </c>
      <c r="T159" s="6">
        <v>0.28571428571428598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0.14285714285714299</v>
      </c>
      <c r="AA159" s="6">
        <v>0</v>
      </c>
      <c r="AB159" s="6">
        <v>0</v>
      </c>
      <c r="AC159" s="6">
        <v>0</v>
      </c>
      <c r="AD159" s="6">
        <v>0</v>
      </c>
      <c r="AE159" s="6">
        <v>0.33333333333333298</v>
      </c>
      <c r="AF159" s="6">
        <v>0.33333333333333298</v>
      </c>
    </row>
    <row r="160" spans="1:32" hidden="1">
      <c r="A160" t="s">
        <v>261</v>
      </c>
      <c r="B160" t="s">
        <v>261</v>
      </c>
      <c r="C160" t="s">
        <v>19</v>
      </c>
      <c r="D160" t="s">
        <v>20</v>
      </c>
      <c r="E160" t="s">
        <v>15</v>
      </c>
      <c r="F160" t="s">
        <v>16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0.16666666666666699</v>
      </c>
      <c r="O160" s="6">
        <v>0</v>
      </c>
      <c r="P160" s="6">
        <v>0</v>
      </c>
      <c r="Q160" s="6">
        <v>0</v>
      </c>
      <c r="R160" s="6">
        <v>0</v>
      </c>
      <c r="S160" s="6">
        <v>0.16666666666666699</v>
      </c>
      <c r="T160" s="6">
        <v>0.14285714285714299</v>
      </c>
      <c r="U160" s="6">
        <v>0.375</v>
      </c>
      <c r="V160" s="6">
        <v>0</v>
      </c>
      <c r="W160" s="6">
        <v>0</v>
      </c>
      <c r="X160" s="6">
        <v>0.16666666666666699</v>
      </c>
      <c r="Y160" s="6">
        <v>0.16666666666666699</v>
      </c>
      <c r="Z160" s="6">
        <v>0.14285714285714299</v>
      </c>
      <c r="AA160" s="6">
        <v>0</v>
      </c>
      <c r="AB160" s="6">
        <v>0</v>
      </c>
      <c r="AC160" s="6">
        <v>0.2</v>
      </c>
      <c r="AD160" s="6">
        <v>0.11111111111111099</v>
      </c>
      <c r="AE160" s="6">
        <v>0.33333333333333298</v>
      </c>
      <c r="AF160" s="6">
        <v>0.33333333333333298</v>
      </c>
    </row>
    <row r="161" spans="1:32" hidden="1">
      <c r="A161" t="s">
        <v>262</v>
      </c>
      <c r="B161" t="s">
        <v>262</v>
      </c>
      <c r="C161" t="s">
        <v>24</v>
      </c>
      <c r="D161" t="s">
        <v>25</v>
      </c>
      <c r="E161" t="s">
        <v>46</v>
      </c>
      <c r="F161" t="s">
        <v>26</v>
      </c>
      <c r="G161" s="6">
        <v>0.16666666666666699</v>
      </c>
      <c r="H161" s="6">
        <v>0.6</v>
      </c>
      <c r="I161" s="6">
        <v>0</v>
      </c>
      <c r="J161" s="6">
        <v>0</v>
      </c>
      <c r="K161" s="6">
        <v>0.1</v>
      </c>
      <c r="L161" s="6">
        <v>0</v>
      </c>
      <c r="M161" s="6">
        <v>0.16666666666666699</v>
      </c>
      <c r="N161" s="6">
        <v>0.33333333333333298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0.4</v>
      </c>
      <c r="AB161" s="6">
        <v>0</v>
      </c>
      <c r="AC161" s="6">
        <v>0</v>
      </c>
      <c r="AD161" s="6">
        <v>0.33333333333333298</v>
      </c>
      <c r="AE161" s="6">
        <v>0</v>
      </c>
      <c r="AF161" s="6">
        <v>0</v>
      </c>
    </row>
    <row r="162" spans="1:32">
      <c r="A162" t="s">
        <v>263</v>
      </c>
      <c r="B162" t="s">
        <v>264</v>
      </c>
      <c r="C162" t="s">
        <v>19</v>
      </c>
      <c r="D162" t="s">
        <v>97</v>
      </c>
      <c r="E162" t="s">
        <v>21</v>
      </c>
      <c r="F162" t="s">
        <v>26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0.5</v>
      </c>
      <c r="Q162" s="6">
        <v>0.33333333333333298</v>
      </c>
      <c r="R162" s="6">
        <v>0.42857142857142899</v>
      </c>
      <c r="S162" s="6">
        <v>0.66666666666666696</v>
      </c>
      <c r="T162" s="6">
        <v>0</v>
      </c>
      <c r="U162" s="6">
        <v>0.375</v>
      </c>
      <c r="V162" s="6">
        <v>0.83333333333333304</v>
      </c>
      <c r="W162" s="6">
        <v>0</v>
      </c>
      <c r="X162" s="6">
        <v>0</v>
      </c>
      <c r="Y162" s="6">
        <v>0.83333333333333304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</row>
    <row r="163" spans="1:32">
      <c r="A163" t="s">
        <v>265</v>
      </c>
      <c r="B163" t="s">
        <v>265</v>
      </c>
      <c r="C163" t="s">
        <v>24</v>
      </c>
      <c r="D163" t="s">
        <v>25</v>
      </c>
      <c r="E163" t="s">
        <v>21</v>
      </c>
      <c r="F163" t="s">
        <v>16</v>
      </c>
      <c r="G163" s="6">
        <v>0.33333333333333298</v>
      </c>
      <c r="H163" s="6">
        <v>0.2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0.16666666666666699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</row>
    <row r="164" spans="1:32" hidden="1">
      <c r="A164" t="s">
        <v>266</v>
      </c>
      <c r="B164" t="s">
        <v>267</v>
      </c>
      <c r="C164" t="s">
        <v>24</v>
      </c>
      <c r="D164" t="s">
        <v>25</v>
      </c>
      <c r="E164" t="s">
        <v>15</v>
      </c>
      <c r="F164" t="s">
        <v>26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0.16666666666666699</v>
      </c>
      <c r="O164" s="6">
        <v>0.33333333333333298</v>
      </c>
      <c r="P164" s="6">
        <v>0</v>
      </c>
      <c r="Q164" s="6">
        <v>0.33333333333333298</v>
      </c>
      <c r="R164" s="6">
        <v>0</v>
      </c>
      <c r="S164" s="6">
        <v>0.16666666666666699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3.4</v>
      </c>
      <c r="AB164" s="6">
        <v>1</v>
      </c>
      <c r="AC164" s="6">
        <v>0</v>
      </c>
      <c r="AD164" s="6">
        <v>0</v>
      </c>
      <c r="AE164" s="6">
        <v>0.66666666666666696</v>
      </c>
      <c r="AF164" s="6">
        <v>0.83333333333333304</v>
      </c>
    </row>
    <row r="165" spans="1:32">
      <c r="A165" t="s">
        <v>268</v>
      </c>
      <c r="B165" t="s">
        <v>269</v>
      </c>
      <c r="C165" t="s">
        <v>24</v>
      </c>
      <c r="D165" t="s">
        <v>25</v>
      </c>
      <c r="E165" t="s">
        <v>21</v>
      </c>
      <c r="F165" t="s">
        <v>26</v>
      </c>
      <c r="G165" s="6">
        <v>5.3333333333333304</v>
      </c>
      <c r="H165" s="6">
        <v>7.2</v>
      </c>
      <c r="I165" s="6">
        <v>0.8</v>
      </c>
      <c r="J165" s="6">
        <v>0.2</v>
      </c>
      <c r="K165" s="6">
        <v>3.6</v>
      </c>
      <c r="L165" s="6">
        <v>4.1666666666666696</v>
      </c>
      <c r="M165" s="6">
        <v>7.6666666666666696</v>
      </c>
      <c r="N165" s="6">
        <v>0</v>
      </c>
      <c r="O165" s="6">
        <v>0</v>
      </c>
      <c r="P165" s="6">
        <v>0.33333333333333298</v>
      </c>
      <c r="Q165" s="6">
        <v>0.16666666666666699</v>
      </c>
      <c r="R165" s="6">
        <v>0</v>
      </c>
      <c r="S165" s="6">
        <v>0</v>
      </c>
      <c r="T165" s="6">
        <v>0.14285714285714299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</row>
    <row r="166" spans="1:32" hidden="1">
      <c r="A166" t="s">
        <v>270</v>
      </c>
      <c r="B166" t="s">
        <v>270</v>
      </c>
      <c r="C166" t="s">
        <v>271</v>
      </c>
      <c r="E166" t="s">
        <v>15</v>
      </c>
      <c r="F166" t="s">
        <v>26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0.16666666666666699</v>
      </c>
      <c r="O166" s="6">
        <v>0</v>
      </c>
      <c r="P166" s="6">
        <v>0</v>
      </c>
      <c r="Q166" s="6">
        <v>0.16666666666666699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0.2</v>
      </c>
      <c r="AD166" s="6">
        <v>0</v>
      </c>
      <c r="AE166" s="6">
        <v>0</v>
      </c>
      <c r="AF166" s="6">
        <v>0</v>
      </c>
    </row>
    <row r="167" spans="1:32" hidden="1">
      <c r="A167" t="s">
        <v>272</v>
      </c>
      <c r="B167" t="s">
        <v>272</v>
      </c>
      <c r="C167" t="s">
        <v>19</v>
      </c>
      <c r="D167" t="s">
        <v>20</v>
      </c>
      <c r="E167" t="s">
        <v>28</v>
      </c>
      <c r="F167" t="s">
        <v>29</v>
      </c>
      <c r="G167" s="6">
        <v>0.16666666666666699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0.16666666666666699</v>
      </c>
      <c r="N167" s="6">
        <v>0.16666666666666699</v>
      </c>
      <c r="O167" s="6">
        <v>0.5</v>
      </c>
      <c r="P167" s="6">
        <v>0</v>
      </c>
      <c r="Q167" s="6">
        <v>0</v>
      </c>
      <c r="R167" s="6">
        <v>0.28571428571428598</v>
      </c>
      <c r="S167" s="6">
        <v>0</v>
      </c>
      <c r="T167" s="6">
        <v>0.28571428571428598</v>
      </c>
      <c r="U167" s="6">
        <v>0.125</v>
      </c>
      <c r="V167" s="6">
        <v>0</v>
      </c>
      <c r="W167" s="6">
        <v>0.16666666666666699</v>
      </c>
      <c r="X167" s="6">
        <v>0.16666666666666699</v>
      </c>
      <c r="Y167" s="6">
        <v>0.16666666666666699</v>
      </c>
      <c r="Z167" s="6">
        <v>0.57142857142857095</v>
      </c>
      <c r="AA167" s="6">
        <v>0.6</v>
      </c>
      <c r="AB167" s="6">
        <v>0.33333333333333298</v>
      </c>
      <c r="AC167" s="6">
        <v>0.2</v>
      </c>
      <c r="AD167" s="6">
        <v>0</v>
      </c>
      <c r="AE167" s="6">
        <v>0.33333333333333298</v>
      </c>
      <c r="AF167" s="6">
        <v>0.5</v>
      </c>
    </row>
    <row r="168" spans="1:32" hidden="1">
      <c r="A168" t="s">
        <v>273</v>
      </c>
      <c r="B168" t="s">
        <v>274</v>
      </c>
      <c r="C168" t="s">
        <v>9</v>
      </c>
      <c r="D168" t="s">
        <v>160</v>
      </c>
      <c r="E168" t="s">
        <v>46</v>
      </c>
      <c r="F168" t="s">
        <v>16</v>
      </c>
      <c r="G168" s="6">
        <v>1.1666666666666701</v>
      </c>
      <c r="H168" s="6">
        <v>1.8</v>
      </c>
      <c r="I168" s="6">
        <v>0.4</v>
      </c>
      <c r="J168" s="6">
        <v>1.8</v>
      </c>
      <c r="K168" s="6">
        <v>0</v>
      </c>
      <c r="L168" s="6">
        <v>0.83333333333333304</v>
      </c>
      <c r="M168" s="6">
        <v>0.16666666666666699</v>
      </c>
      <c r="N168" s="6">
        <v>0.66666666666666696</v>
      </c>
      <c r="O168" s="6">
        <v>0.16666666666666699</v>
      </c>
      <c r="P168" s="6">
        <v>0</v>
      </c>
      <c r="Q168" s="6">
        <v>0.5</v>
      </c>
      <c r="R168" s="6">
        <v>0.14285714285714299</v>
      </c>
      <c r="S168" s="6">
        <v>2.3333333333333299</v>
      </c>
      <c r="T168" s="6">
        <v>0.28571428571428598</v>
      </c>
      <c r="U168" s="6">
        <v>0.25</v>
      </c>
      <c r="V168" s="6">
        <v>1.3333333333333299</v>
      </c>
      <c r="W168" s="6">
        <v>1.1666666666666701</v>
      </c>
      <c r="X168" s="6">
        <v>1.1666666666666701</v>
      </c>
      <c r="Y168" s="6">
        <v>1.6666666666666701</v>
      </c>
      <c r="Z168" s="6">
        <v>0.28571428571428598</v>
      </c>
      <c r="AA168" s="6">
        <v>0.6</v>
      </c>
      <c r="AB168" s="6">
        <v>0.66666666666666696</v>
      </c>
      <c r="AC168" s="6">
        <v>1.8</v>
      </c>
      <c r="AD168" s="6">
        <v>2.2222222222222201</v>
      </c>
      <c r="AE168" s="6">
        <v>0.33333333333333298</v>
      </c>
      <c r="AF168" s="6">
        <v>2</v>
      </c>
    </row>
    <row r="169" spans="1:32" hidden="1">
      <c r="A169" t="s">
        <v>275</v>
      </c>
      <c r="B169" t="s">
        <v>275</v>
      </c>
      <c r="C169" t="s">
        <v>80</v>
      </c>
      <c r="D169" t="s">
        <v>81</v>
      </c>
      <c r="E169" t="s">
        <v>86</v>
      </c>
      <c r="F169" t="s">
        <v>16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0.33333333333333298</v>
      </c>
      <c r="O169" s="6">
        <v>0</v>
      </c>
      <c r="P169" s="6">
        <v>0</v>
      </c>
      <c r="Q169" s="6">
        <v>0</v>
      </c>
      <c r="R169" s="6">
        <v>0.14285714285714299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0.8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</row>
    <row r="170" spans="1:32" hidden="1">
      <c r="A170" t="s">
        <v>276</v>
      </c>
      <c r="B170" t="s">
        <v>277</v>
      </c>
      <c r="C170" t="s">
        <v>19</v>
      </c>
      <c r="D170" t="s">
        <v>20</v>
      </c>
      <c r="E170" t="s">
        <v>46</v>
      </c>
      <c r="F170" t="s">
        <v>12</v>
      </c>
      <c r="G170" s="6">
        <v>1.1666666666666701</v>
      </c>
      <c r="H170" s="6">
        <v>0.6</v>
      </c>
      <c r="I170" s="6">
        <v>0.6</v>
      </c>
      <c r="J170" s="6">
        <v>0</v>
      </c>
      <c r="K170" s="6">
        <v>0.5</v>
      </c>
      <c r="L170" s="6">
        <v>0.33333333333333298</v>
      </c>
      <c r="M170" s="6">
        <v>0.16666666666666699</v>
      </c>
      <c r="N170" s="6">
        <v>0.5</v>
      </c>
      <c r="O170" s="6">
        <v>0</v>
      </c>
      <c r="P170" s="6">
        <v>0.5</v>
      </c>
      <c r="Q170" s="6">
        <v>1</v>
      </c>
      <c r="R170" s="6">
        <v>0.14285714285714299</v>
      </c>
      <c r="S170" s="6">
        <v>0.33333333333333298</v>
      </c>
      <c r="T170" s="6">
        <v>0.14285714285714299</v>
      </c>
      <c r="U170" s="6">
        <v>0.125</v>
      </c>
      <c r="V170" s="6">
        <v>1.3333333333333299</v>
      </c>
      <c r="W170" s="6">
        <v>0</v>
      </c>
      <c r="X170" s="6">
        <v>0.16666666666666699</v>
      </c>
      <c r="Y170" s="6">
        <v>0.33333333333333298</v>
      </c>
      <c r="Z170" s="6">
        <v>0.71428571428571397</v>
      </c>
      <c r="AA170" s="6">
        <v>0.6</v>
      </c>
      <c r="AB170" s="6">
        <v>0</v>
      </c>
      <c r="AC170" s="6">
        <v>0</v>
      </c>
      <c r="AD170" s="6">
        <v>0</v>
      </c>
      <c r="AE170" s="6">
        <v>0</v>
      </c>
      <c r="AF170" s="6">
        <v>0.33333333333333298</v>
      </c>
    </row>
    <row r="171" spans="1:32" hidden="1">
      <c r="A171" t="s">
        <v>278</v>
      </c>
      <c r="B171" t="s">
        <v>278</v>
      </c>
      <c r="C171" t="s">
        <v>19</v>
      </c>
      <c r="D171" t="s">
        <v>20</v>
      </c>
      <c r="E171" t="s">
        <v>11</v>
      </c>
      <c r="F171" t="s">
        <v>16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0.33333333333333298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</row>
    <row r="172" spans="1:32" hidden="1">
      <c r="A172" t="s">
        <v>279</v>
      </c>
      <c r="B172" t="s">
        <v>280</v>
      </c>
      <c r="C172" t="s">
        <v>19</v>
      </c>
      <c r="D172" t="s">
        <v>20</v>
      </c>
      <c r="E172" t="s">
        <v>15</v>
      </c>
      <c r="F172" t="s">
        <v>16</v>
      </c>
      <c r="G172" s="6">
        <v>0</v>
      </c>
      <c r="H172" s="6">
        <v>0</v>
      </c>
      <c r="I172" s="6">
        <v>0.2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</row>
    <row r="173" spans="1:32" hidden="1">
      <c r="A173" t="s">
        <v>281</v>
      </c>
      <c r="B173" t="s">
        <v>281</v>
      </c>
      <c r="C173" t="s">
        <v>44</v>
      </c>
      <c r="D173" t="s">
        <v>282</v>
      </c>
      <c r="E173" t="s">
        <v>42</v>
      </c>
      <c r="F173" t="s">
        <v>42</v>
      </c>
      <c r="G173" s="6">
        <v>0</v>
      </c>
      <c r="H173" s="6">
        <v>0</v>
      </c>
      <c r="I173" s="6">
        <v>0.2</v>
      </c>
      <c r="J173" s="6">
        <v>0</v>
      </c>
      <c r="K173" s="6">
        <v>0</v>
      </c>
      <c r="L173" s="6">
        <v>0.5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0.16666666666666699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</row>
    <row r="174" spans="1:32" hidden="1">
      <c r="A174" t="s">
        <v>283</v>
      </c>
      <c r="B174" t="s">
        <v>283</v>
      </c>
      <c r="C174" t="s">
        <v>44</v>
      </c>
      <c r="D174" t="s">
        <v>282</v>
      </c>
      <c r="E174" t="s">
        <v>15</v>
      </c>
      <c r="F174" t="s">
        <v>16</v>
      </c>
      <c r="G174" s="6">
        <v>5.3333333333333304</v>
      </c>
      <c r="H174" s="6">
        <v>75.2</v>
      </c>
      <c r="I174" s="6">
        <v>1.6</v>
      </c>
      <c r="J174" s="6">
        <v>26</v>
      </c>
      <c r="K174" s="6">
        <v>33.6</v>
      </c>
      <c r="L174" s="6">
        <v>3.8333333333333299</v>
      </c>
      <c r="M174" s="6">
        <v>27.1666666666667</v>
      </c>
      <c r="N174" s="6">
        <v>43.3333333333333</v>
      </c>
      <c r="O174" s="6">
        <v>20.5</v>
      </c>
      <c r="P174" s="6">
        <v>4.6666666666666696</v>
      </c>
      <c r="Q174" s="6">
        <v>22.8333333333333</v>
      </c>
      <c r="R174" s="6">
        <v>8</v>
      </c>
      <c r="S174" s="6">
        <v>6.8333333333333304</v>
      </c>
      <c r="T174" s="6">
        <v>4.28571428571429</v>
      </c>
      <c r="U174" s="6">
        <v>5.125</v>
      </c>
      <c r="V174" s="6">
        <v>10</v>
      </c>
      <c r="W174" s="6">
        <v>2.6666666666666701</v>
      </c>
      <c r="X174" s="6">
        <v>4.1666666666666696</v>
      </c>
      <c r="Y174" s="6">
        <v>4</v>
      </c>
      <c r="Z174" s="6">
        <v>3.1428571428571401</v>
      </c>
      <c r="AA174" s="6">
        <v>0.8</v>
      </c>
      <c r="AB174" s="6">
        <v>0.33333333333333298</v>
      </c>
      <c r="AC174" s="6">
        <v>5.8</v>
      </c>
      <c r="AD174" s="6">
        <v>2.3333333333333299</v>
      </c>
      <c r="AE174" s="6">
        <v>1.3333333333333299</v>
      </c>
      <c r="AF174" s="6">
        <v>1</v>
      </c>
    </row>
    <row r="175" spans="1:32" hidden="1">
      <c r="A175" t="s">
        <v>284</v>
      </c>
      <c r="B175" t="s">
        <v>284</v>
      </c>
      <c r="C175" t="s">
        <v>44</v>
      </c>
      <c r="D175" t="s">
        <v>282</v>
      </c>
      <c r="E175" t="s">
        <v>46</v>
      </c>
      <c r="F175" t="s">
        <v>16</v>
      </c>
      <c r="G175" s="6">
        <v>51</v>
      </c>
      <c r="H175" s="6">
        <v>45</v>
      </c>
      <c r="I175" s="6">
        <v>20.2</v>
      </c>
      <c r="J175" s="6">
        <v>70.400000000000006</v>
      </c>
      <c r="K175" s="6">
        <v>146.4</v>
      </c>
      <c r="L175" s="6">
        <v>41.5</v>
      </c>
      <c r="M175" s="6">
        <v>86.6666666666667</v>
      </c>
      <c r="N175" s="6">
        <v>57.1666666666667</v>
      </c>
      <c r="O175" s="6">
        <v>92.3333333333333</v>
      </c>
      <c r="P175" s="6">
        <v>37.8333333333333</v>
      </c>
      <c r="Q175" s="6">
        <v>95.3333333333333</v>
      </c>
      <c r="R175" s="6">
        <v>94</v>
      </c>
      <c r="S175" s="6">
        <v>89</v>
      </c>
      <c r="T175" s="6">
        <v>38</v>
      </c>
      <c r="U175" s="6">
        <v>46.125</v>
      </c>
      <c r="V175" s="6">
        <v>104.666666666667</v>
      </c>
      <c r="W175" s="6">
        <v>26.3333333333333</v>
      </c>
      <c r="X175" s="6">
        <v>65.3333333333333</v>
      </c>
      <c r="Y175" s="6">
        <v>37.8333333333333</v>
      </c>
      <c r="Z175" s="6">
        <v>28.714285714285701</v>
      </c>
      <c r="AA175" s="6">
        <v>24.6</v>
      </c>
      <c r="AB175" s="6">
        <v>27.6666666666667</v>
      </c>
      <c r="AC175" s="6">
        <v>13.4</v>
      </c>
      <c r="AD175" s="6">
        <v>26.1111111111111</v>
      </c>
      <c r="AE175" s="6">
        <v>2.3333333333333299</v>
      </c>
      <c r="AF175" s="6">
        <v>230.166666666667</v>
      </c>
    </row>
    <row r="176" spans="1:32" hidden="1">
      <c r="A176" t="s">
        <v>285</v>
      </c>
      <c r="B176" t="s">
        <v>285</v>
      </c>
      <c r="C176" t="s">
        <v>9</v>
      </c>
      <c r="D176" t="s">
        <v>10</v>
      </c>
      <c r="E176" t="s">
        <v>11</v>
      </c>
      <c r="F176" t="s">
        <v>12</v>
      </c>
      <c r="G176" s="6">
        <v>0.16666666666666699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</row>
    <row r="177" spans="1:32" hidden="1">
      <c r="A177" t="s">
        <v>286</v>
      </c>
      <c r="B177" t="s">
        <v>286</v>
      </c>
      <c r="C177" t="s">
        <v>24</v>
      </c>
      <c r="D177" t="s">
        <v>25</v>
      </c>
      <c r="E177" t="s">
        <v>15</v>
      </c>
      <c r="F177" t="s">
        <v>26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</row>
    <row r="178" spans="1:32" hidden="1">
      <c r="A178" t="s">
        <v>287</v>
      </c>
      <c r="B178" t="s">
        <v>287</v>
      </c>
      <c r="C178" t="s">
        <v>9</v>
      </c>
      <c r="D178" t="s">
        <v>10</v>
      </c>
      <c r="E178" t="s">
        <v>11</v>
      </c>
      <c r="F178" t="s">
        <v>16</v>
      </c>
      <c r="G178" s="6">
        <v>0</v>
      </c>
      <c r="H178" s="6">
        <v>0</v>
      </c>
      <c r="I178" s="6">
        <v>0.2</v>
      </c>
      <c r="J178" s="6">
        <v>0.8</v>
      </c>
      <c r="K178" s="6">
        <v>0.8</v>
      </c>
      <c r="L178" s="6">
        <v>0.33333333333333298</v>
      </c>
      <c r="M178" s="6">
        <v>0.66666666666666696</v>
      </c>
      <c r="N178" s="6">
        <v>0.5</v>
      </c>
      <c r="O178" s="6">
        <v>2</v>
      </c>
      <c r="P178" s="6">
        <v>2.5</v>
      </c>
      <c r="Q178" s="6">
        <v>1</v>
      </c>
      <c r="R178" s="6">
        <v>1.4285714285714299</v>
      </c>
      <c r="S178" s="6">
        <v>3.3333333333333299</v>
      </c>
      <c r="T178" s="6">
        <v>0.42857142857142899</v>
      </c>
      <c r="U178" s="6">
        <v>1.25</v>
      </c>
      <c r="V178" s="6">
        <v>1</v>
      </c>
      <c r="W178" s="6">
        <v>0.33333333333333298</v>
      </c>
      <c r="X178" s="6">
        <v>0.5</v>
      </c>
      <c r="Y178" s="6">
        <v>1.1666666666666701</v>
      </c>
      <c r="Z178" s="6">
        <v>0.14285714285714299</v>
      </c>
      <c r="AA178" s="6">
        <v>0</v>
      </c>
      <c r="AB178" s="6">
        <v>0</v>
      </c>
      <c r="AC178" s="6">
        <v>0.2</v>
      </c>
      <c r="AD178" s="6">
        <v>0</v>
      </c>
      <c r="AE178" s="6">
        <v>0.33333333333333298</v>
      </c>
      <c r="AF178" s="6">
        <v>0</v>
      </c>
    </row>
    <row r="179" spans="1:32" hidden="1">
      <c r="A179" t="s">
        <v>288</v>
      </c>
      <c r="B179" t="s">
        <v>289</v>
      </c>
      <c r="C179" t="s">
        <v>9</v>
      </c>
      <c r="D179" t="s">
        <v>10</v>
      </c>
      <c r="E179" t="s">
        <v>46</v>
      </c>
      <c r="F179" t="s">
        <v>12</v>
      </c>
      <c r="G179" s="6">
        <v>0</v>
      </c>
      <c r="H179" s="6">
        <v>0</v>
      </c>
      <c r="I179" s="6">
        <v>0</v>
      </c>
      <c r="J179" s="6">
        <v>0.2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0.14285714285714299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</row>
    <row r="180" spans="1:32" hidden="1">
      <c r="A180" t="s">
        <v>290</v>
      </c>
      <c r="B180" t="s">
        <v>290</v>
      </c>
      <c r="C180" t="s">
        <v>9</v>
      </c>
      <c r="D180" t="s">
        <v>10</v>
      </c>
      <c r="E180" t="s">
        <v>46</v>
      </c>
      <c r="F180" t="s">
        <v>12</v>
      </c>
      <c r="G180" s="6">
        <v>0</v>
      </c>
      <c r="H180" s="6">
        <v>0</v>
      </c>
      <c r="I180" s="6">
        <v>0</v>
      </c>
      <c r="J180" s="6">
        <v>0.2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0.2</v>
      </c>
      <c r="AB180" s="6">
        <v>0</v>
      </c>
      <c r="AC180" s="6">
        <v>0</v>
      </c>
      <c r="AD180" s="6">
        <v>0.11111111111111099</v>
      </c>
      <c r="AE180" s="6">
        <v>0</v>
      </c>
      <c r="AF180" s="6">
        <v>0</v>
      </c>
    </row>
    <row r="181" spans="1:32">
      <c r="A181" t="s">
        <v>291</v>
      </c>
      <c r="B181" t="s">
        <v>291</v>
      </c>
      <c r="C181" t="s">
        <v>19</v>
      </c>
      <c r="D181" t="s">
        <v>97</v>
      </c>
      <c r="E181" t="s">
        <v>21</v>
      </c>
      <c r="F181" t="s">
        <v>16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0.14285714285714299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</row>
    <row r="182" spans="1:32" hidden="1">
      <c r="A182" t="s">
        <v>292</v>
      </c>
      <c r="B182" t="s">
        <v>293</v>
      </c>
      <c r="C182" t="s">
        <v>80</v>
      </c>
      <c r="D182" t="s">
        <v>81</v>
      </c>
      <c r="E182" t="s">
        <v>86</v>
      </c>
      <c r="F182" t="s">
        <v>16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0.33333333333333298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</row>
    <row r="183" spans="1:32" hidden="1">
      <c r="A183" t="s">
        <v>294</v>
      </c>
      <c r="B183" t="s">
        <v>295</v>
      </c>
      <c r="C183" t="s">
        <v>9</v>
      </c>
      <c r="D183" t="s">
        <v>160</v>
      </c>
      <c r="E183" t="s">
        <v>46</v>
      </c>
      <c r="F183" t="s">
        <v>16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5.3333333333333304</v>
      </c>
      <c r="O183" s="6">
        <v>3</v>
      </c>
      <c r="P183" s="6">
        <v>2.1666666666666701</v>
      </c>
      <c r="Q183" s="6">
        <v>0.16666666666666699</v>
      </c>
      <c r="R183" s="6">
        <v>1.5714285714285701</v>
      </c>
      <c r="S183" s="6">
        <v>0.5</v>
      </c>
      <c r="T183" s="6">
        <v>0</v>
      </c>
      <c r="U183" s="6">
        <v>1.25</v>
      </c>
      <c r="V183" s="6">
        <v>0</v>
      </c>
      <c r="W183" s="6">
        <v>0.16666666666666699</v>
      </c>
      <c r="X183" s="6">
        <v>0.33333333333333298</v>
      </c>
      <c r="Y183" s="6">
        <v>0.83333333333333304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0.33333333333333298</v>
      </c>
    </row>
    <row r="184" spans="1:32" hidden="1">
      <c r="A184" t="s">
        <v>296</v>
      </c>
      <c r="B184" t="s">
        <v>296</v>
      </c>
      <c r="C184" t="s">
        <v>9</v>
      </c>
      <c r="D184" t="s">
        <v>10</v>
      </c>
      <c r="E184" t="s">
        <v>42</v>
      </c>
      <c r="F184" t="s">
        <v>42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0.16666666666666699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</row>
    <row r="185" spans="1:32" hidden="1">
      <c r="A185" t="s">
        <v>297</v>
      </c>
      <c r="B185" t="s">
        <v>297</v>
      </c>
      <c r="C185" t="s">
        <v>9</v>
      </c>
      <c r="D185" t="s">
        <v>10</v>
      </c>
      <c r="E185" t="s">
        <v>11</v>
      </c>
      <c r="F185" t="s">
        <v>12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0.5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0.11111111111111099</v>
      </c>
      <c r="AE185" s="6">
        <v>0</v>
      </c>
      <c r="AF185" s="6">
        <v>0</v>
      </c>
    </row>
    <row r="186" spans="1:32" hidden="1">
      <c r="A186" t="s">
        <v>298</v>
      </c>
      <c r="B186" t="s">
        <v>298</v>
      </c>
      <c r="C186" t="s">
        <v>9</v>
      </c>
      <c r="D186" t="s">
        <v>10</v>
      </c>
      <c r="E186" t="s">
        <v>11</v>
      </c>
      <c r="F186" t="s">
        <v>12</v>
      </c>
      <c r="G186" s="6">
        <v>1.5</v>
      </c>
      <c r="H186" s="6">
        <v>0</v>
      </c>
      <c r="I186" s="6">
        <v>0</v>
      </c>
      <c r="J186" s="6">
        <v>0</v>
      </c>
      <c r="K186" s="6">
        <v>0</v>
      </c>
      <c r="L186" s="6">
        <v>0.33333333333333298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0.2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</row>
    <row r="187" spans="1:32" hidden="1">
      <c r="A187" t="s">
        <v>299</v>
      </c>
      <c r="B187" t="s">
        <v>300</v>
      </c>
      <c r="C187" t="s">
        <v>24</v>
      </c>
      <c r="D187" t="s">
        <v>25</v>
      </c>
      <c r="E187" t="s">
        <v>15</v>
      </c>
      <c r="F187" t="s">
        <v>26</v>
      </c>
      <c r="G187" s="6">
        <v>1.5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0.16666666666666699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0.42857142857142899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</row>
    <row r="188" spans="1:32" hidden="1">
      <c r="A188" t="s">
        <v>301</v>
      </c>
      <c r="B188" t="s">
        <v>301</v>
      </c>
      <c r="C188" t="s">
        <v>24</v>
      </c>
      <c r="D188" t="s">
        <v>25</v>
      </c>
      <c r="E188" t="s">
        <v>42</v>
      </c>
      <c r="F188" t="s">
        <v>42</v>
      </c>
      <c r="G188" s="6">
        <v>0</v>
      </c>
      <c r="H188" s="6">
        <v>0.4</v>
      </c>
      <c r="I188" s="6">
        <v>0.2</v>
      </c>
      <c r="J188" s="6">
        <v>0</v>
      </c>
      <c r="K188" s="6">
        <v>0.1</v>
      </c>
      <c r="L188" s="6">
        <v>0.16666666666666699</v>
      </c>
      <c r="M188" s="6">
        <v>0.16666666666666699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</row>
    <row r="189" spans="1:32" hidden="1">
      <c r="A189" t="s">
        <v>302</v>
      </c>
      <c r="B189" t="s">
        <v>303</v>
      </c>
      <c r="C189" t="s">
        <v>24</v>
      </c>
      <c r="E189" t="s">
        <v>15</v>
      </c>
      <c r="F189" t="s">
        <v>26</v>
      </c>
      <c r="G189" s="6">
        <v>0.16666666666666699</v>
      </c>
      <c r="H189" s="6">
        <v>0.4</v>
      </c>
      <c r="I189" s="6">
        <v>0</v>
      </c>
      <c r="J189" s="6">
        <v>0</v>
      </c>
      <c r="K189" s="6">
        <v>0.1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0.16666666666666699</v>
      </c>
      <c r="T189" s="6">
        <v>0.14285714285714299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</row>
    <row r="190" spans="1:32" hidden="1">
      <c r="A190" t="s">
        <v>304</v>
      </c>
      <c r="B190" t="s">
        <v>305</v>
      </c>
      <c r="C190" t="s">
        <v>19</v>
      </c>
      <c r="D190" t="s">
        <v>20</v>
      </c>
      <c r="E190" t="s">
        <v>11</v>
      </c>
      <c r="F190" t="s">
        <v>26</v>
      </c>
      <c r="G190" s="6">
        <v>0.16666666666666699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</row>
    <row r="191" spans="1:32" hidden="1">
      <c r="A191" t="s">
        <v>306</v>
      </c>
      <c r="B191" t="s">
        <v>306</v>
      </c>
      <c r="C191" t="s">
        <v>9</v>
      </c>
      <c r="D191" t="s">
        <v>307</v>
      </c>
      <c r="E191" t="s">
        <v>42</v>
      </c>
      <c r="F191" t="s">
        <v>42</v>
      </c>
      <c r="G191" s="6">
        <v>1</v>
      </c>
      <c r="H191" s="6">
        <v>0.2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</row>
    <row r="192" spans="1:32" hidden="1">
      <c r="A192" t="s">
        <v>308</v>
      </c>
      <c r="B192" t="s">
        <v>308</v>
      </c>
      <c r="C192" t="s">
        <v>24</v>
      </c>
      <c r="D192" t="s">
        <v>25</v>
      </c>
      <c r="E192" t="s">
        <v>46</v>
      </c>
      <c r="F192" t="s">
        <v>16</v>
      </c>
      <c r="G192" s="6">
        <v>0.16666666666666699</v>
      </c>
      <c r="H192" s="6">
        <v>0</v>
      </c>
      <c r="I192" s="6">
        <v>0</v>
      </c>
      <c r="J192" s="6">
        <v>0.4</v>
      </c>
      <c r="K192" s="6">
        <v>0.2</v>
      </c>
      <c r="L192" s="6">
        <v>0.33333333333333298</v>
      </c>
      <c r="M192" s="6">
        <v>0</v>
      </c>
      <c r="N192" s="6">
        <v>0</v>
      </c>
      <c r="O192" s="6">
        <v>0.16666666666666699</v>
      </c>
      <c r="P192" s="6">
        <v>0</v>
      </c>
      <c r="Q192" s="6">
        <v>0</v>
      </c>
      <c r="R192" s="6">
        <v>0</v>
      </c>
      <c r="S192" s="6">
        <v>0.5</v>
      </c>
      <c r="T192" s="6">
        <v>0.14285714285714299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</row>
    <row r="193" spans="1:32" hidden="1">
      <c r="A193" t="s">
        <v>309</v>
      </c>
      <c r="B193" t="s">
        <v>309</v>
      </c>
      <c r="C193" t="s">
        <v>9</v>
      </c>
      <c r="D193" t="s">
        <v>10</v>
      </c>
      <c r="E193" t="s">
        <v>46</v>
      </c>
      <c r="F193" t="s">
        <v>12</v>
      </c>
      <c r="G193" s="6">
        <v>0.66666666666666696</v>
      </c>
      <c r="H193" s="6">
        <v>0.4</v>
      </c>
      <c r="I193" s="6">
        <v>0</v>
      </c>
      <c r="J193" s="6">
        <v>19.600000000000001</v>
      </c>
      <c r="K193" s="6">
        <v>2.2000000000000002</v>
      </c>
      <c r="L193" s="6">
        <v>4.1666666666666696</v>
      </c>
      <c r="M193" s="6">
        <v>11.3333333333333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2.28571428571429</v>
      </c>
      <c r="AA193" s="6">
        <v>0</v>
      </c>
      <c r="AB193" s="6">
        <v>0</v>
      </c>
      <c r="AC193" s="6">
        <v>0</v>
      </c>
      <c r="AD193" s="6">
        <v>1.3333333333333299</v>
      </c>
      <c r="AE193" s="6">
        <v>0</v>
      </c>
      <c r="AF193" s="6">
        <v>0</v>
      </c>
    </row>
    <row r="194" spans="1:32" hidden="1">
      <c r="A194" t="s">
        <v>310</v>
      </c>
      <c r="B194" t="s">
        <v>310</v>
      </c>
      <c r="C194" t="s">
        <v>9</v>
      </c>
      <c r="D194" t="s">
        <v>160</v>
      </c>
      <c r="E194" t="s">
        <v>46</v>
      </c>
      <c r="F194" t="s">
        <v>16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0.16666666666666699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0.11111111111111099</v>
      </c>
      <c r="AE194" s="6">
        <v>0</v>
      </c>
      <c r="AF194" s="6">
        <v>0</v>
      </c>
    </row>
    <row r="195" spans="1:32" hidden="1">
      <c r="A195" t="s">
        <v>311</v>
      </c>
      <c r="B195" t="s">
        <v>311</v>
      </c>
      <c r="C195" t="s">
        <v>80</v>
      </c>
      <c r="D195" t="s">
        <v>81</v>
      </c>
      <c r="E195" t="s">
        <v>86</v>
      </c>
      <c r="F195" t="s">
        <v>16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0.33333333333333298</v>
      </c>
      <c r="O195" s="6">
        <v>0.5</v>
      </c>
      <c r="P195" s="6">
        <v>0</v>
      </c>
      <c r="Q195" s="6">
        <v>0.16666666666666699</v>
      </c>
      <c r="R195" s="6">
        <v>0.71428571428571397</v>
      </c>
      <c r="S195" s="6">
        <v>0.5</v>
      </c>
      <c r="T195" s="6">
        <v>0</v>
      </c>
      <c r="U195" s="6">
        <v>0</v>
      </c>
      <c r="V195" s="6">
        <v>0.16666666666666699</v>
      </c>
      <c r="W195" s="6">
        <v>0</v>
      </c>
      <c r="X195" s="6">
        <v>0.5</v>
      </c>
      <c r="Y195" s="6">
        <v>0</v>
      </c>
      <c r="Z195" s="6">
        <v>0.28571428571428598</v>
      </c>
      <c r="AA195" s="6">
        <v>0.8</v>
      </c>
      <c r="AB195" s="6">
        <v>0</v>
      </c>
      <c r="AC195" s="6">
        <v>0.2</v>
      </c>
      <c r="AD195" s="6">
        <v>0</v>
      </c>
      <c r="AE195" s="6">
        <v>0</v>
      </c>
      <c r="AF195" s="6">
        <v>0</v>
      </c>
    </row>
    <row r="196" spans="1:32" hidden="1">
      <c r="A196" t="s">
        <v>312</v>
      </c>
      <c r="B196" t="s">
        <v>312</v>
      </c>
      <c r="C196" t="s">
        <v>24</v>
      </c>
      <c r="D196" t="s">
        <v>25</v>
      </c>
      <c r="E196" t="s">
        <v>15</v>
      </c>
      <c r="F196" t="s">
        <v>16</v>
      </c>
      <c r="G196" s="6">
        <v>1</v>
      </c>
      <c r="H196" s="6">
        <v>3</v>
      </c>
      <c r="I196" s="6">
        <v>0.2</v>
      </c>
      <c r="J196" s="6">
        <v>0</v>
      </c>
      <c r="K196" s="6">
        <v>0.2</v>
      </c>
      <c r="L196" s="6">
        <v>0</v>
      </c>
      <c r="M196" s="6">
        <v>0</v>
      </c>
      <c r="N196" s="6">
        <v>0</v>
      </c>
      <c r="O196" s="6">
        <v>0.16666666666666699</v>
      </c>
      <c r="P196" s="6">
        <v>0</v>
      </c>
      <c r="Q196" s="6">
        <v>0</v>
      </c>
      <c r="R196" s="6">
        <v>0</v>
      </c>
      <c r="S196" s="6">
        <v>0.16666666666666699</v>
      </c>
      <c r="T196" s="6">
        <v>0</v>
      </c>
      <c r="U196" s="6">
        <v>0.125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0.33333333333333298</v>
      </c>
      <c r="AC196" s="6">
        <v>0</v>
      </c>
      <c r="AD196" s="6">
        <v>0.11111111111111099</v>
      </c>
      <c r="AE196" s="6">
        <v>0</v>
      </c>
      <c r="AF196" s="6">
        <v>0.5</v>
      </c>
    </row>
    <row r="197" spans="1:32" hidden="1">
      <c r="A197" t="s">
        <v>313</v>
      </c>
      <c r="B197" t="s">
        <v>314</v>
      </c>
      <c r="C197" t="s">
        <v>80</v>
      </c>
      <c r="D197" t="s">
        <v>81</v>
      </c>
      <c r="E197" t="s">
        <v>86</v>
      </c>
      <c r="F197" t="s">
        <v>16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0.33333333333333298</v>
      </c>
      <c r="O197" s="6">
        <v>0.5</v>
      </c>
      <c r="P197" s="6">
        <v>0.16666666666666699</v>
      </c>
      <c r="Q197" s="6">
        <v>0.33333333333333298</v>
      </c>
      <c r="R197" s="6">
        <v>0.14285714285714299</v>
      </c>
      <c r="S197" s="6">
        <v>0</v>
      </c>
      <c r="T197" s="6">
        <v>0</v>
      </c>
      <c r="U197" s="6">
        <v>0</v>
      </c>
      <c r="V197" s="6">
        <v>0.16666666666666699</v>
      </c>
      <c r="W197" s="6">
        <v>0.16666666666666699</v>
      </c>
      <c r="X197" s="6">
        <v>0</v>
      </c>
      <c r="Y197" s="6">
        <v>0</v>
      </c>
      <c r="Z197" s="6">
        <v>0.28571428571428598</v>
      </c>
      <c r="AA197" s="6">
        <v>0.8</v>
      </c>
      <c r="AB197" s="6">
        <v>0</v>
      </c>
      <c r="AC197" s="6">
        <v>0</v>
      </c>
      <c r="AD197" s="6">
        <v>0.11111111111111099</v>
      </c>
      <c r="AE197" s="6">
        <v>0</v>
      </c>
      <c r="AF197" s="6">
        <v>0</v>
      </c>
    </row>
    <row r="198" spans="1:32" hidden="1">
      <c r="A198" t="s">
        <v>315</v>
      </c>
      <c r="B198" t="s">
        <v>316</v>
      </c>
      <c r="C198" t="s">
        <v>24</v>
      </c>
      <c r="D198" t="s">
        <v>25</v>
      </c>
      <c r="E198" t="s">
        <v>42</v>
      </c>
      <c r="F198" t="s">
        <v>42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2.3333333333333299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</row>
    <row r="199" spans="1:32">
      <c r="A199" t="s">
        <v>317</v>
      </c>
      <c r="B199" t="s">
        <v>318</v>
      </c>
      <c r="C199" t="s">
        <v>24</v>
      </c>
      <c r="D199" t="s">
        <v>25</v>
      </c>
      <c r="E199" t="s">
        <v>21</v>
      </c>
      <c r="F199" t="s">
        <v>16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0.16666666666666699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</row>
    <row r="200" spans="1:32">
      <c r="A200" t="s">
        <v>319</v>
      </c>
      <c r="B200" t="s">
        <v>319</v>
      </c>
      <c r="C200" t="s">
        <v>24</v>
      </c>
      <c r="D200" t="s">
        <v>25</v>
      </c>
      <c r="E200" t="s">
        <v>21</v>
      </c>
      <c r="F200" t="s">
        <v>16</v>
      </c>
      <c r="G200" s="6">
        <v>35.8333333333333</v>
      </c>
      <c r="H200" s="6">
        <v>27.8</v>
      </c>
      <c r="I200" s="6">
        <v>2.6</v>
      </c>
      <c r="J200" s="6">
        <v>12.2</v>
      </c>
      <c r="K200" s="6">
        <v>38.299999999999997</v>
      </c>
      <c r="L200" s="6">
        <v>6.3333333333333304</v>
      </c>
      <c r="M200" s="6">
        <v>28.1666666666667</v>
      </c>
      <c r="N200" s="6">
        <v>55.1666666666667</v>
      </c>
      <c r="O200" s="6">
        <v>5.6666666666666696</v>
      </c>
      <c r="P200" s="6">
        <v>3.8333333333333299</v>
      </c>
      <c r="Q200" s="6">
        <v>9.3333333333333304</v>
      </c>
      <c r="R200" s="6">
        <v>0</v>
      </c>
      <c r="S200" s="6">
        <v>1.3333333333333299</v>
      </c>
      <c r="T200" s="6">
        <v>0.28571428571428598</v>
      </c>
      <c r="U200" s="6">
        <v>0.625</v>
      </c>
      <c r="V200" s="6">
        <v>0</v>
      </c>
      <c r="W200" s="6">
        <v>0</v>
      </c>
      <c r="X200" s="6">
        <v>0</v>
      </c>
      <c r="Y200" s="6">
        <v>0.66666666666666696</v>
      </c>
      <c r="Z200" s="6">
        <v>1.1428571428571399</v>
      </c>
      <c r="AA200" s="6">
        <v>4.2</v>
      </c>
      <c r="AB200" s="6">
        <v>3</v>
      </c>
      <c r="AC200" s="6">
        <v>6.6</v>
      </c>
      <c r="AD200" s="6">
        <v>20</v>
      </c>
      <c r="AE200" s="6">
        <v>3.6666666666666701</v>
      </c>
      <c r="AF200" s="6">
        <v>0.83333333333333304</v>
      </c>
    </row>
    <row r="201" spans="1:32" hidden="1">
      <c r="A201" t="s">
        <v>320</v>
      </c>
      <c r="B201" t="s">
        <v>321</v>
      </c>
      <c r="C201" t="s">
        <v>9</v>
      </c>
      <c r="D201" t="s">
        <v>10</v>
      </c>
      <c r="E201" t="s">
        <v>11</v>
      </c>
      <c r="F201" t="s">
        <v>16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0.2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</row>
    <row r="202" spans="1:32">
      <c r="A202" t="s">
        <v>322</v>
      </c>
      <c r="B202" t="s">
        <v>323</v>
      </c>
      <c r="C202" t="s">
        <v>24</v>
      </c>
      <c r="D202" t="s">
        <v>25</v>
      </c>
      <c r="E202" t="s">
        <v>21</v>
      </c>
      <c r="F202" t="s">
        <v>16</v>
      </c>
      <c r="G202" s="6">
        <v>1.3333333333333299</v>
      </c>
      <c r="H202" s="6">
        <v>2.8</v>
      </c>
      <c r="I202" s="6">
        <v>1.8</v>
      </c>
      <c r="J202" s="6">
        <v>0</v>
      </c>
      <c r="K202" s="6">
        <v>14.5</v>
      </c>
      <c r="L202" s="6">
        <v>1.3333333333333299</v>
      </c>
      <c r="M202" s="6">
        <v>6.8333333333333304</v>
      </c>
      <c r="N202" s="6">
        <v>0</v>
      </c>
      <c r="O202" s="6">
        <v>0</v>
      </c>
      <c r="P202" s="6">
        <v>0.33333333333333298</v>
      </c>
      <c r="Q202" s="6">
        <v>3</v>
      </c>
      <c r="R202" s="6">
        <v>0</v>
      </c>
      <c r="S202" s="6">
        <v>0</v>
      </c>
      <c r="T202" s="6">
        <v>0</v>
      </c>
      <c r="U202" s="6">
        <v>0.125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</row>
    <row r="203" spans="1:32" hidden="1">
      <c r="A203" t="s">
        <v>324</v>
      </c>
      <c r="B203" t="s">
        <v>325</v>
      </c>
      <c r="C203" t="s">
        <v>24</v>
      </c>
      <c r="D203" t="s">
        <v>25</v>
      </c>
      <c r="E203" t="s">
        <v>15</v>
      </c>
      <c r="F203" t="s">
        <v>26</v>
      </c>
      <c r="G203" s="6">
        <v>0.16666666666666699</v>
      </c>
      <c r="H203" s="6">
        <v>0.6</v>
      </c>
      <c r="I203" s="6">
        <v>0.2</v>
      </c>
      <c r="J203" s="6">
        <v>0</v>
      </c>
      <c r="K203" s="6">
        <v>0</v>
      </c>
      <c r="L203" s="6">
        <v>0</v>
      </c>
      <c r="M203" s="6">
        <v>0.16666666666666699</v>
      </c>
      <c r="N203" s="6">
        <v>0</v>
      </c>
      <c r="O203" s="6">
        <v>0</v>
      </c>
      <c r="P203" s="6">
        <v>0.16666666666666699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</row>
    <row r="204" spans="1:32">
      <c r="A204" t="s">
        <v>326</v>
      </c>
      <c r="B204" t="s">
        <v>326</v>
      </c>
      <c r="C204" t="s">
        <v>327</v>
      </c>
      <c r="D204" t="s">
        <v>328</v>
      </c>
      <c r="E204" t="s">
        <v>21</v>
      </c>
      <c r="F204" t="s">
        <v>16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0.5</v>
      </c>
      <c r="P204" s="6">
        <v>0</v>
      </c>
      <c r="Q204" s="6">
        <v>0.16666666666666699</v>
      </c>
      <c r="R204" s="6">
        <v>0</v>
      </c>
      <c r="S204" s="6">
        <v>0</v>
      </c>
      <c r="T204" s="6">
        <v>0.14285714285714299</v>
      </c>
      <c r="U204" s="6">
        <v>0.125</v>
      </c>
      <c r="V204" s="6">
        <v>0</v>
      </c>
      <c r="W204" s="6">
        <v>0.33333333333333298</v>
      </c>
      <c r="X204" s="6">
        <v>0</v>
      </c>
      <c r="Y204" s="6">
        <v>0.16666666666666699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0.33333333333333298</v>
      </c>
      <c r="AF204" s="6">
        <v>0.16666666666666699</v>
      </c>
    </row>
    <row r="205" spans="1:32" hidden="1">
      <c r="A205" t="s">
        <v>329</v>
      </c>
      <c r="B205" t="s">
        <v>330</v>
      </c>
      <c r="C205" t="s">
        <v>80</v>
      </c>
      <c r="D205" t="s">
        <v>81</v>
      </c>
      <c r="E205" t="s">
        <v>86</v>
      </c>
      <c r="F205" t="s">
        <v>16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0.5</v>
      </c>
      <c r="P205" s="6">
        <v>0.33333333333333298</v>
      </c>
      <c r="Q205" s="6">
        <v>0.16666666666666699</v>
      </c>
      <c r="R205" s="6">
        <v>0.28571428571428598</v>
      </c>
      <c r="S205" s="6">
        <v>0.83333333333333304</v>
      </c>
      <c r="T205" s="6">
        <v>0.14285714285714299</v>
      </c>
      <c r="U205" s="6">
        <v>0</v>
      </c>
      <c r="V205" s="6">
        <v>0.16666666666666699</v>
      </c>
      <c r="W205" s="6">
        <v>0.33333333333333298</v>
      </c>
      <c r="X205" s="6">
        <v>0.33333333333333298</v>
      </c>
      <c r="Y205" s="6">
        <v>0</v>
      </c>
      <c r="Z205" s="6">
        <v>0.28571428571428598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0.16666666666666699</v>
      </c>
    </row>
    <row r="206" spans="1:32">
      <c r="A206" t="s">
        <v>327</v>
      </c>
      <c r="B206" t="s">
        <v>327</v>
      </c>
      <c r="C206" t="s">
        <v>327</v>
      </c>
      <c r="E206" t="s">
        <v>21</v>
      </c>
      <c r="F206" t="s">
        <v>16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0.5</v>
      </c>
      <c r="O206" s="6">
        <v>0.83333333333333304</v>
      </c>
      <c r="P206" s="6">
        <v>1</v>
      </c>
      <c r="Q206" s="6">
        <v>0.66666666666666696</v>
      </c>
      <c r="R206" s="6">
        <v>0.28571428571428598</v>
      </c>
      <c r="S206" s="6">
        <v>0</v>
      </c>
      <c r="T206" s="6">
        <v>0.28571428571428598</v>
      </c>
      <c r="U206" s="6">
        <v>0.375</v>
      </c>
      <c r="V206" s="6">
        <v>0.83333333333333304</v>
      </c>
      <c r="W206" s="6">
        <v>0.83333333333333304</v>
      </c>
      <c r="X206" s="6">
        <v>0.5</v>
      </c>
      <c r="Y206" s="6">
        <v>0.66666666666666696</v>
      </c>
      <c r="Z206" s="6">
        <v>0.71428571428571397</v>
      </c>
      <c r="AA206" s="6">
        <v>0.6</v>
      </c>
      <c r="AB206" s="6">
        <v>0</v>
      </c>
      <c r="AC206" s="6">
        <v>0.8</v>
      </c>
      <c r="AD206" s="6">
        <v>0.77777777777777801</v>
      </c>
      <c r="AE206" s="6">
        <v>1</v>
      </c>
      <c r="AF206" s="6">
        <v>1</v>
      </c>
    </row>
    <row r="207" spans="1:32">
      <c r="A207" t="s">
        <v>331</v>
      </c>
      <c r="B207" t="s">
        <v>332</v>
      </c>
      <c r="C207" t="s">
        <v>24</v>
      </c>
      <c r="D207" t="s">
        <v>25</v>
      </c>
      <c r="E207" t="s">
        <v>21</v>
      </c>
      <c r="F207" t="s">
        <v>16</v>
      </c>
      <c r="G207" s="6">
        <v>0.5</v>
      </c>
      <c r="H207" s="6">
        <v>1</v>
      </c>
      <c r="I207" s="6">
        <v>0.4</v>
      </c>
      <c r="J207" s="6">
        <v>0.4</v>
      </c>
      <c r="K207" s="6">
        <v>1.1000000000000001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</row>
    <row r="208" spans="1:32" hidden="1">
      <c r="A208" t="s">
        <v>333</v>
      </c>
      <c r="B208" t="s">
        <v>333</v>
      </c>
      <c r="C208" t="s">
        <v>24</v>
      </c>
      <c r="D208" t="s">
        <v>25</v>
      </c>
      <c r="E208" t="s">
        <v>15</v>
      </c>
      <c r="F208" t="s">
        <v>26</v>
      </c>
      <c r="G208" s="6">
        <v>0.33333333333333298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</row>
    <row r="209" spans="1:32" hidden="1">
      <c r="A209" t="s">
        <v>334</v>
      </c>
      <c r="B209" t="s">
        <v>334</v>
      </c>
      <c r="C209" t="s">
        <v>335</v>
      </c>
      <c r="E209" t="s">
        <v>15</v>
      </c>
      <c r="F209" t="s">
        <v>26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0.5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</row>
    <row r="210" spans="1:32" hidden="1">
      <c r="A210" t="s">
        <v>336</v>
      </c>
      <c r="B210" t="s">
        <v>336</v>
      </c>
      <c r="C210" t="s">
        <v>24</v>
      </c>
      <c r="D210" t="s">
        <v>25</v>
      </c>
      <c r="E210" t="s">
        <v>15</v>
      </c>
      <c r="F210" t="s">
        <v>26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0.16666666666666699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</row>
    <row r="211" spans="1:32" hidden="1">
      <c r="A211" t="s">
        <v>337</v>
      </c>
      <c r="B211" t="s">
        <v>338</v>
      </c>
      <c r="C211" t="s">
        <v>24</v>
      </c>
      <c r="D211" t="s">
        <v>25</v>
      </c>
      <c r="E211" t="s">
        <v>28</v>
      </c>
      <c r="F211" t="s">
        <v>29</v>
      </c>
      <c r="G211" s="6">
        <v>0</v>
      </c>
      <c r="H211" s="6">
        <v>0</v>
      </c>
      <c r="I211" s="6">
        <v>0</v>
      </c>
      <c r="J211" s="6">
        <v>0</v>
      </c>
      <c r="K211" s="6">
        <v>0.2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</row>
    <row r="212" spans="1:32" hidden="1">
      <c r="A212" t="s">
        <v>339</v>
      </c>
      <c r="B212" t="s">
        <v>340</v>
      </c>
      <c r="C212" t="s">
        <v>9</v>
      </c>
      <c r="D212" t="s">
        <v>160</v>
      </c>
      <c r="E212" t="s">
        <v>46</v>
      </c>
      <c r="F212" t="s">
        <v>16</v>
      </c>
      <c r="G212" s="6">
        <v>0.5</v>
      </c>
      <c r="H212" s="6">
        <v>0.6</v>
      </c>
      <c r="I212" s="6">
        <v>0.2</v>
      </c>
      <c r="J212" s="6">
        <v>0</v>
      </c>
      <c r="K212" s="6">
        <v>0</v>
      </c>
      <c r="L212" s="6">
        <v>0</v>
      </c>
      <c r="M212" s="6">
        <v>0.33333333333333298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0.66666666666666696</v>
      </c>
      <c r="Y212" s="6">
        <v>0</v>
      </c>
      <c r="Z212" s="6">
        <v>0</v>
      </c>
      <c r="AA212" s="6">
        <v>0</v>
      </c>
      <c r="AB212" s="6">
        <v>0</v>
      </c>
      <c r="AC212" s="6">
        <v>0.2</v>
      </c>
      <c r="AD212" s="6">
        <v>0.11111111111111099</v>
      </c>
      <c r="AE212" s="6">
        <v>0</v>
      </c>
      <c r="AF212" s="6">
        <v>0.5</v>
      </c>
    </row>
    <row r="213" spans="1:32" hidden="1">
      <c r="A213" t="s">
        <v>341</v>
      </c>
      <c r="B213" t="s">
        <v>341</v>
      </c>
      <c r="C213" t="s">
        <v>44</v>
      </c>
      <c r="D213" t="s">
        <v>45</v>
      </c>
      <c r="E213" t="s">
        <v>15</v>
      </c>
      <c r="F213" t="s">
        <v>16</v>
      </c>
      <c r="G213" s="6">
        <v>0.16666666666666699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0.16666666666666699</v>
      </c>
      <c r="O213" s="6">
        <v>0</v>
      </c>
      <c r="P213" s="6">
        <v>0</v>
      </c>
      <c r="Q213" s="6">
        <v>0</v>
      </c>
      <c r="R213" s="6">
        <v>0.14285714285714299</v>
      </c>
      <c r="S213" s="6">
        <v>0.16666666666666699</v>
      </c>
      <c r="T213" s="6">
        <v>0</v>
      </c>
      <c r="U213" s="6">
        <v>0</v>
      </c>
      <c r="V213" s="6">
        <v>0</v>
      </c>
      <c r="W213" s="6">
        <v>0.16666666666666699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</row>
    <row r="214" spans="1:32" hidden="1">
      <c r="A214" t="s">
        <v>342</v>
      </c>
      <c r="B214" t="s">
        <v>343</v>
      </c>
      <c r="C214" t="s">
        <v>24</v>
      </c>
      <c r="D214" t="s">
        <v>25</v>
      </c>
      <c r="E214" t="s">
        <v>46</v>
      </c>
      <c r="F214" t="s">
        <v>16</v>
      </c>
      <c r="G214" s="6">
        <v>0</v>
      </c>
      <c r="H214" s="6">
        <v>0.2</v>
      </c>
      <c r="I214" s="6">
        <v>0</v>
      </c>
      <c r="J214" s="6">
        <v>0.2</v>
      </c>
      <c r="K214" s="6">
        <v>0.6</v>
      </c>
      <c r="L214" s="6">
        <v>0</v>
      </c>
      <c r="M214" s="6">
        <v>0.16666666666666699</v>
      </c>
      <c r="N214" s="6">
        <v>0.16666666666666699</v>
      </c>
      <c r="O214" s="6">
        <v>0</v>
      </c>
      <c r="P214" s="6">
        <v>0</v>
      </c>
      <c r="Q214" s="6">
        <v>0</v>
      </c>
      <c r="R214" s="6">
        <v>0</v>
      </c>
      <c r="S214" s="6">
        <v>0.16666666666666699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</row>
    <row r="215" spans="1:32" hidden="1">
      <c r="A215" t="s">
        <v>342</v>
      </c>
      <c r="B215" t="s">
        <v>343</v>
      </c>
      <c r="C215" t="s">
        <v>24</v>
      </c>
      <c r="D215" t="s">
        <v>25</v>
      </c>
      <c r="E215" t="s">
        <v>46</v>
      </c>
      <c r="F215" t="s">
        <v>16</v>
      </c>
      <c r="G215" s="6">
        <v>0</v>
      </c>
      <c r="H215" s="6">
        <v>0</v>
      </c>
      <c r="I215" s="6">
        <v>0</v>
      </c>
      <c r="J215" s="6">
        <v>0</v>
      </c>
      <c r="K215" s="6">
        <v>0.2</v>
      </c>
      <c r="L215" s="6">
        <v>0</v>
      </c>
      <c r="M215" s="6">
        <v>0</v>
      </c>
      <c r="N215" s="6">
        <v>0.16666666666666699</v>
      </c>
      <c r="O215" s="6">
        <v>0.66666666666666696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0.42857142857142899</v>
      </c>
      <c r="AA215" s="6">
        <v>0.2</v>
      </c>
      <c r="AB215" s="6">
        <v>0</v>
      </c>
      <c r="AC215" s="6">
        <v>0</v>
      </c>
      <c r="AD215" s="6">
        <v>0.22222222222222199</v>
      </c>
      <c r="AE215" s="6">
        <v>0</v>
      </c>
      <c r="AF215" s="6">
        <v>0</v>
      </c>
    </row>
    <row r="216" spans="1:32" hidden="1">
      <c r="A216" t="s">
        <v>342</v>
      </c>
      <c r="B216" t="s">
        <v>343</v>
      </c>
      <c r="C216" t="s">
        <v>24</v>
      </c>
      <c r="D216" t="s">
        <v>25</v>
      </c>
      <c r="E216" t="s">
        <v>46</v>
      </c>
      <c r="F216" t="s">
        <v>16</v>
      </c>
      <c r="G216" s="6">
        <v>0</v>
      </c>
      <c r="H216" s="6">
        <v>0.2</v>
      </c>
      <c r="I216" s="6">
        <v>0</v>
      </c>
      <c r="J216" s="6">
        <v>0.2</v>
      </c>
      <c r="K216" s="6">
        <v>0.6</v>
      </c>
      <c r="L216" s="6">
        <v>0</v>
      </c>
      <c r="M216" s="6">
        <v>0.16666666666666699</v>
      </c>
      <c r="N216" s="6">
        <v>0.16666666666666699</v>
      </c>
      <c r="O216" s="6">
        <v>0</v>
      </c>
      <c r="P216" s="6">
        <v>0</v>
      </c>
      <c r="Q216" s="6">
        <v>0</v>
      </c>
      <c r="R216" s="6">
        <v>0</v>
      </c>
      <c r="S216" s="6">
        <v>0.16666666666666699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</row>
    <row r="217" spans="1:32" hidden="1">
      <c r="A217" t="s">
        <v>342</v>
      </c>
      <c r="B217" t="s">
        <v>343</v>
      </c>
      <c r="C217" t="s">
        <v>24</v>
      </c>
      <c r="D217" t="s">
        <v>25</v>
      </c>
      <c r="E217" t="s">
        <v>46</v>
      </c>
      <c r="F217" t="s">
        <v>16</v>
      </c>
      <c r="G217" s="6">
        <v>0</v>
      </c>
      <c r="H217" s="6">
        <v>0</v>
      </c>
      <c r="I217" s="6">
        <v>0</v>
      </c>
      <c r="J217" s="6">
        <v>0</v>
      </c>
      <c r="K217" s="6">
        <v>0.2</v>
      </c>
      <c r="L217" s="6">
        <v>0</v>
      </c>
      <c r="M217" s="6">
        <v>0</v>
      </c>
      <c r="N217" s="6">
        <v>0.16666666666666699</v>
      </c>
      <c r="O217" s="6">
        <v>0.66666666666666696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0.42857142857142899</v>
      </c>
      <c r="AA217" s="6">
        <v>0.2</v>
      </c>
      <c r="AB217" s="6">
        <v>0</v>
      </c>
      <c r="AC217" s="6">
        <v>0</v>
      </c>
      <c r="AD217" s="6">
        <v>0.22222222222222199</v>
      </c>
      <c r="AE217" s="6">
        <v>0</v>
      </c>
      <c r="AF217" s="6">
        <v>0</v>
      </c>
    </row>
    <row r="218" spans="1:32" hidden="1">
      <c r="A218" t="s">
        <v>344</v>
      </c>
      <c r="B218" t="s">
        <v>344</v>
      </c>
      <c r="C218" t="s">
        <v>19</v>
      </c>
      <c r="D218" t="s">
        <v>20</v>
      </c>
      <c r="E218" t="s">
        <v>15</v>
      </c>
      <c r="F218" t="s">
        <v>16</v>
      </c>
      <c r="G218" s="6">
        <v>0.16666666666666699</v>
      </c>
      <c r="H218" s="6">
        <v>0</v>
      </c>
      <c r="I218" s="6">
        <v>0</v>
      </c>
      <c r="J218" s="6">
        <v>1.2</v>
      </c>
      <c r="K218" s="6">
        <v>0.9</v>
      </c>
      <c r="L218" s="6">
        <v>0.16666666666666699</v>
      </c>
      <c r="M218" s="6">
        <v>3</v>
      </c>
      <c r="N218" s="6">
        <v>0.66666666666666696</v>
      </c>
      <c r="O218" s="6">
        <v>1.3333333333333299</v>
      </c>
      <c r="P218" s="6">
        <v>0.66666666666666696</v>
      </c>
      <c r="Q218" s="6">
        <v>1.3333333333333299</v>
      </c>
      <c r="R218" s="6">
        <v>0.42857142857142899</v>
      </c>
      <c r="S218" s="6">
        <v>2.8333333333333299</v>
      </c>
      <c r="T218" s="6">
        <v>0.14285714285714299</v>
      </c>
      <c r="U218" s="6">
        <v>0.375</v>
      </c>
      <c r="V218" s="6">
        <v>0.66666666666666696</v>
      </c>
      <c r="W218" s="6">
        <v>0.5</v>
      </c>
      <c r="X218" s="6">
        <v>1.5</v>
      </c>
      <c r="Y218" s="6">
        <v>0.33333333333333298</v>
      </c>
      <c r="Z218" s="6">
        <v>0.14285714285714299</v>
      </c>
      <c r="AA218" s="6">
        <v>0.2</v>
      </c>
      <c r="AB218" s="6">
        <v>0.66666666666666696</v>
      </c>
      <c r="AC218" s="6">
        <v>0.2</v>
      </c>
      <c r="AD218" s="6">
        <v>0.66666666666666696</v>
      </c>
      <c r="AE218" s="6">
        <v>0.66666666666666696</v>
      </c>
      <c r="AF218" s="6">
        <v>0</v>
      </c>
    </row>
    <row r="219" spans="1:32" hidden="1">
      <c r="A219" t="s">
        <v>345</v>
      </c>
      <c r="B219" t="s">
        <v>345</v>
      </c>
      <c r="C219" t="s">
        <v>24</v>
      </c>
      <c r="D219" t="s">
        <v>25</v>
      </c>
      <c r="E219" t="s">
        <v>15</v>
      </c>
      <c r="F219" t="s">
        <v>26</v>
      </c>
      <c r="G219" s="6">
        <v>0</v>
      </c>
      <c r="H219" s="6">
        <v>0</v>
      </c>
      <c r="I219" s="6">
        <v>0.2</v>
      </c>
      <c r="J219" s="6">
        <v>0</v>
      </c>
      <c r="K219" s="6">
        <v>0.1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</row>
    <row r="220" spans="1:32" hidden="1">
      <c r="A220" t="s">
        <v>346</v>
      </c>
      <c r="B220" t="s">
        <v>347</v>
      </c>
      <c r="C220" t="s">
        <v>80</v>
      </c>
      <c r="D220" t="s">
        <v>81</v>
      </c>
      <c r="E220" t="s">
        <v>86</v>
      </c>
      <c r="F220" t="s">
        <v>16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0.2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</row>
    <row r="221" spans="1:32" hidden="1">
      <c r="A221" t="s">
        <v>348</v>
      </c>
      <c r="B221" t="s">
        <v>349</v>
      </c>
      <c r="C221" t="s">
        <v>80</v>
      </c>
      <c r="D221" t="s">
        <v>81</v>
      </c>
      <c r="E221" t="s">
        <v>86</v>
      </c>
      <c r="F221" t="s">
        <v>16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0.2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</row>
    <row r="222" spans="1:32">
      <c r="A222" t="s">
        <v>350</v>
      </c>
      <c r="B222" t="s">
        <v>351</v>
      </c>
      <c r="C222" t="s">
        <v>24</v>
      </c>
      <c r="D222" t="s">
        <v>25</v>
      </c>
      <c r="E222" t="s">
        <v>21</v>
      </c>
      <c r="F222" t="s">
        <v>16</v>
      </c>
      <c r="G222" s="6">
        <v>0.33333333333333298</v>
      </c>
      <c r="H222" s="6">
        <v>0.6</v>
      </c>
      <c r="I222" s="6">
        <v>0</v>
      </c>
      <c r="J222" s="6">
        <v>0</v>
      </c>
      <c r="K222" s="6">
        <v>0</v>
      </c>
      <c r="L222" s="6">
        <v>0</v>
      </c>
      <c r="M222" s="6">
        <v>0.16666666666666699</v>
      </c>
      <c r="N222" s="6">
        <v>0</v>
      </c>
      <c r="O222" s="6">
        <v>0</v>
      </c>
      <c r="P222" s="6">
        <v>0.16666666666666699</v>
      </c>
      <c r="Q222" s="6">
        <v>0.16666666666666699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0.11111111111111099</v>
      </c>
      <c r="AE222" s="6">
        <v>0</v>
      </c>
      <c r="AF222" s="6">
        <v>0</v>
      </c>
    </row>
    <row r="223" spans="1:32">
      <c r="A223" t="s">
        <v>352</v>
      </c>
      <c r="B223" t="s">
        <v>353</v>
      </c>
      <c r="C223" t="s">
        <v>24</v>
      </c>
      <c r="D223" t="s">
        <v>25</v>
      </c>
      <c r="E223" t="s">
        <v>21</v>
      </c>
      <c r="F223" t="s">
        <v>16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0.5</v>
      </c>
      <c r="N223" s="6">
        <v>0</v>
      </c>
      <c r="O223" s="6">
        <v>0</v>
      </c>
      <c r="P223" s="6">
        <v>0.16666666666666699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</row>
    <row r="224" spans="1:32">
      <c r="A224" t="s">
        <v>354</v>
      </c>
      <c r="B224" t="s">
        <v>355</v>
      </c>
      <c r="C224" t="s">
        <v>24</v>
      </c>
      <c r="D224" t="s">
        <v>25</v>
      </c>
      <c r="E224" t="s">
        <v>21</v>
      </c>
      <c r="F224" t="s">
        <v>26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0.66666666666666696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0.875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0.2</v>
      </c>
      <c r="AB224" s="6">
        <v>1.6666666666666701</v>
      </c>
      <c r="AC224" s="6">
        <v>0.2</v>
      </c>
      <c r="AD224" s="6">
        <v>0.77777777777777801</v>
      </c>
      <c r="AE224" s="6">
        <v>0.33333333333333298</v>
      </c>
      <c r="AF224" s="6">
        <v>0.33333333333333298</v>
      </c>
    </row>
    <row r="225" spans="1:32" hidden="1">
      <c r="A225" t="s">
        <v>356</v>
      </c>
      <c r="B225" t="s">
        <v>356</v>
      </c>
      <c r="C225" t="s">
        <v>24</v>
      </c>
      <c r="D225" t="s">
        <v>25</v>
      </c>
      <c r="E225" t="s">
        <v>15</v>
      </c>
      <c r="F225" t="s">
        <v>26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0.16666666666666699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</row>
    <row r="226" spans="1:32" hidden="1">
      <c r="A226" t="s">
        <v>357</v>
      </c>
      <c r="B226" t="s">
        <v>357</v>
      </c>
      <c r="C226" t="s">
        <v>9</v>
      </c>
      <c r="D226" t="s">
        <v>10</v>
      </c>
      <c r="E226" t="s">
        <v>46</v>
      </c>
      <c r="F226" t="s">
        <v>16</v>
      </c>
      <c r="G226" s="6">
        <v>0.83333333333333304</v>
      </c>
      <c r="H226" s="6">
        <v>1.2</v>
      </c>
      <c r="I226" s="6">
        <v>0.4</v>
      </c>
      <c r="J226" s="6">
        <v>0.2</v>
      </c>
      <c r="K226" s="6">
        <v>0.6</v>
      </c>
      <c r="L226" s="6">
        <v>1.3333333333333299</v>
      </c>
      <c r="M226" s="6">
        <v>1.1666666666666701</v>
      </c>
      <c r="N226" s="6">
        <v>1</v>
      </c>
      <c r="O226" s="6">
        <v>0.5</v>
      </c>
      <c r="P226" s="6">
        <v>0.16666666666666699</v>
      </c>
      <c r="Q226" s="6">
        <v>0.66666666666666696</v>
      </c>
      <c r="R226" s="6">
        <v>0.57142857142857095</v>
      </c>
      <c r="S226" s="6">
        <v>1.1666666666666701</v>
      </c>
      <c r="T226" s="6">
        <v>0.14285714285714299</v>
      </c>
      <c r="U226" s="6">
        <v>0</v>
      </c>
      <c r="V226" s="6">
        <v>1</v>
      </c>
      <c r="W226" s="6">
        <v>0</v>
      </c>
      <c r="X226" s="6">
        <v>0.5</v>
      </c>
      <c r="Y226" s="6">
        <v>0.16666666666666699</v>
      </c>
      <c r="Z226" s="6">
        <v>0.28571428571428598</v>
      </c>
      <c r="AA226" s="6">
        <v>1</v>
      </c>
      <c r="AB226" s="6">
        <v>0.33333333333333298</v>
      </c>
      <c r="AC226" s="6">
        <v>0.4</v>
      </c>
      <c r="AD226" s="6">
        <v>0.44444444444444398</v>
      </c>
      <c r="AE226" s="6">
        <v>0</v>
      </c>
      <c r="AF226" s="6">
        <v>1</v>
      </c>
    </row>
    <row r="227" spans="1:32" hidden="1">
      <c r="A227" t="s">
        <v>358</v>
      </c>
      <c r="B227" t="s">
        <v>358</v>
      </c>
      <c r="C227" t="s">
        <v>24</v>
      </c>
      <c r="D227" t="s">
        <v>25</v>
      </c>
      <c r="E227" t="s">
        <v>15</v>
      </c>
      <c r="F227" t="s">
        <v>26</v>
      </c>
      <c r="G227" s="6">
        <v>1</v>
      </c>
      <c r="H227" s="6">
        <v>2.8</v>
      </c>
      <c r="I227" s="6">
        <v>0</v>
      </c>
      <c r="J227" s="6">
        <v>0</v>
      </c>
      <c r="K227" s="6">
        <v>0.1</v>
      </c>
      <c r="L227" s="6">
        <v>0</v>
      </c>
      <c r="M227" s="6">
        <v>0.16666666666666699</v>
      </c>
      <c r="N227" s="6">
        <v>0</v>
      </c>
      <c r="O227" s="6">
        <v>0</v>
      </c>
      <c r="P227" s="6">
        <v>0.16666666666666699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</row>
    <row r="228" spans="1:32">
      <c r="A228" t="s">
        <v>359</v>
      </c>
      <c r="B228" t="s">
        <v>360</v>
      </c>
      <c r="C228" t="s">
        <v>19</v>
      </c>
      <c r="D228" t="s">
        <v>97</v>
      </c>
      <c r="E228" t="s">
        <v>21</v>
      </c>
      <c r="F228" t="s">
        <v>26</v>
      </c>
      <c r="G228" s="6">
        <v>0</v>
      </c>
      <c r="H228" s="6">
        <v>0.4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0.28571428571428598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0.16666666666666699</v>
      </c>
    </row>
    <row r="229" spans="1:32" hidden="1">
      <c r="A229" t="s">
        <v>361</v>
      </c>
      <c r="B229" t="s">
        <v>361</v>
      </c>
      <c r="C229" t="s">
        <v>19</v>
      </c>
      <c r="D229" t="s">
        <v>20</v>
      </c>
      <c r="E229" t="s">
        <v>145</v>
      </c>
      <c r="F229" t="s">
        <v>16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1.8333333333333299</v>
      </c>
      <c r="O229" s="6">
        <v>0</v>
      </c>
      <c r="P229" s="6">
        <v>0</v>
      </c>
      <c r="Q229" s="6">
        <v>0</v>
      </c>
      <c r="R229" s="6">
        <v>0.14285714285714299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</row>
    <row r="230" spans="1:32" hidden="1">
      <c r="A230" t="s">
        <v>362</v>
      </c>
      <c r="B230" t="s">
        <v>362</v>
      </c>
      <c r="C230" t="s">
        <v>9</v>
      </c>
      <c r="D230" t="s">
        <v>10</v>
      </c>
      <c r="E230" t="s">
        <v>46</v>
      </c>
      <c r="F230" t="s">
        <v>12</v>
      </c>
      <c r="G230" s="6">
        <v>0.16666666666666699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</row>
    <row r="231" spans="1:32" hidden="1">
      <c r="A231" t="s">
        <v>363</v>
      </c>
      <c r="B231" t="s">
        <v>363</v>
      </c>
      <c r="C231" t="s">
        <v>19</v>
      </c>
      <c r="D231" t="s">
        <v>20</v>
      </c>
      <c r="E231" t="s">
        <v>15</v>
      </c>
      <c r="F231" t="s">
        <v>16</v>
      </c>
      <c r="G231" s="6">
        <v>0</v>
      </c>
      <c r="H231" s="6">
        <v>2</v>
      </c>
      <c r="I231" s="6">
        <v>0.4</v>
      </c>
      <c r="J231" s="6">
        <v>0</v>
      </c>
      <c r="K231" s="6">
        <v>0.1</v>
      </c>
      <c r="L231" s="6">
        <v>0.83333333333333304</v>
      </c>
      <c r="M231" s="6">
        <v>1.1666666666666701</v>
      </c>
      <c r="N231" s="6">
        <v>0.5</v>
      </c>
      <c r="O231" s="6">
        <v>0.16666666666666699</v>
      </c>
      <c r="P231" s="6">
        <v>0.33333333333333298</v>
      </c>
      <c r="Q231" s="6">
        <v>0.66666666666666696</v>
      </c>
      <c r="R231" s="6">
        <v>0</v>
      </c>
      <c r="S231" s="6">
        <v>1</v>
      </c>
      <c r="T231" s="6">
        <v>0</v>
      </c>
      <c r="U231" s="6">
        <v>0.75</v>
      </c>
      <c r="V231" s="6">
        <v>0</v>
      </c>
      <c r="W231" s="6">
        <v>0</v>
      </c>
      <c r="X231" s="6">
        <v>0</v>
      </c>
      <c r="Y231" s="6">
        <v>1.3333333333333299</v>
      </c>
      <c r="Z231" s="6">
        <v>0.28571428571428598</v>
      </c>
      <c r="AA231" s="6">
        <v>0</v>
      </c>
      <c r="AB231" s="6">
        <v>0</v>
      </c>
      <c r="AC231" s="6">
        <v>0.2</v>
      </c>
      <c r="AD231" s="6">
        <v>0.66666666666666696</v>
      </c>
      <c r="AE231" s="6">
        <v>0</v>
      </c>
      <c r="AF231" s="6">
        <v>1.1666666666666701</v>
      </c>
    </row>
    <row r="232" spans="1:32" hidden="1">
      <c r="A232" t="s">
        <v>364</v>
      </c>
      <c r="B232" t="s">
        <v>364</v>
      </c>
      <c r="C232" t="s">
        <v>44</v>
      </c>
      <c r="D232" t="s">
        <v>45</v>
      </c>
      <c r="E232" t="s">
        <v>46</v>
      </c>
      <c r="F232" t="s">
        <v>16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0.16666666666666699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0.2</v>
      </c>
      <c r="AD232" s="6">
        <v>0</v>
      </c>
      <c r="AE232" s="6">
        <v>0</v>
      </c>
      <c r="AF232" s="6">
        <v>0</v>
      </c>
    </row>
    <row r="233" spans="1:32" hidden="1">
      <c r="A233" t="s">
        <v>365</v>
      </c>
      <c r="B233" t="s">
        <v>366</v>
      </c>
      <c r="C233" t="s">
        <v>24</v>
      </c>
      <c r="D233" t="s">
        <v>25</v>
      </c>
      <c r="E233" t="s">
        <v>15</v>
      </c>
      <c r="F233" t="s">
        <v>26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0.16666666666666699</v>
      </c>
      <c r="M233" s="6">
        <v>0</v>
      </c>
      <c r="N233" s="6">
        <v>0</v>
      </c>
      <c r="O233" s="6">
        <v>0</v>
      </c>
      <c r="P233" s="6">
        <v>0.83333333333333304</v>
      </c>
      <c r="Q233" s="6">
        <v>0.16666666666666699</v>
      </c>
      <c r="R233" s="6">
        <v>0</v>
      </c>
      <c r="S233" s="6">
        <v>0</v>
      </c>
      <c r="T233" s="6">
        <v>0</v>
      </c>
      <c r="U233" s="6">
        <v>0.125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</row>
    <row r="234" spans="1:32" hidden="1">
      <c r="A234" t="s">
        <v>367</v>
      </c>
      <c r="B234" t="s">
        <v>368</v>
      </c>
      <c r="C234" t="s">
        <v>9</v>
      </c>
      <c r="D234" t="s">
        <v>10</v>
      </c>
      <c r="E234" t="s">
        <v>42</v>
      </c>
      <c r="F234" t="s">
        <v>42</v>
      </c>
      <c r="G234" s="6">
        <v>0</v>
      </c>
      <c r="H234" s="6">
        <v>0</v>
      </c>
      <c r="I234" s="6">
        <v>0</v>
      </c>
      <c r="J234" s="6">
        <v>0.2</v>
      </c>
      <c r="K234" s="6">
        <v>0</v>
      </c>
      <c r="L234" s="6">
        <v>0.16666666666666699</v>
      </c>
      <c r="M234" s="6">
        <v>0.16666666666666699</v>
      </c>
      <c r="N234" s="6">
        <v>0.16666666666666699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0.4</v>
      </c>
      <c r="AD234" s="6">
        <v>0</v>
      </c>
      <c r="AE234" s="6">
        <v>0</v>
      </c>
      <c r="AF234" s="6">
        <v>0.5</v>
      </c>
    </row>
    <row r="235" spans="1:32" hidden="1">
      <c r="A235" t="s">
        <v>369</v>
      </c>
      <c r="B235" t="s">
        <v>370</v>
      </c>
      <c r="C235" t="s">
        <v>24</v>
      </c>
      <c r="D235" t="s">
        <v>25</v>
      </c>
      <c r="E235" t="s">
        <v>42</v>
      </c>
      <c r="F235" t="s">
        <v>42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1</v>
      </c>
      <c r="O235" s="6">
        <v>0.83333333333333304</v>
      </c>
      <c r="P235" s="6">
        <v>0.33333333333333298</v>
      </c>
      <c r="Q235" s="6">
        <v>0</v>
      </c>
      <c r="R235" s="6">
        <v>0.57142857142857095</v>
      </c>
      <c r="S235" s="6">
        <v>0.16666666666666699</v>
      </c>
      <c r="T235" s="6">
        <v>0.42857142857142899</v>
      </c>
      <c r="U235" s="6">
        <v>0</v>
      </c>
      <c r="V235" s="6">
        <v>0</v>
      </c>
      <c r="W235" s="6">
        <v>0.66666666666666696</v>
      </c>
      <c r="X235" s="6">
        <v>0.33333333333333298</v>
      </c>
      <c r="Y235" s="6">
        <v>0.33333333333333298</v>
      </c>
      <c r="Z235" s="6">
        <v>0.71428571428571397</v>
      </c>
      <c r="AA235" s="6">
        <v>0.8</v>
      </c>
      <c r="AB235" s="6">
        <v>0</v>
      </c>
      <c r="AC235" s="6">
        <v>0.4</v>
      </c>
      <c r="AD235" s="6">
        <v>0.22222222222222199</v>
      </c>
      <c r="AE235" s="6">
        <v>0.33333333333333298</v>
      </c>
      <c r="AF235" s="6">
        <v>0.16666666666666699</v>
      </c>
    </row>
    <row r="236" spans="1:32" hidden="1">
      <c r="A236" t="s">
        <v>371</v>
      </c>
      <c r="B236" t="s">
        <v>372</v>
      </c>
      <c r="C236" t="s">
        <v>24</v>
      </c>
      <c r="D236" t="s">
        <v>25</v>
      </c>
      <c r="E236" t="s">
        <v>42</v>
      </c>
      <c r="F236" t="s">
        <v>42</v>
      </c>
      <c r="G236" s="6">
        <v>0</v>
      </c>
      <c r="H236" s="6">
        <v>2.8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</row>
    <row r="237" spans="1:32" hidden="1">
      <c r="A237" t="s">
        <v>373</v>
      </c>
      <c r="B237" t="s">
        <v>373</v>
      </c>
      <c r="C237" t="s">
        <v>44</v>
      </c>
      <c r="D237" t="s">
        <v>282</v>
      </c>
      <c r="E237" t="s">
        <v>46</v>
      </c>
      <c r="F237" t="s">
        <v>26</v>
      </c>
      <c r="G237" s="6">
        <v>4</v>
      </c>
      <c r="H237" s="6">
        <v>8.4</v>
      </c>
      <c r="I237" s="6">
        <v>0</v>
      </c>
      <c r="J237" s="6">
        <v>0</v>
      </c>
      <c r="K237" s="6">
        <v>3.9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0.14285714285714299</v>
      </c>
      <c r="AA237" s="6">
        <v>0</v>
      </c>
      <c r="AB237" s="6">
        <v>0</v>
      </c>
      <c r="AC237" s="6">
        <v>0</v>
      </c>
      <c r="AD237" s="6">
        <v>0</v>
      </c>
      <c r="AE237" s="6">
        <v>0.33333333333333298</v>
      </c>
      <c r="AF237" s="6">
        <v>0</v>
      </c>
    </row>
    <row r="238" spans="1:32" hidden="1">
      <c r="A238" t="s">
        <v>374</v>
      </c>
      <c r="B238" t="s">
        <v>374</v>
      </c>
      <c r="C238" t="s">
        <v>44</v>
      </c>
      <c r="D238" t="s">
        <v>375</v>
      </c>
      <c r="E238" t="s">
        <v>15</v>
      </c>
      <c r="F238" t="s">
        <v>16</v>
      </c>
      <c r="G238" s="6">
        <v>0</v>
      </c>
      <c r="H238" s="6">
        <v>0</v>
      </c>
      <c r="I238" s="6">
        <v>0.2</v>
      </c>
      <c r="J238" s="6">
        <v>0</v>
      </c>
      <c r="K238" s="6">
        <v>0.7</v>
      </c>
      <c r="L238" s="6">
        <v>0.16666666666666699</v>
      </c>
      <c r="M238" s="6">
        <v>0.33333333333333298</v>
      </c>
      <c r="N238" s="6">
        <v>0</v>
      </c>
      <c r="O238" s="6">
        <v>0</v>
      </c>
      <c r="P238" s="6">
        <v>0</v>
      </c>
      <c r="Q238" s="6">
        <v>0.16666666666666699</v>
      </c>
      <c r="R238" s="6">
        <v>0.14285714285714299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0.16666666666666699</v>
      </c>
      <c r="Z238" s="6">
        <v>0</v>
      </c>
      <c r="AA238" s="6">
        <v>0.2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</row>
    <row r="239" spans="1:32" hidden="1">
      <c r="A239" t="s">
        <v>376</v>
      </c>
      <c r="B239" t="s">
        <v>377</v>
      </c>
      <c r="C239" t="s">
        <v>24</v>
      </c>
      <c r="D239" t="s">
        <v>25</v>
      </c>
      <c r="E239" t="s">
        <v>15</v>
      </c>
      <c r="F239" t="s">
        <v>26</v>
      </c>
      <c r="G239" s="6">
        <v>0</v>
      </c>
      <c r="H239" s="6">
        <v>0</v>
      </c>
      <c r="I239" s="6">
        <v>0</v>
      </c>
      <c r="J239" s="6">
        <v>0</v>
      </c>
      <c r="K239" s="6">
        <v>0.1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</row>
    <row r="240" spans="1:32">
      <c r="A240" t="s">
        <v>378</v>
      </c>
      <c r="B240" t="s">
        <v>378</v>
      </c>
      <c r="C240" t="s">
        <v>327</v>
      </c>
      <c r="D240" t="s">
        <v>379</v>
      </c>
      <c r="E240" t="s">
        <v>21</v>
      </c>
      <c r="F240" t="s">
        <v>16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1.1666666666666701</v>
      </c>
      <c r="O240" s="6">
        <v>0.5</v>
      </c>
      <c r="P240" s="6">
        <v>0</v>
      </c>
      <c r="Q240" s="6">
        <v>0.16666666666666699</v>
      </c>
      <c r="R240" s="6">
        <v>0.14285714285714299</v>
      </c>
      <c r="S240" s="6">
        <v>0</v>
      </c>
      <c r="T240" s="6">
        <v>0</v>
      </c>
      <c r="U240" s="6">
        <v>0.125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0.33333333333333298</v>
      </c>
      <c r="AF240" s="6">
        <v>0</v>
      </c>
    </row>
    <row r="241" spans="1:32" hidden="1">
      <c r="A241" t="s">
        <v>380</v>
      </c>
      <c r="B241" t="s">
        <v>380</v>
      </c>
      <c r="C241" t="s">
        <v>24</v>
      </c>
      <c r="D241" t="s">
        <v>25</v>
      </c>
      <c r="E241" t="s">
        <v>46</v>
      </c>
      <c r="F241" t="s">
        <v>16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0.5</v>
      </c>
      <c r="Q241" s="6">
        <v>0</v>
      </c>
      <c r="R241" s="6">
        <v>0</v>
      </c>
      <c r="S241" s="6">
        <v>0</v>
      </c>
      <c r="T241" s="6">
        <v>0.14285714285714299</v>
      </c>
      <c r="U241" s="6">
        <v>2.25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0.33333333333333298</v>
      </c>
      <c r="AC241" s="6">
        <v>2.2000000000000002</v>
      </c>
      <c r="AD241" s="6">
        <v>0</v>
      </c>
      <c r="AE241" s="6">
        <v>0</v>
      </c>
      <c r="AF241" s="6">
        <v>0</v>
      </c>
    </row>
    <row r="242" spans="1:32">
      <c r="A242" t="s">
        <v>381</v>
      </c>
      <c r="B242" t="s">
        <v>381</v>
      </c>
      <c r="C242" t="s">
        <v>40</v>
      </c>
      <c r="D242" t="s">
        <v>41</v>
      </c>
      <c r="E242" t="s">
        <v>21</v>
      </c>
      <c r="F242" t="s">
        <v>16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0.16666666666666699</v>
      </c>
      <c r="M242" s="6">
        <v>0</v>
      </c>
      <c r="N242" s="6">
        <v>0</v>
      </c>
      <c r="O242" s="6">
        <v>0.16666666666666699</v>
      </c>
      <c r="P242" s="6">
        <v>0.16666666666666699</v>
      </c>
      <c r="Q242" s="6">
        <v>0.16666666666666699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</row>
    <row r="243" spans="1:32" hidden="1">
      <c r="A243" t="s">
        <v>382</v>
      </c>
      <c r="B243" t="s">
        <v>382</v>
      </c>
      <c r="C243" t="s">
        <v>9</v>
      </c>
      <c r="D243" t="s">
        <v>10</v>
      </c>
      <c r="E243" t="s">
        <v>42</v>
      </c>
      <c r="F243" t="s">
        <v>42</v>
      </c>
      <c r="G243" s="6">
        <v>0.16666666666666699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</row>
    <row r="244" spans="1:32" hidden="1">
      <c r="A244" t="s">
        <v>383</v>
      </c>
      <c r="B244" t="s">
        <v>384</v>
      </c>
      <c r="C244" t="s">
        <v>165</v>
      </c>
      <c r="D244" t="s">
        <v>175</v>
      </c>
      <c r="E244" t="s">
        <v>42</v>
      </c>
      <c r="F244" t="s">
        <v>42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0.16666666666666699</v>
      </c>
      <c r="O244" s="6">
        <v>0</v>
      </c>
      <c r="P244" s="6">
        <v>0.66666666666666696</v>
      </c>
      <c r="Q244" s="6">
        <v>0.16666666666666699</v>
      </c>
      <c r="R244" s="6">
        <v>0</v>
      </c>
      <c r="S244" s="6">
        <v>0.33333333333333298</v>
      </c>
      <c r="T244" s="6">
        <v>0</v>
      </c>
      <c r="U244" s="6">
        <v>0.125</v>
      </c>
      <c r="V244" s="6">
        <v>0.33333333333333298</v>
      </c>
      <c r="W244" s="6">
        <v>0</v>
      </c>
      <c r="X244" s="6">
        <v>0</v>
      </c>
      <c r="Y244" s="6">
        <v>0.66666666666666696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</row>
    <row r="245" spans="1:32" hidden="1">
      <c r="A245" t="s">
        <v>385</v>
      </c>
      <c r="B245" t="s">
        <v>385</v>
      </c>
      <c r="C245" t="s">
        <v>24</v>
      </c>
      <c r="D245" t="s">
        <v>25</v>
      </c>
      <c r="E245" t="s">
        <v>15</v>
      </c>
      <c r="F245" t="s">
        <v>26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1.3333333333333299</v>
      </c>
      <c r="P245" s="6">
        <v>2</v>
      </c>
      <c r="Q245" s="6">
        <v>0</v>
      </c>
      <c r="R245" s="6">
        <v>0</v>
      </c>
      <c r="S245" s="6">
        <v>0</v>
      </c>
      <c r="T245" s="6">
        <v>1.1428571428571399</v>
      </c>
      <c r="U245" s="6">
        <v>1.25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0.4</v>
      </c>
      <c r="AB245" s="6">
        <v>0</v>
      </c>
      <c r="AC245" s="6">
        <v>0.2</v>
      </c>
      <c r="AD245" s="6">
        <v>0.33333333333333298</v>
      </c>
      <c r="AE245" s="6">
        <v>0.66666666666666696</v>
      </c>
      <c r="AF245" s="6">
        <v>0</v>
      </c>
    </row>
    <row r="246" spans="1:32" hidden="1">
      <c r="A246" t="s">
        <v>386</v>
      </c>
      <c r="B246" t="s">
        <v>387</v>
      </c>
      <c r="C246" t="s">
        <v>24</v>
      </c>
      <c r="D246" t="s">
        <v>25</v>
      </c>
      <c r="E246" t="s">
        <v>15</v>
      </c>
      <c r="F246" t="s">
        <v>26</v>
      </c>
      <c r="G246" s="6">
        <v>0.5</v>
      </c>
      <c r="H246" s="6">
        <v>2.4</v>
      </c>
      <c r="I246" s="6">
        <v>0</v>
      </c>
      <c r="J246" s="6">
        <v>0.4</v>
      </c>
      <c r="K246" s="6">
        <v>0.3</v>
      </c>
      <c r="L246" s="6">
        <v>0</v>
      </c>
      <c r="M246" s="6">
        <v>0</v>
      </c>
      <c r="N246" s="6">
        <v>0</v>
      </c>
      <c r="O246" s="6">
        <v>0.16666666666666699</v>
      </c>
      <c r="P246" s="6">
        <v>0.5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0.14285714285714299</v>
      </c>
      <c r="AA246" s="6">
        <v>0</v>
      </c>
      <c r="AB246" s="6">
        <v>0</v>
      </c>
      <c r="AC246" s="6">
        <v>0</v>
      </c>
      <c r="AD246" s="6">
        <v>0.11111111111111099</v>
      </c>
      <c r="AE246" s="6">
        <v>0</v>
      </c>
      <c r="AF246" s="6">
        <v>0.16666666666666699</v>
      </c>
    </row>
    <row r="247" spans="1:32" hidden="1">
      <c r="A247" t="s">
        <v>388</v>
      </c>
      <c r="B247" t="s">
        <v>389</v>
      </c>
      <c r="C247" t="s">
        <v>19</v>
      </c>
      <c r="D247" t="s">
        <v>20</v>
      </c>
      <c r="E247" t="s">
        <v>145</v>
      </c>
      <c r="F247" t="s">
        <v>16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0.16666666666666699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</row>
    <row r="248" spans="1:32" hidden="1">
      <c r="A248" t="s">
        <v>390</v>
      </c>
      <c r="B248" t="s">
        <v>391</v>
      </c>
      <c r="C248" t="s">
        <v>24</v>
      </c>
      <c r="D248" t="s">
        <v>25</v>
      </c>
      <c r="E248" t="s">
        <v>15</v>
      </c>
      <c r="F248" t="s">
        <v>26</v>
      </c>
      <c r="G248" s="6">
        <v>0</v>
      </c>
      <c r="H248" s="6">
        <v>0</v>
      </c>
      <c r="I248" s="6">
        <v>0</v>
      </c>
      <c r="J248" s="6">
        <v>0</v>
      </c>
      <c r="K248" s="6">
        <v>0.1</v>
      </c>
      <c r="L248" s="6">
        <v>0</v>
      </c>
      <c r="M248" s="6">
        <v>0</v>
      </c>
      <c r="N248" s="6">
        <v>0</v>
      </c>
      <c r="O248" s="6">
        <v>0.16666666666666699</v>
      </c>
      <c r="P248" s="6">
        <v>0</v>
      </c>
      <c r="Q248" s="6">
        <v>0</v>
      </c>
      <c r="R248" s="6">
        <v>0</v>
      </c>
      <c r="S248" s="6">
        <v>0</v>
      </c>
      <c r="T248" s="6">
        <v>0.28571428571428598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</row>
    <row r="249" spans="1:32">
      <c r="A249" t="s">
        <v>392</v>
      </c>
      <c r="B249" t="s">
        <v>392</v>
      </c>
      <c r="C249" t="s">
        <v>19</v>
      </c>
      <c r="D249" t="s">
        <v>97</v>
      </c>
      <c r="E249" t="s">
        <v>21</v>
      </c>
      <c r="F249" t="s">
        <v>26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0.16666666666666699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0.16666666666666699</v>
      </c>
    </row>
    <row r="250" spans="1:32" hidden="1">
      <c r="A250" t="s">
        <v>393</v>
      </c>
      <c r="B250" t="s">
        <v>393</v>
      </c>
      <c r="C250" t="s">
        <v>19</v>
      </c>
      <c r="D250" t="s">
        <v>97</v>
      </c>
      <c r="E250" t="s">
        <v>15</v>
      </c>
      <c r="F250" t="s">
        <v>26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5.6666666666666696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</row>
    <row r="251" spans="1:32" hidden="1">
      <c r="A251" t="s">
        <v>394</v>
      </c>
      <c r="B251" t="s">
        <v>395</v>
      </c>
      <c r="C251" t="s">
        <v>44</v>
      </c>
      <c r="D251" t="s">
        <v>90</v>
      </c>
      <c r="E251" t="s">
        <v>42</v>
      </c>
      <c r="F251" t="s">
        <v>42</v>
      </c>
      <c r="G251" s="6">
        <v>0</v>
      </c>
      <c r="H251" s="6">
        <v>0.2</v>
      </c>
      <c r="I251" s="6">
        <v>0</v>
      </c>
      <c r="J251" s="6">
        <v>0</v>
      </c>
      <c r="K251" s="6">
        <v>0.1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</row>
    <row r="252" spans="1:32" hidden="1">
      <c r="A252" t="s">
        <v>396</v>
      </c>
      <c r="B252" t="s">
        <v>397</v>
      </c>
      <c r="C252" t="s">
        <v>9</v>
      </c>
      <c r="D252" t="s">
        <v>10</v>
      </c>
      <c r="E252" t="s">
        <v>11</v>
      </c>
      <c r="F252" t="s">
        <v>12</v>
      </c>
      <c r="G252" s="6">
        <v>0.16666666666666699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</row>
    <row r="253" spans="1:32" hidden="1">
      <c r="A253" t="s">
        <v>398</v>
      </c>
      <c r="B253" t="s">
        <v>398</v>
      </c>
      <c r="C253" t="s">
        <v>19</v>
      </c>
      <c r="D253" t="s">
        <v>193</v>
      </c>
      <c r="E253" t="s">
        <v>145</v>
      </c>
      <c r="F253" t="s">
        <v>16</v>
      </c>
      <c r="G253" s="6">
        <v>0.33333333333333298</v>
      </c>
      <c r="H253" s="6">
        <v>1</v>
      </c>
      <c r="I253" s="6">
        <v>0.6</v>
      </c>
      <c r="J253" s="6">
        <v>5</v>
      </c>
      <c r="K253" s="6">
        <v>0.7</v>
      </c>
      <c r="L253" s="6">
        <v>1.5</v>
      </c>
      <c r="M253" s="6">
        <v>1.1666666666666701</v>
      </c>
      <c r="N253" s="6">
        <v>1.5</v>
      </c>
      <c r="O253" s="6">
        <v>10</v>
      </c>
      <c r="P253" s="6">
        <v>0.5</v>
      </c>
      <c r="Q253" s="6">
        <v>2.8333333333333299</v>
      </c>
      <c r="R253" s="6">
        <v>1.28571428571429</v>
      </c>
      <c r="S253" s="6">
        <v>1.5</v>
      </c>
      <c r="T253" s="6">
        <v>0.14285714285714299</v>
      </c>
      <c r="U253" s="6">
        <v>0.75</v>
      </c>
      <c r="V253" s="6">
        <v>1.1666666666666701</v>
      </c>
      <c r="W253" s="6">
        <v>0.16666666666666699</v>
      </c>
      <c r="X253" s="6">
        <v>1.6666666666666701</v>
      </c>
      <c r="Y253" s="6">
        <v>1.1666666666666701</v>
      </c>
      <c r="Z253" s="6">
        <v>0</v>
      </c>
      <c r="AA253" s="6">
        <v>0.8</v>
      </c>
      <c r="AB253" s="6">
        <v>0</v>
      </c>
      <c r="AC253" s="6">
        <v>0</v>
      </c>
      <c r="AD253" s="6">
        <v>0.11111111111111099</v>
      </c>
      <c r="AE253" s="6">
        <v>0.33333333333333298</v>
      </c>
      <c r="AF253" s="6">
        <v>0</v>
      </c>
    </row>
    <row r="254" spans="1:32">
      <c r="A254" t="s">
        <v>399</v>
      </c>
      <c r="B254" t="s">
        <v>399</v>
      </c>
      <c r="C254" t="s">
        <v>24</v>
      </c>
      <c r="D254" t="s">
        <v>25</v>
      </c>
      <c r="E254" t="s">
        <v>21</v>
      </c>
      <c r="F254" t="s">
        <v>26</v>
      </c>
      <c r="G254" s="6">
        <v>0</v>
      </c>
      <c r="H254" s="6">
        <v>0.8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</row>
    <row r="255" spans="1:32">
      <c r="A255" t="s">
        <v>400</v>
      </c>
      <c r="B255" t="s">
        <v>400</v>
      </c>
      <c r="C255" t="s">
        <v>19</v>
      </c>
      <c r="D255" t="s">
        <v>97</v>
      </c>
      <c r="E255" t="s">
        <v>21</v>
      </c>
      <c r="F255" t="s">
        <v>26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0.16666666666666699</v>
      </c>
      <c r="P255" s="6">
        <v>0.83333333333333304</v>
      </c>
      <c r="Q255" s="6">
        <v>0</v>
      </c>
      <c r="R255" s="6">
        <v>0.14285714285714299</v>
      </c>
      <c r="S255" s="6">
        <v>0</v>
      </c>
      <c r="T255" s="6">
        <v>0</v>
      </c>
      <c r="U255" s="6">
        <v>0</v>
      </c>
      <c r="V255" s="6">
        <v>0.16666666666666699</v>
      </c>
      <c r="W255" s="6">
        <v>0</v>
      </c>
      <c r="X255" s="6">
        <v>0</v>
      </c>
      <c r="Y255" s="6">
        <v>0</v>
      </c>
      <c r="Z255" s="6">
        <v>0.14285714285714299</v>
      </c>
      <c r="AA255" s="6">
        <v>0</v>
      </c>
      <c r="AB255" s="6">
        <v>0</v>
      </c>
      <c r="AC255" s="6">
        <v>0</v>
      </c>
      <c r="AD255" s="6">
        <v>0.11111111111111099</v>
      </c>
      <c r="AE255" s="6">
        <v>0.33333333333333298</v>
      </c>
      <c r="AF255" s="6">
        <v>0.16666666666666699</v>
      </c>
    </row>
    <row r="256" spans="1:32">
      <c r="A256" t="s">
        <v>401</v>
      </c>
      <c r="B256" t="s">
        <v>401</v>
      </c>
      <c r="C256" t="s">
        <v>165</v>
      </c>
      <c r="D256" t="s">
        <v>166</v>
      </c>
      <c r="E256" t="s">
        <v>21</v>
      </c>
      <c r="F256" t="s">
        <v>16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0.33333333333333298</v>
      </c>
      <c r="O256" s="6">
        <v>0</v>
      </c>
      <c r="P256" s="6">
        <v>0.16666666666666699</v>
      </c>
      <c r="Q256" s="6">
        <v>0.16666666666666699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</row>
    <row r="257" spans="1:32">
      <c r="A257" t="s">
        <v>402</v>
      </c>
      <c r="B257" t="s">
        <v>403</v>
      </c>
      <c r="C257" t="s">
        <v>165</v>
      </c>
      <c r="D257" t="s">
        <v>166</v>
      </c>
      <c r="E257" t="s">
        <v>21</v>
      </c>
      <c r="F257" t="s">
        <v>16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0.33333333333333298</v>
      </c>
      <c r="T257" s="6">
        <v>0</v>
      </c>
      <c r="U257" s="6">
        <v>0</v>
      </c>
      <c r="V257" s="6">
        <v>0</v>
      </c>
      <c r="W257" s="6">
        <v>0.5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0.11111111111111099</v>
      </c>
      <c r="AE257" s="6">
        <v>0</v>
      </c>
      <c r="AF257" s="6">
        <v>0</v>
      </c>
    </row>
    <row r="258" spans="1:32">
      <c r="A258" t="s">
        <v>404</v>
      </c>
      <c r="B258" t="s">
        <v>405</v>
      </c>
      <c r="C258" t="s">
        <v>165</v>
      </c>
      <c r="D258" t="s">
        <v>166</v>
      </c>
      <c r="E258" t="s">
        <v>21</v>
      </c>
      <c r="F258" t="s">
        <v>16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0.16666666666666699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0.14285714285714299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</row>
    <row r="259" spans="1:32" hidden="1">
      <c r="A259" t="s">
        <v>406</v>
      </c>
      <c r="B259" t="s">
        <v>407</v>
      </c>
      <c r="C259" t="s">
        <v>19</v>
      </c>
      <c r="D259" t="s">
        <v>20</v>
      </c>
      <c r="E259" t="s">
        <v>11</v>
      </c>
      <c r="F259" t="s">
        <v>16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0.2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</row>
    <row r="260" spans="1:32" hidden="1">
      <c r="A260" t="s">
        <v>408</v>
      </c>
      <c r="B260" t="s">
        <v>408</v>
      </c>
      <c r="C260" t="s">
        <v>44</v>
      </c>
      <c r="D260" t="s">
        <v>45</v>
      </c>
      <c r="E260" t="s">
        <v>15</v>
      </c>
      <c r="F260" t="s">
        <v>16</v>
      </c>
      <c r="G260" s="6">
        <v>0</v>
      </c>
      <c r="H260" s="6">
        <v>0</v>
      </c>
      <c r="I260" s="6">
        <v>0.2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</row>
    <row r="261" spans="1:32" hidden="1">
      <c r="A261" t="s">
        <v>409</v>
      </c>
      <c r="B261" t="s">
        <v>410</v>
      </c>
      <c r="C261" t="s">
        <v>19</v>
      </c>
      <c r="D261" t="s">
        <v>20</v>
      </c>
      <c r="E261" t="s">
        <v>15</v>
      </c>
      <c r="F261" t="s">
        <v>16</v>
      </c>
      <c r="G261" s="6">
        <v>0.16666666666666699</v>
      </c>
      <c r="H261" s="6">
        <v>0.2</v>
      </c>
      <c r="I261" s="6">
        <v>0.6</v>
      </c>
      <c r="J261" s="6">
        <v>0.4</v>
      </c>
      <c r="K261" s="6">
        <v>0.5</v>
      </c>
      <c r="L261" s="6">
        <v>0</v>
      </c>
      <c r="M261" s="6">
        <v>0.16666666666666699</v>
      </c>
      <c r="N261" s="6">
        <v>0.66666666666666696</v>
      </c>
      <c r="O261" s="6">
        <v>0.5</v>
      </c>
      <c r="P261" s="6">
        <v>0.33333333333333298</v>
      </c>
      <c r="Q261" s="6">
        <v>0</v>
      </c>
      <c r="R261" s="6">
        <v>0</v>
      </c>
      <c r="S261" s="6">
        <v>0.16666666666666699</v>
      </c>
      <c r="T261" s="6">
        <v>0</v>
      </c>
      <c r="U261" s="6">
        <v>0</v>
      </c>
      <c r="V261" s="6">
        <v>0</v>
      </c>
      <c r="W261" s="6">
        <v>0.16666666666666699</v>
      </c>
      <c r="X261" s="6">
        <v>1.1666666666666701</v>
      </c>
      <c r="Y261" s="6">
        <v>1</v>
      </c>
      <c r="Z261" s="6">
        <v>0.85714285714285698</v>
      </c>
      <c r="AA261" s="6">
        <v>0.4</v>
      </c>
      <c r="AB261" s="6">
        <v>0</v>
      </c>
      <c r="AC261" s="6">
        <v>0.2</v>
      </c>
      <c r="AD261" s="6">
        <v>0.11111111111111099</v>
      </c>
      <c r="AE261" s="6">
        <v>0</v>
      </c>
      <c r="AF261" s="6">
        <v>0.5</v>
      </c>
    </row>
    <row r="262" spans="1:32">
      <c r="A262" t="s">
        <v>411</v>
      </c>
      <c r="B262" t="s">
        <v>411</v>
      </c>
      <c r="C262" t="s">
        <v>9</v>
      </c>
      <c r="D262" t="s">
        <v>52</v>
      </c>
      <c r="E262" t="s">
        <v>21</v>
      </c>
      <c r="F262" t="s">
        <v>16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1</v>
      </c>
      <c r="O262" s="6">
        <v>1</v>
      </c>
      <c r="P262" s="6">
        <v>0.83333333333333304</v>
      </c>
      <c r="Q262" s="6">
        <v>0.83333333333333304</v>
      </c>
      <c r="R262" s="6">
        <v>0.85714285714285698</v>
      </c>
      <c r="S262" s="6">
        <v>0.33333333333333298</v>
      </c>
      <c r="T262" s="6">
        <v>0.28571428571428598</v>
      </c>
      <c r="U262" s="6">
        <v>0.375</v>
      </c>
      <c r="V262" s="6">
        <v>0.33333333333333298</v>
      </c>
      <c r="W262" s="6">
        <v>0.5</v>
      </c>
      <c r="X262" s="6">
        <v>0.16666666666666699</v>
      </c>
      <c r="Y262" s="6">
        <v>0</v>
      </c>
      <c r="Z262" s="6">
        <v>0.42857142857142899</v>
      </c>
      <c r="AA262" s="6">
        <v>0.2</v>
      </c>
      <c r="AB262" s="6">
        <v>0</v>
      </c>
      <c r="AC262" s="6">
        <v>0.2</v>
      </c>
      <c r="AD262" s="6">
        <v>0.55555555555555602</v>
      </c>
      <c r="AE262" s="6">
        <v>95</v>
      </c>
      <c r="AF262" s="6">
        <v>68.6666666666667</v>
      </c>
    </row>
    <row r="263" spans="1:32">
      <c r="A263" t="s">
        <v>412</v>
      </c>
      <c r="B263" t="s">
        <v>412</v>
      </c>
      <c r="C263" t="s">
        <v>327</v>
      </c>
      <c r="D263" t="s">
        <v>328</v>
      </c>
      <c r="E263" t="s">
        <v>21</v>
      </c>
      <c r="F263" t="s">
        <v>16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0.16666666666666699</v>
      </c>
      <c r="O263" s="6">
        <v>0</v>
      </c>
      <c r="P263" s="6">
        <v>0.33333333333333298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</row>
    <row r="264" spans="1:32" hidden="1">
      <c r="A264" t="s">
        <v>413</v>
      </c>
      <c r="B264" t="s">
        <v>413</v>
      </c>
      <c r="C264" t="s">
        <v>9</v>
      </c>
      <c r="D264" t="s">
        <v>10</v>
      </c>
      <c r="E264" t="s">
        <v>11</v>
      </c>
      <c r="F264" t="s">
        <v>12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0.11111111111111099</v>
      </c>
      <c r="AE264" s="6">
        <v>0</v>
      </c>
      <c r="AF264" s="6">
        <v>0</v>
      </c>
    </row>
    <row r="265" spans="1:32">
      <c r="A265" t="s">
        <v>414</v>
      </c>
      <c r="B265" t="s">
        <v>414</v>
      </c>
      <c r="C265" t="s">
        <v>40</v>
      </c>
      <c r="D265" t="s">
        <v>41</v>
      </c>
      <c r="E265" t="s">
        <v>21</v>
      </c>
      <c r="F265" t="s">
        <v>16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1.1666666666666701</v>
      </c>
      <c r="W265" s="6">
        <v>0.33333333333333298</v>
      </c>
      <c r="X265" s="6">
        <v>0.5</v>
      </c>
      <c r="Y265" s="6">
        <v>1.5</v>
      </c>
      <c r="Z265" s="6">
        <v>1.28571428571429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</row>
    <row r="266" spans="1:32" ht="14.25" hidden="1" customHeight="1">
      <c r="A266" t="s">
        <v>415</v>
      </c>
      <c r="B266" t="s">
        <v>415</v>
      </c>
      <c r="C266" s="4" t="s">
        <v>24</v>
      </c>
      <c r="D266" s="5"/>
      <c r="E266" s="4" t="s">
        <v>15</v>
      </c>
      <c r="F266" s="4" t="s">
        <v>26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0.33333333333333298</v>
      </c>
      <c r="AF266" s="6">
        <v>0</v>
      </c>
    </row>
    <row r="267" spans="1:32" hidden="1">
      <c r="A267" s="4" t="s">
        <v>416</v>
      </c>
      <c r="B267" t="s">
        <v>416</v>
      </c>
      <c r="C267" s="4" t="s">
        <v>24</v>
      </c>
      <c r="D267" s="4" t="s">
        <v>25</v>
      </c>
      <c r="E267" s="4" t="s">
        <v>15</v>
      </c>
      <c r="F267" s="4" t="s">
        <v>26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0.33333333333333298</v>
      </c>
      <c r="AF267" s="6">
        <v>0</v>
      </c>
    </row>
    <row r="269" spans="1:32">
      <c r="G269">
        <f>SUBTOTAL(9,G2:G267)</f>
        <v>81.666666666666629</v>
      </c>
      <c r="H269">
        <f t="shared" ref="H269:AF269" si="0">SUBTOTAL(9,H2:H267)</f>
        <v>73.400000000000006</v>
      </c>
      <c r="I269">
        <f t="shared" si="0"/>
        <v>13.4</v>
      </c>
      <c r="J269">
        <f t="shared" si="0"/>
        <v>54.800000000000004</v>
      </c>
      <c r="K269">
        <f t="shared" si="0"/>
        <v>96.199999999999989</v>
      </c>
      <c r="L269">
        <f t="shared" si="0"/>
        <v>38.8333333333333</v>
      </c>
      <c r="M269">
        <f t="shared" si="0"/>
        <v>92.3333333333334</v>
      </c>
      <c r="N269">
        <f t="shared" si="0"/>
        <v>179.83333333333334</v>
      </c>
      <c r="O269">
        <f t="shared" si="0"/>
        <v>69.833333333333414</v>
      </c>
      <c r="P269">
        <f t="shared" si="0"/>
        <v>35.333333333333329</v>
      </c>
      <c r="Q269">
        <f t="shared" si="0"/>
        <v>31.833333333333336</v>
      </c>
      <c r="R269">
        <f t="shared" si="0"/>
        <v>18.571428571428573</v>
      </c>
      <c r="S269">
        <f t="shared" si="0"/>
        <v>28.833333333333318</v>
      </c>
      <c r="T269">
        <f t="shared" si="0"/>
        <v>38.142857142857167</v>
      </c>
      <c r="U269">
        <f t="shared" si="0"/>
        <v>69.375</v>
      </c>
      <c r="V269">
        <f t="shared" si="0"/>
        <v>171.83333333333334</v>
      </c>
      <c r="W269">
        <f t="shared" si="0"/>
        <v>173.16666666666663</v>
      </c>
      <c r="X269">
        <f t="shared" si="0"/>
        <v>261.66666666666669</v>
      </c>
      <c r="Y269">
        <f t="shared" si="0"/>
        <v>236.16666666666666</v>
      </c>
      <c r="Z269">
        <f t="shared" si="0"/>
        <v>89.714285714285751</v>
      </c>
      <c r="AA269">
        <f t="shared" si="0"/>
        <v>18.600000000000001</v>
      </c>
      <c r="AB269">
        <f t="shared" si="0"/>
        <v>32.333333333333329</v>
      </c>
      <c r="AC269">
        <f t="shared" si="0"/>
        <v>12.6</v>
      </c>
      <c r="AD269">
        <f t="shared" si="0"/>
        <v>65.888888888888914</v>
      </c>
      <c r="AE269">
        <f t="shared" si="0"/>
        <v>123.66666666666666</v>
      </c>
      <c r="AF269">
        <f t="shared" si="0"/>
        <v>140.66666666666671</v>
      </c>
    </row>
  </sheetData>
  <autoFilter ref="A1:AF267" xr:uid="{00000000-0009-0000-0000-000000000000}">
    <filterColumn colId="4">
      <filters>
        <filter val="suspension feeder"/>
      </filters>
    </filterColumn>
  </autoFilter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E36" sqref="E36"/>
    </sheetView>
  </sheetViews>
  <sheetFormatPr defaultColWidth="9" defaultRowHeight="14.4"/>
  <cols>
    <col min="3" max="4" width="12.88671875" customWidth="1"/>
    <col min="5" max="5" width="13.33203125" customWidth="1"/>
    <col min="6" max="6" width="12.6640625" customWidth="1"/>
    <col min="7" max="7" width="13.33203125" customWidth="1"/>
  </cols>
  <sheetData>
    <row r="1" spans="1:8">
      <c r="B1" t="s">
        <v>417</v>
      </c>
      <c r="C1" t="s">
        <v>418</v>
      </c>
      <c r="D1" t="s">
        <v>419</v>
      </c>
      <c r="E1" t="s">
        <v>420</v>
      </c>
      <c r="F1" t="s">
        <v>421</v>
      </c>
      <c r="G1" t="s">
        <v>422</v>
      </c>
    </row>
    <row r="2" spans="1:8">
      <c r="A2" s="1">
        <v>1995</v>
      </c>
      <c r="B2" s="6">
        <v>76.1666666666667</v>
      </c>
      <c r="C2" s="7">
        <v>43.6666666666667</v>
      </c>
      <c r="D2" s="6">
        <f>C2/B2</f>
        <v>0.57330415754923436</v>
      </c>
      <c r="E2" s="7">
        <v>81.6666666666667</v>
      </c>
      <c r="F2" s="6">
        <f t="shared" ref="F2:F27" si="0">E2/B2</f>
        <v>1.0722100656455142</v>
      </c>
      <c r="G2" s="6">
        <f>C2/E2</f>
        <v>0.5346938775510206</v>
      </c>
      <c r="H2" s="6"/>
    </row>
    <row r="3" spans="1:8">
      <c r="A3" s="1">
        <v>1996</v>
      </c>
      <c r="B3" s="6">
        <v>74.599999999999994</v>
      </c>
      <c r="C3" s="7">
        <v>105.6</v>
      </c>
      <c r="D3" s="6">
        <f t="shared" ref="D3:D27" si="1">C3/B3</f>
        <v>1.4155495978552279</v>
      </c>
      <c r="E3" s="7">
        <v>73.400000000000006</v>
      </c>
      <c r="F3" s="6">
        <f t="shared" si="0"/>
        <v>0.9839142091152816</v>
      </c>
      <c r="G3" s="6">
        <f t="shared" ref="G3:G27" si="2">C3/E3</f>
        <v>1.4386920980926428</v>
      </c>
      <c r="H3" s="6"/>
    </row>
    <row r="4" spans="1:8">
      <c r="A4" s="1">
        <v>1997</v>
      </c>
      <c r="B4" s="6">
        <v>26.2</v>
      </c>
      <c r="C4" s="7">
        <v>15.4</v>
      </c>
      <c r="D4" s="6">
        <f t="shared" si="1"/>
        <v>0.58778625954198471</v>
      </c>
      <c r="E4" s="7">
        <v>13.4</v>
      </c>
      <c r="F4" s="6">
        <f t="shared" si="0"/>
        <v>0.51145038167938939</v>
      </c>
      <c r="G4" s="6">
        <f t="shared" si="2"/>
        <v>1.1492537313432836</v>
      </c>
      <c r="H4" s="6"/>
    </row>
    <row r="5" spans="1:8">
      <c r="A5" s="1">
        <v>1998</v>
      </c>
      <c r="B5" s="6">
        <v>102.8</v>
      </c>
      <c r="C5" s="7">
        <v>31.8</v>
      </c>
      <c r="D5" s="6">
        <f t="shared" si="1"/>
        <v>0.30933852140077822</v>
      </c>
      <c r="E5" s="7">
        <v>54.8</v>
      </c>
      <c r="F5" s="6">
        <f t="shared" si="0"/>
        <v>0.53307392996108949</v>
      </c>
      <c r="G5" s="6">
        <f t="shared" si="2"/>
        <v>0.58029197080291972</v>
      </c>
      <c r="H5" s="6"/>
    </row>
    <row r="6" spans="1:8">
      <c r="A6" s="1">
        <v>1999</v>
      </c>
      <c r="B6" s="6">
        <v>168.7</v>
      </c>
      <c r="C6" s="7">
        <v>50.2</v>
      </c>
      <c r="D6" s="6">
        <f t="shared" si="1"/>
        <v>0.29756965026674576</v>
      </c>
      <c r="E6" s="7">
        <v>96.2</v>
      </c>
      <c r="F6" s="6">
        <f t="shared" si="0"/>
        <v>0.57024303497332551</v>
      </c>
      <c r="G6" s="6">
        <f t="shared" si="2"/>
        <v>0.5218295218295218</v>
      </c>
      <c r="H6" s="6"/>
    </row>
    <row r="7" spans="1:8">
      <c r="A7" s="1">
        <v>2000</v>
      </c>
      <c r="B7" s="6">
        <v>57.1666666666667</v>
      </c>
      <c r="C7" s="7">
        <v>12.6666666666667</v>
      </c>
      <c r="D7" s="6">
        <f t="shared" si="1"/>
        <v>0.22157434402332407</v>
      </c>
      <c r="E7" s="7">
        <v>38.8333333333333</v>
      </c>
      <c r="F7" s="6">
        <f t="shared" si="0"/>
        <v>0.67930029154518856</v>
      </c>
      <c r="G7" s="6">
        <f t="shared" si="2"/>
        <v>0.32618025751073076</v>
      </c>
      <c r="H7" s="6"/>
    </row>
    <row r="8" spans="1:8">
      <c r="A8" s="1">
        <v>2001</v>
      </c>
      <c r="B8" s="6">
        <v>110.166666666667</v>
      </c>
      <c r="C8" s="7">
        <v>40.1666666666667</v>
      </c>
      <c r="D8" s="6">
        <f t="shared" si="1"/>
        <v>0.36459909228441673</v>
      </c>
      <c r="E8" s="7">
        <v>92.3333333333333</v>
      </c>
      <c r="F8" s="6">
        <f t="shared" si="0"/>
        <v>0.83812405446293214</v>
      </c>
      <c r="G8" s="6">
        <f t="shared" si="2"/>
        <v>0.43501805054151677</v>
      </c>
      <c r="H8" s="6"/>
    </row>
    <row r="9" spans="1:8">
      <c r="A9" s="1">
        <v>2002</v>
      </c>
      <c r="B9" s="6">
        <v>75.6666666666667</v>
      </c>
      <c r="C9" s="7">
        <v>51.8333333333333</v>
      </c>
      <c r="D9" s="6">
        <f t="shared" si="1"/>
        <v>0.68502202643171728</v>
      </c>
      <c r="E9" s="7">
        <v>179.833333333333</v>
      </c>
      <c r="F9" s="6">
        <f t="shared" si="0"/>
        <v>2.3766519823788492</v>
      </c>
      <c r="G9" s="6">
        <f t="shared" si="2"/>
        <v>0.28822984244671024</v>
      </c>
      <c r="H9" s="6"/>
    </row>
    <row r="10" spans="1:8">
      <c r="A10" s="1">
        <v>2003</v>
      </c>
      <c r="B10" s="6">
        <v>110</v>
      </c>
      <c r="C10" s="7">
        <v>29.5</v>
      </c>
      <c r="D10" s="6">
        <f t="shared" si="1"/>
        <v>0.26818181818181819</v>
      </c>
      <c r="E10" s="7">
        <v>69.8333333333334</v>
      </c>
      <c r="F10" s="6">
        <f t="shared" si="0"/>
        <v>0.63484848484848544</v>
      </c>
      <c r="G10" s="6">
        <f t="shared" si="2"/>
        <v>0.42243436754176572</v>
      </c>
      <c r="H10" s="6"/>
    </row>
    <row r="11" spans="1:8">
      <c r="A11" s="1">
        <v>2004</v>
      </c>
      <c r="B11" s="6">
        <v>49.3333333333333</v>
      </c>
      <c r="C11" s="7">
        <v>20.1666666666667</v>
      </c>
      <c r="D11" s="6">
        <f t="shared" si="1"/>
        <v>0.40878378378378472</v>
      </c>
      <c r="E11" s="7">
        <v>35.3333333333333</v>
      </c>
      <c r="F11" s="6">
        <f t="shared" si="0"/>
        <v>0.71621621621621601</v>
      </c>
      <c r="G11" s="6">
        <f t="shared" si="2"/>
        <v>0.57075471698113356</v>
      </c>
      <c r="H11" s="6"/>
    </row>
    <row r="12" spans="1:8">
      <c r="A12" s="1">
        <v>2005</v>
      </c>
      <c r="B12" s="6">
        <v>104.666666666667</v>
      </c>
      <c r="C12" s="7">
        <v>30.8333333333333</v>
      </c>
      <c r="D12" s="6">
        <f t="shared" si="1"/>
        <v>0.29458598726114527</v>
      </c>
      <c r="E12" s="7">
        <v>31.8333333333333</v>
      </c>
      <c r="F12" s="6">
        <f t="shared" si="0"/>
        <v>0.30414012738853374</v>
      </c>
      <c r="G12" s="6">
        <f t="shared" si="2"/>
        <v>0.96858638743455494</v>
      </c>
      <c r="H12" s="6"/>
    </row>
    <row r="13" spans="1:8">
      <c r="A13" s="1">
        <v>2007</v>
      </c>
      <c r="B13" s="6">
        <v>99.428571428571402</v>
      </c>
      <c r="C13" s="7">
        <v>10.285714285714301</v>
      </c>
      <c r="D13" s="6">
        <f t="shared" si="1"/>
        <v>0.10344827586206914</v>
      </c>
      <c r="E13" s="7">
        <v>18.571428571428601</v>
      </c>
      <c r="F13" s="6">
        <f t="shared" si="0"/>
        <v>0.18678160919540265</v>
      </c>
      <c r="G13" s="6">
        <f t="shared" si="2"/>
        <v>0.55384615384615377</v>
      </c>
      <c r="H13" s="6"/>
    </row>
    <row r="14" spans="1:8">
      <c r="A14" s="1">
        <v>2008</v>
      </c>
      <c r="B14" s="6">
        <v>101.5</v>
      </c>
      <c r="C14" s="7">
        <v>18.1666666666667</v>
      </c>
      <c r="D14" s="6">
        <f t="shared" si="1"/>
        <v>0.17898193760262759</v>
      </c>
      <c r="E14" s="7">
        <v>28.8333333333333</v>
      </c>
      <c r="F14" s="6">
        <f t="shared" si="0"/>
        <v>0.28407224958949062</v>
      </c>
      <c r="G14" s="6">
        <f t="shared" si="2"/>
        <v>0.63005780346820994</v>
      </c>
      <c r="H14" s="6"/>
    </row>
    <row r="15" spans="1:8">
      <c r="A15" s="1">
        <v>2009</v>
      </c>
      <c r="B15" s="6">
        <v>41.142857142857203</v>
      </c>
      <c r="C15" s="7">
        <v>9.71428571428571</v>
      </c>
      <c r="D15" s="6">
        <f t="shared" si="1"/>
        <v>0.23611111111111066</v>
      </c>
      <c r="E15" s="7">
        <v>38.142857142857103</v>
      </c>
      <c r="F15" s="6">
        <f t="shared" si="0"/>
        <v>0.92708333333333104</v>
      </c>
      <c r="G15" s="6">
        <f t="shared" si="2"/>
        <v>0.25468164794007508</v>
      </c>
      <c r="H15" s="6"/>
    </row>
    <row r="16" spans="1:8">
      <c r="A16" s="1">
        <v>2010</v>
      </c>
      <c r="B16" s="6">
        <v>54.125</v>
      </c>
      <c r="C16" s="7">
        <v>12</v>
      </c>
      <c r="D16" s="6">
        <f t="shared" si="1"/>
        <v>0.22170900692840648</v>
      </c>
      <c r="E16" s="7">
        <v>69.375</v>
      </c>
      <c r="F16" s="6">
        <f t="shared" si="0"/>
        <v>1.2817551963048499</v>
      </c>
      <c r="G16" s="6">
        <f t="shared" si="2"/>
        <v>0.17297297297297298</v>
      </c>
      <c r="H16" s="6"/>
    </row>
    <row r="17" spans="1:8">
      <c r="A17" s="1">
        <v>2011</v>
      </c>
      <c r="B17" s="6">
        <v>110.333333333333</v>
      </c>
      <c r="C17" s="7">
        <v>16.3333333333333</v>
      </c>
      <c r="D17" s="6">
        <f t="shared" si="1"/>
        <v>0.1480362537764352</v>
      </c>
      <c r="E17" s="7">
        <v>171.833333333333</v>
      </c>
      <c r="F17" s="6">
        <f t="shared" si="0"/>
        <v>1.5574018126888234</v>
      </c>
      <c r="G17" s="6">
        <f t="shared" si="2"/>
        <v>9.5053346265761382E-2</v>
      </c>
      <c r="H17" s="6"/>
    </row>
    <row r="18" spans="1:8">
      <c r="A18" s="1">
        <v>2012</v>
      </c>
      <c r="B18" s="6">
        <v>29.1666666666667</v>
      </c>
      <c r="C18" s="7">
        <v>3.6666666666666701</v>
      </c>
      <c r="D18" s="6">
        <f t="shared" si="1"/>
        <v>0.1257142857142857</v>
      </c>
      <c r="E18" s="7">
        <v>173.166666666667</v>
      </c>
      <c r="F18" s="6">
        <f t="shared" si="0"/>
        <v>5.9371428571428622</v>
      </c>
      <c r="G18" s="6">
        <f t="shared" si="2"/>
        <v>2.1174205967276205E-2</v>
      </c>
      <c r="H18" s="6"/>
    </row>
    <row r="19" spans="1:8">
      <c r="A19" s="1">
        <v>2013</v>
      </c>
      <c r="B19" s="6">
        <v>70.5</v>
      </c>
      <c r="C19" s="7">
        <v>9.3333333333333304</v>
      </c>
      <c r="D19" s="6">
        <f t="shared" si="1"/>
        <v>0.13238770685579193</v>
      </c>
      <c r="E19" s="7">
        <v>261.66666666666703</v>
      </c>
      <c r="F19" s="6">
        <f t="shared" si="0"/>
        <v>3.7115839243498869</v>
      </c>
      <c r="G19" s="6">
        <f t="shared" si="2"/>
        <v>3.5668789808917134E-2</v>
      </c>
      <c r="H19" s="6"/>
    </row>
    <row r="20" spans="1:8">
      <c r="A20" s="1">
        <v>2014</v>
      </c>
      <c r="B20" s="6">
        <v>45.3333333333333</v>
      </c>
      <c r="C20" s="7">
        <v>9.8333333333333304</v>
      </c>
      <c r="D20" s="6">
        <f t="shared" si="1"/>
        <v>0.21691176470588244</v>
      </c>
      <c r="E20" s="7">
        <v>236.166666666667</v>
      </c>
      <c r="F20" s="6">
        <f t="shared" si="0"/>
        <v>5.2095588235294228</v>
      </c>
      <c r="G20" s="6">
        <f t="shared" si="2"/>
        <v>4.1637261820747985E-2</v>
      </c>
      <c r="H20" s="6"/>
    </row>
    <row r="21" spans="1:8">
      <c r="A21" s="1">
        <v>2015</v>
      </c>
      <c r="B21" s="6">
        <v>38.714285714285701</v>
      </c>
      <c r="C21" s="7">
        <v>7</v>
      </c>
      <c r="D21" s="6">
        <f t="shared" si="1"/>
        <v>0.18081180811808123</v>
      </c>
      <c r="E21" s="7">
        <v>89.714285714285694</v>
      </c>
      <c r="F21" s="6">
        <f t="shared" si="0"/>
        <v>2.3173431734317345</v>
      </c>
      <c r="G21" s="6">
        <f t="shared" si="2"/>
        <v>7.8025477707006394E-2</v>
      </c>
      <c r="H21" s="6"/>
    </row>
    <row r="22" spans="1:8">
      <c r="A22" s="1">
        <v>2016</v>
      </c>
      <c r="B22" s="6">
        <v>34.4</v>
      </c>
      <c r="C22" s="7">
        <v>7.6</v>
      </c>
      <c r="D22" s="6">
        <f t="shared" si="1"/>
        <v>0.22093023255813954</v>
      </c>
      <c r="E22" s="7">
        <v>18.600000000000001</v>
      </c>
      <c r="F22" s="6">
        <f t="shared" si="0"/>
        <v>0.54069767441860472</v>
      </c>
      <c r="G22" s="6">
        <f t="shared" si="2"/>
        <v>0.40860215053763438</v>
      </c>
      <c r="H22" s="6"/>
    </row>
    <row r="23" spans="1:8">
      <c r="A23" s="1">
        <v>2019</v>
      </c>
      <c r="B23" s="6">
        <v>34</v>
      </c>
      <c r="C23" s="7">
        <v>4</v>
      </c>
      <c r="D23" s="6">
        <f t="shared" si="1"/>
        <v>0.11764705882352941</v>
      </c>
      <c r="E23" s="7">
        <v>32.3333333333333</v>
      </c>
      <c r="F23" s="6">
        <f t="shared" si="0"/>
        <v>0.95098039215686181</v>
      </c>
      <c r="G23" s="6">
        <f t="shared" si="2"/>
        <v>0.1237113402061857</v>
      </c>
      <c r="H23" s="6"/>
    </row>
    <row r="24" spans="1:8">
      <c r="A24" s="1">
        <v>2022</v>
      </c>
      <c r="B24" s="6">
        <v>21.4</v>
      </c>
      <c r="C24" s="7">
        <v>9.1999999999999993</v>
      </c>
      <c r="D24" s="6">
        <f t="shared" si="1"/>
        <v>0.42990654205607476</v>
      </c>
      <c r="E24" s="7">
        <v>12.6</v>
      </c>
      <c r="F24" s="6">
        <f t="shared" si="0"/>
        <v>0.58878504672897203</v>
      </c>
      <c r="G24" s="6">
        <f t="shared" si="2"/>
        <v>0.73015873015873012</v>
      </c>
      <c r="H24" s="6"/>
    </row>
    <row r="25" spans="1:8">
      <c r="A25" s="1">
        <v>2024</v>
      </c>
      <c r="B25" s="6">
        <v>38.7777777777778</v>
      </c>
      <c r="C25" s="7">
        <v>7.1111111111111098</v>
      </c>
      <c r="D25" s="6">
        <f t="shared" si="1"/>
        <v>0.18338108882521476</v>
      </c>
      <c r="E25" s="7">
        <v>65.8888888888889</v>
      </c>
      <c r="F25" s="6">
        <f t="shared" si="0"/>
        <v>1.6991404011461311</v>
      </c>
      <c r="G25" s="6">
        <f t="shared" si="2"/>
        <v>0.10792580101180435</v>
      </c>
      <c r="H25" s="6"/>
    </row>
    <row r="26" spans="1:8">
      <c r="A26" s="1">
        <v>2025</v>
      </c>
      <c r="B26" s="6">
        <v>10</v>
      </c>
      <c r="C26" s="7">
        <v>7.3333333333333304</v>
      </c>
      <c r="D26" s="6">
        <f t="shared" si="1"/>
        <v>0.73333333333333306</v>
      </c>
      <c r="E26" s="7">
        <v>123.666666666667</v>
      </c>
      <c r="F26" s="6">
        <f t="shared" si="0"/>
        <v>12.366666666666699</v>
      </c>
      <c r="G26" s="6">
        <f t="shared" si="2"/>
        <v>5.9299191374662892E-2</v>
      </c>
      <c r="H26" s="6"/>
    </row>
    <row r="27" spans="1:8">
      <c r="A27" s="1" t="s">
        <v>7</v>
      </c>
      <c r="B27" s="6">
        <v>244.666666666667</v>
      </c>
      <c r="C27" s="7">
        <v>10.6666666666667</v>
      </c>
      <c r="D27" s="6">
        <f t="shared" si="1"/>
        <v>4.3596730245231682E-2</v>
      </c>
      <c r="E27" s="7">
        <v>140.666666666667</v>
      </c>
      <c r="F27" s="6">
        <f t="shared" si="0"/>
        <v>0.57493188010899243</v>
      </c>
      <c r="G27" s="6">
        <f t="shared" si="2"/>
        <v>7.5829383886255985E-2</v>
      </c>
      <c r="H27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G269"/>
  <sheetViews>
    <sheetView tabSelected="1" workbookViewId="0"/>
  </sheetViews>
  <sheetFormatPr defaultColWidth="9" defaultRowHeight="14.4"/>
  <cols>
    <col min="1" max="2" width="32.44140625" customWidth="1"/>
    <col min="3" max="3" width="15.6640625" customWidth="1"/>
    <col min="4" max="4" width="16" customWidth="1"/>
    <col min="5" max="5" width="17.6640625" customWidth="1"/>
    <col min="6" max="6" width="26" customWidth="1"/>
    <col min="7" max="36" width="14.44140625" customWidth="1"/>
    <col min="37" max="37" width="15.44140625" customWidth="1"/>
    <col min="38" max="154" width="14.44140625" customWidth="1"/>
    <col min="155" max="157" width="14.44140625" bestFit="1" customWidth="1"/>
    <col min="158" max="163" width="11.5546875" bestFit="1" customWidth="1"/>
    <col min="16380" max="16380" width="8.6640625" customWidth="1"/>
    <col min="16383" max="16384" width="9" customWidth="1"/>
  </cols>
  <sheetData>
    <row r="1" spans="1:1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  <c r="U1" s="1" t="s">
        <v>437</v>
      </c>
      <c r="V1" s="1" t="s">
        <v>438</v>
      </c>
      <c r="W1" s="1" t="s">
        <v>439</v>
      </c>
      <c r="X1" s="1" t="s">
        <v>440</v>
      </c>
      <c r="Y1" s="1" t="s">
        <v>441</v>
      </c>
      <c r="Z1" s="1" t="s">
        <v>442</v>
      </c>
      <c r="AA1" s="1" t="s">
        <v>443</v>
      </c>
      <c r="AB1" s="1" t="s">
        <v>444</v>
      </c>
      <c r="AC1" s="1" t="s">
        <v>445</v>
      </c>
      <c r="AD1" s="1" t="s">
        <v>446</v>
      </c>
      <c r="AE1" s="1" t="s">
        <v>447</v>
      </c>
      <c r="AF1" s="1" t="s">
        <v>448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455</v>
      </c>
      <c r="AN1" s="1" t="s">
        <v>456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461</v>
      </c>
      <c r="AT1" s="1" t="s">
        <v>462</v>
      </c>
      <c r="AU1" s="1" t="s">
        <v>463</v>
      </c>
      <c r="AV1" s="1" t="s">
        <v>464</v>
      </c>
      <c r="AW1" s="1" t="s">
        <v>465</v>
      </c>
      <c r="AX1" s="1" t="s">
        <v>466</v>
      </c>
      <c r="AY1" s="1" t="s">
        <v>467</v>
      </c>
      <c r="AZ1" s="1" t="s">
        <v>468</v>
      </c>
      <c r="BA1" s="1" t="s">
        <v>469</v>
      </c>
      <c r="BB1" s="1" t="s">
        <v>470</v>
      </c>
      <c r="BC1" s="1" t="s">
        <v>471</v>
      </c>
      <c r="BD1" s="1" t="s">
        <v>472</v>
      </c>
      <c r="BE1" s="1" t="s">
        <v>473</v>
      </c>
      <c r="BF1" s="1" t="s">
        <v>474</v>
      </c>
      <c r="BG1" s="1" t="s">
        <v>475</v>
      </c>
      <c r="BH1" s="1" t="s">
        <v>476</v>
      </c>
      <c r="BI1" s="1" t="s">
        <v>477</v>
      </c>
      <c r="BJ1" s="1" t="s">
        <v>478</v>
      </c>
      <c r="BK1" s="1" t="s">
        <v>479</v>
      </c>
      <c r="BL1" s="1" t="s">
        <v>480</v>
      </c>
      <c r="BM1" s="1" t="s">
        <v>481</v>
      </c>
      <c r="BN1" s="1" t="s">
        <v>482</v>
      </c>
      <c r="BO1" s="1" t="s">
        <v>483</v>
      </c>
      <c r="BP1" s="1" t="s">
        <v>484</v>
      </c>
      <c r="BQ1" s="1" t="s">
        <v>485</v>
      </c>
      <c r="BR1" s="1" t="s">
        <v>486</v>
      </c>
      <c r="BS1" s="1" t="s">
        <v>487</v>
      </c>
      <c r="BT1" s="1" t="s">
        <v>488</v>
      </c>
      <c r="BU1" s="1" t="s">
        <v>489</v>
      </c>
      <c r="BV1" s="1" t="s">
        <v>490</v>
      </c>
      <c r="BW1" s="1" t="s">
        <v>491</v>
      </c>
      <c r="BX1" s="1" t="s">
        <v>492</v>
      </c>
      <c r="BY1" s="1" t="s">
        <v>493</v>
      </c>
      <c r="BZ1" s="1" t="s">
        <v>494</v>
      </c>
      <c r="CA1" s="1" t="s">
        <v>495</v>
      </c>
      <c r="CB1" s="1" t="s">
        <v>496</v>
      </c>
      <c r="CC1" s="1" t="s">
        <v>497</v>
      </c>
      <c r="CD1" s="1" t="s">
        <v>498</v>
      </c>
      <c r="CE1" s="1" t="s">
        <v>499</v>
      </c>
      <c r="CF1" s="1" t="s">
        <v>500</v>
      </c>
      <c r="CG1" s="1" t="s">
        <v>501</v>
      </c>
      <c r="CH1" s="1" t="s">
        <v>502</v>
      </c>
      <c r="CI1" s="1" t="s">
        <v>503</v>
      </c>
      <c r="CJ1" s="1" t="s">
        <v>504</v>
      </c>
      <c r="CK1" s="1" t="s">
        <v>505</v>
      </c>
      <c r="CL1" s="1" t="s">
        <v>506</v>
      </c>
      <c r="CM1" s="1" t="s">
        <v>507</v>
      </c>
      <c r="CN1" s="1" t="s">
        <v>508</v>
      </c>
      <c r="CO1" s="1" t="s">
        <v>509</v>
      </c>
      <c r="CP1" s="1" t="s">
        <v>510</v>
      </c>
      <c r="CQ1" s="1" t="s">
        <v>511</v>
      </c>
      <c r="CR1" s="1" t="s">
        <v>512</v>
      </c>
      <c r="CS1" s="1" t="s">
        <v>513</v>
      </c>
      <c r="CT1" s="1" t="s">
        <v>514</v>
      </c>
      <c r="CU1" s="1" t="s">
        <v>515</v>
      </c>
      <c r="CV1" s="1" t="s">
        <v>516</v>
      </c>
      <c r="CW1" s="1" t="s">
        <v>517</v>
      </c>
      <c r="CX1" s="1" t="s">
        <v>518</v>
      </c>
      <c r="CY1" s="1" t="s">
        <v>519</v>
      </c>
      <c r="CZ1" s="1" t="s">
        <v>520</v>
      </c>
      <c r="DA1" s="1" t="s">
        <v>521</v>
      </c>
      <c r="DB1" s="1" t="s">
        <v>522</v>
      </c>
      <c r="DC1" s="1" t="s">
        <v>523</v>
      </c>
      <c r="DD1" s="1" t="s">
        <v>524</v>
      </c>
      <c r="DE1" s="1" t="s">
        <v>525</v>
      </c>
      <c r="DF1" s="1" t="s">
        <v>526</v>
      </c>
      <c r="DG1" s="1" t="s">
        <v>527</v>
      </c>
      <c r="DH1" s="1" t="s">
        <v>528</v>
      </c>
      <c r="DI1" s="1" t="s">
        <v>529</v>
      </c>
      <c r="DJ1" s="1" t="s">
        <v>530</v>
      </c>
      <c r="DK1" s="1" t="s">
        <v>531</v>
      </c>
      <c r="DL1" s="1" t="s">
        <v>532</v>
      </c>
      <c r="DM1" s="1" t="s">
        <v>533</v>
      </c>
      <c r="DN1" s="1" t="s">
        <v>534</v>
      </c>
      <c r="DO1" s="1" t="s">
        <v>535</v>
      </c>
      <c r="DP1" s="1" t="s">
        <v>536</v>
      </c>
      <c r="DQ1" s="1" t="s">
        <v>537</v>
      </c>
      <c r="DR1" s="1" t="s">
        <v>538</v>
      </c>
      <c r="DS1" s="1" t="s">
        <v>539</v>
      </c>
      <c r="DT1" s="1" t="s">
        <v>540</v>
      </c>
      <c r="DU1" s="1" t="s">
        <v>541</v>
      </c>
      <c r="DV1" s="1" t="s">
        <v>542</v>
      </c>
      <c r="DW1" s="1" t="s">
        <v>543</v>
      </c>
      <c r="DX1" s="1" t="s">
        <v>544</v>
      </c>
      <c r="DY1" s="1" t="s">
        <v>545</v>
      </c>
      <c r="DZ1" s="1" t="s">
        <v>546</v>
      </c>
      <c r="EA1" s="1" t="s">
        <v>547</v>
      </c>
      <c r="EB1" s="1" t="s">
        <v>548</v>
      </c>
      <c r="EC1" s="1" t="s">
        <v>549</v>
      </c>
      <c r="ED1" s="1" t="s">
        <v>550</v>
      </c>
      <c r="EE1" s="1" t="s">
        <v>551</v>
      </c>
      <c r="EF1" s="1" t="s">
        <v>552</v>
      </c>
      <c r="EG1" s="1" t="s">
        <v>553</v>
      </c>
      <c r="EH1" s="1" t="s">
        <v>554</v>
      </c>
      <c r="EI1" s="1" t="s">
        <v>555</v>
      </c>
      <c r="EJ1" s="1" t="s">
        <v>556</v>
      </c>
      <c r="EK1" s="1" t="s">
        <v>557</v>
      </c>
      <c r="EL1" s="1" t="s">
        <v>558</v>
      </c>
      <c r="EM1" s="1" t="s">
        <v>559</v>
      </c>
      <c r="EN1" s="1" t="s">
        <v>560</v>
      </c>
      <c r="EO1" s="1" t="s">
        <v>561</v>
      </c>
      <c r="EP1" s="1" t="s">
        <v>562</v>
      </c>
      <c r="EQ1" s="1" t="s">
        <v>563</v>
      </c>
      <c r="ER1" s="1" t="s">
        <v>564</v>
      </c>
      <c r="ES1" s="1" t="s">
        <v>565</v>
      </c>
      <c r="ET1" s="1" t="s">
        <v>566</v>
      </c>
      <c r="EU1" s="1" t="s">
        <v>567</v>
      </c>
      <c r="EV1" s="1" t="s">
        <v>568</v>
      </c>
      <c r="EW1" s="1" t="s">
        <v>569</v>
      </c>
      <c r="EX1" s="1" t="s">
        <v>570</v>
      </c>
      <c r="EY1" s="1" t="s">
        <v>571</v>
      </c>
      <c r="EZ1" s="1" t="s">
        <v>572</v>
      </c>
      <c r="FA1" s="1" t="s">
        <v>573</v>
      </c>
      <c r="FB1" s="1" t="s">
        <v>574</v>
      </c>
      <c r="FC1" s="1" t="s">
        <v>575</v>
      </c>
      <c r="FD1" s="1" t="s">
        <v>576</v>
      </c>
      <c r="FE1" s="1" t="s">
        <v>577</v>
      </c>
      <c r="FF1" s="1" t="s">
        <v>578</v>
      </c>
      <c r="FG1" s="1" t="s">
        <v>579</v>
      </c>
    </row>
    <row r="2" spans="1:163" hidden="1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</row>
    <row r="3" spans="1:163" hidden="1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</row>
    <row r="4" spans="1:16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>
        <v>1</v>
      </c>
      <c r="H4">
        <v>4</v>
      </c>
      <c r="I4">
        <v>0</v>
      </c>
      <c r="J4">
        <v>1</v>
      </c>
      <c r="K4">
        <v>1</v>
      </c>
      <c r="L4">
        <v>1</v>
      </c>
      <c r="M4">
        <v>0</v>
      </c>
      <c r="N4">
        <v>2</v>
      </c>
      <c r="O4">
        <v>1</v>
      </c>
      <c r="P4">
        <v>3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2</v>
      </c>
      <c r="AG4">
        <v>0</v>
      </c>
      <c r="AH4">
        <v>2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2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3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3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1</v>
      </c>
    </row>
    <row r="5" spans="1:163" hidden="1">
      <c r="A5" t="s">
        <v>22</v>
      </c>
      <c r="B5" t="s">
        <v>22</v>
      </c>
      <c r="C5" t="s">
        <v>19</v>
      </c>
      <c r="D5" t="s">
        <v>20</v>
      </c>
      <c r="E5" t="s">
        <v>15</v>
      </c>
      <c r="F5" t="s">
        <v>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</row>
    <row r="6" spans="1:163" hidden="1">
      <c r="A6" t="s">
        <v>23</v>
      </c>
      <c r="B6" t="s">
        <v>23</v>
      </c>
      <c r="C6" t="s">
        <v>24</v>
      </c>
      <c r="D6" t="s">
        <v>25</v>
      </c>
      <c r="E6" t="s">
        <v>15</v>
      </c>
      <c r="F6" t="s">
        <v>26</v>
      </c>
      <c r="G6">
        <v>0</v>
      </c>
      <c r="H6">
        <v>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</row>
    <row r="7" spans="1:163" hidden="1">
      <c r="A7" t="s">
        <v>27</v>
      </c>
      <c r="B7" t="s">
        <v>27</v>
      </c>
      <c r="C7" t="s">
        <v>24</v>
      </c>
      <c r="D7" t="s">
        <v>25</v>
      </c>
      <c r="E7" t="s">
        <v>28</v>
      </c>
      <c r="F7" t="s">
        <v>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5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2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3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</row>
    <row r="8" spans="1:163" hidden="1">
      <c r="A8" t="s">
        <v>30</v>
      </c>
      <c r="B8" t="s">
        <v>30</v>
      </c>
      <c r="C8" t="s">
        <v>24</v>
      </c>
      <c r="D8" t="s">
        <v>25</v>
      </c>
      <c r="E8" t="s">
        <v>15</v>
      </c>
      <c r="F8" t="s">
        <v>26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0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</row>
    <row r="9" spans="1:163" hidden="1">
      <c r="A9" t="s">
        <v>31</v>
      </c>
      <c r="B9" t="s">
        <v>32</v>
      </c>
      <c r="C9" t="s">
        <v>24</v>
      </c>
      <c r="D9" t="s">
        <v>25</v>
      </c>
      <c r="E9" t="s">
        <v>15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2</v>
      </c>
      <c r="P9">
        <v>0</v>
      </c>
      <c r="Q9">
        <v>6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</v>
      </c>
      <c r="AO9">
        <v>1</v>
      </c>
      <c r="AP9">
        <v>0</v>
      </c>
      <c r="AQ9">
        <v>1</v>
      </c>
      <c r="AR9">
        <v>1</v>
      </c>
      <c r="AS9">
        <v>0</v>
      </c>
      <c r="AT9">
        <v>1</v>
      </c>
      <c r="AU9">
        <v>0</v>
      </c>
      <c r="AV9">
        <v>1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4</v>
      </c>
      <c r="BO9">
        <v>1</v>
      </c>
      <c r="BP9">
        <v>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3</v>
      </c>
      <c r="CL9">
        <v>4</v>
      </c>
      <c r="CM9">
        <v>0</v>
      </c>
      <c r="CN9">
        <v>1</v>
      </c>
      <c r="CO9">
        <v>2</v>
      </c>
      <c r="CP9">
        <v>0</v>
      </c>
      <c r="CQ9">
        <v>3</v>
      </c>
      <c r="CR9">
        <v>1</v>
      </c>
      <c r="CS9">
        <v>2</v>
      </c>
      <c r="CT9">
        <v>0</v>
      </c>
      <c r="CU9">
        <v>0</v>
      </c>
      <c r="CV9">
        <v>1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</row>
    <row r="10" spans="1:163">
      <c r="A10" t="s">
        <v>33</v>
      </c>
      <c r="B10" t="s">
        <v>33</v>
      </c>
      <c r="C10" t="s">
        <v>24</v>
      </c>
      <c r="D10" t="s">
        <v>25</v>
      </c>
      <c r="E10" t="s">
        <v>21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</row>
    <row r="11" spans="1:163" hidden="1">
      <c r="A11" t="s">
        <v>34</v>
      </c>
      <c r="B11" t="s">
        <v>34</v>
      </c>
      <c r="C11" t="s">
        <v>9</v>
      </c>
      <c r="D11" t="s">
        <v>10</v>
      </c>
      <c r="E11" t="s">
        <v>11</v>
      </c>
      <c r="F11" t="s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</row>
    <row r="12" spans="1:163" hidden="1">
      <c r="A12" t="s">
        <v>35</v>
      </c>
      <c r="B12" t="s">
        <v>35</v>
      </c>
      <c r="C12" t="s">
        <v>9</v>
      </c>
      <c r="D12" t="s">
        <v>10</v>
      </c>
      <c r="E12" t="s">
        <v>11</v>
      </c>
      <c r="F12" t="s">
        <v>12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</row>
    <row r="13" spans="1:163" hidden="1">
      <c r="A13" t="s">
        <v>36</v>
      </c>
      <c r="B13" t="s">
        <v>36</v>
      </c>
      <c r="C13" t="s">
        <v>9</v>
      </c>
      <c r="D13" t="s">
        <v>10</v>
      </c>
      <c r="E13" t="s">
        <v>11</v>
      </c>
      <c r="F13" t="s">
        <v>12</v>
      </c>
      <c r="G13">
        <v>0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</row>
    <row r="14" spans="1:163">
      <c r="A14" t="s">
        <v>37</v>
      </c>
      <c r="B14" t="s">
        <v>37</v>
      </c>
      <c r="C14" t="s">
        <v>19</v>
      </c>
      <c r="D14" t="s">
        <v>20</v>
      </c>
      <c r="E14" t="s">
        <v>21</v>
      </c>
      <c r="F14" t="s">
        <v>16</v>
      </c>
      <c r="G14">
        <v>1</v>
      </c>
      <c r="H14">
        <v>2</v>
      </c>
      <c r="I14">
        <v>1</v>
      </c>
      <c r="J14">
        <v>1</v>
      </c>
      <c r="K14">
        <v>5</v>
      </c>
      <c r="L14">
        <v>12</v>
      </c>
      <c r="M14">
        <v>3</v>
      </c>
      <c r="N14">
        <v>1</v>
      </c>
      <c r="O14">
        <v>2</v>
      </c>
      <c r="P14">
        <v>2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7</v>
      </c>
      <c r="X14">
        <v>1</v>
      </c>
      <c r="Y14">
        <v>2</v>
      </c>
      <c r="Z14">
        <v>0</v>
      </c>
      <c r="AA14">
        <v>4</v>
      </c>
      <c r="AB14">
        <v>0</v>
      </c>
      <c r="AC14">
        <v>3</v>
      </c>
      <c r="AD14">
        <v>4</v>
      </c>
      <c r="AE14">
        <v>4</v>
      </c>
      <c r="AF14">
        <v>0</v>
      </c>
      <c r="AG14">
        <v>1</v>
      </c>
      <c r="AH14">
        <v>3</v>
      </c>
      <c r="AI14">
        <v>1</v>
      </c>
      <c r="AJ14">
        <v>4</v>
      </c>
      <c r="AK14">
        <v>5</v>
      </c>
      <c r="AL14">
        <v>1</v>
      </c>
      <c r="AM14">
        <v>1</v>
      </c>
      <c r="AN14">
        <v>1</v>
      </c>
      <c r="AO14">
        <v>2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6</v>
      </c>
      <c r="AV14">
        <v>1</v>
      </c>
      <c r="AW14">
        <v>7</v>
      </c>
      <c r="AX14">
        <v>15</v>
      </c>
      <c r="AY14">
        <v>0</v>
      </c>
      <c r="AZ14">
        <v>0</v>
      </c>
      <c r="BA14">
        <v>4</v>
      </c>
      <c r="BB14">
        <v>1</v>
      </c>
      <c r="BC14">
        <v>6</v>
      </c>
      <c r="BD14">
        <v>9</v>
      </c>
      <c r="BE14">
        <v>0</v>
      </c>
      <c r="BF14">
        <v>6</v>
      </c>
      <c r="BG14">
        <v>1</v>
      </c>
      <c r="BH14">
        <v>0</v>
      </c>
      <c r="BI14">
        <v>1</v>
      </c>
      <c r="BJ14">
        <v>5</v>
      </c>
      <c r="BK14">
        <v>0</v>
      </c>
      <c r="BL14">
        <v>2</v>
      </c>
      <c r="BM14">
        <v>2</v>
      </c>
      <c r="BN14">
        <v>7</v>
      </c>
      <c r="BO14">
        <v>1</v>
      </c>
      <c r="BP14">
        <v>1</v>
      </c>
      <c r="BQ14">
        <v>4</v>
      </c>
      <c r="BR14">
        <v>1</v>
      </c>
      <c r="BS14">
        <v>1</v>
      </c>
      <c r="BT14">
        <v>4</v>
      </c>
      <c r="BU14">
        <v>0</v>
      </c>
      <c r="BV14">
        <v>0</v>
      </c>
      <c r="BW14">
        <v>0</v>
      </c>
      <c r="BX14">
        <v>7</v>
      </c>
      <c r="BY14">
        <v>2</v>
      </c>
      <c r="BZ14">
        <v>3</v>
      </c>
      <c r="CA14">
        <v>3</v>
      </c>
      <c r="CB14">
        <v>2</v>
      </c>
      <c r="CC14">
        <v>3</v>
      </c>
      <c r="CD14">
        <v>7</v>
      </c>
      <c r="CE14">
        <v>7</v>
      </c>
      <c r="CF14">
        <v>3</v>
      </c>
      <c r="CG14">
        <v>0</v>
      </c>
      <c r="CH14">
        <v>3</v>
      </c>
      <c r="CI14">
        <v>0</v>
      </c>
      <c r="CJ14">
        <v>0</v>
      </c>
      <c r="CK14">
        <v>3</v>
      </c>
      <c r="CL14">
        <v>13</v>
      </c>
      <c r="CM14">
        <v>0</v>
      </c>
      <c r="CN14">
        <v>0</v>
      </c>
      <c r="CO14">
        <v>0</v>
      </c>
      <c r="CP14">
        <v>0</v>
      </c>
      <c r="CQ14">
        <v>12</v>
      </c>
      <c r="CR14">
        <v>1</v>
      </c>
      <c r="CS14">
        <v>2</v>
      </c>
      <c r="CT14">
        <v>1</v>
      </c>
      <c r="CU14">
        <v>1</v>
      </c>
      <c r="CV14">
        <v>4</v>
      </c>
      <c r="CW14">
        <v>1</v>
      </c>
      <c r="CX14">
        <v>2</v>
      </c>
      <c r="CY14">
        <v>2</v>
      </c>
      <c r="CZ14">
        <v>12</v>
      </c>
      <c r="DA14">
        <v>1</v>
      </c>
      <c r="DB14">
        <v>3</v>
      </c>
      <c r="DC14">
        <v>8</v>
      </c>
      <c r="DD14">
        <v>3</v>
      </c>
      <c r="DE14">
        <v>1</v>
      </c>
      <c r="DF14">
        <v>4</v>
      </c>
      <c r="DG14">
        <v>4</v>
      </c>
      <c r="DH14">
        <v>2</v>
      </c>
      <c r="DI14">
        <v>0</v>
      </c>
      <c r="DJ14">
        <v>2</v>
      </c>
      <c r="DK14">
        <v>5</v>
      </c>
      <c r="DL14">
        <v>3</v>
      </c>
      <c r="DM14">
        <v>1</v>
      </c>
      <c r="DN14">
        <v>0</v>
      </c>
      <c r="DO14">
        <v>3</v>
      </c>
      <c r="DP14">
        <v>5</v>
      </c>
      <c r="DQ14">
        <v>3</v>
      </c>
      <c r="DR14">
        <v>6</v>
      </c>
      <c r="DS14">
        <v>1</v>
      </c>
      <c r="DT14">
        <v>0</v>
      </c>
      <c r="DU14">
        <v>5</v>
      </c>
      <c r="DV14">
        <v>0</v>
      </c>
      <c r="DW14">
        <v>11</v>
      </c>
      <c r="DX14">
        <v>5</v>
      </c>
      <c r="DY14">
        <v>8</v>
      </c>
      <c r="DZ14">
        <v>1</v>
      </c>
      <c r="EA14">
        <v>2</v>
      </c>
      <c r="EB14">
        <v>3</v>
      </c>
      <c r="EC14">
        <v>5</v>
      </c>
      <c r="ED14">
        <v>1</v>
      </c>
      <c r="EE14">
        <v>1</v>
      </c>
      <c r="EF14">
        <v>0</v>
      </c>
      <c r="EG14">
        <v>1</v>
      </c>
      <c r="EH14">
        <v>1</v>
      </c>
      <c r="EI14">
        <v>4</v>
      </c>
      <c r="EJ14">
        <v>1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2</v>
      </c>
      <c r="EQ14">
        <v>4</v>
      </c>
      <c r="ER14">
        <v>2</v>
      </c>
      <c r="ES14">
        <v>1</v>
      </c>
      <c r="ET14">
        <v>0</v>
      </c>
      <c r="EU14">
        <v>1</v>
      </c>
      <c r="EV14">
        <v>0</v>
      </c>
      <c r="EW14">
        <v>0</v>
      </c>
      <c r="EX14">
        <v>12</v>
      </c>
      <c r="EY14">
        <v>1</v>
      </c>
      <c r="EZ14">
        <v>1</v>
      </c>
      <c r="FA14">
        <v>1</v>
      </c>
      <c r="FB14">
        <v>3</v>
      </c>
      <c r="FC14">
        <v>10</v>
      </c>
      <c r="FD14">
        <v>6</v>
      </c>
      <c r="FE14">
        <v>2</v>
      </c>
      <c r="FF14">
        <v>13</v>
      </c>
      <c r="FG14">
        <v>24</v>
      </c>
    </row>
    <row r="15" spans="1:163" hidden="1">
      <c r="A15" t="s">
        <v>38</v>
      </c>
      <c r="B15" t="s">
        <v>38</v>
      </c>
      <c r="C15" t="s">
        <v>24</v>
      </c>
      <c r="D15" t="s">
        <v>25</v>
      </c>
      <c r="E15" t="s">
        <v>15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</row>
    <row r="16" spans="1:163" hidden="1">
      <c r="A16" t="s">
        <v>39</v>
      </c>
      <c r="B16" t="s">
        <v>39</v>
      </c>
      <c r="C16" t="s">
        <v>40</v>
      </c>
      <c r="D16" t="s">
        <v>41</v>
      </c>
      <c r="E16" t="s">
        <v>42</v>
      </c>
      <c r="F16" t="s">
        <v>42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11</v>
      </c>
      <c r="BG16">
        <v>6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2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0</v>
      </c>
      <c r="CV16">
        <v>4</v>
      </c>
      <c r="CW16">
        <v>0</v>
      </c>
      <c r="CX16">
        <v>0</v>
      </c>
      <c r="CY16">
        <v>1</v>
      </c>
      <c r="CZ16">
        <v>7</v>
      </c>
      <c r="DA16">
        <v>1</v>
      </c>
      <c r="DB16">
        <v>0</v>
      </c>
      <c r="DC16">
        <v>2</v>
      </c>
      <c r="DD16">
        <v>6</v>
      </c>
      <c r="DE16">
        <v>3</v>
      </c>
      <c r="DF16">
        <v>8</v>
      </c>
      <c r="DG16">
        <v>1</v>
      </c>
      <c r="DH16">
        <v>2</v>
      </c>
      <c r="DI16">
        <v>0</v>
      </c>
      <c r="DJ16">
        <v>18</v>
      </c>
      <c r="DK16">
        <v>18</v>
      </c>
      <c r="DL16">
        <v>9</v>
      </c>
      <c r="DM16">
        <v>13</v>
      </c>
      <c r="DN16">
        <v>3</v>
      </c>
      <c r="DO16">
        <v>48</v>
      </c>
      <c r="DP16">
        <v>67</v>
      </c>
      <c r="DQ16">
        <v>162</v>
      </c>
      <c r="DR16">
        <v>48</v>
      </c>
      <c r="DS16">
        <v>13</v>
      </c>
      <c r="DT16">
        <v>23</v>
      </c>
      <c r="DU16">
        <v>65</v>
      </c>
      <c r="DV16">
        <v>1</v>
      </c>
      <c r="DW16">
        <v>33</v>
      </c>
      <c r="DX16">
        <v>0</v>
      </c>
      <c r="DY16">
        <v>5</v>
      </c>
      <c r="DZ16">
        <v>22</v>
      </c>
      <c r="EA16">
        <v>14</v>
      </c>
      <c r="EB16">
        <v>16</v>
      </c>
      <c r="EC16">
        <v>1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1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</row>
    <row r="17" spans="1:163" hidden="1">
      <c r="A17" t="s">
        <v>43</v>
      </c>
      <c r="B17" t="s">
        <v>43</v>
      </c>
      <c r="C17" t="s">
        <v>44</v>
      </c>
      <c r="D17" t="s">
        <v>45</v>
      </c>
      <c r="E17" t="s">
        <v>46</v>
      </c>
      <c r="F17" t="s">
        <v>16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3</v>
      </c>
      <c r="N17">
        <v>1</v>
      </c>
      <c r="O17">
        <v>0</v>
      </c>
      <c r="P17">
        <v>0</v>
      </c>
      <c r="Q17">
        <v>2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2</v>
      </c>
      <c r="AB17">
        <v>0</v>
      </c>
      <c r="AC17">
        <v>14</v>
      </c>
      <c r="AD17">
        <v>1</v>
      </c>
      <c r="AE17">
        <v>0</v>
      </c>
      <c r="AF17">
        <v>2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1</v>
      </c>
      <c r="DM17">
        <v>1</v>
      </c>
      <c r="DN17">
        <v>0</v>
      </c>
      <c r="DO17">
        <v>0</v>
      </c>
      <c r="DP17">
        <v>1</v>
      </c>
      <c r="DQ17">
        <v>6</v>
      </c>
      <c r="DR17">
        <v>2</v>
      </c>
      <c r="DS17">
        <v>0</v>
      </c>
      <c r="DT17">
        <v>0</v>
      </c>
      <c r="DU17">
        <v>2</v>
      </c>
      <c r="DV17">
        <v>0</v>
      </c>
      <c r="DW17">
        <v>1</v>
      </c>
      <c r="DX17">
        <v>0</v>
      </c>
      <c r="DY17">
        <v>1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1</v>
      </c>
      <c r="EI17">
        <v>0</v>
      </c>
      <c r="EJ17">
        <v>1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2</v>
      </c>
      <c r="EU17">
        <v>0</v>
      </c>
      <c r="EV17">
        <v>1</v>
      </c>
      <c r="EW17">
        <v>9</v>
      </c>
      <c r="EX17">
        <v>2</v>
      </c>
      <c r="EY17">
        <v>0</v>
      </c>
      <c r="EZ17">
        <v>4</v>
      </c>
      <c r="FA17">
        <v>2</v>
      </c>
      <c r="FB17">
        <v>0</v>
      </c>
      <c r="FC17">
        <v>0</v>
      </c>
      <c r="FD17">
        <v>0</v>
      </c>
      <c r="FE17">
        <v>1</v>
      </c>
      <c r="FF17">
        <v>2</v>
      </c>
      <c r="FG17">
        <v>0</v>
      </c>
    </row>
    <row r="18" spans="1:163" hidden="1">
      <c r="A18" t="s">
        <v>47</v>
      </c>
      <c r="B18" t="s">
        <v>48</v>
      </c>
      <c r="C18" t="s">
        <v>24</v>
      </c>
      <c r="D18" t="s">
        <v>25</v>
      </c>
      <c r="E18" t="s">
        <v>15</v>
      </c>
      <c r="F18" t="s">
        <v>29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</row>
    <row r="19" spans="1:163" hidden="1">
      <c r="A19" t="s">
        <v>49</v>
      </c>
      <c r="B19" t="s">
        <v>50</v>
      </c>
      <c r="C19" t="s">
        <v>24</v>
      </c>
      <c r="D19" t="s">
        <v>25</v>
      </c>
      <c r="E19" t="s">
        <v>15</v>
      </c>
      <c r="F19" t="s">
        <v>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0</v>
      </c>
      <c r="AC19">
        <v>1</v>
      </c>
      <c r="AD19">
        <v>4</v>
      </c>
      <c r="AE19">
        <v>1</v>
      </c>
      <c r="AF19">
        <v>0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</row>
    <row r="20" spans="1:163">
      <c r="A20" t="s">
        <v>51</v>
      </c>
      <c r="B20" t="s">
        <v>51</v>
      </c>
      <c r="C20" t="s">
        <v>9</v>
      </c>
      <c r="D20" t="s">
        <v>52</v>
      </c>
      <c r="E20" t="s">
        <v>21</v>
      </c>
      <c r="F20" t="s">
        <v>16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23</v>
      </c>
      <c r="BA20">
        <v>7</v>
      </c>
      <c r="BB20">
        <v>3</v>
      </c>
      <c r="BC20">
        <v>1</v>
      </c>
      <c r="BD20">
        <v>6</v>
      </c>
      <c r="BE20">
        <v>15</v>
      </c>
      <c r="BF20">
        <v>6</v>
      </c>
      <c r="BG20">
        <v>7</v>
      </c>
      <c r="BH20">
        <v>34</v>
      </c>
      <c r="BI20">
        <v>17</v>
      </c>
      <c r="BJ20">
        <v>1</v>
      </c>
      <c r="BK20">
        <v>2</v>
      </c>
      <c r="BL20">
        <v>5</v>
      </c>
      <c r="BM20">
        <v>1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0</v>
      </c>
      <c r="CJ20">
        <v>0</v>
      </c>
      <c r="CK20">
        <v>0</v>
      </c>
      <c r="CL20">
        <v>67</v>
      </c>
      <c r="CM20">
        <v>2</v>
      </c>
      <c r="CN20">
        <v>0</v>
      </c>
      <c r="CO20">
        <v>3</v>
      </c>
      <c r="CP20">
        <v>94</v>
      </c>
      <c r="CQ20">
        <v>0</v>
      </c>
      <c r="CR20">
        <v>0</v>
      </c>
      <c r="CS20">
        <v>6</v>
      </c>
      <c r="CT20">
        <v>31</v>
      </c>
      <c r="CU20">
        <v>0</v>
      </c>
      <c r="CV20">
        <v>2</v>
      </c>
      <c r="CW20">
        <v>0</v>
      </c>
      <c r="CX20">
        <v>35</v>
      </c>
      <c r="CY20">
        <v>16</v>
      </c>
      <c r="CZ20">
        <v>368</v>
      </c>
      <c r="DA20">
        <v>11</v>
      </c>
      <c r="DB20">
        <v>6</v>
      </c>
      <c r="DC20">
        <v>4</v>
      </c>
      <c r="DD20">
        <v>0</v>
      </c>
      <c r="DE20">
        <v>0</v>
      </c>
      <c r="DF20">
        <v>16</v>
      </c>
      <c r="DG20">
        <v>0</v>
      </c>
      <c r="DH20">
        <v>0</v>
      </c>
      <c r="DI20">
        <v>0</v>
      </c>
      <c r="DJ20">
        <v>439</v>
      </c>
      <c r="DK20">
        <v>58</v>
      </c>
      <c r="DL20">
        <v>154</v>
      </c>
      <c r="DM20">
        <v>112</v>
      </c>
      <c r="DN20">
        <v>19</v>
      </c>
      <c r="DO20">
        <v>127</v>
      </c>
      <c r="DP20">
        <v>67</v>
      </c>
      <c r="DQ20">
        <v>358</v>
      </c>
      <c r="DR20">
        <v>27</v>
      </c>
      <c r="DS20">
        <v>16</v>
      </c>
      <c r="DT20">
        <v>16</v>
      </c>
      <c r="DU20">
        <v>12</v>
      </c>
      <c r="DV20">
        <v>1</v>
      </c>
      <c r="DW20">
        <v>82</v>
      </c>
      <c r="DX20">
        <v>0</v>
      </c>
      <c r="DY20">
        <v>1</v>
      </c>
      <c r="DZ20">
        <v>0</v>
      </c>
      <c r="EA20">
        <v>0</v>
      </c>
      <c r="EB20">
        <v>4</v>
      </c>
      <c r="EC20">
        <v>4</v>
      </c>
      <c r="ED20">
        <v>5</v>
      </c>
      <c r="EE20">
        <v>7</v>
      </c>
      <c r="EF20">
        <v>0</v>
      </c>
      <c r="EG20">
        <v>5</v>
      </c>
      <c r="EH20">
        <v>15</v>
      </c>
      <c r="EI20">
        <v>36</v>
      </c>
      <c r="EJ20">
        <v>6</v>
      </c>
      <c r="EK20">
        <v>0</v>
      </c>
      <c r="EL20">
        <v>0</v>
      </c>
      <c r="EM20">
        <v>0</v>
      </c>
      <c r="EN20">
        <v>1</v>
      </c>
      <c r="EO20">
        <v>1</v>
      </c>
      <c r="EP20">
        <v>2</v>
      </c>
      <c r="EQ20">
        <v>6</v>
      </c>
      <c r="ER20">
        <v>14</v>
      </c>
      <c r="ES20">
        <v>11</v>
      </c>
      <c r="ET20">
        <v>1</v>
      </c>
      <c r="EU20">
        <v>16</v>
      </c>
      <c r="EV20">
        <v>32</v>
      </c>
      <c r="EW20">
        <v>0</v>
      </c>
      <c r="EX20">
        <v>5</v>
      </c>
      <c r="EY20">
        <v>3</v>
      </c>
      <c r="EZ20">
        <v>1</v>
      </c>
      <c r="FA20">
        <v>11</v>
      </c>
      <c r="FB20">
        <v>16</v>
      </c>
      <c r="FC20">
        <v>44</v>
      </c>
      <c r="FD20">
        <v>1</v>
      </c>
      <c r="FE20">
        <v>11</v>
      </c>
      <c r="FF20">
        <v>0</v>
      </c>
      <c r="FG20">
        <v>117</v>
      </c>
    </row>
    <row r="21" spans="1:163">
      <c r="A21" t="s">
        <v>53</v>
      </c>
      <c r="B21" t="s">
        <v>53</v>
      </c>
      <c r="C21" t="s">
        <v>9</v>
      </c>
      <c r="D21" t="s">
        <v>52</v>
      </c>
      <c r="E21" t="s">
        <v>21</v>
      </c>
      <c r="F21" t="s">
        <v>16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25</v>
      </c>
      <c r="BA21">
        <v>1</v>
      </c>
      <c r="BB21">
        <v>1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5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1</v>
      </c>
      <c r="CI21">
        <v>21</v>
      </c>
      <c r="CJ21">
        <v>0</v>
      </c>
      <c r="CK21">
        <v>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42</v>
      </c>
      <c r="CR21">
        <v>0</v>
      </c>
      <c r="CS21">
        <v>16</v>
      </c>
      <c r="CT21">
        <v>0</v>
      </c>
      <c r="CU21">
        <v>0</v>
      </c>
      <c r="CV21">
        <v>0</v>
      </c>
      <c r="CW21">
        <v>0</v>
      </c>
      <c r="CX21">
        <v>14</v>
      </c>
      <c r="CY21">
        <v>1</v>
      </c>
      <c r="CZ21">
        <v>3</v>
      </c>
      <c r="DA21">
        <v>0</v>
      </c>
      <c r="DB21">
        <v>31</v>
      </c>
      <c r="DC21">
        <v>0</v>
      </c>
      <c r="DD21">
        <v>0</v>
      </c>
      <c r="DE21">
        <v>8</v>
      </c>
      <c r="DF21">
        <v>0</v>
      </c>
      <c r="DG21">
        <v>0</v>
      </c>
      <c r="DH21">
        <v>0</v>
      </c>
      <c r="DI21">
        <v>0</v>
      </c>
      <c r="DJ21">
        <v>4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14</v>
      </c>
      <c r="DQ21">
        <v>12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43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</row>
    <row r="22" spans="1:163">
      <c r="A22" t="s">
        <v>54</v>
      </c>
      <c r="B22" t="s">
        <v>55</v>
      </c>
      <c r="C22" t="s">
        <v>9</v>
      </c>
      <c r="D22" t="s">
        <v>52</v>
      </c>
      <c r="E22" t="s">
        <v>21</v>
      </c>
      <c r="F22" t="s">
        <v>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31</v>
      </c>
      <c r="AY22">
        <v>36</v>
      </c>
      <c r="AZ22">
        <v>4</v>
      </c>
      <c r="BA22">
        <v>0</v>
      </c>
      <c r="BB22">
        <v>1</v>
      </c>
      <c r="BC22">
        <v>7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9</v>
      </c>
      <c r="CJ22">
        <v>0</v>
      </c>
      <c r="CK22">
        <v>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7</v>
      </c>
      <c r="CR22">
        <v>0</v>
      </c>
      <c r="CS22">
        <v>25</v>
      </c>
      <c r="CT22">
        <v>0</v>
      </c>
      <c r="CU22">
        <v>22</v>
      </c>
      <c r="CV22">
        <v>0</v>
      </c>
      <c r="CW22">
        <v>38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17</v>
      </c>
      <c r="DE22">
        <v>2</v>
      </c>
      <c r="DF22">
        <v>0</v>
      </c>
      <c r="DG22">
        <v>411</v>
      </c>
      <c r="DH22">
        <v>37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56</v>
      </c>
      <c r="DQ22">
        <v>23</v>
      </c>
      <c r="DR22">
        <v>2</v>
      </c>
      <c r="DS22">
        <v>0</v>
      </c>
      <c r="DT22">
        <v>0</v>
      </c>
      <c r="DU22">
        <v>5</v>
      </c>
      <c r="DV22">
        <v>0</v>
      </c>
      <c r="DW22">
        <v>81</v>
      </c>
      <c r="DX22">
        <v>0</v>
      </c>
      <c r="DY22">
        <v>4</v>
      </c>
      <c r="DZ22">
        <v>0</v>
      </c>
      <c r="EA22">
        <v>0</v>
      </c>
      <c r="EB22">
        <v>48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</row>
    <row r="23" spans="1:163">
      <c r="A23" t="s">
        <v>56</v>
      </c>
      <c r="B23" t="s">
        <v>56</v>
      </c>
      <c r="C23" t="s">
        <v>40</v>
      </c>
      <c r="D23" t="s">
        <v>41</v>
      </c>
      <c r="E23" t="s">
        <v>21</v>
      </c>
      <c r="F23" t="s">
        <v>16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5</v>
      </c>
      <c r="CQ23">
        <v>2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9</v>
      </c>
      <c r="CY23">
        <v>0</v>
      </c>
      <c r="CZ23">
        <v>2</v>
      </c>
      <c r="DA23">
        <v>0</v>
      </c>
      <c r="DB23">
        <v>1</v>
      </c>
      <c r="DC23">
        <v>2</v>
      </c>
      <c r="DD23">
        <v>2</v>
      </c>
      <c r="DE23">
        <v>2</v>
      </c>
      <c r="DF23">
        <v>1</v>
      </c>
      <c r="DG23">
        <v>3</v>
      </c>
      <c r="DH23">
        <v>0</v>
      </c>
      <c r="DI23">
        <v>1</v>
      </c>
      <c r="DJ23">
        <v>14</v>
      </c>
      <c r="DK23">
        <v>6</v>
      </c>
      <c r="DL23">
        <v>6</v>
      </c>
      <c r="DM23">
        <v>8</v>
      </c>
      <c r="DN23">
        <v>2</v>
      </c>
      <c r="DO23">
        <v>8</v>
      </c>
      <c r="DP23">
        <v>6</v>
      </c>
      <c r="DQ23">
        <v>17</v>
      </c>
      <c r="DR23">
        <v>5</v>
      </c>
      <c r="DS23">
        <v>4</v>
      </c>
      <c r="DT23">
        <v>0</v>
      </c>
      <c r="DU23">
        <v>0</v>
      </c>
      <c r="DV23">
        <v>1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2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</row>
    <row r="24" spans="1:163" hidden="1">
      <c r="A24" t="s">
        <v>57</v>
      </c>
      <c r="B24" t="s">
        <v>57</v>
      </c>
      <c r="C24" t="s">
        <v>19</v>
      </c>
      <c r="D24" t="s">
        <v>20</v>
      </c>
      <c r="E24" t="s">
        <v>11</v>
      </c>
      <c r="F24" t="s">
        <v>16</v>
      </c>
      <c r="G24">
        <v>1</v>
      </c>
      <c r="H24">
        <v>4</v>
      </c>
      <c r="I24">
        <v>2</v>
      </c>
      <c r="J24">
        <v>0</v>
      </c>
      <c r="K24">
        <v>0</v>
      </c>
      <c r="L24">
        <v>0</v>
      </c>
      <c r="M24">
        <v>1</v>
      </c>
      <c r="N24">
        <v>0</v>
      </c>
      <c r="O24">
        <v>2</v>
      </c>
      <c r="P24">
        <v>1</v>
      </c>
      <c r="Q24">
        <v>3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2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3</v>
      </c>
      <c r="AV24">
        <v>0</v>
      </c>
      <c r="AW24">
        <v>2</v>
      </c>
      <c r="AX24">
        <v>1</v>
      </c>
      <c r="AY24">
        <v>4</v>
      </c>
      <c r="AZ24">
        <v>0</v>
      </c>
      <c r="BA24">
        <v>0</v>
      </c>
      <c r="BB24">
        <v>0</v>
      </c>
      <c r="BC24">
        <v>0</v>
      </c>
      <c r="BD24">
        <v>4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0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2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4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2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1</v>
      </c>
      <c r="EY24">
        <v>0</v>
      </c>
      <c r="EZ24">
        <v>1</v>
      </c>
      <c r="FA24">
        <v>1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2</v>
      </c>
    </row>
    <row r="25" spans="1:163" hidden="1">
      <c r="A25" t="s">
        <v>58</v>
      </c>
      <c r="B25" t="s">
        <v>58</v>
      </c>
      <c r="C25" t="s">
        <v>19</v>
      </c>
      <c r="D25" t="s">
        <v>20</v>
      </c>
      <c r="E25" t="s">
        <v>11</v>
      </c>
      <c r="F25" t="s">
        <v>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3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</row>
    <row r="26" spans="1:163" hidden="1">
      <c r="A26" t="s">
        <v>59</v>
      </c>
      <c r="B26" t="s">
        <v>59</v>
      </c>
      <c r="C26" t="s">
        <v>9</v>
      </c>
      <c r="D26" t="s">
        <v>10</v>
      </c>
      <c r="E26" t="s">
        <v>42</v>
      </c>
      <c r="F26" t="s">
        <v>42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</row>
    <row r="27" spans="1:163" hidden="1">
      <c r="A27" t="s">
        <v>60</v>
      </c>
      <c r="B27" t="s">
        <v>61</v>
      </c>
      <c r="C27" t="s">
        <v>24</v>
      </c>
      <c r="D27" t="s">
        <v>25</v>
      </c>
      <c r="E27" t="s">
        <v>15</v>
      </c>
      <c r="F27" t="s">
        <v>26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</row>
    <row r="28" spans="1:163" hidden="1">
      <c r="A28" t="s">
        <v>62</v>
      </c>
      <c r="B28" t="s">
        <v>63</v>
      </c>
      <c r="C28" t="s">
        <v>24</v>
      </c>
      <c r="D28" t="s">
        <v>25</v>
      </c>
      <c r="E28" t="s">
        <v>28</v>
      </c>
      <c r="F28" t="s">
        <v>29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</row>
    <row r="29" spans="1:163">
      <c r="A29" t="s">
        <v>64</v>
      </c>
      <c r="B29" t="s">
        <v>65</v>
      </c>
      <c r="C29" t="s">
        <v>65</v>
      </c>
      <c r="E29" t="s">
        <v>21</v>
      </c>
      <c r="F29" t="s">
        <v>16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1</v>
      </c>
      <c r="CR29">
        <v>0</v>
      </c>
      <c r="CS29">
        <v>1</v>
      </c>
      <c r="CT29">
        <v>1</v>
      </c>
      <c r="CU29">
        <v>0</v>
      </c>
      <c r="CV29">
        <v>1</v>
      </c>
      <c r="CW29">
        <v>0</v>
      </c>
      <c r="CX29">
        <v>1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1</v>
      </c>
      <c r="DN29">
        <v>1</v>
      </c>
      <c r="DO29">
        <v>0</v>
      </c>
      <c r="DP29">
        <v>1</v>
      </c>
      <c r="DQ29">
        <v>1</v>
      </c>
      <c r="DR29">
        <v>1</v>
      </c>
      <c r="DS29">
        <v>1</v>
      </c>
      <c r="DT29">
        <v>0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</row>
    <row r="30" spans="1:163" hidden="1">
      <c r="A30" t="s">
        <v>66</v>
      </c>
      <c r="B30" t="s">
        <v>66</v>
      </c>
      <c r="C30" t="s">
        <v>19</v>
      </c>
      <c r="D30" t="s">
        <v>20</v>
      </c>
      <c r="E30" t="s">
        <v>15</v>
      </c>
      <c r="F30" t="s">
        <v>16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</row>
    <row r="31" spans="1:163" hidden="1">
      <c r="A31" t="s">
        <v>67</v>
      </c>
      <c r="B31" t="s">
        <v>68</v>
      </c>
      <c r="C31" t="s">
        <v>19</v>
      </c>
      <c r="D31" t="s">
        <v>20</v>
      </c>
      <c r="E31" t="s">
        <v>15</v>
      </c>
      <c r="F31" t="s">
        <v>16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2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</row>
    <row r="32" spans="1:163" hidden="1">
      <c r="A32" t="s">
        <v>69</v>
      </c>
      <c r="B32" t="s">
        <v>69</v>
      </c>
      <c r="C32" t="s">
        <v>19</v>
      </c>
      <c r="D32" t="s">
        <v>20</v>
      </c>
      <c r="E32" t="s">
        <v>15</v>
      </c>
      <c r="F32" t="s">
        <v>16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</v>
      </c>
      <c r="AI32">
        <v>0</v>
      </c>
      <c r="AJ32">
        <v>3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2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1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5</v>
      </c>
    </row>
    <row r="33" spans="1:163" hidden="1">
      <c r="A33" t="s">
        <v>70</v>
      </c>
      <c r="B33" t="s">
        <v>71</v>
      </c>
      <c r="C33" t="s">
        <v>19</v>
      </c>
      <c r="D33" t="s">
        <v>20</v>
      </c>
      <c r="E33" t="s">
        <v>46</v>
      </c>
      <c r="F33" t="s">
        <v>16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2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</row>
    <row r="34" spans="1:163" hidden="1">
      <c r="A34" t="s">
        <v>72</v>
      </c>
      <c r="B34" t="s">
        <v>72</v>
      </c>
      <c r="C34" t="s">
        <v>19</v>
      </c>
      <c r="D34" t="s">
        <v>20</v>
      </c>
      <c r="E34" t="s">
        <v>15</v>
      </c>
      <c r="F34" t="s">
        <v>16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</row>
    <row r="35" spans="1:163" hidden="1">
      <c r="A35" t="s">
        <v>73</v>
      </c>
      <c r="B35" t="s">
        <v>73</v>
      </c>
      <c r="C35" t="s">
        <v>19</v>
      </c>
      <c r="D35" t="s">
        <v>20</v>
      </c>
      <c r="E35" t="s">
        <v>15</v>
      </c>
      <c r="F35" t="s">
        <v>16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</row>
    <row r="36" spans="1:163" hidden="1">
      <c r="A36" t="s">
        <v>74</v>
      </c>
      <c r="B36" t="s">
        <v>74</v>
      </c>
      <c r="C36" t="s">
        <v>24</v>
      </c>
      <c r="D36" t="s">
        <v>25</v>
      </c>
      <c r="E36" t="s">
        <v>15</v>
      </c>
      <c r="F36" t="s">
        <v>26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</row>
    <row r="37" spans="1:163" hidden="1">
      <c r="A37" t="s">
        <v>75</v>
      </c>
      <c r="B37" t="s">
        <v>75</v>
      </c>
      <c r="C37" t="s">
        <v>9</v>
      </c>
      <c r="D37" t="s">
        <v>10</v>
      </c>
      <c r="E37" t="s">
        <v>46</v>
      </c>
      <c r="F37" t="s">
        <v>16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3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</row>
    <row r="38" spans="1:163" hidden="1">
      <c r="A38" t="s">
        <v>76</v>
      </c>
      <c r="B38" t="s">
        <v>77</v>
      </c>
      <c r="C38" t="s">
        <v>24</v>
      </c>
      <c r="D38" t="s">
        <v>25</v>
      </c>
      <c r="E38" t="s">
        <v>46</v>
      </c>
      <c r="F38" t="s">
        <v>16</v>
      </c>
      <c r="G38">
        <v>0</v>
      </c>
      <c r="H38">
        <v>0</v>
      </c>
      <c r="I38">
        <v>4</v>
      </c>
      <c r="J38">
        <v>7</v>
      </c>
      <c r="K38">
        <v>0</v>
      </c>
      <c r="L38">
        <v>0</v>
      </c>
      <c r="M38">
        <v>1</v>
      </c>
      <c r="N38">
        <v>5</v>
      </c>
      <c r="O38">
        <v>1</v>
      </c>
      <c r="P38">
        <v>6</v>
      </c>
      <c r="Q38">
        <v>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2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2</v>
      </c>
      <c r="BQ38">
        <v>0</v>
      </c>
      <c r="BR38">
        <v>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4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</row>
    <row r="39" spans="1:163" hidden="1">
      <c r="A39" t="s">
        <v>78</v>
      </c>
      <c r="B39" t="s">
        <v>79</v>
      </c>
      <c r="C39" t="s">
        <v>80</v>
      </c>
      <c r="D39" t="s">
        <v>81</v>
      </c>
      <c r="E39" t="s">
        <v>42</v>
      </c>
      <c r="F39" t="s">
        <v>42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</row>
    <row r="40" spans="1:163" hidden="1">
      <c r="A40" t="s">
        <v>82</v>
      </c>
      <c r="B40" t="s">
        <v>83</v>
      </c>
      <c r="C40" t="s">
        <v>84</v>
      </c>
      <c r="D40" t="s">
        <v>85</v>
      </c>
      <c r="E40" t="s">
        <v>86</v>
      </c>
      <c r="F40" t="s">
        <v>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</row>
    <row r="41" spans="1:163" hidden="1">
      <c r="A41" t="s">
        <v>87</v>
      </c>
      <c r="B41" t="s">
        <v>87</v>
      </c>
      <c r="C41" t="s">
        <v>24</v>
      </c>
      <c r="D41" t="s">
        <v>25</v>
      </c>
      <c r="E41" t="s">
        <v>15</v>
      </c>
      <c r="F41" t="s">
        <v>26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4</v>
      </c>
      <c r="O41">
        <v>2</v>
      </c>
      <c r="P41">
        <v>2</v>
      </c>
      <c r="Q41">
        <v>3</v>
      </c>
      <c r="R41">
        <v>1</v>
      </c>
      <c r="S41">
        <v>0</v>
      </c>
      <c r="T41">
        <v>0</v>
      </c>
      <c r="U41">
        <v>35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</row>
    <row r="42" spans="1:163" hidden="1">
      <c r="A42" t="s">
        <v>88</v>
      </c>
      <c r="B42" t="s">
        <v>88</v>
      </c>
      <c r="C42" t="s">
        <v>40</v>
      </c>
      <c r="D42" t="s">
        <v>41</v>
      </c>
      <c r="E42" t="s">
        <v>42</v>
      </c>
      <c r="F42" t="s">
        <v>42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</row>
    <row r="43" spans="1:163" hidden="1">
      <c r="A43" t="s">
        <v>89</v>
      </c>
      <c r="B43" t="s">
        <v>89</v>
      </c>
      <c r="C43" t="s">
        <v>44</v>
      </c>
      <c r="D43" t="s">
        <v>90</v>
      </c>
      <c r="E43" t="s">
        <v>15</v>
      </c>
      <c r="F43" t="s">
        <v>26</v>
      </c>
      <c r="G43">
        <v>0</v>
      </c>
      <c r="H43">
        <v>5</v>
      </c>
      <c r="I43">
        <v>0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</row>
    <row r="44" spans="1:163" hidden="1">
      <c r="A44" t="s">
        <v>91</v>
      </c>
      <c r="B44" t="s">
        <v>91</v>
      </c>
      <c r="C44" t="s">
        <v>9</v>
      </c>
      <c r="D44" t="s">
        <v>92</v>
      </c>
      <c r="E44" t="s">
        <v>42</v>
      </c>
      <c r="F44" t="s">
        <v>42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</row>
    <row r="45" spans="1:163">
      <c r="A45" t="s">
        <v>93</v>
      </c>
      <c r="B45" t="s">
        <v>94</v>
      </c>
      <c r="C45" t="s">
        <v>24</v>
      </c>
      <c r="D45" t="s">
        <v>25</v>
      </c>
      <c r="E45" t="s">
        <v>21</v>
      </c>
      <c r="F45" t="s">
        <v>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</row>
    <row r="46" spans="1:163">
      <c r="A46" t="s">
        <v>95</v>
      </c>
      <c r="B46" t="s">
        <v>96</v>
      </c>
      <c r="C46" t="s">
        <v>19</v>
      </c>
      <c r="D46" t="s">
        <v>97</v>
      </c>
      <c r="E46" t="s">
        <v>21</v>
      </c>
      <c r="F46" t="s">
        <v>16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</row>
    <row r="47" spans="1:163">
      <c r="A47" t="s">
        <v>98</v>
      </c>
      <c r="B47" t="s">
        <v>99</v>
      </c>
      <c r="C47" t="s">
        <v>24</v>
      </c>
      <c r="D47" t="s">
        <v>25</v>
      </c>
      <c r="E47" t="s">
        <v>21</v>
      </c>
      <c r="F47" t="s">
        <v>26</v>
      </c>
      <c r="G47">
        <v>1</v>
      </c>
      <c r="H47">
        <v>0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2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6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</row>
    <row r="48" spans="1:163">
      <c r="A48" t="s">
        <v>100</v>
      </c>
      <c r="B48" t="s">
        <v>100</v>
      </c>
      <c r="C48" t="s">
        <v>19</v>
      </c>
      <c r="D48" t="s">
        <v>97</v>
      </c>
      <c r="E48" t="s">
        <v>21</v>
      </c>
      <c r="F48" t="s">
        <v>26</v>
      </c>
      <c r="G48">
        <v>1</v>
      </c>
      <c r="H48">
        <v>4</v>
      </c>
      <c r="I48">
        <v>0</v>
      </c>
      <c r="J48">
        <v>0</v>
      </c>
      <c r="K48">
        <v>0</v>
      </c>
      <c r="L48">
        <v>2</v>
      </c>
      <c r="M48">
        <v>0</v>
      </c>
      <c r="N48">
        <v>11</v>
      </c>
      <c r="O48">
        <v>2</v>
      </c>
      <c r="P48">
        <v>0</v>
      </c>
      <c r="Q48">
        <v>4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5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3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6</v>
      </c>
      <c r="FG48">
        <v>5</v>
      </c>
    </row>
    <row r="49" spans="1:163" hidden="1">
      <c r="A49" t="s">
        <v>101</v>
      </c>
      <c r="B49" t="s">
        <v>101</v>
      </c>
      <c r="C49" t="s">
        <v>24</v>
      </c>
      <c r="D49" t="s">
        <v>25</v>
      </c>
      <c r="E49" t="s">
        <v>15</v>
      </c>
      <c r="F49" t="s">
        <v>26</v>
      </c>
      <c r="G49">
        <v>0</v>
      </c>
      <c r="H49">
        <v>3</v>
      </c>
      <c r="I49">
        <v>0</v>
      </c>
      <c r="J49">
        <v>2</v>
      </c>
      <c r="K49">
        <v>0</v>
      </c>
      <c r="L49">
        <v>1</v>
      </c>
      <c r="M49">
        <v>0</v>
      </c>
      <c r="N49">
        <v>0</v>
      </c>
      <c r="O49">
        <v>0</v>
      </c>
      <c r="P49">
        <v>5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2</v>
      </c>
      <c r="AM49">
        <v>2</v>
      </c>
      <c r="AN49">
        <v>0</v>
      </c>
      <c r="AO49">
        <v>0</v>
      </c>
      <c r="AP49">
        <v>0</v>
      </c>
      <c r="AQ49">
        <v>0</v>
      </c>
      <c r="AR49">
        <v>2</v>
      </c>
      <c r="AS49">
        <v>2</v>
      </c>
      <c r="AT49">
        <v>2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</row>
    <row r="50" spans="1:163" hidden="1">
      <c r="A50" t="s">
        <v>102</v>
      </c>
      <c r="B50" t="s">
        <v>103</v>
      </c>
      <c r="C50" t="s">
        <v>84</v>
      </c>
      <c r="D50" t="s">
        <v>85</v>
      </c>
      <c r="E50" t="s">
        <v>86</v>
      </c>
      <c r="F50" t="s">
        <v>16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1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</row>
    <row r="51" spans="1:163" hidden="1">
      <c r="A51" t="s">
        <v>104</v>
      </c>
      <c r="B51" t="s">
        <v>105</v>
      </c>
      <c r="C51" t="s">
        <v>19</v>
      </c>
      <c r="D51" t="s">
        <v>20</v>
      </c>
      <c r="E51" t="s">
        <v>11</v>
      </c>
      <c r="F51" t="s">
        <v>16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</row>
    <row r="52" spans="1:163" hidden="1">
      <c r="A52" t="s">
        <v>106</v>
      </c>
      <c r="B52" t="s">
        <v>106</v>
      </c>
      <c r="C52" t="s">
        <v>80</v>
      </c>
      <c r="D52" t="s">
        <v>81</v>
      </c>
      <c r="E52" t="s">
        <v>86</v>
      </c>
      <c r="F52" t="s">
        <v>16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</row>
    <row r="53" spans="1:163" hidden="1">
      <c r="A53" t="s">
        <v>107</v>
      </c>
      <c r="B53" t="s">
        <v>108</v>
      </c>
      <c r="C53" t="s">
        <v>9</v>
      </c>
      <c r="D53" t="s">
        <v>10</v>
      </c>
      <c r="E53" t="s">
        <v>15</v>
      </c>
      <c r="F53" t="s">
        <v>16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</row>
    <row r="54" spans="1:163" hidden="1">
      <c r="A54" t="s">
        <v>109</v>
      </c>
      <c r="B54" t="s">
        <v>110</v>
      </c>
      <c r="C54" t="s">
        <v>19</v>
      </c>
      <c r="D54" t="s">
        <v>20</v>
      </c>
      <c r="E54" t="s">
        <v>46</v>
      </c>
      <c r="F54" t="s">
        <v>16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</row>
    <row r="55" spans="1:163" hidden="1">
      <c r="A55" t="s">
        <v>111</v>
      </c>
      <c r="B55" t="s">
        <v>111</v>
      </c>
      <c r="C55" t="s">
        <v>24</v>
      </c>
      <c r="D55" t="s">
        <v>25</v>
      </c>
      <c r="E55" t="s">
        <v>15</v>
      </c>
      <c r="F55" t="s">
        <v>26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</row>
    <row r="56" spans="1:163">
      <c r="A56" t="s">
        <v>112</v>
      </c>
      <c r="B56" t="s">
        <v>112</v>
      </c>
      <c r="C56" t="s">
        <v>19</v>
      </c>
      <c r="D56" t="s">
        <v>97</v>
      </c>
      <c r="E56" t="s">
        <v>21</v>
      </c>
      <c r="F56" t="s">
        <v>26</v>
      </c>
      <c r="G56">
        <v>0</v>
      </c>
      <c r="H56">
        <v>3</v>
      </c>
      <c r="I56">
        <v>0</v>
      </c>
      <c r="J56">
        <v>0</v>
      </c>
      <c r="K56">
        <v>3</v>
      </c>
      <c r="L56">
        <v>0</v>
      </c>
      <c r="M56">
        <v>0</v>
      </c>
      <c r="N56">
        <v>0</v>
      </c>
      <c r="O56">
        <v>1</v>
      </c>
      <c r="P56">
        <v>0</v>
      </c>
      <c r="Q56">
        <v>8</v>
      </c>
      <c r="R56">
        <v>0</v>
      </c>
      <c r="S56">
        <v>0</v>
      </c>
      <c r="T56">
        <v>0</v>
      </c>
      <c r="U56">
        <v>1</v>
      </c>
      <c r="V56">
        <v>1</v>
      </c>
      <c r="W56">
        <v>4</v>
      </c>
      <c r="X56">
        <v>0</v>
      </c>
      <c r="Y56">
        <v>0</v>
      </c>
      <c r="Z56">
        <v>0</v>
      </c>
      <c r="AA56">
        <v>6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5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5</v>
      </c>
      <c r="AW56">
        <v>4</v>
      </c>
      <c r="AX56">
        <v>3</v>
      </c>
      <c r="AY56">
        <v>6</v>
      </c>
      <c r="AZ56">
        <v>3</v>
      </c>
      <c r="BA56">
        <v>3</v>
      </c>
      <c r="BB56">
        <v>1</v>
      </c>
      <c r="BC56">
        <v>1</v>
      </c>
      <c r="BD56">
        <v>28</v>
      </c>
      <c r="BE56">
        <v>0</v>
      </c>
      <c r="BF56">
        <v>26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5</v>
      </c>
      <c r="BN56">
        <v>0</v>
      </c>
      <c r="BO56">
        <v>0</v>
      </c>
      <c r="BP56">
        <v>2</v>
      </c>
      <c r="BQ56">
        <v>7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9</v>
      </c>
      <c r="CL56">
        <v>22</v>
      </c>
      <c r="CM56">
        <v>0</v>
      </c>
      <c r="CN56">
        <v>0</v>
      </c>
      <c r="CO56">
        <v>0</v>
      </c>
      <c r="CP56">
        <v>0</v>
      </c>
      <c r="CQ56">
        <v>6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13</v>
      </c>
      <c r="CY56">
        <v>1</v>
      </c>
      <c r="CZ56">
        <v>28</v>
      </c>
      <c r="DA56">
        <v>0</v>
      </c>
      <c r="DB56">
        <v>2</v>
      </c>
      <c r="DC56">
        <v>14</v>
      </c>
      <c r="DD56">
        <v>2</v>
      </c>
      <c r="DE56">
        <v>0</v>
      </c>
      <c r="DF56">
        <v>1</v>
      </c>
      <c r="DG56">
        <v>3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2</v>
      </c>
      <c r="DN56">
        <v>0</v>
      </c>
      <c r="DO56">
        <v>1</v>
      </c>
      <c r="DP56">
        <v>9</v>
      </c>
      <c r="DQ56">
        <v>3</v>
      </c>
      <c r="DR56">
        <v>0</v>
      </c>
      <c r="DS56">
        <v>0</v>
      </c>
      <c r="DT56">
        <v>0</v>
      </c>
      <c r="DU56">
        <v>2</v>
      </c>
      <c r="DV56">
        <v>0</v>
      </c>
      <c r="DW56">
        <v>0</v>
      </c>
      <c r="DX56">
        <v>1</v>
      </c>
      <c r="DY56">
        <v>5</v>
      </c>
      <c r="DZ56">
        <v>0</v>
      </c>
      <c r="EA56">
        <v>0</v>
      </c>
      <c r="EB56">
        <v>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3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5</v>
      </c>
      <c r="FA56">
        <v>0</v>
      </c>
      <c r="FB56">
        <v>0</v>
      </c>
      <c r="FC56">
        <v>5</v>
      </c>
      <c r="FD56">
        <v>0</v>
      </c>
      <c r="FE56">
        <v>0</v>
      </c>
      <c r="FF56">
        <v>6</v>
      </c>
      <c r="FG56">
        <v>6</v>
      </c>
    </row>
    <row r="57" spans="1:163" hidden="1">
      <c r="A57" t="s">
        <v>113</v>
      </c>
      <c r="B57" t="s">
        <v>113</v>
      </c>
      <c r="C57" t="s">
        <v>44</v>
      </c>
      <c r="D57" t="s">
        <v>45</v>
      </c>
      <c r="E57" t="s">
        <v>46</v>
      </c>
      <c r="F57" t="s">
        <v>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1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1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1</v>
      </c>
      <c r="FC57">
        <v>0</v>
      </c>
      <c r="FD57">
        <v>0</v>
      </c>
      <c r="FE57">
        <v>0</v>
      </c>
      <c r="FF57">
        <v>2</v>
      </c>
      <c r="FG57">
        <v>1</v>
      </c>
    </row>
    <row r="58" spans="1:163" hidden="1">
      <c r="A58" t="s">
        <v>114</v>
      </c>
      <c r="B58" t="s">
        <v>115</v>
      </c>
      <c r="C58" t="s">
        <v>19</v>
      </c>
      <c r="D58" t="s">
        <v>20</v>
      </c>
      <c r="E58" t="s">
        <v>15</v>
      </c>
      <c r="F58" t="s">
        <v>16</v>
      </c>
      <c r="G58">
        <v>0</v>
      </c>
      <c r="H58">
        <v>2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4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2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2</v>
      </c>
      <c r="CE58">
        <v>1</v>
      </c>
      <c r="CF58">
        <v>0</v>
      </c>
      <c r="CG58">
        <v>1</v>
      </c>
      <c r="CH58">
        <v>1</v>
      </c>
      <c r="CI58">
        <v>0</v>
      </c>
      <c r="CJ58">
        <v>0</v>
      </c>
      <c r="CK58">
        <v>1</v>
      </c>
      <c r="CL58">
        <v>1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3</v>
      </c>
      <c r="CY58">
        <v>3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2</v>
      </c>
      <c r="DM58">
        <v>1</v>
      </c>
      <c r="DN58">
        <v>0</v>
      </c>
      <c r="DO58">
        <v>1</v>
      </c>
      <c r="DP58">
        <v>0</v>
      </c>
      <c r="DQ58">
        <v>7</v>
      </c>
      <c r="DR58">
        <v>1</v>
      </c>
      <c r="DS58">
        <v>0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2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1</v>
      </c>
      <c r="ET58">
        <v>0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1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0</v>
      </c>
    </row>
    <row r="59" spans="1:163" hidden="1">
      <c r="A59" t="s">
        <v>116</v>
      </c>
      <c r="B59" t="s">
        <v>116</v>
      </c>
      <c r="C59" t="s">
        <v>19</v>
      </c>
      <c r="D59" t="s">
        <v>20</v>
      </c>
      <c r="E59" t="s">
        <v>15</v>
      </c>
      <c r="F59" t="s">
        <v>16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</row>
    <row r="60" spans="1:163">
      <c r="A60" t="s">
        <v>117</v>
      </c>
      <c r="B60" t="s">
        <v>117</v>
      </c>
      <c r="C60" t="s">
        <v>19</v>
      </c>
      <c r="D60" t="s">
        <v>97</v>
      </c>
      <c r="E60" t="s">
        <v>21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2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3</v>
      </c>
      <c r="FG60">
        <v>0</v>
      </c>
    </row>
    <row r="61" spans="1:163">
      <c r="A61" t="s">
        <v>118</v>
      </c>
      <c r="B61" t="s">
        <v>119</v>
      </c>
      <c r="C61" t="s">
        <v>24</v>
      </c>
      <c r="D61" t="s">
        <v>25</v>
      </c>
      <c r="E61" t="s">
        <v>21</v>
      </c>
      <c r="F61" t="s">
        <v>16</v>
      </c>
      <c r="G61">
        <v>0</v>
      </c>
      <c r="H61">
        <v>0</v>
      </c>
      <c r="I61">
        <v>0</v>
      </c>
      <c r="J61">
        <v>0</v>
      </c>
      <c r="K61">
        <v>7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2</v>
      </c>
      <c r="EU61">
        <v>1</v>
      </c>
      <c r="EV61">
        <v>2</v>
      </c>
      <c r="EW61">
        <v>4</v>
      </c>
      <c r="EX61">
        <v>4</v>
      </c>
      <c r="EY61">
        <v>0</v>
      </c>
      <c r="EZ61">
        <v>1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4</v>
      </c>
      <c r="FG61">
        <v>1</v>
      </c>
    </row>
    <row r="62" spans="1:163">
      <c r="A62" t="s">
        <v>120</v>
      </c>
      <c r="B62" t="s">
        <v>120</v>
      </c>
      <c r="C62" t="s">
        <v>40</v>
      </c>
      <c r="D62" t="s">
        <v>41</v>
      </c>
      <c r="E62" t="s">
        <v>21</v>
      </c>
      <c r="F62" t="s">
        <v>16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</row>
    <row r="63" spans="1:163" hidden="1">
      <c r="A63" t="s">
        <v>121</v>
      </c>
      <c r="B63" t="s">
        <v>121</v>
      </c>
      <c r="C63" t="s">
        <v>19</v>
      </c>
      <c r="D63" t="s">
        <v>20</v>
      </c>
      <c r="E63" t="s">
        <v>15</v>
      </c>
      <c r="F63" t="s">
        <v>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</row>
    <row r="64" spans="1:163" hidden="1">
      <c r="A64" t="s">
        <v>122</v>
      </c>
      <c r="B64" t="s">
        <v>122</v>
      </c>
      <c r="C64" t="s">
        <v>19</v>
      </c>
      <c r="D64" t="s">
        <v>20</v>
      </c>
      <c r="E64" t="s">
        <v>15</v>
      </c>
      <c r="F64" t="s">
        <v>16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</row>
    <row r="65" spans="1:163" hidden="1">
      <c r="A65" t="s">
        <v>123</v>
      </c>
      <c r="B65" t="s">
        <v>123</v>
      </c>
      <c r="C65" t="s">
        <v>124</v>
      </c>
      <c r="D65" t="s">
        <v>125</v>
      </c>
      <c r="E65" t="s">
        <v>86</v>
      </c>
      <c r="F65" t="s">
        <v>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</row>
    <row r="66" spans="1:163" hidden="1">
      <c r="A66" t="s">
        <v>126</v>
      </c>
      <c r="B66" t="s">
        <v>126</v>
      </c>
      <c r="C66" t="s">
        <v>9</v>
      </c>
      <c r="D66" t="s">
        <v>10</v>
      </c>
      <c r="E66" t="s">
        <v>15</v>
      </c>
      <c r="F66" t="s">
        <v>26</v>
      </c>
      <c r="G66">
        <v>1</v>
      </c>
      <c r="H66">
        <v>2</v>
      </c>
      <c r="I66">
        <v>0</v>
      </c>
      <c r="J66">
        <v>0</v>
      </c>
      <c r="K66">
        <v>2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5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2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</row>
    <row r="67" spans="1:163" hidden="1">
      <c r="A67" t="s">
        <v>127</v>
      </c>
      <c r="B67" t="s">
        <v>127</v>
      </c>
      <c r="C67" t="s">
        <v>9</v>
      </c>
      <c r="D67" t="s">
        <v>10</v>
      </c>
      <c r="E67" t="s">
        <v>15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4</v>
      </c>
      <c r="L67">
        <v>4</v>
      </c>
      <c r="M67">
        <v>0</v>
      </c>
      <c r="N67">
        <v>0</v>
      </c>
      <c r="O67">
        <v>0</v>
      </c>
      <c r="P67">
        <v>5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2</v>
      </c>
      <c r="AR67">
        <v>0</v>
      </c>
      <c r="AS67">
        <v>3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2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5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0</v>
      </c>
      <c r="EU67">
        <v>0</v>
      </c>
      <c r="EV67">
        <v>0</v>
      </c>
      <c r="EW67">
        <v>0</v>
      </c>
      <c r="EX67">
        <v>4</v>
      </c>
      <c r="EY67">
        <v>1</v>
      </c>
      <c r="EZ67">
        <v>0</v>
      </c>
      <c r="FA67">
        <v>0</v>
      </c>
      <c r="FB67">
        <v>0</v>
      </c>
      <c r="FC67">
        <v>4</v>
      </c>
      <c r="FD67">
        <v>0</v>
      </c>
      <c r="FE67">
        <v>0</v>
      </c>
      <c r="FF67">
        <v>0</v>
      </c>
      <c r="FG67">
        <v>1</v>
      </c>
    </row>
    <row r="68" spans="1:163" hidden="1">
      <c r="A68" t="s">
        <v>128</v>
      </c>
      <c r="B68" t="s">
        <v>128</v>
      </c>
      <c r="C68" t="s">
        <v>9</v>
      </c>
      <c r="D68" t="s">
        <v>10</v>
      </c>
      <c r="E68" t="s">
        <v>15</v>
      </c>
      <c r="F68" t="s">
        <v>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</row>
    <row r="69" spans="1:163" hidden="1">
      <c r="A69" t="s">
        <v>129</v>
      </c>
      <c r="B69" t="s">
        <v>130</v>
      </c>
      <c r="C69" t="s">
        <v>124</v>
      </c>
      <c r="D69" t="s">
        <v>125</v>
      </c>
      <c r="E69" t="s">
        <v>42</v>
      </c>
      <c r="F69" t="s">
        <v>42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</row>
    <row r="70" spans="1:163">
      <c r="A70" t="s">
        <v>131</v>
      </c>
      <c r="B70" t="s">
        <v>131</v>
      </c>
      <c r="C70" t="s">
        <v>40</v>
      </c>
      <c r="D70" t="s">
        <v>41</v>
      </c>
      <c r="E70" t="s">
        <v>21</v>
      </c>
      <c r="F70" t="s">
        <v>16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</row>
    <row r="71" spans="1:163">
      <c r="A71" t="s">
        <v>132</v>
      </c>
      <c r="B71" t="s">
        <v>132</v>
      </c>
      <c r="C71" t="s">
        <v>40</v>
      </c>
      <c r="D71" t="s">
        <v>41</v>
      </c>
      <c r="E71" t="s">
        <v>21</v>
      </c>
      <c r="F71" t="s">
        <v>16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</row>
    <row r="72" spans="1:163" hidden="1">
      <c r="A72" t="s">
        <v>133</v>
      </c>
      <c r="B72" t="s">
        <v>134</v>
      </c>
      <c r="C72" t="s">
        <v>24</v>
      </c>
      <c r="D72" t="s">
        <v>25</v>
      </c>
      <c r="E72" t="s">
        <v>15</v>
      </c>
      <c r="F72" t="s">
        <v>26</v>
      </c>
      <c r="G72">
        <v>0</v>
      </c>
      <c r="H72">
        <v>7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</row>
    <row r="73" spans="1:163" hidden="1">
      <c r="A73" t="s">
        <v>135</v>
      </c>
      <c r="B73" t="s">
        <v>135</v>
      </c>
      <c r="C73" t="s">
        <v>24</v>
      </c>
      <c r="D73" t="s">
        <v>25</v>
      </c>
      <c r="E73" t="s">
        <v>15</v>
      </c>
      <c r="F73" t="s">
        <v>26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</row>
    <row r="74" spans="1:163" hidden="1">
      <c r="A74" t="s">
        <v>136</v>
      </c>
      <c r="B74" t="s">
        <v>136</v>
      </c>
      <c r="C74" t="s">
        <v>9</v>
      </c>
      <c r="D74" t="s">
        <v>10</v>
      </c>
      <c r="E74" t="s">
        <v>11</v>
      </c>
      <c r="F74" t="s">
        <v>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3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</row>
    <row r="75" spans="1:163" hidden="1">
      <c r="A75" t="s">
        <v>137</v>
      </c>
      <c r="B75" t="s">
        <v>138</v>
      </c>
      <c r="C75" t="s">
        <v>124</v>
      </c>
      <c r="D75" t="s">
        <v>125</v>
      </c>
      <c r="E75" t="s">
        <v>86</v>
      </c>
      <c r="F75" t="s">
        <v>16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</row>
    <row r="76" spans="1:163">
      <c r="A76" t="s">
        <v>139</v>
      </c>
      <c r="B76" t="s">
        <v>140</v>
      </c>
      <c r="C76" t="s">
        <v>19</v>
      </c>
      <c r="D76" t="s">
        <v>97</v>
      </c>
      <c r="E76" t="s">
        <v>21</v>
      </c>
      <c r="F76" t="s">
        <v>26</v>
      </c>
      <c r="G76">
        <v>0</v>
      </c>
      <c r="H76">
        <v>0</v>
      </c>
      <c r="I76">
        <v>2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2</v>
      </c>
      <c r="U76">
        <v>0</v>
      </c>
      <c r="V76">
        <v>0</v>
      </c>
      <c r="W76">
        <v>2</v>
      </c>
      <c r="X76">
        <v>1</v>
      </c>
      <c r="Y76">
        <v>0</v>
      </c>
      <c r="Z76">
        <v>0</v>
      </c>
      <c r="AA76">
        <v>1</v>
      </c>
      <c r="AB76">
        <v>1</v>
      </c>
      <c r="AC76">
        <v>3</v>
      </c>
      <c r="AD76">
        <v>1</v>
      </c>
      <c r="AE76">
        <v>0</v>
      </c>
      <c r="AF76">
        <v>2</v>
      </c>
      <c r="AG76">
        <v>4</v>
      </c>
      <c r="AH76">
        <v>0</v>
      </c>
      <c r="AI76">
        <v>1</v>
      </c>
      <c r="AJ76">
        <v>1</v>
      </c>
      <c r="AK76">
        <v>2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0</v>
      </c>
      <c r="AW76">
        <v>6</v>
      </c>
      <c r="AX76">
        <v>3</v>
      </c>
      <c r="AY76">
        <v>3</v>
      </c>
      <c r="AZ76">
        <v>2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4</v>
      </c>
      <c r="BJ76">
        <v>2</v>
      </c>
      <c r="BK76">
        <v>0</v>
      </c>
      <c r="BL76">
        <v>1</v>
      </c>
      <c r="BM76">
        <v>0</v>
      </c>
      <c r="BN76">
        <v>9</v>
      </c>
      <c r="BO76">
        <v>4</v>
      </c>
      <c r="BP76">
        <v>0</v>
      </c>
      <c r="BQ76">
        <v>0</v>
      </c>
      <c r="BR76">
        <v>3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2</v>
      </c>
      <c r="CA76">
        <v>0</v>
      </c>
      <c r="CB76">
        <v>0</v>
      </c>
      <c r="CC76">
        <v>0</v>
      </c>
      <c r="CD76">
        <v>7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2</v>
      </c>
      <c r="CL76">
        <v>2</v>
      </c>
      <c r="CM76">
        <v>0</v>
      </c>
      <c r="CN76">
        <v>0</v>
      </c>
      <c r="CO76">
        <v>0</v>
      </c>
      <c r="CP76">
        <v>0</v>
      </c>
      <c r="CQ76">
        <v>2</v>
      </c>
      <c r="CR76">
        <v>0</v>
      </c>
      <c r="CS76">
        <v>1</v>
      </c>
      <c r="CT76">
        <v>0</v>
      </c>
      <c r="CU76">
        <v>31</v>
      </c>
      <c r="CV76">
        <v>25</v>
      </c>
      <c r="CW76">
        <v>0</v>
      </c>
      <c r="CX76">
        <v>1</v>
      </c>
      <c r="CY76">
        <v>0</v>
      </c>
      <c r="CZ76">
        <v>1</v>
      </c>
      <c r="DA76">
        <v>0</v>
      </c>
      <c r="DB76">
        <v>1</v>
      </c>
      <c r="DC76">
        <v>1</v>
      </c>
      <c r="DD76">
        <v>2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0</v>
      </c>
      <c r="DN76">
        <v>0</v>
      </c>
      <c r="DO76">
        <v>3</v>
      </c>
      <c r="DP76">
        <v>1</v>
      </c>
      <c r="DQ76">
        <v>3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1</v>
      </c>
      <c r="EJ76">
        <v>2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2</v>
      </c>
      <c r="EY76">
        <v>0</v>
      </c>
      <c r="EZ76">
        <v>0</v>
      </c>
      <c r="FA76">
        <v>0</v>
      </c>
      <c r="FB76">
        <v>0</v>
      </c>
      <c r="FC76">
        <v>1</v>
      </c>
      <c r="FD76">
        <v>0</v>
      </c>
      <c r="FE76">
        <v>0</v>
      </c>
      <c r="FF76">
        <v>2</v>
      </c>
      <c r="FG76">
        <v>0</v>
      </c>
    </row>
    <row r="77" spans="1:163" hidden="1">
      <c r="A77" t="s">
        <v>141</v>
      </c>
      <c r="B77" t="s">
        <v>142</v>
      </c>
      <c r="C77" t="s">
        <v>84</v>
      </c>
      <c r="D77" t="s">
        <v>85</v>
      </c>
      <c r="E77" t="s">
        <v>86</v>
      </c>
      <c r="F77" t="s">
        <v>16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</row>
    <row r="78" spans="1:163" hidden="1">
      <c r="A78" t="s">
        <v>143</v>
      </c>
      <c r="B78" t="s">
        <v>144</v>
      </c>
      <c r="C78" t="s">
        <v>19</v>
      </c>
      <c r="D78" t="s">
        <v>20</v>
      </c>
      <c r="E78" t="s">
        <v>145</v>
      </c>
      <c r="F78" t="s">
        <v>16</v>
      </c>
      <c r="G78">
        <v>0</v>
      </c>
      <c r="H78">
        <v>7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3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3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</row>
    <row r="79" spans="1:163" hidden="1">
      <c r="A79" t="s">
        <v>146</v>
      </c>
      <c r="B79" t="s">
        <v>147</v>
      </c>
      <c r="C79" t="s">
        <v>24</v>
      </c>
      <c r="D79" t="s">
        <v>25</v>
      </c>
      <c r="E79" t="s">
        <v>15</v>
      </c>
      <c r="F79" t="s">
        <v>26</v>
      </c>
      <c r="G79">
        <v>0</v>
      </c>
      <c r="H79">
        <v>6</v>
      </c>
      <c r="I79">
        <v>1</v>
      </c>
      <c r="J79">
        <v>0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9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3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4</v>
      </c>
      <c r="AH79">
        <v>1</v>
      </c>
      <c r="AI79">
        <v>0</v>
      </c>
      <c r="AJ79">
        <v>4</v>
      </c>
      <c r="AK79">
        <v>3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2</v>
      </c>
      <c r="AS79">
        <v>0</v>
      </c>
      <c r="AT79">
        <v>0</v>
      </c>
      <c r="AU79">
        <v>0</v>
      </c>
      <c r="AV79">
        <v>1</v>
      </c>
      <c r="AW79">
        <v>5</v>
      </c>
      <c r="AX79">
        <v>0</v>
      </c>
      <c r="AY79">
        <v>0</v>
      </c>
      <c r="AZ79">
        <v>0</v>
      </c>
      <c r="BA79">
        <v>5</v>
      </c>
      <c r="BB79">
        <v>3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0</v>
      </c>
      <c r="BT79">
        <v>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3</v>
      </c>
      <c r="DZ79">
        <v>0</v>
      </c>
      <c r="EA79">
        <v>1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2</v>
      </c>
    </row>
    <row r="80" spans="1:163" hidden="1">
      <c r="A80" t="s">
        <v>148</v>
      </c>
      <c r="B80" t="s">
        <v>148</v>
      </c>
      <c r="C80" t="s">
        <v>9</v>
      </c>
      <c r="D80" t="s">
        <v>10</v>
      </c>
      <c r="E80" t="s">
        <v>42</v>
      </c>
      <c r="F80" t="s">
        <v>42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7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39</v>
      </c>
      <c r="EW80">
        <v>36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</row>
    <row r="81" spans="1:163" hidden="1">
      <c r="A81" t="s">
        <v>149</v>
      </c>
      <c r="B81" t="s">
        <v>149</v>
      </c>
      <c r="C81" t="s">
        <v>24</v>
      </c>
      <c r="D81" t="s">
        <v>25</v>
      </c>
      <c r="E81" t="s">
        <v>46</v>
      </c>
      <c r="F81" t="s">
        <v>16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</row>
    <row r="82" spans="1:163" hidden="1">
      <c r="A82" t="s">
        <v>150</v>
      </c>
      <c r="B82" t="s">
        <v>150</v>
      </c>
      <c r="C82" t="s">
        <v>9</v>
      </c>
      <c r="D82" t="s">
        <v>10</v>
      </c>
      <c r="E82" t="s">
        <v>42</v>
      </c>
      <c r="F82" t="s">
        <v>42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</row>
    <row r="83" spans="1:163">
      <c r="A83" t="s">
        <v>151</v>
      </c>
      <c r="B83" t="s">
        <v>151</v>
      </c>
      <c r="C83" t="s">
        <v>24</v>
      </c>
      <c r="D83" t="s">
        <v>25</v>
      </c>
      <c r="E83" t="s">
        <v>21</v>
      </c>
      <c r="F83" t="s">
        <v>26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2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</row>
    <row r="84" spans="1:163">
      <c r="A84" t="s">
        <v>152</v>
      </c>
      <c r="B84" t="s">
        <v>153</v>
      </c>
      <c r="C84" t="s">
        <v>24</v>
      </c>
      <c r="D84" t="s">
        <v>25</v>
      </c>
      <c r="E84" t="s">
        <v>21</v>
      </c>
      <c r="F84" t="s">
        <v>26</v>
      </c>
      <c r="G84">
        <v>1</v>
      </c>
      <c r="H84">
        <v>0</v>
      </c>
      <c r="I84">
        <v>0</v>
      </c>
      <c r="J84">
        <v>6</v>
      </c>
      <c r="K84">
        <v>25</v>
      </c>
      <c r="L84">
        <v>1</v>
      </c>
      <c r="M84">
        <v>2</v>
      </c>
      <c r="N84">
        <v>1</v>
      </c>
      <c r="O84">
        <v>15</v>
      </c>
      <c r="P84">
        <v>37</v>
      </c>
      <c r="Q84">
        <v>15</v>
      </c>
      <c r="R84">
        <v>0</v>
      </c>
      <c r="S84">
        <v>1</v>
      </c>
      <c r="T84">
        <v>4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24</v>
      </c>
      <c r="AB84">
        <v>0</v>
      </c>
      <c r="AC84">
        <v>4</v>
      </c>
      <c r="AD84">
        <v>23</v>
      </c>
      <c r="AE84">
        <v>6</v>
      </c>
      <c r="AF84">
        <v>4</v>
      </c>
      <c r="AG84">
        <v>4</v>
      </c>
      <c r="AH84">
        <v>13</v>
      </c>
      <c r="AI84">
        <v>5</v>
      </c>
      <c r="AJ84">
        <v>45</v>
      </c>
      <c r="AK84">
        <v>29</v>
      </c>
      <c r="AL84">
        <v>2</v>
      </c>
      <c r="AM84">
        <v>1</v>
      </c>
      <c r="AN84">
        <v>8</v>
      </c>
      <c r="AO84">
        <v>1</v>
      </c>
      <c r="AP84">
        <v>0</v>
      </c>
      <c r="AQ84">
        <v>14</v>
      </c>
      <c r="AR84">
        <v>1</v>
      </c>
      <c r="AS84">
        <v>23</v>
      </c>
      <c r="AT84">
        <v>1</v>
      </c>
      <c r="AU84">
        <v>4</v>
      </c>
      <c r="AV84">
        <v>29</v>
      </c>
      <c r="AW84">
        <v>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6</v>
      </c>
      <c r="BG84">
        <v>1</v>
      </c>
      <c r="BH84">
        <v>0</v>
      </c>
      <c r="BI84">
        <v>8</v>
      </c>
      <c r="BJ84">
        <v>0</v>
      </c>
      <c r="BK84">
        <v>0</v>
      </c>
      <c r="BL84">
        <v>0</v>
      </c>
      <c r="BM84">
        <v>1</v>
      </c>
      <c r="BN84">
        <v>11</v>
      </c>
      <c r="BO84">
        <v>1</v>
      </c>
      <c r="BP84">
        <v>0</v>
      </c>
      <c r="BQ84">
        <v>7</v>
      </c>
      <c r="BR84">
        <v>1</v>
      </c>
      <c r="BS84">
        <v>1</v>
      </c>
      <c r="BT84">
        <v>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4</v>
      </c>
      <c r="CE84">
        <v>11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6</v>
      </c>
      <c r="CL84">
        <v>5</v>
      </c>
      <c r="CM84">
        <v>1</v>
      </c>
      <c r="CN84">
        <v>0</v>
      </c>
      <c r="CO84">
        <v>0</v>
      </c>
      <c r="CP84">
        <v>0</v>
      </c>
      <c r="CQ84">
        <v>2</v>
      </c>
      <c r="CR84">
        <v>4</v>
      </c>
      <c r="CS84">
        <v>1</v>
      </c>
      <c r="CT84">
        <v>0</v>
      </c>
      <c r="CU84">
        <v>1</v>
      </c>
      <c r="CV84">
        <v>0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2</v>
      </c>
      <c r="DV84">
        <v>0</v>
      </c>
      <c r="DW84">
        <v>0</v>
      </c>
      <c r="DX84">
        <v>0</v>
      </c>
      <c r="DY84">
        <v>0</v>
      </c>
      <c r="DZ84">
        <v>2</v>
      </c>
      <c r="EA84">
        <v>1</v>
      </c>
      <c r="EB84">
        <v>0</v>
      </c>
      <c r="EC84">
        <v>4</v>
      </c>
      <c r="ED84">
        <v>0</v>
      </c>
      <c r="EE84">
        <v>1</v>
      </c>
      <c r="EF84">
        <v>0</v>
      </c>
      <c r="EG84">
        <v>2</v>
      </c>
      <c r="EH84">
        <v>0</v>
      </c>
      <c r="EI84">
        <v>1</v>
      </c>
      <c r="EJ84">
        <v>1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7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</row>
    <row r="85" spans="1:163" hidden="1">
      <c r="A85" t="s">
        <v>154</v>
      </c>
      <c r="B85" t="s">
        <v>154</v>
      </c>
      <c r="C85" t="s">
        <v>40</v>
      </c>
      <c r="D85" t="s">
        <v>41</v>
      </c>
      <c r="E85" t="s">
        <v>42</v>
      </c>
      <c r="F85" t="s">
        <v>42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</row>
    <row r="86" spans="1:163" hidden="1">
      <c r="A86" t="s">
        <v>155</v>
      </c>
      <c r="B86" t="s">
        <v>155</v>
      </c>
      <c r="C86" t="s">
        <v>24</v>
      </c>
      <c r="D86" t="s">
        <v>25</v>
      </c>
      <c r="E86" t="s">
        <v>46</v>
      </c>
      <c r="F86" t="s">
        <v>16</v>
      </c>
      <c r="G86">
        <v>0</v>
      </c>
      <c r="H86">
        <v>1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</row>
    <row r="87" spans="1:163" hidden="1">
      <c r="A87" t="s">
        <v>156</v>
      </c>
      <c r="B87" t="s">
        <v>156</v>
      </c>
      <c r="C87" t="s">
        <v>24</v>
      </c>
      <c r="D87" t="s">
        <v>25</v>
      </c>
      <c r="E87" t="s">
        <v>46</v>
      </c>
      <c r="F87" t="s">
        <v>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</row>
    <row r="88" spans="1:163" hidden="1">
      <c r="A88" t="s">
        <v>157</v>
      </c>
      <c r="B88" t="s">
        <v>157</v>
      </c>
      <c r="C88" t="s">
        <v>24</v>
      </c>
      <c r="D88" t="s">
        <v>25</v>
      </c>
      <c r="E88" t="s">
        <v>46</v>
      </c>
      <c r="F88" t="s">
        <v>16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</row>
    <row r="89" spans="1:163" hidden="1">
      <c r="A89" t="s">
        <v>158</v>
      </c>
      <c r="B89" t="s">
        <v>158</v>
      </c>
      <c r="C89" t="s">
        <v>24</v>
      </c>
      <c r="D89" t="s">
        <v>25</v>
      </c>
      <c r="E89" t="s">
        <v>46</v>
      </c>
      <c r="F89" t="s">
        <v>16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2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</row>
    <row r="90" spans="1:163" hidden="1">
      <c r="A90" t="s">
        <v>159</v>
      </c>
      <c r="B90" t="s">
        <v>159</v>
      </c>
      <c r="C90" t="s">
        <v>9</v>
      </c>
      <c r="D90" t="s">
        <v>160</v>
      </c>
      <c r="E90" t="s">
        <v>46</v>
      </c>
      <c r="F90" t="s">
        <v>16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2</v>
      </c>
      <c r="P90">
        <v>0</v>
      </c>
      <c r="Q90">
        <v>4</v>
      </c>
      <c r="R90">
        <v>0</v>
      </c>
      <c r="S90">
        <v>0</v>
      </c>
      <c r="T90">
        <v>0</v>
      </c>
      <c r="U90">
        <v>0</v>
      </c>
      <c r="V90">
        <v>2</v>
      </c>
      <c r="W90">
        <v>1</v>
      </c>
      <c r="X90">
        <v>2</v>
      </c>
      <c r="Y90">
        <v>0</v>
      </c>
      <c r="Z90">
        <v>0</v>
      </c>
      <c r="AA90">
        <v>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</row>
    <row r="91" spans="1:163" hidden="1">
      <c r="A91" t="s">
        <v>161</v>
      </c>
      <c r="B91" t="s">
        <v>161</v>
      </c>
      <c r="C91" t="s">
        <v>24</v>
      </c>
      <c r="D91" t="s">
        <v>25</v>
      </c>
      <c r="E91" t="s">
        <v>46</v>
      </c>
      <c r="F91" t="s">
        <v>26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</row>
    <row r="92" spans="1:163">
      <c r="A92" t="s">
        <v>162</v>
      </c>
      <c r="B92" t="s">
        <v>163</v>
      </c>
      <c r="C92" t="s">
        <v>24</v>
      </c>
      <c r="D92" t="s">
        <v>25</v>
      </c>
      <c r="E92" t="s">
        <v>21</v>
      </c>
      <c r="F92" t="s">
        <v>26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</row>
    <row r="93" spans="1:163">
      <c r="A93" t="s">
        <v>164</v>
      </c>
      <c r="B93" t="s">
        <v>164</v>
      </c>
      <c r="C93" t="s">
        <v>165</v>
      </c>
      <c r="D93" t="s">
        <v>166</v>
      </c>
      <c r="E93" t="s">
        <v>21</v>
      </c>
      <c r="F93" t="s">
        <v>16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</row>
    <row r="94" spans="1:163">
      <c r="A94" t="s">
        <v>167</v>
      </c>
      <c r="B94" t="s">
        <v>167</v>
      </c>
      <c r="C94" t="s">
        <v>65</v>
      </c>
      <c r="D94" t="s">
        <v>168</v>
      </c>
      <c r="E94" t="s">
        <v>21</v>
      </c>
      <c r="F94" t="s">
        <v>16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</row>
    <row r="95" spans="1:163" hidden="1">
      <c r="A95" t="s">
        <v>169</v>
      </c>
      <c r="B95" t="s">
        <v>169</v>
      </c>
      <c r="C95" t="s">
        <v>124</v>
      </c>
      <c r="D95" t="s">
        <v>125</v>
      </c>
      <c r="E95" t="s">
        <v>86</v>
      </c>
      <c r="F95" t="s">
        <v>16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0</v>
      </c>
      <c r="FG95">
        <v>1</v>
      </c>
    </row>
    <row r="96" spans="1:163" hidden="1">
      <c r="A96" t="s">
        <v>170</v>
      </c>
      <c r="B96" t="s">
        <v>170</v>
      </c>
      <c r="C96" t="s">
        <v>24</v>
      </c>
      <c r="D96" t="s">
        <v>25</v>
      </c>
      <c r="E96" t="s">
        <v>42</v>
      </c>
      <c r="F96" t="s">
        <v>42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0</v>
      </c>
    </row>
    <row r="97" spans="1:163" hidden="1">
      <c r="A97" t="s">
        <v>171</v>
      </c>
      <c r="B97" t="s">
        <v>172</v>
      </c>
      <c r="C97" t="s">
        <v>24</v>
      </c>
      <c r="D97" t="s">
        <v>25</v>
      </c>
      <c r="E97" t="s">
        <v>46</v>
      </c>
      <c r="F97" t="s">
        <v>16</v>
      </c>
      <c r="G97">
        <v>0</v>
      </c>
      <c r="H97">
        <v>0</v>
      </c>
      <c r="I97">
        <v>3</v>
      </c>
      <c r="J97">
        <v>9</v>
      </c>
      <c r="K97">
        <v>4</v>
      </c>
      <c r="L97">
        <v>0</v>
      </c>
      <c r="M97">
        <v>1</v>
      </c>
      <c r="N97">
        <v>0</v>
      </c>
      <c r="O97">
        <v>5</v>
      </c>
      <c r="P97">
        <v>1</v>
      </c>
      <c r="Q97">
        <v>15</v>
      </c>
      <c r="R97">
        <v>0</v>
      </c>
      <c r="S97">
        <v>6</v>
      </c>
      <c r="T97">
        <v>1</v>
      </c>
      <c r="U97">
        <v>1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2</v>
      </c>
      <c r="AG97">
        <v>1</v>
      </c>
      <c r="AH97">
        <v>2</v>
      </c>
      <c r="AI97">
        <v>1</v>
      </c>
      <c r="AJ97">
        <v>5</v>
      </c>
      <c r="AK97">
        <v>8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2</v>
      </c>
      <c r="AU97">
        <v>1</v>
      </c>
      <c r="AV97">
        <v>0</v>
      </c>
      <c r="AW97">
        <v>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3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1</v>
      </c>
      <c r="BR97">
        <v>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2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1</v>
      </c>
      <c r="DR97">
        <v>1</v>
      </c>
      <c r="DS97">
        <v>1</v>
      </c>
      <c r="DT97">
        <v>0</v>
      </c>
      <c r="DU97">
        <v>0</v>
      </c>
      <c r="DV97">
        <v>0</v>
      </c>
      <c r="DW97">
        <v>5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0</v>
      </c>
      <c r="EI97">
        <v>2</v>
      </c>
      <c r="EJ97">
        <v>2</v>
      </c>
      <c r="EK97">
        <v>0</v>
      </c>
      <c r="EL97">
        <v>1</v>
      </c>
      <c r="EM97">
        <v>1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2</v>
      </c>
      <c r="EZ97">
        <v>2</v>
      </c>
      <c r="FA97">
        <v>1</v>
      </c>
      <c r="FB97">
        <v>1</v>
      </c>
      <c r="FC97">
        <v>3</v>
      </c>
      <c r="FD97">
        <v>3</v>
      </c>
      <c r="FE97">
        <v>0</v>
      </c>
      <c r="FF97">
        <v>0</v>
      </c>
      <c r="FG97">
        <v>3</v>
      </c>
    </row>
    <row r="98" spans="1:163" hidden="1">
      <c r="A98" t="s">
        <v>173</v>
      </c>
      <c r="B98" t="s">
        <v>173</v>
      </c>
      <c r="C98" t="s">
        <v>24</v>
      </c>
      <c r="D98" t="s">
        <v>25</v>
      </c>
      <c r="E98" t="s">
        <v>46</v>
      </c>
      <c r="F98" t="s">
        <v>26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</row>
    <row r="99" spans="1:163" hidden="1">
      <c r="A99" t="s">
        <v>174</v>
      </c>
      <c r="B99" t="s">
        <v>174</v>
      </c>
      <c r="C99" t="s">
        <v>165</v>
      </c>
      <c r="D99" t="s">
        <v>175</v>
      </c>
      <c r="E99" t="s">
        <v>15</v>
      </c>
      <c r="F99" t="s">
        <v>26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</row>
    <row r="100" spans="1:163" hidden="1">
      <c r="A100" t="s">
        <v>176</v>
      </c>
      <c r="B100" t="s">
        <v>176</v>
      </c>
      <c r="C100" t="s">
        <v>9</v>
      </c>
      <c r="D100" t="s">
        <v>10</v>
      </c>
      <c r="E100" t="s">
        <v>11</v>
      </c>
      <c r="F100" t="s">
        <v>12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</row>
    <row r="101" spans="1:163" hidden="1">
      <c r="A101" t="s">
        <v>177</v>
      </c>
      <c r="B101" t="s">
        <v>177</v>
      </c>
      <c r="C101" t="s">
        <v>24</v>
      </c>
      <c r="D101" t="s">
        <v>25</v>
      </c>
      <c r="E101" t="s">
        <v>46</v>
      </c>
      <c r="F101" t="s">
        <v>16</v>
      </c>
      <c r="G101">
        <v>2</v>
      </c>
      <c r="H101">
        <v>13</v>
      </c>
      <c r="I101">
        <v>6</v>
      </c>
      <c r="J101">
        <v>1</v>
      </c>
      <c r="K101">
        <v>8</v>
      </c>
      <c r="L101">
        <v>0</v>
      </c>
      <c r="M101">
        <v>0</v>
      </c>
      <c r="N101">
        <v>1</v>
      </c>
      <c r="O101">
        <v>5</v>
      </c>
      <c r="P101">
        <v>1</v>
      </c>
      <c r="Q101">
        <v>1</v>
      </c>
      <c r="R101">
        <v>0</v>
      </c>
      <c r="S101">
        <v>2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4</v>
      </c>
      <c r="AB101">
        <v>9</v>
      </c>
      <c r="AC101">
        <v>6</v>
      </c>
      <c r="AD101">
        <v>2</v>
      </c>
      <c r="AE101">
        <v>2</v>
      </c>
      <c r="AF101">
        <v>12</v>
      </c>
      <c r="AG101">
        <v>11</v>
      </c>
      <c r="AH101">
        <v>2</v>
      </c>
      <c r="AI101">
        <v>4</v>
      </c>
      <c r="AJ101">
        <v>0</v>
      </c>
      <c r="AK101">
        <v>6</v>
      </c>
      <c r="AL101">
        <v>5</v>
      </c>
      <c r="AM101">
        <v>3</v>
      </c>
      <c r="AN101">
        <v>4</v>
      </c>
      <c r="AO101">
        <v>1</v>
      </c>
      <c r="AP101">
        <v>1</v>
      </c>
      <c r="AQ101">
        <v>1</v>
      </c>
      <c r="AR101">
        <v>5</v>
      </c>
      <c r="AS101">
        <v>2</v>
      </c>
      <c r="AT101">
        <v>2</v>
      </c>
      <c r="AU101">
        <v>2</v>
      </c>
      <c r="AV101">
        <v>0</v>
      </c>
      <c r="AW101">
        <v>7</v>
      </c>
      <c r="AX101">
        <v>0</v>
      </c>
      <c r="AY101">
        <v>0</v>
      </c>
      <c r="AZ101">
        <v>2</v>
      </c>
      <c r="BA101">
        <v>9</v>
      </c>
      <c r="BB101">
        <v>6</v>
      </c>
      <c r="BC101">
        <v>12</v>
      </c>
      <c r="BD101">
        <v>7</v>
      </c>
      <c r="BE101">
        <v>0</v>
      </c>
      <c r="BF101">
        <v>6</v>
      </c>
      <c r="BG101">
        <v>3</v>
      </c>
      <c r="BH101">
        <v>9</v>
      </c>
      <c r="BI101">
        <v>12</v>
      </c>
      <c r="BJ101">
        <v>0</v>
      </c>
      <c r="BK101">
        <v>0</v>
      </c>
      <c r="BL101">
        <v>2</v>
      </c>
      <c r="BM101">
        <v>6</v>
      </c>
      <c r="BN101">
        <v>1</v>
      </c>
      <c r="BO101">
        <v>4</v>
      </c>
      <c r="BP101">
        <v>1</v>
      </c>
      <c r="BQ101">
        <v>1</v>
      </c>
      <c r="BR101">
        <v>3</v>
      </c>
      <c r="BS101">
        <v>6</v>
      </c>
      <c r="BT101">
        <v>6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4</v>
      </c>
      <c r="CD101">
        <v>2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2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1</v>
      </c>
      <c r="CQ101">
        <v>1</v>
      </c>
      <c r="CR101">
        <v>1</v>
      </c>
      <c r="CS101">
        <v>2</v>
      </c>
      <c r="CT101">
        <v>4</v>
      </c>
      <c r="CU101">
        <v>4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</v>
      </c>
      <c r="DQ101">
        <v>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4</v>
      </c>
      <c r="DX101">
        <v>0</v>
      </c>
      <c r="DY101">
        <v>1</v>
      </c>
      <c r="DZ101">
        <v>1</v>
      </c>
      <c r="EA101">
        <v>0</v>
      </c>
      <c r="EB101">
        <v>8</v>
      </c>
      <c r="EC101">
        <v>0</v>
      </c>
      <c r="ED101">
        <v>5</v>
      </c>
      <c r="EE101">
        <v>1</v>
      </c>
      <c r="EF101">
        <v>3</v>
      </c>
      <c r="EG101">
        <v>2</v>
      </c>
      <c r="EH101">
        <v>1</v>
      </c>
      <c r="EI101">
        <v>5</v>
      </c>
      <c r="EJ101">
        <v>0</v>
      </c>
      <c r="EK101">
        <v>4</v>
      </c>
      <c r="EL101">
        <v>0</v>
      </c>
      <c r="EM101">
        <v>2</v>
      </c>
      <c r="EN101">
        <v>0</v>
      </c>
      <c r="EO101">
        <v>4</v>
      </c>
      <c r="EP101">
        <v>1</v>
      </c>
      <c r="EQ101">
        <v>0</v>
      </c>
      <c r="ER101">
        <v>5</v>
      </c>
      <c r="ES101">
        <v>4</v>
      </c>
      <c r="ET101">
        <v>0</v>
      </c>
      <c r="EU101">
        <v>8</v>
      </c>
      <c r="EV101">
        <v>1</v>
      </c>
      <c r="EW101">
        <v>3</v>
      </c>
      <c r="EX101">
        <v>1</v>
      </c>
      <c r="EY101">
        <v>0</v>
      </c>
      <c r="EZ101">
        <v>5</v>
      </c>
      <c r="FA101">
        <v>0</v>
      </c>
      <c r="FB101">
        <v>3</v>
      </c>
      <c r="FC101">
        <v>1</v>
      </c>
      <c r="FD101">
        <v>1</v>
      </c>
      <c r="FE101">
        <v>4</v>
      </c>
      <c r="FF101">
        <v>0</v>
      </c>
      <c r="FG101">
        <v>24</v>
      </c>
    </row>
    <row r="102" spans="1:163" hidden="1">
      <c r="A102" t="s">
        <v>178</v>
      </c>
      <c r="B102" t="s">
        <v>178</v>
      </c>
      <c r="C102" t="s">
        <v>179</v>
      </c>
      <c r="D102" t="s">
        <v>180</v>
      </c>
      <c r="E102" t="s">
        <v>42</v>
      </c>
      <c r="F102" t="s">
        <v>42</v>
      </c>
      <c r="G102">
        <v>1</v>
      </c>
      <c r="H102">
        <v>2</v>
      </c>
      <c r="I102">
        <v>11</v>
      </c>
      <c r="J102">
        <v>18</v>
      </c>
      <c r="K102">
        <v>32</v>
      </c>
      <c r="L102">
        <v>0</v>
      </c>
      <c r="M102">
        <v>1</v>
      </c>
      <c r="N102">
        <v>2</v>
      </c>
      <c r="O102">
        <v>46</v>
      </c>
      <c r="P102">
        <v>21</v>
      </c>
      <c r="Q102">
        <v>73</v>
      </c>
      <c r="R102">
        <v>14</v>
      </c>
      <c r="S102">
        <v>2</v>
      </c>
      <c r="T102">
        <v>51</v>
      </c>
      <c r="U102">
        <v>4</v>
      </c>
      <c r="V102">
        <v>26</v>
      </c>
      <c r="W102">
        <v>69</v>
      </c>
      <c r="X102">
        <v>56</v>
      </c>
      <c r="Y102">
        <v>24</v>
      </c>
      <c r="Z102">
        <v>17</v>
      </c>
      <c r="AA102">
        <v>56</v>
      </c>
      <c r="AB102">
        <v>3</v>
      </c>
      <c r="AC102">
        <v>62</v>
      </c>
      <c r="AD102">
        <v>49</v>
      </c>
      <c r="AE102">
        <v>45</v>
      </c>
      <c r="AF102">
        <v>13</v>
      </c>
      <c r="AG102">
        <v>45</v>
      </c>
      <c r="AH102">
        <v>18</v>
      </c>
      <c r="AI102">
        <v>27</v>
      </c>
      <c r="AJ102">
        <v>66</v>
      </c>
      <c r="AK102">
        <v>81</v>
      </c>
      <c r="AL102">
        <v>53</v>
      </c>
      <c r="AM102">
        <v>2</v>
      </c>
      <c r="AN102">
        <v>52</v>
      </c>
      <c r="AO102">
        <v>13</v>
      </c>
      <c r="AP102">
        <v>5</v>
      </c>
      <c r="AQ102">
        <v>5</v>
      </c>
      <c r="AR102">
        <v>49</v>
      </c>
      <c r="AS102">
        <v>13</v>
      </c>
      <c r="AT102">
        <v>3</v>
      </c>
      <c r="AU102">
        <v>45</v>
      </c>
      <c r="AV102">
        <v>36</v>
      </c>
      <c r="AW102">
        <v>136</v>
      </c>
      <c r="AX102">
        <v>139</v>
      </c>
      <c r="AY102">
        <v>11</v>
      </c>
      <c r="AZ102">
        <v>32</v>
      </c>
      <c r="BA102">
        <v>15</v>
      </c>
      <c r="BB102">
        <v>56</v>
      </c>
      <c r="BC102">
        <v>16</v>
      </c>
      <c r="BD102">
        <v>1</v>
      </c>
      <c r="BE102">
        <v>8</v>
      </c>
      <c r="BF102">
        <v>12</v>
      </c>
      <c r="BG102">
        <v>8</v>
      </c>
      <c r="BH102">
        <v>9</v>
      </c>
      <c r="BI102">
        <v>32</v>
      </c>
      <c r="BJ102">
        <v>25</v>
      </c>
      <c r="BK102">
        <v>3</v>
      </c>
      <c r="BL102">
        <v>45</v>
      </c>
      <c r="BM102">
        <v>68</v>
      </c>
      <c r="BN102">
        <v>149</v>
      </c>
      <c r="BO102">
        <v>8</v>
      </c>
      <c r="BP102">
        <v>1</v>
      </c>
      <c r="BQ102">
        <v>33</v>
      </c>
      <c r="BR102">
        <v>53</v>
      </c>
      <c r="BS102">
        <v>44</v>
      </c>
      <c r="BT102">
        <v>88</v>
      </c>
      <c r="BU102">
        <v>0</v>
      </c>
      <c r="BV102">
        <v>1</v>
      </c>
      <c r="BW102">
        <v>7</v>
      </c>
      <c r="BX102">
        <v>4</v>
      </c>
      <c r="BY102">
        <v>16</v>
      </c>
      <c r="BZ102">
        <v>71</v>
      </c>
      <c r="CA102">
        <v>12</v>
      </c>
      <c r="CB102">
        <v>18</v>
      </c>
      <c r="CC102">
        <v>44</v>
      </c>
      <c r="CD102">
        <v>136</v>
      </c>
      <c r="CE102">
        <v>33</v>
      </c>
      <c r="CF102">
        <v>12</v>
      </c>
      <c r="CG102">
        <v>16</v>
      </c>
      <c r="CH102">
        <v>31</v>
      </c>
      <c r="CI102">
        <v>0</v>
      </c>
      <c r="CJ102">
        <v>5</v>
      </c>
      <c r="CK102">
        <v>19</v>
      </c>
      <c r="CL102">
        <v>38</v>
      </c>
      <c r="CM102">
        <v>0</v>
      </c>
      <c r="CN102">
        <v>2</v>
      </c>
      <c r="CO102">
        <v>12</v>
      </c>
      <c r="CP102">
        <v>18</v>
      </c>
      <c r="CQ102">
        <v>5</v>
      </c>
      <c r="CR102">
        <v>1</v>
      </c>
      <c r="CS102">
        <v>17</v>
      </c>
      <c r="CT102">
        <v>21</v>
      </c>
      <c r="CU102">
        <v>11</v>
      </c>
      <c r="CV102">
        <v>16</v>
      </c>
      <c r="CW102">
        <v>9</v>
      </c>
      <c r="CX102">
        <v>12</v>
      </c>
      <c r="CY102">
        <v>19</v>
      </c>
      <c r="CZ102">
        <v>54</v>
      </c>
      <c r="DA102">
        <v>2</v>
      </c>
      <c r="DB102">
        <v>28</v>
      </c>
      <c r="DC102">
        <v>32</v>
      </c>
      <c r="DD102">
        <v>0</v>
      </c>
      <c r="DE102">
        <v>0</v>
      </c>
      <c r="DF102">
        <v>19</v>
      </c>
      <c r="DG102">
        <v>32</v>
      </c>
      <c r="DH102">
        <v>13</v>
      </c>
      <c r="DI102">
        <v>0</v>
      </c>
      <c r="DJ102">
        <v>2</v>
      </c>
      <c r="DK102">
        <v>43</v>
      </c>
      <c r="DL102">
        <v>22</v>
      </c>
      <c r="DM102">
        <v>17</v>
      </c>
      <c r="DN102">
        <v>1</v>
      </c>
      <c r="DO102">
        <v>23</v>
      </c>
      <c r="DP102">
        <v>23</v>
      </c>
      <c r="DQ102">
        <v>111</v>
      </c>
      <c r="DR102">
        <v>39</v>
      </c>
      <c r="DS102">
        <v>22</v>
      </c>
      <c r="DT102">
        <v>1</v>
      </c>
      <c r="DU102">
        <v>2</v>
      </c>
      <c r="DV102">
        <v>8</v>
      </c>
      <c r="DW102">
        <v>17</v>
      </c>
      <c r="DX102">
        <v>0</v>
      </c>
      <c r="DY102">
        <v>2</v>
      </c>
      <c r="DZ102">
        <v>2</v>
      </c>
      <c r="EA102">
        <v>0</v>
      </c>
      <c r="EB102">
        <v>0</v>
      </c>
      <c r="EC102">
        <v>8</v>
      </c>
      <c r="ED102">
        <v>1</v>
      </c>
      <c r="EE102">
        <v>2</v>
      </c>
      <c r="EF102">
        <v>8</v>
      </c>
      <c r="EG102">
        <v>0</v>
      </c>
      <c r="EH102">
        <v>3</v>
      </c>
      <c r="EI102">
        <v>13</v>
      </c>
      <c r="EJ102">
        <v>2</v>
      </c>
      <c r="EK102">
        <v>1</v>
      </c>
      <c r="EL102">
        <v>8</v>
      </c>
      <c r="EM102">
        <v>0</v>
      </c>
      <c r="EN102">
        <v>0</v>
      </c>
      <c r="EO102">
        <v>8</v>
      </c>
      <c r="EP102">
        <v>9</v>
      </c>
      <c r="EQ102">
        <v>1</v>
      </c>
      <c r="ER102">
        <v>3</v>
      </c>
      <c r="ES102">
        <v>12</v>
      </c>
      <c r="ET102">
        <v>18</v>
      </c>
      <c r="EU102">
        <v>22</v>
      </c>
      <c r="EV102">
        <v>7</v>
      </c>
      <c r="EW102">
        <v>0</v>
      </c>
      <c r="EX102">
        <v>17</v>
      </c>
      <c r="EY102">
        <v>0</v>
      </c>
      <c r="EZ102">
        <v>92</v>
      </c>
      <c r="FA102">
        <v>18</v>
      </c>
      <c r="FB102">
        <v>13</v>
      </c>
      <c r="FC102">
        <v>35</v>
      </c>
      <c r="FD102">
        <v>12</v>
      </c>
      <c r="FE102">
        <v>1</v>
      </c>
      <c r="FF102">
        <v>0</v>
      </c>
      <c r="FG102">
        <v>211</v>
      </c>
    </row>
    <row r="103" spans="1:163" hidden="1">
      <c r="A103" t="s">
        <v>181</v>
      </c>
      <c r="B103" t="s">
        <v>182</v>
      </c>
      <c r="C103" t="s">
        <v>44</v>
      </c>
      <c r="D103" t="s">
        <v>45</v>
      </c>
      <c r="E103" t="s">
        <v>46</v>
      </c>
      <c r="F103" t="s">
        <v>16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3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4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2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1</v>
      </c>
      <c r="CA103">
        <v>1</v>
      </c>
      <c r="CB103">
        <v>0</v>
      </c>
      <c r="CC103">
        <v>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1</v>
      </c>
      <c r="CR103">
        <v>0</v>
      </c>
      <c r="CS103">
        <v>1</v>
      </c>
      <c r="CT103">
        <v>2</v>
      </c>
      <c r="CU103">
        <v>1</v>
      </c>
      <c r="CV103">
        <v>0</v>
      </c>
      <c r="CW103">
        <v>0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1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2</v>
      </c>
      <c r="EV103">
        <v>0</v>
      </c>
      <c r="EW103">
        <v>1</v>
      </c>
      <c r="EX103">
        <v>1</v>
      </c>
      <c r="EY103">
        <v>0</v>
      </c>
      <c r="EZ103">
        <v>0</v>
      </c>
      <c r="FA103">
        <v>0</v>
      </c>
      <c r="FB103">
        <v>1</v>
      </c>
      <c r="FC103">
        <v>1</v>
      </c>
      <c r="FD103">
        <v>0</v>
      </c>
      <c r="FE103">
        <v>0</v>
      </c>
      <c r="FF103">
        <v>1</v>
      </c>
      <c r="FG103">
        <v>2</v>
      </c>
    </row>
    <row r="104" spans="1:163">
      <c r="A104" t="s">
        <v>183</v>
      </c>
      <c r="B104" t="s">
        <v>184</v>
      </c>
      <c r="C104" t="s">
        <v>19</v>
      </c>
      <c r="D104" t="s">
        <v>97</v>
      </c>
      <c r="E104" t="s">
        <v>21</v>
      </c>
      <c r="F104" t="s">
        <v>16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</row>
    <row r="105" spans="1:163">
      <c r="A105" t="s">
        <v>184</v>
      </c>
      <c r="B105" t="s">
        <v>184</v>
      </c>
      <c r="C105" t="s">
        <v>19</v>
      </c>
      <c r="D105" t="s">
        <v>97</v>
      </c>
      <c r="E105" t="s">
        <v>21</v>
      </c>
      <c r="F105" t="s">
        <v>16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1</v>
      </c>
      <c r="AP105">
        <v>0</v>
      </c>
      <c r="AQ105">
        <v>0</v>
      </c>
      <c r="AR105">
        <v>4</v>
      </c>
      <c r="AS105">
        <v>0</v>
      </c>
      <c r="AT105">
        <v>0</v>
      </c>
      <c r="AU105">
        <v>3</v>
      </c>
      <c r="AV105">
        <v>0</v>
      </c>
      <c r="AW105">
        <v>2</v>
      </c>
      <c r="AX105">
        <v>0</v>
      </c>
      <c r="AY105">
        <v>2</v>
      </c>
      <c r="AZ105">
        <v>1</v>
      </c>
      <c r="BA105">
        <v>1</v>
      </c>
      <c r="BB105">
        <v>0</v>
      </c>
      <c r="BC105">
        <v>0</v>
      </c>
      <c r="BD105">
        <v>2</v>
      </c>
      <c r="BE105">
        <v>1</v>
      </c>
      <c r="BF105">
        <v>4</v>
      </c>
      <c r="BG105">
        <v>0</v>
      </c>
      <c r="BH105">
        <v>1</v>
      </c>
      <c r="BI105">
        <v>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4</v>
      </c>
      <c r="BU105">
        <v>0</v>
      </c>
      <c r="BV105">
        <v>0</v>
      </c>
      <c r="BW105">
        <v>0</v>
      </c>
      <c r="BX105">
        <v>4</v>
      </c>
      <c r="BY105">
        <v>1</v>
      </c>
      <c r="BZ105">
        <v>8</v>
      </c>
      <c r="CA105">
        <v>5</v>
      </c>
      <c r="CB105">
        <v>1</v>
      </c>
      <c r="CC105">
        <v>0</v>
      </c>
      <c r="CD105">
        <v>3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3</v>
      </c>
      <c r="CP105">
        <v>1</v>
      </c>
      <c r="CQ105">
        <v>3</v>
      </c>
      <c r="CR105">
        <v>0</v>
      </c>
      <c r="CS105">
        <v>5</v>
      </c>
      <c r="CT105">
        <v>0</v>
      </c>
      <c r="CU105">
        <v>1</v>
      </c>
      <c r="CV105">
        <v>3</v>
      </c>
      <c r="CW105">
        <v>1</v>
      </c>
      <c r="CX105">
        <v>2</v>
      </c>
      <c r="CY105">
        <v>2</v>
      </c>
      <c r="CZ105">
        <v>1</v>
      </c>
      <c r="DA105">
        <v>1</v>
      </c>
      <c r="DB105">
        <v>0</v>
      </c>
      <c r="DC105">
        <v>0</v>
      </c>
      <c r="DD105">
        <v>1</v>
      </c>
      <c r="DE105">
        <v>1</v>
      </c>
      <c r="DF105">
        <v>0</v>
      </c>
      <c r="DG105">
        <v>9</v>
      </c>
      <c r="DH105">
        <v>6</v>
      </c>
      <c r="DI105">
        <v>0</v>
      </c>
      <c r="DJ105">
        <v>2</v>
      </c>
      <c r="DK105">
        <v>8</v>
      </c>
      <c r="DL105">
        <v>32</v>
      </c>
      <c r="DM105">
        <v>13</v>
      </c>
      <c r="DN105">
        <v>1</v>
      </c>
      <c r="DO105">
        <v>15</v>
      </c>
      <c r="DP105">
        <v>2</v>
      </c>
      <c r="DQ105">
        <v>0</v>
      </c>
      <c r="DR105">
        <v>24</v>
      </c>
      <c r="DS105">
        <v>0</v>
      </c>
      <c r="DT105">
        <v>4</v>
      </c>
      <c r="DU105">
        <v>3</v>
      </c>
      <c r="DV105">
        <v>4</v>
      </c>
      <c r="DW105">
        <v>22</v>
      </c>
      <c r="DX105">
        <v>3</v>
      </c>
      <c r="DY105">
        <v>0</v>
      </c>
      <c r="DZ105">
        <v>0</v>
      </c>
      <c r="EA105">
        <v>0</v>
      </c>
      <c r="EB105">
        <v>5</v>
      </c>
      <c r="EC105">
        <v>0</v>
      </c>
      <c r="ED105">
        <v>3</v>
      </c>
      <c r="EE105">
        <v>0</v>
      </c>
      <c r="EF105">
        <v>0</v>
      </c>
      <c r="EG105">
        <v>1</v>
      </c>
      <c r="EH105">
        <v>1</v>
      </c>
      <c r="EI105">
        <v>3</v>
      </c>
      <c r="EJ105">
        <v>0</v>
      </c>
      <c r="EK105">
        <v>1</v>
      </c>
      <c r="EL105">
        <v>8</v>
      </c>
      <c r="EM105">
        <v>0</v>
      </c>
      <c r="EN105">
        <v>0</v>
      </c>
      <c r="EO105">
        <v>0</v>
      </c>
      <c r="EP105">
        <v>3</v>
      </c>
      <c r="EQ105">
        <v>7</v>
      </c>
      <c r="ER105">
        <v>0</v>
      </c>
      <c r="ES105">
        <v>0</v>
      </c>
      <c r="ET105">
        <v>13</v>
      </c>
      <c r="EU105">
        <v>1</v>
      </c>
      <c r="EV105">
        <v>1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0</v>
      </c>
      <c r="FF105">
        <v>16</v>
      </c>
      <c r="FG105">
        <v>43</v>
      </c>
    </row>
    <row r="106" spans="1:163" hidden="1">
      <c r="A106" t="s">
        <v>185</v>
      </c>
      <c r="B106" t="s">
        <v>185</v>
      </c>
      <c r="C106" t="s">
        <v>24</v>
      </c>
      <c r="D106" t="s">
        <v>25</v>
      </c>
      <c r="E106" t="s">
        <v>15</v>
      </c>
      <c r="F106" t="s">
        <v>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</row>
    <row r="107" spans="1:163">
      <c r="A107" t="s">
        <v>186</v>
      </c>
      <c r="B107" t="s">
        <v>186</v>
      </c>
      <c r="C107" t="s">
        <v>19</v>
      </c>
      <c r="D107" t="s">
        <v>97</v>
      </c>
      <c r="E107" t="s">
        <v>21</v>
      </c>
      <c r="F107" t="s">
        <v>16</v>
      </c>
      <c r="G107">
        <v>1</v>
      </c>
      <c r="H107">
        <v>18</v>
      </c>
      <c r="I107">
        <v>3</v>
      </c>
      <c r="J107">
        <v>3</v>
      </c>
      <c r="K107">
        <v>6</v>
      </c>
      <c r="L107">
        <v>1</v>
      </c>
      <c r="M107">
        <v>0</v>
      </c>
      <c r="N107">
        <v>1</v>
      </c>
      <c r="O107">
        <v>6</v>
      </c>
      <c r="P107">
        <v>5</v>
      </c>
      <c r="Q107">
        <v>6</v>
      </c>
      <c r="R107">
        <v>0</v>
      </c>
      <c r="S107">
        <v>5</v>
      </c>
      <c r="T107">
        <v>1</v>
      </c>
      <c r="U107">
        <v>1</v>
      </c>
      <c r="V107">
        <v>1</v>
      </c>
      <c r="W107">
        <v>41</v>
      </c>
      <c r="X107">
        <v>18</v>
      </c>
      <c r="Y107">
        <v>1</v>
      </c>
      <c r="Z107">
        <v>53</v>
      </c>
      <c r="AA107">
        <v>9</v>
      </c>
      <c r="AB107">
        <v>12</v>
      </c>
      <c r="AC107">
        <v>29</v>
      </c>
      <c r="AD107">
        <v>11</v>
      </c>
      <c r="AE107">
        <v>6</v>
      </c>
      <c r="AF107">
        <v>17</v>
      </c>
      <c r="AG107">
        <v>4</v>
      </c>
      <c r="AH107">
        <v>3</v>
      </c>
      <c r="AI107">
        <v>1</v>
      </c>
      <c r="AJ107">
        <v>18</v>
      </c>
      <c r="AK107">
        <v>31</v>
      </c>
      <c r="AL107">
        <v>32</v>
      </c>
      <c r="AM107">
        <v>8</v>
      </c>
      <c r="AN107">
        <v>3</v>
      </c>
      <c r="AO107">
        <v>5</v>
      </c>
      <c r="AP107">
        <v>15</v>
      </c>
      <c r="AQ107">
        <v>5</v>
      </c>
      <c r="AR107">
        <v>6</v>
      </c>
      <c r="AS107">
        <v>4</v>
      </c>
      <c r="AT107">
        <v>3</v>
      </c>
      <c r="AU107">
        <v>29</v>
      </c>
      <c r="AV107">
        <v>7</v>
      </c>
      <c r="AW107">
        <v>71</v>
      </c>
      <c r="AX107">
        <v>25</v>
      </c>
      <c r="AY107">
        <v>63</v>
      </c>
      <c r="AZ107">
        <v>145</v>
      </c>
      <c r="BA107">
        <v>18</v>
      </c>
      <c r="BB107">
        <v>42</v>
      </c>
      <c r="BC107">
        <v>25</v>
      </c>
      <c r="BD107">
        <v>49</v>
      </c>
      <c r="BE107">
        <v>13</v>
      </c>
      <c r="BF107">
        <v>16</v>
      </c>
      <c r="BG107">
        <v>25</v>
      </c>
      <c r="BH107">
        <v>5</v>
      </c>
      <c r="BI107">
        <v>19</v>
      </c>
      <c r="BJ107">
        <v>13</v>
      </c>
      <c r="BK107">
        <v>4</v>
      </c>
      <c r="BL107">
        <v>1</v>
      </c>
      <c r="BM107">
        <v>16</v>
      </c>
      <c r="BN107">
        <v>27</v>
      </c>
      <c r="BO107">
        <v>2</v>
      </c>
      <c r="BP107">
        <v>1</v>
      </c>
      <c r="BQ107">
        <v>0</v>
      </c>
      <c r="BR107">
        <v>13</v>
      </c>
      <c r="BS107">
        <v>6</v>
      </c>
      <c r="BT107">
        <v>9</v>
      </c>
      <c r="BU107">
        <v>0</v>
      </c>
      <c r="BV107">
        <v>1</v>
      </c>
      <c r="BW107">
        <v>1</v>
      </c>
      <c r="BX107">
        <v>9</v>
      </c>
      <c r="BY107">
        <v>6</v>
      </c>
      <c r="BZ107">
        <v>7</v>
      </c>
      <c r="CA107">
        <v>3</v>
      </c>
      <c r="CB107">
        <v>4</v>
      </c>
      <c r="CC107">
        <v>0</v>
      </c>
      <c r="CD107">
        <v>2</v>
      </c>
      <c r="CE107">
        <v>13</v>
      </c>
      <c r="CF107">
        <v>11</v>
      </c>
      <c r="CG107">
        <v>7</v>
      </c>
      <c r="CH107">
        <v>1</v>
      </c>
      <c r="CI107">
        <v>0</v>
      </c>
      <c r="CJ107">
        <v>0</v>
      </c>
      <c r="CK107">
        <v>4</v>
      </c>
      <c r="CL107">
        <v>36</v>
      </c>
      <c r="CM107">
        <v>4</v>
      </c>
      <c r="CN107">
        <v>3</v>
      </c>
      <c r="CO107">
        <v>3</v>
      </c>
      <c r="CP107">
        <v>18</v>
      </c>
      <c r="CQ107">
        <v>19</v>
      </c>
      <c r="CR107">
        <v>2</v>
      </c>
      <c r="CS107">
        <v>2</v>
      </c>
      <c r="CT107">
        <v>15</v>
      </c>
      <c r="CU107">
        <v>5</v>
      </c>
      <c r="CV107">
        <v>3</v>
      </c>
      <c r="CW107">
        <v>6</v>
      </c>
      <c r="CX107">
        <v>59</v>
      </c>
      <c r="CY107">
        <v>21</v>
      </c>
      <c r="CZ107">
        <v>12</v>
      </c>
      <c r="DA107">
        <v>5</v>
      </c>
      <c r="DB107">
        <v>93</v>
      </c>
      <c r="DC107">
        <v>39</v>
      </c>
      <c r="DD107">
        <v>23</v>
      </c>
      <c r="DE107">
        <v>2</v>
      </c>
      <c r="DF107">
        <v>97</v>
      </c>
      <c r="DG107">
        <v>134</v>
      </c>
      <c r="DH107">
        <v>15</v>
      </c>
      <c r="DI107">
        <v>4</v>
      </c>
      <c r="DJ107">
        <v>16</v>
      </c>
      <c r="DK107">
        <v>2</v>
      </c>
      <c r="DL107">
        <v>186</v>
      </c>
      <c r="DM107">
        <v>46</v>
      </c>
      <c r="DN107">
        <v>41</v>
      </c>
      <c r="DO107">
        <v>76</v>
      </c>
      <c r="DP107">
        <v>12</v>
      </c>
      <c r="DQ107">
        <v>62</v>
      </c>
      <c r="DR107">
        <v>55</v>
      </c>
      <c r="DS107">
        <v>5</v>
      </c>
      <c r="DT107">
        <v>0</v>
      </c>
      <c r="DU107">
        <v>0</v>
      </c>
      <c r="DV107">
        <v>17</v>
      </c>
      <c r="DW107">
        <v>75</v>
      </c>
      <c r="DX107">
        <v>24</v>
      </c>
      <c r="DY107">
        <v>2</v>
      </c>
      <c r="DZ107">
        <v>0</v>
      </c>
      <c r="EA107">
        <v>15</v>
      </c>
      <c r="EB107">
        <v>12</v>
      </c>
      <c r="EC107">
        <v>2</v>
      </c>
      <c r="ED107">
        <v>1</v>
      </c>
      <c r="EE107">
        <v>0</v>
      </c>
      <c r="EF107">
        <v>1</v>
      </c>
      <c r="EG107">
        <v>2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O107">
        <v>0</v>
      </c>
      <c r="EP107">
        <v>1</v>
      </c>
      <c r="EQ107">
        <v>2</v>
      </c>
      <c r="ER107">
        <v>2</v>
      </c>
      <c r="ES107">
        <v>9</v>
      </c>
      <c r="ET107">
        <v>3</v>
      </c>
      <c r="EU107">
        <v>28</v>
      </c>
      <c r="EV107">
        <v>12</v>
      </c>
      <c r="EW107">
        <v>69</v>
      </c>
      <c r="EX107">
        <v>24</v>
      </c>
      <c r="EY107">
        <v>0</v>
      </c>
      <c r="EZ107">
        <v>11</v>
      </c>
      <c r="FA107">
        <v>14</v>
      </c>
      <c r="FB107">
        <v>0</v>
      </c>
      <c r="FC107">
        <v>11</v>
      </c>
      <c r="FD107">
        <v>8</v>
      </c>
      <c r="FE107">
        <v>2</v>
      </c>
      <c r="FF107">
        <v>0</v>
      </c>
      <c r="FG107">
        <v>27</v>
      </c>
    </row>
    <row r="108" spans="1:163" hidden="1">
      <c r="A108" t="s">
        <v>187</v>
      </c>
      <c r="B108" t="s">
        <v>187</v>
      </c>
      <c r="C108" t="s">
        <v>9</v>
      </c>
      <c r="D108" t="s">
        <v>10</v>
      </c>
      <c r="E108" t="s">
        <v>11</v>
      </c>
      <c r="F108" t="s">
        <v>16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</row>
    <row r="109" spans="1:163">
      <c r="A109" t="s">
        <v>188</v>
      </c>
      <c r="B109" t="s">
        <v>188</v>
      </c>
      <c r="C109" t="s">
        <v>165</v>
      </c>
      <c r="D109" t="s">
        <v>166</v>
      </c>
      <c r="E109" t="s">
        <v>21</v>
      </c>
      <c r="F109" t="s">
        <v>16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</row>
    <row r="110" spans="1:163" hidden="1">
      <c r="A110" t="s">
        <v>189</v>
      </c>
      <c r="B110" t="s">
        <v>190</v>
      </c>
      <c r="C110" t="s">
        <v>19</v>
      </c>
      <c r="D110" t="s">
        <v>20</v>
      </c>
      <c r="E110" t="s">
        <v>15</v>
      </c>
      <c r="F110" t="s">
        <v>16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2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2</v>
      </c>
      <c r="FG110">
        <v>0</v>
      </c>
    </row>
    <row r="111" spans="1:163" hidden="1">
      <c r="A111" t="s">
        <v>166</v>
      </c>
      <c r="B111" t="s">
        <v>166</v>
      </c>
      <c r="C111" t="s">
        <v>165</v>
      </c>
      <c r="D111" t="s">
        <v>166</v>
      </c>
      <c r="E111" t="s">
        <v>28</v>
      </c>
      <c r="F111" t="s">
        <v>29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1</v>
      </c>
      <c r="BG111">
        <v>1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1</v>
      </c>
      <c r="BW111">
        <v>0</v>
      </c>
      <c r="BX111">
        <v>1</v>
      </c>
      <c r="BY111">
        <v>1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1</v>
      </c>
      <c r="CT111">
        <v>1</v>
      </c>
      <c r="CU111">
        <v>0</v>
      </c>
      <c r="CV111">
        <v>1</v>
      </c>
      <c r="CW111">
        <v>0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</v>
      </c>
      <c r="DQ111">
        <v>1</v>
      </c>
      <c r="DR111">
        <v>1</v>
      </c>
      <c r="DS111">
        <v>1</v>
      </c>
      <c r="DT111">
        <v>0</v>
      </c>
      <c r="DU111">
        <v>1</v>
      </c>
      <c r="DV111">
        <v>1</v>
      </c>
      <c r="DW111">
        <v>1</v>
      </c>
      <c r="DX111">
        <v>0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1</v>
      </c>
      <c r="EV111">
        <v>0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1</v>
      </c>
      <c r="FC111">
        <v>1</v>
      </c>
      <c r="FD111">
        <v>0</v>
      </c>
      <c r="FE111">
        <v>0</v>
      </c>
      <c r="FF111">
        <v>1</v>
      </c>
      <c r="FG111">
        <v>1</v>
      </c>
    </row>
    <row r="112" spans="1:163" hidden="1">
      <c r="A112" t="s">
        <v>191</v>
      </c>
      <c r="B112" t="s">
        <v>192</v>
      </c>
      <c r="C112" t="s">
        <v>19</v>
      </c>
      <c r="D112" t="s">
        <v>193</v>
      </c>
      <c r="E112" t="s">
        <v>42</v>
      </c>
      <c r="F112" t="s">
        <v>42</v>
      </c>
      <c r="G112">
        <v>0</v>
      </c>
      <c r="H112">
        <v>1</v>
      </c>
      <c r="I112">
        <v>1</v>
      </c>
      <c r="J112">
        <v>1</v>
      </c>
      <c r="K112">
        <v>4</v>
      </c>
      <c r="L112">
        <v>0</v>
      </c>
      <c r="M112">
        <v>1</v>
      </c>
      <c r="N112">
        <v>0</v>
      </c>
      <c r="O112">
        <v>3</v>
      </c>
      <c r="P112">
        <v>0</v>
      </c>
      <c r="Q112">
        <v>6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14</v>
      </c>
      <c r="X112">
        <v>8</v>
      </c>
      <c r="Y112">
        <v>7</v>
      </c>
      <c r="Z112">
        <v>3</v>
      </c>
      <c r="AA112">
        <v>1</v>
      </c>
      <c r="AB112">
        <v>4</v>
      </c>
      <c r="AC112">
        <v>2</v>
      </c>
      <c r="AD112">
        <v>6</v>
      </c>
      <c r="AE112">
        <v>3</v>
      </c>
      <c r="AF112">
        <v>2</v>
      </c>
      <c r="AG112">
        <v>12</v>
      </c>
      <c r="AH112">
        <v>0</v>
      </c>
      <c r="AI112">
        <v>0</v>
      </c>
      <c r="AJ112">
        <v>1</v>
      </c>
      <c r="AK112">
        <v>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12</v>
      </c>
      <c r="AX112">
        <v>7</v>
      </c>
      <c r="AY112">
        <v>5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4</v>
      </c>
      <c r="BJ112">
        <v>2</v>
      </c>
      <c r="BK112">
        <v>0</v>
      </c>
      <c r="BL112">
        <v>2</v>
      </c>
      <c r="BM112">
        <v>3</v>
      </c>
      <c r="BN112">
        <v>9</v>
      </c>
      <c r="BO112">
        <v>12</v>
      </c>
      <c r="BP112">
        <v>4</v>
      </c>
      <c r="BQ112">
        <v>0</v>
      </c>
      <c r="BR112">
        <v>8</v>
      </c>
      <c r="BS112">
        <v>7</v>
      </c>
      <c r="BT112">
        <v>6</v>
      </c>
      <c r="BU112">
        <v>0</v>
      </c>
      <c r="BV112">
        <v>0</v>
      </c>
      <c r="BW112">
        <v>9</v>
      </c>
      <c r="BX112">
        <v>7</v>
      </c>
      <c r="BY112">
        <v>3</v>
      </c>
      <c r="BZ112">
        <v>3</v>
      </c>
      <c r="CA112">
        <v>7</v>
      </c>
      <c r="CB112">
        <v>4</v>
      </c>
      <c r="CC112">
        <v>1</v>
      </c>
      <c r="CD112">
        <v>5</v>
      </c>
      <c r="CE112">
        <v>1</v>
      </c>
      <c r="CF112">
        <v>2</v>
      </c>
      <c r="CG112">
        <v>1</v>
      </c>
      <c r="CH112">
        <v>9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1</v>
      </c>
      <c r="CP112">
        <v>3</v>
      </c>
      <c r="CQ112">
        <v>2</v>
      </c>
      <c r="CR112">
        <v>0</v>
      </c>
      <c r="CS112">
        <v>5</v>
      </c>
      <c r="CT112">
        <v>1</v>
      </c>
      <c r="CU112">
        <v>4</v>
      </c>
      <c r="CV112">
        <v>0</v>
      </c>
      <c r="CW112">
        <v>4</v>
      </c>
      <c r="CX112">
        <v>0</v>
      </c>
      <c r="CY112">
        <v>0</v>
      </c>
      <c r="CZ112">
        <v>3</v>
      </c>
      <c r="DA112">
        <v>1</v>
      </c>
      <c r="DB112">
        <v>0</v>
      </c>
      <c r="DC112">
        <v>3</v>
      </c>
      <c r="DD112">
        <v>1</v>
      </c>
      <c r="DE112">
        <v>0</v>
      </c>
      <c r="DF112">
        <v>1</v>
      </c>
      <c r="DG112">
        <v>2</v>
      </c>
      <c r="DH112">
        <v>7</v>
      </c>
      <c r="DI112">
        <v>1</v>
      </c>
      <c r="DJ112">
        <v>0</v>
      </c>
      <c r="DK112">
        <v>0</v>
      </c>
      <c r="DL112">
        <v>0</v>
      </c>
      <c r="DM112">
        <v>4</v>
      </c>
      <c r="DN112">
        <v>1</v>
      </c>
      <c r="DO112">
        <v>2</v>
      </c>
      <c r="DP112">
        <v>0</v>
      </c>
      <c r="DQ112">
        <v>5</v>
      </c>
      <c r="DR112">
        <v>1</v>
      </c>
      <c r="DS112">
        <v>3</v>
      </c>
      <c r="DT112">
        <v>1</v>
      </c>
      <c r="DU112">
        <v>0</v>
      </c>
      <c r="DV112">
        <v>2</v>
      </c>
      <c r="DW112">
        <v>5</v>
      </c>
      <c r="DX112">
        <v>0</v>
      </c>
      <c r="DY112">
        <v>0</v>
      </c>
      <c r="DZ112">
        <v>0</v>
      </c>
      <c r="EA112">
        <v>0</v>
      </c>
      <c r="EB112">
        <v>2</v>
      </c>
      <c r="EC112">
        <v>3</v>
      </c>
      <c r="ED112">
        <v>0</v>
      </c>
      <c r="EE112">
        <v>0</v>
      </c>
      <c r="EF112">
        <v>0</v>
      </c>
      <c r="EG112">
        <v>3</v>
      </c>
      <c r="EH112">
        <v>0</v>
      </c>
      <c r="EI112">
        <v>1</v>
      </c>
      <c r="EJ112">
        <v>1</v>
      </c>
      <c r="EK112">
        <v>3</v>
      </c>
      <c r="EL112">
        <v>0</v>
      </c>
      <c r="EM112">
        <v>1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4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3</v>
      </c>
      <c r="FA112">
        <v>1</v>
      </c>
      <c r="FB112">
        <v>0</v>
      </c>
      <c r="FC112">
        <v>0</v>
      </c>
      <c r="FD112">
        <v>0</v>
      </c>
      <c r="FE112">
        <v>2</v>
      </c>
      <c r="FF112">
        <v>1</v>
      </c>
      <c r="FG112">
        <v>2</v>
      </c>
    </row>
    <row r="113" spans="1:163" hidden="1">
      <c r="A113" t="s">
        <v>194</v>
      </c>
      <c r="B113" t="s">
        <v>195</v>
      </c>
      <c r="C113" t="s">
        <v>9</v>
      </c>
      <c r="D113" t="s">
        <v>10</v>
      </c>
      <c r="E113" t="s">
        <v>11</v>
      </c>
      <c r="F113" t="s">
        <v>16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</row>
    <row r="114" spans="1:163">
      <c r="A114" t="s">
        <v>196</v>
      </c>
      <c r="B114" t="s">
        <v>197</v>
      </c>
      <c r="C114" t="s">
        <v>24</v>
      </c>
      <c r="D114" t="s">
        <v>25</v>
      </c>
      <c r="E114" t="s">
        <v>21</v>
      </c>
      <c r="F114" t="s">
        <v>16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</row>
    <row r="115" spans="1:163">
      <c r="A115" t="s">
        <v>198</v>
      </c>
      <c r="B115" t="s">
        <v>198</v>
      </c>
      <c r="C115" t="s">
        <v>24</v>
      </c>
      <c r="D115" t="s">
        <v>25</v>
      </c>
      <c r="E115" t="s">
        <v>21</v>
      </c>
      <c r="F115" t="s">
        <v>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</row>
    <row r="116" spans="1:163">
      <c r="A116" t="s">
        <v>199</v>
      </c>
      <c r="B116" t="s">
        <v>199</v>
      </c>
      <c r="C116" t="s">
        <v>24</v>
      </c>
      <c r="D116" t="s">
        <v>25</v>
      </c>
      <c r="E116" t="s">
        <v>21</v>
      </c>
      <c r="F116" t="s">
        <v>16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3</v>
      </c>
      <c r="Q116">
        <v>4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4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</row>
    <row r="117" spans="1:163">
      <c r="A117" t="s">
        <v>200</v>
      </c>
      <c r="B117" t="s">
        <v>200</v>
      </c>
      <c r="C117" t="s">
        <v>24</v>
      </c>
      <c r="D117" t="s">
        <v>25</v>
      </c>
      <c r="E117" t="s">
        <v>21</v>
      </c>
      <c r="F117" t="s">
        <v>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</row>
    <row r="118" spans="1:163" hidden="1">
      <c r="A118" t="s">
        <v>201</v>
      </c>
      <c r="B118" t="s">
        <v>202</v>
      </c>
      <c r="C118" t="s">
        <v>19</v>
      </c>
      <c r="D118" t="s">
        <v>97</v>
      </c>
      <c r="E118" t="s">
        <v>15</v>
      </c>
      <c r="F118" t="s">
        <v>26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</row>
    <row r="119" spans="1:163" hidden="1">
      <c r="A119" t="s">
        <v>203</v>
      </c>
      <c r="B119" t="s">
        <v>203</v>
      </c>
      <c r="C119" t="s">
        <v>19</v>
      </c>
      <c r="D119" t="s">
        <v>20</v>
      </c>
      <c r="E119" t="s">
        <v>15</v>
      </c>
      <c r="F119" t="s">
        <v>16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7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3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5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0</v>
      </c>
      <c r="BQ119">
        <v>1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1</v>
      </c>
      <c r="CA119">
        <v>0</v>
      </c>
      <c r="CB119">
        <v>1</v>
      </c>
      <c r="CC119">
        <v>0</v>
      </c>
      <c r="CD119">
        <v>3</v>
      </c>
      <c r="CE119">
        <v>0</v>
      </c>
      <c r="CF119">
        <v>0</v>
      </c>
      <c r="CG119">
        <v>0</v>
      </c>
      <c r="CH119">
        <v>2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0</v>
      </c>
      <c r="DK119">
        <v>1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2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0</v>
      </c>
      <c r="FG119">
        <v>2</v>
      </c>
    </row>
    <row r="120" spans="1:163" hidden="1">
      <c r="A120" t="s">
        <v>204</v>
      </c>
      <c r="B120" t="s">
        <v>204</v>
      </c>
      <c r="C120" t="s">
        <v>24</v>
      </c>
      <c r="D120" t="s">
        <v>25</v>
      </c>
      <c r="E120" t="s">
        <v>46</v>
      </c>
      <c r="F120" t="s">
        <v>16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4</v>
      </c>
      <c r="AG120">
        <v>0</v>
      </c>
      <c r="AH120">
        <v>4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8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</row>
    <row r="121" spans="1:163" hidden="1">
      <c r="A121" t="s">
        <v>205</v>
      </c>
      <c r="B121" t="s">
        <v>205</v>
      </c>
      <c r="C121" t="s">
        <v>9</v>
      </c>
      <c r="D121" t="s">
        <v>10</v>
      </c>
      <c r="E121" t="s">
        <v>15</v>
      </c>
      <c r="F121" t="s">
        <v>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</row>
    <row r="122" spans="1:163">
      <c r="A122" t="s">
        <v>206</v>
      </c>
      <c r="B122" t="s">
        <v>207</v>
      </c>
      <c r="C122" t="s">
        <v>65</v>
      </c>
      <c r="D122" t="s">
        <v>208</v>
      </c>
      <c r="E122" t="s">
        <v>21</v>
      </c>
      <c r="F122" t="s">
        <v>16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</row>
    <row r="123" spans="1:163" hidden="1">
      <c r="A123" t="s">
        <v>209</v>
      </c>
      <c r="B123" t="s">
        <v>209</v>
      </c>
      <c r="C123" t="s">
        <v>19</v>
      </c>
      <c r="D123" t="s">
        <v>20</v>
      </c>
      <c r="E123" t="s">
        <v>145</v>
      </c>
      <c r="F123" t="s">
        <v>16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</row>
    <row r="124" spans="1:163" hidden="1">
      <c r="A124" t="s">
        <v>210</v>
      </c>
      <c r="B124" t="s">
        <v>210</v>
      </c>
      <c r="C124" t="s">
        <v>19</v>
      </c>
      <c r="D124" t="s">
        <v>20</v>
      </c>
      <c r="E124" t="s">
        <v>145</v>
      </c>
      <c r="F124" t="s">
        <v>16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</row>
    <row r="125" spans="1:163" hidden="1">
      <c r="A125" t="s">
        <v>211</v>
      </c>
      <c r="B125" t="s">
        <v>211</v>
      </c>
      <c r="C125" t="s">
        <v>165</v>
      </c>
      <c r="D125" t="s">
        <v>212</v>
      </c>
      <c r="E125" t="s">
        <v>46</v>
      </c>
      <c r="F125" t="s">
        <v>16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</row>
    <row r="126" spans="1:163" hidden="1">
      <c r="A126" t="s">
        <v>213</v>
      </c>
      <c r="B126" t="s">
        <v>213</v>
      </c>
      <c r="C126" t="s">
        <v>165</v>
      </c>
      <c r="D126" t="s">
        <v>212</v>
      </c>
      <c r="E126" t="s">
        <v>46</v>
      </c>
      <c r="F126" t="s">
        <v>16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2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</row>
    <row r="127" spans="1:163" hidden="1">
      <c r="A127" t="s">
        <v>214</v>
      </c>
      <c r="B127" t="s">
        <v>215</v>
      </c>
      <c r="C127" t="s">
        <v>24</v>
      </c>
      <c r="D127" t="s">
        <v>25</v>
      </c>
      <c r="E127" t="s">
        <v>42</v>
      </c>
      <c r="F127" t="s">
        <v>42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3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2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2</v>
      </c>
      <c r="AL127">
        <v>0</v>
      </c>
      <c r="AM127">
        <v>0</v>
      </c>
      <c r="AN127">
        <v>6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3</v>
      </c>
      <c r="BG127">
        <v>0</v>
      </c>
      <c r="BH127">
        <v>0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7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2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4</v>
      </c>
      <c r="FD127">
        <v>0</v>
      </c>
      <c r="FE127">
        <v>0</v>
      </c>
      <c r="FF127">
        <v>0</v>
      </c>
      <c r="FG127">
        <v>4</v>
      </c>
    </row>
    <row r="128" spans="1:163" hidden="1">
      <c r="A128" t="s">
        <v>216</v>
      </c>
      <c r="B128" t="s">
        <v>217</v>
      </c>
      <c r="C128" t="s">
        <v>19</v>
      </c>
      <c r="D128" t="s">
        <v>20</v>
      </c>
      <c r="E128" t="s">
        <v>15</v>
      </c>
      <c r="F128" t="s">
        <v>16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</row>
    <row r="129" spans="1:163">
      <c r="A129" t="s">
        <v>218</v>
      </c>
      <c r="B129" t="s">
        <v>218</v>
      </c>
      <c r="C129" t="s">
        <v>19</v>
      </c>
      <c r="D129" t="s">
        <v>97</v>
      </c>
      <c r="E129" t="s">
        <v>21</v>
      </c>
      <c r="F129" t="s">
        <v>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</row>
    <row r="130" spans="1:163" hidden="1">
      <c r="A130" t="s">
        <v>219</v>
      </c>
      <c r="B130" t="s">
        <v>219</v>
      </c>
      <c r="C130" t="s">
        <v>19</v>
      </c>
      <c r="D130" t="s">
        <v>97</v>
      </c>
      <c r="E130" t="s">
        <v>15</v>
      </c>
      <c r="F130" t="s">
        <v>26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</row>
    <row r="131" spans="1:163" hidden="1">
      <c r="A131" t="s">
        <v>220</v>
      </c>
      <c r="B131" t="s">
        <v>220</v>
      </c>
      <c r="C131" t="s">
        <v>19</v>
      </c>
      <c r="D131" t="s">
        <v>97</v>
      </c>
      <c r="E131" t="s">
        <v>15</v>
      </c>
      <c r="F131" t="s">
        <v>26</v>
      </c>
      <c r="G131">
        <v>0</v>
      </c>
      <c r="H131">
        <v>4</v>
      </c>
      <c r="I131">
        <v>0</v>
      </c>
      <c r="J131">
        <v>0</v>
      </c>
      <c r="K131">
        <v>1</v>
      </c>
      <c r="L131">
        <v>45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1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11</v>
      </c>
      <c r="CY131">
        <v>0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</row>
    <row r="132" spans="1:163" hidden="1">
      <c r="A132" t="s">
        <v>221</v>
      </c>
      <c r="B132" t="s">
        <v>221</v>
      </c>
      <c r="C132" t="s">
        <v>24</v>
      </c>
      <c r="D132" t="s">
        <v>25</v>
      </c>
      <c r="E132" t="s">
        <v>15</v>
      </c>
      <c r="F132" t="s">
        <v>26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</row>
    <row r="133" spans="1:163" hidden="1">
      <c r="A133" t="s">
        <v>222</v>
      </c>
      <c r="B133" t="s">
        <v>222</v>
      </c>
      <c r="C133" t="s">
        <v>19</v>
      </c>
      <c r="D133" t="s">
        <v>20</v>
      </c>
      <c r="E133" t="s">
        <v>145</v>
      </c>
      <c r="F133" t="s">
        <v>16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3</v>
      </c>
      <c r="CX133">
        <v>3</v>
      </c>
      <c r="CY133">
        <v>2</v>
      </c>
      <c r="CZ133">
        <v>6</v>
      </c>
      <c r="DA133">
        <v>1</v>
      </c>
      <c r="DB133">
        <v>2</v>
      </c>
      <c r="DC133">
        <v>2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2</v>
      </c>
      <c r="DM133">
        <v>1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</row>
    <row r="134" spans="1:163" hidden="1">
      <c r="A134" t="s">
        <v>223</v>
      </c>
      <c r="B134" t="s">
        <v>223</v>
      </c>
      <c r="C134" t="s">
        <v>19</v>
      </c>
      <c r="D134" t="s">
        <v>20</v>
      </c>
      <c r="E134" t="s">
        <v>145</v>
      </c>
      <c r="F134" t="s">
        <v>16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2</v>
      </c>
      <c r="X134">
        <v>2</v>
      </c>
      <c r="Y134">
        <v>1</v>
      </c>
      <c r="Z134">
        <v>0</v>
      </c>
      <c r="AA134">
        <v>2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2</v>
      </c>
      <c r="AJ134">
        <v>3</v>
      </c>
      <c r="AK134">
        <v>3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3</v>
      </c>
      <c r="BE134">
        <v>0</v>
      </c>
      <c r="BF134">
        <v>3</v>
      </c>
      <c r="BG134">
        <v>1</v>
      </c>
      <c r="BH134">
        <v>0</v>
      </c>
      <c r="BI134">
        <v>4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4</v>
      </c>
      <c r="BP134">
        <v>0</v>
      </c>
      <c r="BQ134">
        <v>0</v>
      </c>
      <c r="BR134">
        <v>0</v>
      </c>
      <c r="BS134">
        <v>1</v>
      </c>
      <c r="BT134">
        <v>2</v>
      </c>
      <c r="BU134">
        <v>0</v>
      </c>
      <c r="BV134">
        <v>0</v>
      </c>
      <c r="BW134">
        <v>0</v>
      </c>
      <c r="BX134">
        <v>0</v>
      </c>
      <c r="BY134">
        <v>2</v>
      </c>
      <c r="BZ134">
        <v>0</v>
      </c>
      <c r="CA134">
        <v>1</v>
      </c>
      <c r="CB134">
        <v>0</v>
      </c>
      <c r="CC134">
        <v>0</v>
      </c>
      <c r="CD134">
        <v>1</v>
      </c>
      <c r="CE134">
        <v>1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</v>
      </c>
      <c r="DE134">
        <v>1</v>
      </c>
      <c r="DF134">
        <v>3</v>
      </c>
      <c r="DG134">
        <v>0</v>
      </c>
      <c r="DH134">
        <v>1</v>
      </c>
      <c r="DI134">
        <v>1</v>
      </c>
      <c r="DJ134">
        <v>1</v>
      </c>
      <c r="DK134">
        <v>0</v>
      </c>
      <c r="DL134">
        <v>0</v>
      </c>
      <c r="DM134">
        <v>2</v>
      </c>
      <c r="DN134">
        <v>1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1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2</v>
      </c>
      <c r="FD134">
        <v>0</v>
      </c>
      <c r="FE134">
        <v>0</v>
      </c>
      <c r="FF134">
        <v>0</v>
      </c>
      <c r="FG134">
        <v>1</v>
      </c>
    </row>
    <row r="135" spans="1:163" hidden="1">
      <c r="A135" t="s">
        <v>224</v>
      </c>
      <c r="B135" t="s">
        <v>224</v>
      </c>
      <c r="C135" t="s">
        <v>19</v>
      </c>
      <c r="D135" t="s">
        <v>20</v>
      </c>
      <c r="E135" t="s">
        <v>145</v>
      </c>
      <c r="F135" t="s">
        <v>16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5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4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</v>
      </c>
      <c r="EU135">
        <v>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</row>
    <row r="136" spans="1:163" hidden="1">
      <c r="A136" t="s">
        <v>225</v>
      </c>
      <c r="B136" t="s">
        <v>225</v>
      </c>
      <c r="C136" t="s">
        <v>19</v>
      </c>
      <c r="D136" t="s">
        <v>20</v>
      </c>
      <c r="E136" t="s">
        <v>145</v>
      </c>
      <c r="F136" t="s">
        <v>16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0</v>
      </c>
      <c r="AW136">
        <v>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1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0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2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</row>
    <row r="137" spans="1:163" hidden="1">
      <c r="A137" t="s">
        <v>226</v>
      </c>
      <c r="B137" t="s">
        <v>227</v>
      </c>
      <c r="C137" t="s">
        <v>19</v>
      </c>
      <c r="D137" t="s">
        <v>20</v>
      </c>
      <c r="E137" t="s">
        <v>145</v>
      </c>
      <c r="F137" t="s">
        <v>12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</row>
    <row r="138" spans="1:163" hidden="1">
      <c r="A138" t="s">
        <v>228</v>
      </c>
      <c r="B138" t="s">
        <v>229</v>
      </c>
      <c r="C138" t="s">
        <v>19</v>
      </c>
      <c r="D138" t="s">
        <v>20</v>
      </c>
      <c r="E138" t="s">
        <v>145</v>
      </c>
      <c r="F138" t="s">
        <v>16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3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</row>
    <row r="139" spans="1:163" hidden="1">
      <c r="A139" t="s">
        <v>230</v>
      </c>
      <c r="B139" t="s">
        <v>231</v>
      </c>
      <c r="C139" t="s">
        <v>9</v>
      </c>
      <c r="D139" t="s">
        <v>10</v>
      </c>
      <c r="E139" t="s">
        <v>11</v>
      </c>
      <c r="F139" t="s">
        <v>12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</row>
    <row r="140" spans="1:163" hidden="1">
      <c r="A140" t="s">
        <v>232</v>
      </c>
      <c r="B140" t="s">
        <v>232</v>
      </c>
      <c r="C140" t="s">
        <v>24</v>
      </c>
      <c r="D140" t="s">
        <v>25</v>
      </c>
      <c r="E140" t="s">
        <v>46</v>
      </c>
      <c r="F140" t="s">
        <v>26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</row>
    <row r="141" spans="1:163" hidden="1">
      <c r="A141" t="s">
        <v>233</v>
      </c>
      <c r="B141" t="s">
        <v>234</v>
      </c>
      <c r="C141" t="s">
        <v>24</v>
      </c>
      <c r="D141" t="s">
        <v>25</v>
      </c>
      <c r="E141" t="s">
        <v>15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</row>
    <row r="142" spans="1:163">
      <c r="A142" t="s">
        <v>235</v>
      </c>
      <c r="B142" t="s">
        <v>235</v>
      </c>
      <c r="C142" t="s">
        <v>19</v>
      </c>
      <c r="D142" t="s">
        <v>97</v>
      </c>
      <c r="E142" t="s">
        <v>21</v>
      </c>
      <c r="F142" t="s">
        <v>16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</row>
    <row r="143" spans="1:163" hidden="1">
      <c r="A143" t="s">
        <v>236</v>
      </c>
      <c r="B143" t="s">
        <v>236</v>
      </c>
      <c r="C143" t="s">
        <v>19</v>
      </c>
      <c r="D143" t="s">
        <v>20</v>
      </c>
      <c r="E143" t="s">
        <v>11</v>
      </c>
      <c r="F143" t="s">
        <v>16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2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</row>
    <row r="144" spans="1:163">
      <c r="A144" t="s">
        <v>237</v>
      </c>
      <c r="B144" t="s">
        <v>238</v>
      </c>
      <c r="C144" t="s">
        <v>40</v>
      </c>
      <c r="D144" t="s">
        <v>41</v>
      </c>
      <c r="E144" t="s">
        <v>21</v>
      </c>
      <c r="F144" t="s">
        <v>16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1</v>
      </c>
      <c r="AU144">
        <v>3</v>
      </c>
      <c r="AV144">
        <v>2</v>
      </c>
      <c r="AW144">
        <v>4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2</v>
      </c>
      <c r="BT144">
        <v>4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6</v>
      </c>
      <c r="CR144">
        <v>0</v>
      </c>
      <c r="CS144">
        <v>2</v>
      </c>
      <c r="CT144">
        <v>4</v>
      </c>
      <c r="CU144">
        <v>0</v>
      </c>
      <c r="CV144">
        <v>5</v>
      </c>
      <c r="CW144">
        <v>0</v>
      </c>
      <c r="CX144">
        <v>3</v>
      </c>
      <c r="CY144">
        <v>0</v>
      </c>
      <c r="CZ144">
        <v>7</v>
      </c>
      <c r="DA144">
        <v>0</v>
      </c>
      <c r="DB144">
        <v>1</v>
      </c>
      <c r="DC144">
        <v>2</v>
      </c>
      <c r="DD144">
        <v>6</v>
      </c>
      <c r="DE144">
        <v>9</v>
      </c>
      <c r="DF144">
        <v>5</v>
      </c>
      <c r="DG144">
        <v>2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</row>
    <row r="145" spans="1:163">
      <c r="A145" t="s">
        <v>239</v>
      </c>
      <c r="B145" t="s">
        <v>240</v>
      </c>
      <c r="C145" t="s">
        <v>40</v>
      </c>
      <c r="D145" t="s">
        <v>41</v>
      </c>
      <c r="E145" t="s">
        <v>21</v>
      </c>
      <c r="F145" t="s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</row>
    <row r="146" spans="1:163">
      <c r="A146" t="s">
        <v>241</v>
      </c>
      <c r="B146" t="s">
        <v>242</v>
      </c>
      <c r="C146" t="s">
        <v>40</v>
      </c>
      <c r="D146" t="s">
        <v>41</v>
      </c>
      <c r="E146" t="s">
        <v>21</v>
      </c>
      <c r="F146" t="s">
        <v>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2</v>
      </c>
      <c r="BX146">
        <v>0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6</v>
      </c>
      <c r="CE146">
        <v>4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6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4</v>
      </c>
      <c r="DH146">
        <v>1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15</v>
      </c>
      <c r="DQ146">
        <v>1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</row>
    <row r="147" spans="1:163" hidden="1">
      <c r="A147" t="s">
        <v>243</v>
      </c>
      <c r="B147" t="s">
        <v>243</v>
      </c>
      <c r="C147" t="s">
        <v>165</v>
      </c>
      <c r="D147" t="s">
        <v>166</v>
      </c>
      <c r="E147" t="s">
        <v>15</v>
      </c>
      <c r="F147" t="s">
        <v>16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</row>
    <row r="148" spans="1:163">
      <c r="A148" t="s">
        <v>244</v>
      </c>
      <c r="B148" t="s">
        <v>245</v>
      </c>
      <c r="C148" t="s">
        <v>19</v>
      </c>
      <c r="D148" t="s">
        <v>97</v>
      </c>
      <c r="E148" t="s">
        <v>21</v>
      </c>
      <c r="F148" t="s">
        <v>16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</row>
    <row r="149" spans="1:163">
      <c r="A149" t="s">
        <v>246</v>
      </c>
      <c r="B149" t="s">
        <v>246</v>
      </c>
      <c r="C149" t="s">
        <v>19</v>
      </c>
      <c r="D149" t="s">
        <v>97</v>
      </c>
      <c r="E149" t="s">
        <v>21</v>
      </c>
      <c r="F149" t="s">
        <v>16</v>
      </c>
      <c r="G149">
        <v>0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2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2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3</v>
      </c>
      <c r="EQ149">
        <v>1</v>
      </c>
      <c r="ER149">
        <v>0</v>
      </c>
      <c r="ES149">
        <v>5</v>
      </c>
      <c r="ET149">
        <v>0</v>
      </c>
      <c r="EU149">
        <v>2</v>
      </c>
      <c r="EV149">
        <v>2</v>
      </c>
      <c r="EW149">
        <v>25</v>
      </c>
      <c r="EX149">
        <v>19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</v>
      </c>
      <c r="FG149">
        <v>0</v>
      </c>
    </row>
    <row r="150" spans="1:163">
      <c r="A150" t="s">
        <v>247</v>
      </c>
      <c r="B150" t="s">
        <v>246</v>
      </c>
      <c r="C150" t="s">
        <v>19</v>
      </c>
      <c r="D150" t="s">
        <v>97</v>
      </c>
      <c r="E150" t="s">
        <v>21</v>
      </c>
      <c r="F150" t="s">
        <v>16</v>
      </c>
      <c r="G150">
        <v>0</v>
      </c>
      <c r="H150">
        <v>5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7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</row>
    <row r="151" spans="1:163">
      <c r="A151" t="s">
        <v>248</v>
      </c>
      <c r="B151" t="s">
        <v>249</v>
      </c>
      <c r="C151" t="s">
        <v>19</v>
      </c>
      <c r="D151" t="s">
        <v>97</v>
      </c>
      <c r="E151" t="s">
        <v>21</v>
      </c>
      <c r="F151" t="s">
        <v>16</v>
      </c>
      <c r="G151">
        <v>0</v>
      </c>
      <c r="H151">
        <v>13</v>
      </c>
      <c r="I151">
        <v>1</v>
      </c>
      <c r="J151">
        <v>0</v>
      </c>
      <c r="K151">
        <v>3</v>
      </c>
      <c r="L151">
        <v>2</v>
      </c>
      <c r="M151">
        <v>0</v>
      </c>
      <c r="N151">
        <v>2</v>
      </c>
      <c r="O151">
        <v>0</v>
      </c>
      <c r="P151">
        <v>0</v>
      </c>
      <c r="Q151">
        <v>7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7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2</v>
      </c>
      <c r="AF151">
        <v>11</v>
      </c>
      <c r="AG151">
        <v>1</v>
      </c>
      <c r="AH151">
        <v>0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1</v>
      </c>
      <c r="AQ151">
        <v>0</v>
      </c>
      <c r="AR151">
        <v>2</v>
      </c>
      <c r="AS151">
        <v>0</v>
      </c>
      <c r="AT151">
        <v>1</v>
      </c>
      <c r="AU151">
        <v>0</v>
      </c>
      <c r="AV151">
        <v>0</v>
      </c>
      <c r="AW151">
        <v>19</v>
      </c>
      <c r="AX151">
        <v>0</v>
      </c>
      <c r="AY151">
        <v>5</v>
      </c>
      <c r="AZ151">
        <v>76</v>
      </c>
      <c r="BA151">
        <v>2</v>
      </c>
      <c r="BB151">
        <v>7</v>
      </c>
      <c r="BC151">
        <v>2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3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3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4</v>
      </c>
      <c r="DA151">
        <v>0</v>
      </c>
      <c r="DB151">
        <v>1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0</v>
      </c>
      <c r="DK151">
        <v>2</v>
      </c>
      <c r="DL151">
        <v>0</v>
      </c>
      <c r="DM151">
        <v>1</v>
      </c>
      <c r="DN151">
        <v>0</v>
      </c>
      <c r="DO151">
        <v>3</v>
      </c>
      <c r="DP151">
        <v>0</v>
      </c>
      <c r="DQ151">
        <v>1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3</v>
      </c>
      <c r="DX151">
        <v>0</v>
      </c>
      <c r="DY151">
        <v>6</v>
      </c>
      <c r="DZ151">
        <v>0</v>
      </c>
      <c r="EA151">
        <v>0</v>
      </c>
      <c r="EB151">
        <v>3</v>
      </c>
      <c r="EC151">
        <v>1</v>
      </c>
      <c r="ED151">
        <v>3</v>
      </c>
      <c r="EE151">
        <v>1</v>
      </c>
      <c r="EF151">
        <v>3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13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1</v>
      </c>
      <c r="FG151">
        <v>6</v>
      </c>
    </row>
    <row r="152" spans="1:163">
      <c r="A152" t="s">
        <v>250</v>
      </c>
      <c r="B152" t="s">
        <v>251</v>
      </c>
      <c r="C152" t="s">
        <v>19</v>
      </c>
      <c r="D152" t="s">
        <v>97</v>
      </c>
      <c r="E152" t="s">
        <v>21</v>
      </c>
      <c r="F152" t="s">
        <v>26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12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</row>
    <row r="153" spans="1:163">
      <c r="A153" t="s">
        <v>252</v>
      </c>
      <c r="B153" t="s">
        <v>252</v>
      </c>
      <c r="C153" t="s">
        <v>19</v>
      </c>
      <c r="D153" t="s">
        <v>97</v>
      </c>
      <c r="E153" t="s">
        <v>21</v>
      </c>
      <c r="F153" t="s">
        <v>26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9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4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</row>
    <row r="154" spans="1:163" hidden="1">
      <c r="A154" t="s">
        <v>253</v>
      </c>
      <c r="B154" t="s">
        <v>253</v>
      </c>
      <c r="C154" t="s">
        <v>9</v>
      </c>
      <c r="D154" t="s">
        <v>10</v>
      </c>
      <c r="E154" t="s">
        <v>28</v>
      </c>
      <c r="F154" t="s">
        <v>16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5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</row>
    <row r="155" spans="1:163" hidden="1">
      <c r="A155" t="s">
        <v>254</v>
      </c>
      <c r="B155" t="s">
        <v>254</v>
      </c>
      <c r="C155" t="s">
        <v>9</v>
      </c>
      <c r="D155" t="s">
        <v>10</v>
      </c>
      <c r="E155" t="s">
        <v>28</v>
      </c>
      <c r="F155" t="s">
        <v>16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1</v>
      </c>
      <c r="AO155">
        <v>0</v>
      </c>
      <c r="AP155">
        <v>1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</row>
    <row r="156" spans="1:163">
      <c r="A156" t="s">
        <v>255</v>
      </c>
      <c r="B156" t="s">
        <v>255</v>
      </c>
      <c r="C156" t="s">
        <v>19</v>
      </c>
      <c r="D156" t="s">
        <v>97</v>
      </c>
      <c r="E156" t="s">
        <v>21</v>
      </c>
      <c r="F156" t="s">
        <v>16</v>
      </c>
      <c r="G156">
        <v>18</v>
      </c>
      <c r="H156">
        <v>12</v>
      </c>
      <c r="I156">
        <v>24</v>
      </c>
      <c r="J156">
        <v>4</v>
      </c>
      <c r="K156">
        <v>0</v>
      </c>
      <c r="L156">
        <v>2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7</v>
      </c>
      <c r="X156">
        <v>0</v>
      </c>
      <c r="Y156">
        <v>2</v>
      </c>
      <c r="Z156">
        <v>2</v>
      </c>
      <c r="AA156">
        <v>5</v>
      </c>
      <c r="AB156">
        <v>5</v>
      </c>
      <c r="AC156">
        <v>4</v>
      </c>
      <c r="AD156">
        <v>8</v>
      </c>
      <c r="AE156">
        <v>1</v>
      </c>
      <c r="AF156">
        <v>1</v>
      </c>
      <c r="AG156">
        <v>6</v>
      </c>
      <c r="AH156">
        <v>0</v>
      </c>
      <c r="AI156">
        <v>3</v>
      </c>
      <c r="AJ156">
        <v>0</v>
      </c>
      <c r="AK156">
        <v>2</v>
      </c>
      <c r="AL156">
        <v>3</v>
      </c>
      <c r="AM156">
        <v>9</v>
      </c>
      <c r="AN156">
        <v>2</v>
      </c>
      <c r="AO156">
        <v>4</v>
      </c>
      <c r="AP156">
        <v>22</v>
      </c>
      <c r="AQ156">
        <v>0</v>
      </c>
      <c r="AR156">
        <v>1</v>
      </c>
      <c r="AS156">
        <v>2</v>
      </c>
      <c r="AT156">
        <v>4</v>
      </c>
      <c r="AU156">
        <v>8</v>
      </c>
      <c r="AV156">
        <v>0</v>
      </c>
      <c r="AW156">
        <v>3</v>
      </c>
      <c r="AX156">
        <v>0</v>
      </c>
      <c r="AY156">
        <v>18</v>
      </c>
      <c r="AZ156">
        <v>66</v>
      </c>
      <c r="BA156">
        <v>13</v>
      </c>
      <c r="BB156">
        <v>3</v>
      </c>
      <c r="BC156">
        <v>2</v>
      </c>
      <c r="BD156">
        <v>1</v>
      </c>
      <c r="BE156">
        <v>1</v>
      </c>
      <c r="BF156">
        <v>0</v>
      </c>
      <c r="BG156">
        <v>5</v>
      </c>
      <c r="BH156">
        <v>2</v>
      </c>
      <c r="BI156">
        <v>3</v>
      </c>
      <c r="BJ156">
        <v>0</v>
      </c>
      <c r="BK156">
        <v>0</v>
      </c>
      <c r="BL156">
        <v>0</v>
      </c>
      <c r="BM156">
        <v>0</v>
      </c>
      <c r="BN156">
        <v>3</v>
      </c>
      <c r="BO156">
        <v>6</v>
      </c>
      <c r="BP156">
        <v>0</v>
      </c>
      <c r="BQ156">
        <v>2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0</v>
      </c>
      <c r="BX156">
        <v>1</v>
      </c>
      <c r="BY156">
        <v>23</v>
      </c>
      <c r="BZ156">
        <v>1</v>
      </c>
      <c r="CA156">
        <v>0</v>
      </c>
      <c r="CB156">
        <v>1</v>
      </c>
      <c r="CC156">
        <v>7</v>
      </c>
      <c r="CD156">
        <v>3</v>
      </c>
      <c r="CE156">
        <v>4</v>
      </c>
      <c r="CF156">
        <v>13</v>
      </c>
      <c r="CG156">
        <v>6</v>
      </c>
      <c r="CH156">
        <v>4</v>
      </c>
      <c r="CI156">
        <v>3</v>
      </c>
      <c r="CJ156">
        <v>0</v>
      </c>
      <c r="CK156">
        <v>1</v>
      </c>
      <c r="CL156">
        <v>6</v>
      </c>
      <c r="CM156">
        <v>1</v>
      </c>
      <c r="CN156">
        <v>0</v>
      </c>
      <c r="CO156">
        <v>0</v>
      </c>
      <c r="CP156">
        <v>1</v>
      </c>
      <c r="CQ156">
        <v>2</v>
      </c>
      <c r="CR156">
        <v>1</v>
      </c>
      <c r="CS156">
        <v>15</v>
      </c>
      <c r="CT156">
        <v>4</v>
      </c>
      <c r="CU156">
        <v>2</v>
      </c>
      <c r="CV156">
        <v>0</v>
      </c>
      <c r="CW156">
        <v>0</v>
      </c>
      <c r="CX156">
        <v>5</v>
      </c>
      <c r="CY156">
        <v>6</v>
      </c>
      <c r="CZ156">
        <v>29</v>
      </c>
      <c r="DA156">
        <v>7</v>
      </c>
      <c r="DB156">
        <v>85</v>
      </c>
      <c r="DC156">
        <v>7</v>
      </c>
      <c r="DD156">
        <v>17</v>
      </c>
      <c r="DE156">
        <v>8</v>
      </c>
      <c r="DF156">
        <v>75</v>
      </c>
      <c r="DG156">
        <v>64</v>
      </c>
      <c r="DH156">
        <v>4</v>
      </c>
      <c r="DI156">
        <v>1</v>
      </c>
      <c r="DJ156">
        <v>23</v>
      </c>
      <c r="DK156">
        <v>5</v>
      </c>
      <c r="DL156">
        <v>78</v>
      </c>
      <c r="DM156">
        <v>6</v>
      </c>
      <c r="DN156">
        <v>6</v>
      </c>
      <c r="DO156">
        <v>15</v>
      </c>
      <c r="DP156">
        <v>16</v>
      </c>
      <c r="DQ156">
        <v>436</v>
      </c>
      <c r="DR156">
        <v>56</v>
      </c>
      <c r="DS156">
        <v>2</v>
      </c>
      <c r="DT156">
        <v>0</v>
      </c>
      <c r="DU156">
        <v>4</v>
      </c>
      <c r="DV156">
        <v>4</v>
      </c>
      <c r="DW156">
        <v>1</v>
      </c>
      <c r="DX156">
        <v>27</v>
      </c>
      <c r="DY156">
        <v>38</v>
      </c>
      <c r="DZ156">
        <v>0</v>
      </c>
      <c r="EA156">
        <v>7</v>
      </c>
      <c r="EB156">
        <v>4</v>
      </c>
      <c r="EC156">
        <v>0</v>
      </c>
      <c r="ED156">
        <v>2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3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3</v>
      </c>
      <c r="EQ156">
        <v>0</v>
      </c>
      <c r="ER156">
        <v>0</v>
      </c>
      <c r="ES156">
        <v>3</v>
      </c>
      <c r="ET156">
        <v>1</v>
      </c>
      <c r="EU156">
        <v>1</v>
      </c>
      <c r="EV156">
        <v>2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2</v>
      </c>
      <c r="FF156">
        <v>0</v>
      </c>
      <c r="FG156">
        <v>0</v>
      </c>
    </row>
    <row r="157" spans="1:163" hidden="1">
      <c r="A157" t="s">
        <v>256</v>
      </c>
      <c r="B157" t="s">
        <v>257</v>
      </c>
      <c r="C157" t="s">
        <v>256</v>
      </c>
      <c r="E157" t="s">
        <v>15</v>
      </c>
      <c r="F157" t="s">
        <v>26</v>
      </c>
      <c r="G157">
        <v>1</v>
      </c>
      <c r="H157">
        <v>18</v>
      </c>
      <c r="I157">
        <v>11</v>
      </c>
      <c r="J157">
        <v>12</v>
      </c>
      <c r="K157">
        <v>7</v>
      </c>
      <c r="L157">
        <v>18</v>
      </c>
      <c r="M157">
        <v>1</v>
      </c>
      <c r="N157">
        <v>3</v>
      </c>
      <c r="O157">
        <v>9</v>
      </c>
      <c r="P157">
        <v>13</v>
      </c>
      <c r="Q157">
        <v>2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22</v>
      </c>
      <c r="AC157">
        <v>9</v>
      </c>
      <c r="AD157">
        <v>4</v>
      </c>
      <c r="AE157">
        <v>5</v>
      </c>
      <c r="AF157">
        <v>1</v>
      </c>
      <c r="AG157">
        <v>5</v>
      </c>
      <c r="AH157">
        <v>5</v>
      </c>
      <c r="AI157">
        <v>3</v>
      </c>
      <c r="AJ157">
        <v>17</v>
      </c>
      <c r="AK157">
        <v>8</v>
      </c>
      <c r="AL157">
        <v>8</v>
      </c>
      <c r="AM157">
        <v>2</v>
      </c>
      <c r="AN157">
        <v>3</v>
      </c>
      <c r="AO157">
        <v>3</v>
      </c>
      <c r="AP157">
        <v>1</v>
      </c>
      <c r="AQ157">
        <v>0</v>
      </c>
      <c r="AR157">
        <v>2</v>
      </c>
      <c r="AS157">
        <v>2</v>
      </c>
      <c r="AT157">
        <v>1</v>
      </c>
      <c r="AU157">
        <v>4</v>
      </c>
      <c r="AV157">
        <v>3</v>
      </c>
      <c r="AW157">
        <v>1</v>
      </c>
      <c r="AX157">
        <v>0</v>
      </c>
      <c r="AY157">
        <v>0</v>
      </c>
      <c r="AZ157">
        <v>0</v>
      </c>
      <c r="BA157">
        <v>1</v>
      </c>
      <c r="BB157">
        <v>4</v>
      </c>
      <c r="BC157">
        <v>6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3</v>
      </c>
      <c r="BJ157">
        <v>0</v>
      </c>
      <c r="BK157">
        <v>0</v>
      </c>
      <c r="BL157">
        <v>0</v>
      </c>
      <c r="BM157">
        <v>2</v>
      </c>
      <c r="BN157">
        <v>7</v>
      </c>
      <c r="BO157">
        <v>7</v>
      </c>
      <c r="BP157">
        <v>1</v>
      </c>
      <c r="BQ157">
        <v>1</v>
      </c>
      <c r="BR157">
        <v>9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5</v>
      </c>
      <c r="CD157">
        <v>12</v>
      </c>
      <c r="CE157">
        <v>4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1</v>
      </c>
      <c r="CL157">
        <v>2</v>
      </c>
      <c r="CM157">
        <v>0</v>
      </c>
      <c r="CN157">
        <v>0</v>
      </c>
      <c r="CO157">
        <v>1</v>
      </c>
      <c r="CP157">
        <v>1</v>
      </c>
      <c r="CQ157">
        <v>3</v>
      </c>
      <c r="CR157">
        <v>0</v>
      </c>
      <c r="CS157">
        <v>0</v>
      </c>
      <c r="CT157">
        <v>4</v>
      </c>
      <c r="CU157">
        <v>1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2</v>
      </c>
      <c r="EE157">
        <v>0</v>
      </c>
      <c r="EF157">
        <v>0</v>
      </c>
      <c r="EG157">
        <v>3</v>
      </c>
      <c r="EH157">
        <v>1</v>
      </c>
      <c r="EI157">
        <v>1</v>
      </c>
      <c r="EJ157">
        <v>0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2</v>
      </c>
      <c r="EQ157">
        <v>1</v>
      </c>
      <c r="ER157">
        <v>0</v>
      </c>
      <c r="ES157">
        <v>2</v>
      </c>
      <c r="ET157">
        <v>1</v>
      </c>
      <c r="EU157">
        <v>1</v>
      </c>
      <c r="EV157">
        <v>2</v>
      </c>
      <c r="EW157">
        <v>0</v>
      </c>
      <c r="EX157">
        <v>2</v>
      </c>
      <c r="EY157">
        <v>1</v>
      </c>
      <c r="EZ157">
        <v>2</v>
      </c>
      <c r="FA157">
        <v>1</v>
      </c>
      <c r="FB157">
        <v>4</v>
      </c>
      <c r="FC157">
        <v>5</v>
      </c>
      <c r="FD157">
        <v>0</v>
      </c>
      <c r="FE157">
        <v>2</v>
      </c>
      <c r="FF157">
        <v>1</v>
      </c>
      <c r="FG157">
        <v>5</v>
      </c>
    </row>
    <row r="158" spans="1:163">
      <c r="A158" t="s">
        <v>258</v>
      </c>
      <c r="B158" t="s">
        <v>258</v>
      </c>
      <c r="C158" t="s">
        <v>24</v>
      </c>
      <c r="D158" t="s">
        <v>25</v>
      </c>
      <c r="E158" t="s">
        <v>21</v>
      </c>
      <c r="F158" t="s">
        <v>16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</row>
    <row r="159" spans="1:163" hidden="1">
      <c r="A159" t="s">
        <v>259</v>
      </c>
      <c r="B159" t="s">
        <v>260</v>
      </c>
      <c r="C159" t="s">
        <v>24</v>
      </c>
      <c r="D159" t="s">
        <v>25</v>
      </c>
      <c r="E159" t="s">
        <v>46</v>
      </c>
      <c r="F159" t="s">
        <v>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1</v>
      </c>
      <c r="BP159">
        <v>0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1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1</v>
      </c>
      <c r="FG159">
        <v>1</v>
      </c>
    </row>
    <row r="160" spans="1:163" hidden="1">
      <c r="A160" t="s">
        <v>261</v>
      </c>
      <c r="B160" t="s">
        <v>261</v>
      </c>
      <c r="C160" t="s">
        <v>19</v>
      </c>
      <c r="D160" t="s">
        <v>20</v>
      </c>
      <c r="E160" t="s">
        <v>15</v>
      </c>
      <c r="F160" t="s">
        <v>16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0</v>
      </c>
      <c r="CP160">
        <v>1</v>
      </c>
      <c r="CQ160">
        <v>0</v>
      </c>
      <c r="CR160">
        <v>0</v>
      </c>
      <c r="CS160">
        <v>1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F160">
        <v>1</v>
      </c>
      <c r="FG160">
        <v>1</v>
      </c>
    </row>
    <row r="161" spans="1:163" hidden="1">
      <c r="A161" t="s">
        <v>262</v>
      </c>
      <c r="B161" t="s">
        <v>262</v>
      </c>
      <c r="C161" t="s">
        <v>24</v>
      </c>
      <c r="D161" t="s">
        <v>25</v>
      </c>
      <c r="E161" t="s">
        <v>46</v>
      </c>
      <c r="F161" t="s">
        <v>26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2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3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</row>
    <row r="162" spans="1:163">
      <c r="A162" t="s">
        <v>263</v>
      </c>
      <c r="B162" t="s">
        <v>264</v>
      </c>
      <c r="C162" t="s">
        <v>19</v>
      </c>
      <c r="D162" t="s">
        <v>97</v>
      </c>
      <c r="E162" t="s">
        <v>21</v>
      </c>
      <c r="F162" t="s">
        <v>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3</v>
      </c>
      <c r="BP162">
        <v>0</v>
      </c>
      <c r="BQ162">
        <v>0</v>
      </c>
      <c r="BR162">
        <v>0</v>
      </c>
      <c r="BS162">
        <v>0</v>
      </c>
      <c r="BT162">
        <v>2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1</v>
      </c>
      <c r="CA162">
        <v>1</v>
      </c>
      <c r="CB162">
        <v>1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3</v>
      </c>
      <c r="CY162">
        <v>0</v>
      </c>
      <c r="CZ162">
        <v>0</v>
      </c>
      <c r="DA162">
        <v>1</v>
      </c>
      <c r="DB162">
        <v>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5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</row>
    <row r="163" spans="1:163">
      <c r="A163" t="s">
        <v>265</v>
      </c>
      <c r="B163" t="s">
        <v>265</v>
      </c>
      <c r="C163" t="s">
        <v>24</v>
      </c>
      <c r="D163" t="s">
        <v>25</v>
      </c>
      <c r="E163" t="s">
        <v>21</v>
      </c>
      <c r="F163" t="s">
        <v>16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</row>
    <row r="164" spans="1:163" hidden="1">
      <c r="A164" t="s">
        <v>266</v>
      </c>
      <c r="B164" t="s">
        <v>267</v>
      </c>
      <c r="C164" t="s">
        <v>24</v>
      </c>
      <c r="D164" t="s">
        <v>25</v>
      </c>
      <c r="E164" t="s">
        <v>15</v>
      </c>
      <c r="F164" t="s">
        <v>26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1</v>
      </c>
      <c r="BC164">
        <v>0</v>
      </c>
      <c r="BD164">
        <v>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5</v>
      </c>
      <c r="ED164">
        <v>3</v>
      </c>
      <c r="EE164">
        <v>6</v>
      </c>
      <c r="EF164">
        <v>0</v>
      </c>
      <c r="EG164">
        <v>3</v>
      </c>
      <c r="EH164">
        <v>1</v>
      </c>
      <c r="EI164">
        <v>2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0</v>
      </c>
      <c r="FA164">
        <v>1</v>
      </c>
      <c r="FB164">
        <v>0</v>
      </c>
      <c r="FC164">
        <v>1</v>
      </c>
      <c r="FD164">
        <v>0</v>
      </c>
      <c r="FE164">
        <v>0</v>
      </c>
      <c r="FF164">
        <v>0</v>
      </c>
      <c r="FG164">
        <v>4</v>
      </c>
    </row>
    <row r="165" spans="1:163">
      <c r="A165" t="s">
        <v>268</v>
      </c>
      <c r="B165" t="s">
        <v>269</v>
      </c>
      <c r="C165" t="s">
        <v>24</v>
      </c>
      <c r="D165" t="s">
        <v>25</v>
      </c>
      <c r="E165" t="s">
        <v>21</v>
      </c>
      <c r="F165" t="s">
        <v>26</v>
      </c>
      <c r="G165">
        <v>3</v>
      </c>
      <c r="H165">
        <v>7</v>
      </c>
      <c r="I165">
        <v>1</v>
      </c>
      <c r="J165">
        <v>17</v>
      </c>
      <c r="K165">
        <v>4</v>
      </c>
      <c r="L165">
        <v>0</v>
      </c>
      <c r="M165">
        <v>12</v>
      </c>
      <c r="N165">
        <v>2</v>
      </c>
      <c r="O165">
        <v>14</v>
      </c>
      <c r="P165">
        <v>2</v>
      </c>
      <c r="Q165">
        <v>6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3</v>
      </c>
      <c r="AC165">
        <v>5</v>
      </c>
      <c r="AD165">
        <v>0</v>
      </c>
      <c r="AE165">
        <v>0</v>
      </c>
      <c r="AF165">
        <v>0</v>
      </c>
      <c r="AG165">
        <v>0</v>
      </c>
      <c r="AH165">
        <v>13</v>
      </c>
      <c r="AI165">
        <v>8</v>
      </c>
      <c r="AJ165">
        <v>0</v>
      </c>
      <c r="AK165">
        <v>7</v>
      </c>
      <c r="AL165">
        <v>7</v>
      </c>
      <c r="AM165">
        <v>9</v>
      </c>
      <c r="AN165">
        <v>1</v>
      </c>
      <c r="AO165">
        <v>5</v>
      </c>
      <c r="AP165">
        <v>2</v>
      </c>
      <c r="AQ165">
        <v>1</v>
      </c>
      <c r="AR165">
        <v>11</v>
      </c>
      <c r="AS165">
        <v>23</v>
      </c>
      <c r="AT165">
        <v>5</v>
      </c>
      <c r="AU165">
        <v>2</v>
      </c>
      <c r="AV165">
        <v>1</v>
      </c>
      <c r="AW165">
        <v>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</row>
    <row r="166" spans="1:163" hidden="1">
      <c r="A166" t="s">
        <v>270</v>
      </c>
      <c r="B166" t="s">
        <v>270</v>
      </c>
      <c r="C166" t="s">
        <v>271</v>
      </c>
      <c r="E166" t="s">
        <v>15</v>
      </c>
      <c r="F166" t="s">
        <v>26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</row>
    <row r="167" spans="1:163" hidden="1">
      <c r="A167" t="s">
        <v>272</v>
      </c>
      <c r="B167" t="s">
        <v>272</v>
      </c>
      <c r="C167" t="s">
        <v>19</v>
      </c>
      <c r="D167" t="s">
        <v>20</v>
      </c>
      <c r="E167" t="s">
        <v>28</v>
      </c>
      <c r="F167" t="s">
        <v>29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1</v>
      </c>
      <c r="DT167">
        <v>0</v>
      </c>
      <c r="DU167">
        <v>0</v>
      </c>
      <c r="DV167">
        <v>1</v>
      </c>
      <c r="DW167">
        <v>1</v>
      </c>
      <c r="DX167">
        <v>0</v>
      </c>
      <c r="DY167">
        <v>1</v>
      </c>
      <c r="DZ167">
        <v>0</v>
      </c>
      <c r="EA167">
        <v>0</v>
      </c>
      <c r="EB167">
        <v>1</v>
      </c>
      <c r="EC167">
        <v>0</v>
      </c>
      <c r="ED167">
        <v>0</v>
      </c>
      <c r="EE167">
        <v>0</v>
      </c>
      <c r="EF167">
        <v>3</v>
      </c>
      <c r="EG167">
        <v>0</v>
      </c>
      <c r="EH167">
        <v>0</v>
      </c>
      <c r="EI167">
        <v>1</v>
      </c>
      <c r="EJ167">
        <v>0</v>
      </c>
      <c r="EK167">
        <v>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1</v>
      </c>
      <c r="FB167">
        <v>0</v>
      </c>
      <c r="FC167">
        <v>1</v>
      </c>
      <c r="FD167">
        <v>0</v>
      </c>
      <c r="FE167">
        <v>0</v>
      </c>
      <c r="FF167">
        <v>0</v>
      </c>
      <c r="FG167">
        <v>2</v>
      </c>
    </row>
    <row r="168" spans="1:163" hidden="1">
      <c r="A168" t="s">
        <v>273</v>
      </c>
      <c r="B168" t="s">
        <v>274</v>
      </c>
      <c r="C168" t="s">
        <v>9</v>
      </c>
      <c r="D168" t="s">
        <v>160</v>
      </c>
      <c r="E168" t="s">
        <v>46</v>
      </c>
      <c r="F168" t="s">
        <v>16</v>
      </c>
      <c r="G168">
        <v>0</v>
      </c>
      <c r="H168">
        <v>1</v>
      </c>
      <c r="I168">
        <v>4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3</v>
      </c>
      <c r="P168">
        <v>1</v>
      </c>
      <c r="Q168">
        <v>5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4</v>
      </c>
      <c r="X168">
        <v>1</v>
      </c>
      <c r="Y168">
        <v>1</v>
      </c>
      <c r="Z168">
        <v>0</v>
      </c>
      <c r="AA168">
        <v>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</v>
      </c>
      <c r="BC168">
        <v>2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3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0</v>
      </c>
      <c r="CC168">
        <v>2</v>
      </c>
      <c r="CD168">
        <v>7</v>
      </c>
      <c r="CE168">
        <v>3</v>
      </c>
      <c r="CF168">
        <v>0</v>
      </c>
      <c r="CG168">
        <v>2</v>
      </c>
      <c r="CH168">
        <v>0</v>
      </c>
      <c r="CI168">
        <v>0</v>
      </c>
      <c r="CJ168">
        <v>0</v>
      </c>
      <c r="CK168">
        <v>0</v>
      </c>
      <c r="CL168">
        <v>2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2</v>
      </c>
      <c r="CW168">
        <v>0</v>
      </c>
      <c r="CX168">
        <v>0</v>
      </c>
      <c r="CY168">
        <v>2</v>
      </c>
      <c r="CZ168">
        <v>2</v>
      </c>
      <c r="DA168">
        <v>0</v>
      </c>
      <c r="DB168">
        <v>0</v>
      </c>
      <c r="DC168">
        <v>4</v>
      </c>
      <c r="DD168">
        <v>0</v>
      </c>
      <c r="DE168">
        <v>0</v>
      </c>
      <c r="DF168">
        <v>2</v>
      </c>
      <c r="DG168">
        <v>2</v>
      </c>
      <c r="DH168">
        <v>1</v>
      </c>
      <c r="DI168">
        <v>2</v>
      </c>
      <c r="DJ168">
        <v>1</v>
      </c>
      <c r="DK168">
        <v>0</v>
      </c>
      <c r="DL168">
        <v>0</v>
      </c>
      <c r="DM168">
        <v>1</v>
      </c>
      <c r="DN168">
        <v>2</v>
      </c>
      <c r="DO168">
        <v>3</v>
      </c>
      <c r="DP168">
        <v>2</v>
      </c>
      <c r="DQ168">
        <v>7</v>
      </c>
      <c r="DR168">
        <v>1</v>
      </c>
      <c r="DS168">
        <v>0</v>
      </c>
      <c r="DT168">
        <v>0</v>
      </c>
      <c r="DU168">
        <v>0</v>
      </c>
      <c r="DV168">
        <v>0</v>
      </c>
      <c r="DW168">
        <v>1</v>
      </c>
      <c r="DX168">
        <v>0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1</v>
      </c>
      <c r="EH168">
        <v>0</v>
      </c>
      <c r="EI168">
        <v>1</v>
      </c>
      <c r="EJ168">
        <v>1</v>
      </c>
      <c r="EK168">
        <v>1</v>
      </c>
      <c r="EL168">
        <v>3</v>
      </c>
      <c r="EM168">
        <v>2</v>
      </c>
      <c r="EN168">
        <v>2</v>
      </c>
      <c r="EO168">
        <v>1</v>
      </c>
      <c r="EP168">
        <v>4</v>
      </c>
      <c r="EQ168">
        <v>2</v>
      </c>
      <c r="ER168">
        <v>1</v>
      </c>
      <c r="ES168">
        <v>1</v>
      </c>
      <c r="ET168">
        <v>2</v>
      </c>
      <c r="EU168">
        <v>3</v>
      </c>
      <c r="EV168">
        <v>0</v>
      </c>
      <c r="EW168">
        <v>2</v>
      </c>
      <c r="EX168">
        <v>5</v>
      </c>
      <c r="EY168">
        <v>0</v>
      </c>
      <c r="EZ168">
        <v>1</v>
      </c>
      <c r="FA168">
        <v>0</v>
      </c>
      <c r="FB168">
        <v>1</v>
      </c>
      <c r="FC168">
        <v>2</v>
      </c>
      <c r="FD168">
        <v>0</v>
      </c>
      <c r="FE168">
        <v>1</v>
      </c>
      <c r="FF168">
        <v>0</v>
      </c>
      <c r="FG168">
        <v>8</v>
      </c>
    </row>
    <row r="169" spans="1:163" hidden="1">
      <c r="A169" t="s">
        <v>275</v>
      </c>
      <c r="B169" t="s">
        <v>275</v>
      </c>
      <c r="C169" t="s">
        <v>80</v>
      </c>
      <c r="D169" t="s">
        <v>81</v>
      </c>
      <c r="E169" t="s">
        <v>86</v>
      </c>
      <c r="F169" t="s">
        <v>16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1</v>
      </c>
      <c r="ED169">
        <v>1</v>
      </c>
      <c r="EE169">
        <v>1</v>
      </c>
      <c r="EF169">
        <v>0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</row>
    <row r="170" spans="1:163" hidden="1">
      <c r="A170" t="s">
        <v>276</v>
      </c>
      <c r="B170" t="s">
        <v>277</v>
      </c>
      <c r="C170" t="s">
        <v>19</v>
      </c>
      <c r="D170" t="s">
        <v>20</v>
      </c>
      <c r="E170" t="s">
        <v>46</v>
      </c>
      <c r="F170" t="s">
        <v>12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5</v>
      </c>
      <c r="M170">
        <v>0</v>
      </c>
      <c r="N170">
        <v>1</v>
      </c>
      <c r="O170">
        <v>0</v>
      </c>
      <c r="P170">
        <v>1</v>
      </c>
      <c r="Q170">
        <v>1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3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2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2</v>
      </c>
      <c r="BP170">
        <v>2</v>
      </c>
      <c r="BQ170">
        <v>2</v>
      </c>
      <c r="BR170">
        <v>0</v>
      </c>
      <c r="BS170">
        <v>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1</v>
      </c>
      <c r="CZ170">
        <v>5</v>
      </c>
      <c r="DA170">
        <v>1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2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2</v>
      </c>
      <c r="DX170">
        <v>2</v>
      </c>
      <c r="DY170">
        <v>0</v>
      </c>
      <c r="DZ170">
        <v>0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3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1</v>
      </c>
      <c r="FD170">
        <v>0</v>
      </c>
      <c r="FE170">
        <v>0</v>
      </c>
      <c r="FF170">
        <v>0</v>
      </c>
      <c r="FG170">
        <v>1</v>
      </c>
    </row>
    <row r="171" spans="1:163" hidden="1">
      <c r="A171" t="s">
        <v>278</v>
      </c>
      <c r="B171" t="s">
        <v>278</v>
      </c>
      <c r="C171" t="s">
        <v>19</v>
      </c>
      <c r="D171" t="s">
        <v>20</v>
      </c>
      <c r="E171" t="s">
        <v>11</v>
      </c>
      <c r="F171" t="s">
        <v>16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</row>
    <row r="172" spans="1:163" hidden="1">
      <c r="A172" t="s">
        <v>279</v>
      </c>
      <c r="B172" t="s">
        <v>280</v>
      </c>
      <c r="C172" t="s">
        <v>19</v>
      </c>
      <c r="D172" t="s">
        <v>20</v>
      </c>
      <c r="E172" t="s">
        <v>15</v>
      </c>
      <c r="F172" t="s">
        <v>16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</row>
    <row r="173" spans="1:163" hidden="1">
      <c r="A173" t="s">
        <v>281</v>
      </c>
      <c r="B173" t="s">
        <v>281</v>
      </c>
      <c r="C173" t="s">
        <v>44</v>
      </c>
      <c r="D173" t="s">
        <v>282</v>
      </c>
      <c r="E173" t="s">
        <v>42</v>
      </c>
      <c r="F173" t="s">
        <v>42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</row>
    <row r="174" spans="1:163" hidden="1">
      <c r="A174" t="s">
        <v>283</v>
      </c>
      <c r="B174" t="s">
        <v>283</v>
      </c>
      <c r="C174" t="s">
        <v>44</v>
      </c>
      <c r="D174" t="s">
        <v>282</v>
      </c>
      <c r="E174" t="s">
        <v>15</v>
      </c>
      <c r="F174" t="s">
        <v>16</v>
      </c>
      <c r="G174">
        <v>2</v>
      </c>
      <c r="H174">
        <v>3</v>
      </c>
      <c r="I174">
        <v>3</v>
      </c>
      <c r="J174">
        <v>1</v>
      </c>
      <c r="K174">
        <v>23</v>
      </c>
      <c r="L174">
        <v>0</v>
      </c>
      <c r="M174">
        <v>4</v>
      </c>
      <c r="N174">
        <v>0</v>
      </c>
      <c r="O174">
        <v>3</v>
      </c>
      <c r="P174">
        <v>0</v>
      </c>
      <c r="Q174">
        <v>369</v>
      </c>
      <c r="R174">
        <v>0</v>
      </c>
      <c r="S174">
        <v>5</v>
      </c>
      <c r="T174">
        <v>1</v>
      </c>
      <c r="U174">
        <v>1</v>
      </c>
      <c r="V174">
        <v>1</v>
      </c>
      <c r="W174">
        <v>29</v>
      </c>
      <c r="X174">
        <v>2</v>
      </c>
      <c r="Y174">
        <v>21</v>
      </c>
      <c r="Z174">
        <v>32</v>
      </c>
      <c r="AA174">
        <v>46</v>
      </c>
      <c r="AB174">
        <v>1</v>
      </c>
      <c r="AC174">
        <v>2</v>
      </c>
      <c r="AD174">
        <v>18</v>
      </c>
      <c r="AE174">
        <v>28</v>
      </c>
      <c r="AF174">
        <v>98</v>
      </c>
      <c r="AG174">
        <v>55</v>
      </c>
      <c r="AH174">
        <v>4</v>
      </c>
      <c r="AI174">
        <v>9</v>
      </c>
      <c r="AJ174">
        <v>54</v>
      </c>
      <c r="AK174">
        <v>67</v>
      </c>
      <c r="AL174">
        <v>12</v>
      </c>
      <c r="AM174">
        <v>2</v>
      </c>
      <c r="AN174">
        <v>1</v>
      </c>
      <c r="AO174">
        <v>0</v>
      </c>
      <c r="AP174">
        <v>6</v>
      </c>
      <c r="AQ174">
        <v>2</v>
      </c>
      <c r="AR174">
        <v>5</v>
      </c>
      <c r="AS174">
        <v>1</v>
      </c>
      <c r="AT174">
        <v>2</v>
      </c>
      <c r="AU174">
        <v>9</v>
      </c>
      <c r="AV174">
        <v>8</v>
      </c>
      <c r="AW174">
        <v>138</v>
      </c>
      <c r="AX174">
        <v>33</v>
      </c>
      <c r="AY174">
        <v>78</v>
      </c>
      <c r="AZ174">
        <v>39</v>
      </c>
      <c r="BA174">
        <v>25</v>
      </c>
      <c r="BB174">
        <v>41</v>
      </c>
      <c r="BC174">
        <v>44</v>
      </c>
      <c r="BD174">
        <v>51</v>
      </c>
      <c r="BE174">
        <v>15</v>
      </c>
      <c r="BF174">
        <v>7</v>
      </c>
      <c r="BG174">
        <v>0</v>
      </c>
      <c r="BH174">
        <v>22</v>
      </c>
      <c r="BI174">
        <v>28</v>
      </c>
      <c r="BJ174">
        <v>1</v>
      </c>
      <c r="BK174">
        <v>4</v>
      </c>
      <c r="BL174">
        <v>4</v>
      </c>
      <c r="BM174">
        <v>1</v>
      </c>
      <c r="BN174">
        <v>17</v>
      </c>
      <c r="BO174">
        <v>1</v>
      </c>
      <c r="BP174">
        <v>5</v>
      </c>
      <c r="BQ174">
        <v>1</v>
      </c>
      <c r="BR174">
        <v>64</v>
      </c>
      <c r="BS174">
        <v>45</v>
      </c>
      <c r="BT174">
        <v>22</v>
      </c>
      <c r="BU174">
        <v>0</v>
      </c>
      <c r="BV174">
        <v>0</v>
      </c>
      <c r="BW174">
        <v>11</v>
      </c>
      <c r="BX174">
        <v>12</v>
      </c>
      <c r="BY174">
        <v>7</v>
      </c>
      <c r="BZ174">
        <v>1</v>
      </c>
      <c r="CA174">
        <v>18</v>
      </c>
      <c r="CB174">
        <v>7</v>
      </c>
      <c r="CC174">
        <v>4</v>
      </c>
      <c r="CD174">
        <v>21</v>
      </c>
      <c r="CE174">
        <v>4</v>
      </c>
      <c r="CF174">
        <v>0</v>
      </c>
      <c r="CG174">
        <v>3</v>
      </c>
      <c r="CH174">
        <v>9</v>
      </c>
      <c r="CI174">
        <v>0</v>
      </c>
      <c r="CJ174">
        <v>0</v>
      </c>
      <c r="CK174">
        <v>1</v>
      </c>
      <c r="CL174">
        <v>8</v>
      </c>
      <c r="CM174">
        <v>3</v>
      </c>
      <c r="CN174">
        <v>0</v>
      </c>
      <c r="CO174">
        <v>18</v>
      </c>
      <c r="CP174">
        <v>11</v>
      </c>
      <c r="CQ174">
        <v>12</v>
      </c>
      <c r="CR174">
        <v>0</v>
      </c>
      <c r="CS174">
        <v>1</v>
      </c>
      <c r="CT174">
        <v>5</v>
      </c>
      <c r="CU174">
        <v>0</v>
      </c>
      <c r="CV174">
        <v>9</v>
      </c>
      <c r="CW174">
        <v>3</v>
      </c>
      <c r="CX174">
        <v>21</v>
      </c>
      <c r="CY174">
        <v>3</v>
      </c>
      <c r="CZ174">
        <v>22</v>
      </c>
      <c r="DA174">
        <v>4</v>
      </c>
      <c r="DB174">
        <v>2</v>
      </c>
      <c r="DC174">
        <v>8</v>
      </c>
      <c r="DD174">
        <v>0</v>
      </c>
      <c r="DE174">
        <v>3</v>
      </c>
      <c r="DF174">
        <v>5</v>
      </c>
      <c r="DG174">
        <v>8</v>
      </c>
      <c r="DH174">
        <v>0</v>
      </c>
      <c r="DI174">
        <v>0</v>
      </c>
      <c r="DJ174">
        <v>1</v>
      </c>
      <c r="DK174">
        <v>3</v>
      </c>
      <c r="DL174">
        <v>6</v>
      </c>
      <c r="DM174">
        <v>6</v>
      </c>
      <c r="DN174">
        <v>4</v>
      </c>
      <c r="DO174">
        <v>5</v>
      </c>
      <c r="DP174">
        <v>5</v>
      </c>
      <c r="DQ174">
        <v>11</v>
      </c>
      <c r="DR174">
        <v>7</v>
      </c>
      <c r="DS174">
        <v>0</v>
      </c>
      <c r="DT174">
        <v>1</v>
      </c>
      <c r="DU174">
        <v>0</v>
      </c>
      <c r="DV174">
        <v>3</v>
      </c>
      <c r="DW174">
        <v>6</v>
      </c>
      <c r="DX174">
        <v>0</v>
      </c>
      <c r="DY174">
        <v>0</v>
      </c>
      <c r="DZ174">
        <v>4</v>
      </c>
      <c r="EA174">
        <v>6</v>
      </c>
      <c r="EB174">
        <v>3</v>
      </c>
      <c r="EC174">
        <v>2</v>
      </c>
      <c r="ED174">
        <v>1</v>
      </c>
      <c r="EE174">
        <v>0</v>
      </c>
      <c r="EF174">
        <v>1</v>
      </c>
      <c r="EG174">
        <v>0</v>
      </c>
      <c r="EH174">
        <v>0</v>
      </c>
      <c r="EI174">
        <v>1</v>
      </c>
      <c r="EJ174">
        <v>0</v>
      </c>
      <c r="EK174">
        <v>1</v>
      </c>
      <c r="EL174">
        <v>12</v>
      </c>
      <c r="EM174">
        <v>6</v>
      </c>
      <c r="EN174">
        <v>2</v>
      </c>
      <c r="EO174">
        <v>8</v>
      </c>
      <c r="EP174">
        <v>6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4</v>
      </c>
      <c r="EW174">
        <v>3</v>
      </c>
      <c r="EX174">
        <v>6</v>
      </c>
      <c r="EY174">
        <v>0</v>
      </c>
      <c r="EZ174">
        <v>4</v>
      </c>
      <c r="FA174">
        <v>0</v>
      </c>
      <c r="FB174">
        <v>1</v>
      </c>
      <c r="FC174">
        <v>0</v>
      </c>
      <c r="FD174">
        <v>0</v>
      </c>
      <c r="FE174">
        <v>0</v>
      </c>
      <c r="FF174">
        <v>2</v>
      </c>
      <c r="FG174">
        <v>3</v>
      </c>
    </row>
    <row r="175" spans="1:163" hidden="1">
      <c r="A175" t="s">
        <v>284</v>
      </c>
      <c r="B175" t="s">
        <v>284</v>
      </c>
      <c r="C175" t="s">
        <v>44</v>
      </c>
      <c r="D175" t="s">
        <v>282</v>
      </c>
      <c r="E175" t="s">
        <v>46</v>
      </c>
      <c r="F175" t="s">
        <v>16</v>
      </c>
      <c r="G175">
        <v>18</v>
      </c>
      <c r="H175">
        <v>138</v>
      </c>
      <c r="I175">
        <v>46</v>
      </c>
      <c r="J175">
        <v>59</v>
      </c>
      <c r="K175">
        <v>17</v>
      </c>
      <c r="L175">
        <v>28</v>
      </c>
      <c r="M175">
        <v>48</v>
      </c>
      <c r="N175">
        <v>24</v>
      </c>
      <c r="O175">
        <v>89</v>
      </c>
      <c r="P175">
        <v>64</v>
      </c>
      <c r="Q175">
        <v>0</v>
      </c>
      <c r="R175">
        <v>19</v>
      </c>
      <c r="S175">
        <v>79</v>
      </c>
      <c r="T175">
        <v>1</v>
      </c>
      <c r="U175">
        <v>1</v>
      </c>
      <c r="V175">
        <v>1</v>
      </c>
      <c r="W175">
        <v>26</v>
      </c>
      <c r="X175">
        <v>2</v>
      </c>
      <c r="Y175">
        <v>99</v>
      </c>
      <c r="Z175">
        <v>57</v>
      </c>
      <c r="AA175">
        <v>168</v>
      </c>
      <c r="AB175">
        <v>87</v>
      </c>
      <c r="AC175">
        <v>73</v>
      </c>
      <c r="AD175">
        <v>199</v>
      </c>
      <c r="AE175">
        <v>156</v>
      </c>
      <c r="AF175">
        <v>117</v>
      </c>
      <c r="AG175">
        <v>121</v>
      </c>
      <c r="AH175">
        <v>48</v>
      </c>
      <c r="AI175">
        <v>47</v>
      </c>
      <c r="AJ175">
        <v>274</v>
      </c>
      <c r="AK175">
        <v>342</v>
      </c>
      <c r="AL175">
        <v>45</v>
      </c>
      <c r="AM175">
        <v>75</v>
      </c>
      <c r="AN175">
        <v>66</v>
      </c>
      <c r="AO175">
        <v>25</v>
      </c>
      <c r="AP175">
        <v>7</v>
      </c>
      <c r="AQ175">
        <v>31</v>
      </c>
      <c r="AR175">
        <v>6</v>
      </c>
      <c r="AS175">
        <v>33</v>
      </c>
      <c r="AT175">
        <v>48</v>
      </c>
      <c r="AU175">
        <v>47</v>
      </c>
      <c r="AV175">
        <v>61</v>
      </c>
      <c r="AW175">
        <v>325</v>
      </c>
      <c r="AX175">
        <v>21</v>
      </c>
      <c r="AY175">
        <v>2</v>
      </c>
      <c r="AZ175">
        <v>52</v>
      </c>
      <c r="BA175">
        <v>163</v>
      </c>
      <c r="BB175">
        <v>47</v>
      </c>
      <c r="BC175">
        <v>58</v>
      </c>
      <c r="BD175">
        <v>24</v>
      </c>
      <c r="BE175">
        <v>18</v>
      </c>
      <c r="BF175">
        <v>286</v>
      </c>
      <c r="BG175">
        <v>27</v>
      </c>
      <c r="BH175">
        <v>25</v>
      </c>
      <c r="BI175">
        <v>174</v>
      </c>
      <c r="BJ175">
        <v>1</v>
      </c>
      <c r="BK175">
        <v>7</v>
      </c>
      <c r="BL175">
        <v>93</v>
      </c>
      <c r="BM175">
        <v>74</v>
      </c>
      <c r="BN175">
        <v>51</v>
      </c>
      <c r="BO175">
        <v>1</v>
      </c>
      <c r="BP175">
        <v>39</v>
      </c>
      <c r="BQ175">
        <v>111</v>
      </c>
      <c r="BR175">
        <v>27</v>
      </c>
      <c r="BS175">
        <v>137</v>
      </c>
      <c r="BT175">
        <v>258</v>
      </c>
      <c r="BU175">
        <v>0</v>
      </c>
      <c r="BV175">
        <v>4</v>
      </c>
      <c r="BW175">
        <v>72</v>
      </c>
      <c r="BX175">
        <v>231</v>
      </c>
      <c r="BY175">
        <v>4</v>
      </c>
      <c r="BZ175">
        <v>12</v>
      </c>
      <c r="CA175">
        <v>264</v>
      </c>
      <c r="CB175">
        <v>71</v>
      </c>
      <c r="CC175">
        <v>164</v>
      </c>
      <c r="CD175">
        <v>191</v>
      </c>
      <c r="CE175">
        <v>114</v>
      </c>
      <c r="CF175">
        <v>36</v>
      </c>
      <c r="CG175">
        <v>16</v>
      </c>
      <c r="CH175">
        <v>13</v>
      </c>
      <c r="CI175">
        <v>2</v>
      </c>
      <c r="CJ175">
        <v>27</v>
      </c>
      <c r="CK175">
        <v>36</v>
      </c>
      <c r="CL175">
        <v>136</v>
      </c>
      <c r="CM175">
        <v>14</v>
      </c>
      <c r="CN175">
        <v>5</v>
      </c>
      <c r="CO175">
        <v>46</v>
      </c>
      <c r="CP175">
        <v>18</v>
      </c>
      <c r="CQ175">
        <v>154</v>
      </c>
      <c r="CR175">
        <v>12</v>
      </c>
      <c r="CS175">
        <v>59</v>
      </c>
      <c r="CT175">
        <v>71</v>
      </c>
      <c r="CU175">
        <v>3</v>
      </c>
      <c r="CV175">
        <v>38</v>
      </c>
      <c r="CW175">
        <v>14</v>
      </c>
      <c r="CX175">
        <v>125</v>
      </c>
      <c r="CY175">
        <v>47</v>
      </c>
      <c r="CZ175">
        <v>248</v>
      </c>
      <c r="DA175">
        <v>32</v>
      </c>
      <c r="DB175">
        <v>91</v>
      </c>
      <c r="DC175">
        <v>85</v>
      </c>
      <c r="DD175">
        <v>19</v>
      </c>
      <c r="DE175">
        <v>19</v>
      </c>
      <c r="DF175">
        <v>37</v>
      </c>
      <c r="DG175">
        <v>53</v>
      </c>
      <c r="DH175">
        <v>23</v>
      </c>
      <c r="DI175">
        <v>7</v>
      </c>
      <c r="DJ175">
        <v>24</v>
      </c>
      <c r="DK175">
        <v>77</v>
      </c>
      <c r="DL175">
        <v>89</v>
      </c>
      <c r="DM175">
        <v>39</v>
      </c>
      <c r="DN175">
        <v>34</v>
      </c>
      <c r="DO175">
        <v>129</v>
      </c>
      <c r="DP175">
        <v>14</v>
      </c>
      <c r="DQ175">
        <v>66</v>
      </c>
      <c r="DR175">
        <v>91</v>
      </c>
      <c r="DS175">
        <v>27</v>
      </c>
      <c r="DT175">
        <v>18</v>
      </c>
      <c r="DU175">
        <v>11</v>
      </c>
      <c r="DV175">
        <v>13</v>
      </c>
      <c r="DW175">
        <v>76</v>
      </c>
      <c r="DX175">
        <v>37</v>
      </c>
      <c r="DY175">
        <v>22</v>
      </c>
      <c r="DZ175">
        <v>2</v>
      </c>
      <c r="EA175">
        <v>4</v>
      </c>
      <c r="EB175">
        <v>47</v>
      </c>
      <c r="EC175">
        <v>53</v>
      </c>
      <c r="ED175">
        <v>33</v>
      </c>
      <c r="EE175">
        <v>21</v>
      </c>
      <c r="EF175">
        <v>16</v>
      </c>
      <c r="EG175">
        <v>0</v>
      </c>
      <c r="EH175">
        <v>9</v>
      </c>
      <c r="EI175">
        <v>28</v>
      </c>
      <c r="EJ175">
        <v>46</v>
      </c>
      <c r="EK175">
        <v>4</v>
      </c>
      <c r="EL175">
        <v>26</v>
      </c>
      <c r="EM175">
        <v>6</v>
      </c>
      <c r="EN175">
        <v>7</v>
      </c>
      <c r="EO175">
        <v>24</v>
      </c>
      <c r="EP175">
        <v>15</v>
      </c>
      <c r="EQ175">
        <v>15</v>
      </c>
      <c r="ER175">
        <v>29</v>
      </c>
      <c r="ES175">
        <v>27</v>
      </c>
      <c r="ET175">
        <v>14</v>
      </c>
      <c r="EU175">
        <v>67</v>
      </c>
      <c r="EV175">
        <v>8</v>
      </c>
      <c r="EW175">
        <v>23</v>
      </c>
      <c r="EX175">
        <v>37</v>
      </c>
      <c r="EY175">
        <v>5</v>
      </c>
      <c r="EZ175">
        <v>1</v>
      </c>
      <c r="FA175">
        <v>1</v>
      </c>
      <c r="FB175">
        <v>37</v>
      </c>
      <c r="FC175">
        <v>187</v>
      </c>
      <c r="FD175">
        <v>36</v>
      </c>
      <c r="FE175">
        <v>40</v>
      </c>
      <c r="FF175">
        <v>143</v>
      </c>
      <c r="FG175">
        <v>938</v>
      </c>
    </row>
    <row r="176" spans="1:163" hidden="1">
      <c r="A176" t="s">
        <v>285</v>
      </c>
      <c r="B176" t="s">
        <v>285</v>
      </c>
      <c r="C176" t="s">
        <v>9</v>
      </c>
      <c r="D176" t="s">
        <v>10</v>
      </c>
      <c r="E176" t="s">
        <v>11</v>
      </c>
      <c r="F176" t="s">
        <v>12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</row>
    <row r="177" spans="1:163" hidden="1">
      <c r="A177" t="s">
        <v>286</v>
      </c>
      <c r="B177" t="s">
        <v>286</v>
      </c>
      <c r="C177" t="s">
        <v>24</v>
      </c>
      <c r="D177" t="s">
        <v>25</v>
      </c>
      <c r="E177" t="s">
        <v>15</v>
      </c>
      <c r="F177" t="s">
        <v>26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</row>
    <row r="178" spans="1:163" hidden="1">
      <c r="A178" t="s">
        <v>287</v>
      </c>
      <c r="B178" t="s">
        <v>287</v>
      </c>
      <c r="C178" t="s">
        <v>9</v>
      </c>
      <c r="D178" t="s">
        <v>10</v>
      </c>
      <c r="E178" t="s">
        <v>11</v>
      </c>
      <c r="F178" t="s">
        <v>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2</v>
      </c>
      <c r="Y178">
        <v>1</v>
      </c>
      <c r="Z178">
        <v>1</v>
      </c>
      <c r="AA178">
        <v>0</v>
      </c>
      <c r="AB178">
        <v>2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1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1</v>
      </c>
      <c r="AR178">
        <v>2</v>
      </c>
      <c r="AS178">
        <v>0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3</v>
      </c>
      <c r="BE178">
        <v>0</v>
      </c>
      <c r="BF178">
        <v>5</v>
      </c>
      <c r="BG178">
        <v>0</v>
      </c>
      <c r="BH178">
        <v>0</v>
      </c>
      <c r="BI178">
        <v>4</v>
      </c>
      <c r="BJ178">
        <v>1</v>
      </c>
      <c r="BK178">
        <v>0</v>
      </c>
      <c r="BL178">
        <v>1</v>
      </c>
      <c r="BM178">
        <v>2</v>
      </c>
      <c r="BN178">
        <v>0</v>
      </c>
      <c r="BO178">
        <v>11</v>
      </c>
      <c r="BP178">
        <v>1</v>
      </c>
      <c r="BQ178">
        <v>0</v>
      </c>
      <c r="BR178">
        <v>2</v>
      </c>
      <c r="BS178">
        <v>0</v>
      </c>
      <c r="BT178">
        <v>3</v>
      </c>
      <c r="BU178">
        <v>0</v>
      </c>
      <c r="BV178">
        <v>0</v>
      </c>
      <c r="BW178">
        <v>0</v>
      </c>
      <c r="BX178">
        <v>3</v>
      </c>
      <c r="BY178">
        <v>2</v>
      </c>
      <c r="BZ178">
        <v>0</v>
      </c>
      <c r="CA178">
        <v>3</v>
      </c>
      <c r="CB178">
        <v>2</v>
      </c>
      <c r="CC178">
        <v>2</v>
      </c>
      <c r="CD178">
        <v>6</v>
      </c>
      <c r="CE178">
        <v>4</v>
      </c>
      <c r="CF178">
        <v>5</v>
      </c>
      <c r="CG178">
        <v>1</v>
      </c>
      <c r="CH178">
        <v>2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2</v>
      </c>
      <c r="CP178">
        <v>1</v>
      </c>
      <c r="CQ178">
        <v>2</v>
      </c>
      <c r="CR178">
        <v>1</v>
      </c>
      <c r="CS178">
        <v>0</v>
      </c>
      <c r="CT178">
        <v>2</v>
      </c>
      <c r="CU178">
        <v>0</v>
      </c>
      <c r="CV178">
        <v>2</v>
      </c>
      <c r="CW178">
        <v>2</v>
      </c>
      <c r="CX178">
        <v>3</v>
      </c>
      <c r="CY178">
        <v>0</v>
      </c>
      <c r="CZ178">
        <v>0</v>
      </c>
      <c r="DA178">
        <v>0</v>
      </c>
      <c r="DB178">
        <v>2</v>
      </c>
      <c r="DC178">
        <v>1</v>
      </c>
      <c r="DD178">
        <v>0</v>
      </c>
      <c r="DE178">
        <v>1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1</v>
      </c>
      <c r="DL178">
        <v>1</v>
      </c>
      <c r="DM178">
        <v>0</v>
      </c>
      <c r="DN178">
        <v>1</v>
      </c>
      <c r="DO178">
        <v>0</v>
      </c>
      <c r="DP178">
        <v>0</v>
      </c>
      <c r="DQ178">
        <v>6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1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</row>
    <row r="179" spans="1:163" hidden="1">
      <c r="A179" t="s">
        <v>288</v>
      </c>
      <c r="B179" t="s">
        <v>289</v>
      </c>
      <c r="C179" t="s">
        <v>9</v>
      </c>
      <c r="D179" t="s">
        <v>10</v>
      </c>
      <c r="E179" t="s">
        <v>46</v>
      </c>
      <c r="F179" t="s">
        <v>12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</row>
    <row r="180" spans="1:163" hidden="1">
      <c r="A180" t="s">
        <v>290</v>
      </c>
      <c r="B180" t="s">
        <v>290</v>
      </c>
      <c r="C180" t="s">
        <v>9</v>
      </c>
      <c r="D180" t="s">
        <v>10</v>
      </c>
      <c r="E180" t="s">
        <v>46</v>
      </c>
      <c r="F180" t="s">
        <v>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</row>
    <row r="181" spans="1:163">
      <c r="A181" t="s">
        <v>291</v>
      </c>
      <c r="B181" t="s">
        <v>291</v>
      </c>
      <c r="C181" t="s">
        <v>19</v>
      </c>
      <c r="D181" t="s">
        <v>97</v>
      </c>
      <c r="E181" t="s">
        <v>21</v>
      </c>
      <c r="F181" t="s">
        <v>16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</row>
    <row r="182" spans="1:163" hidden="1">
      <c r="A182" t="s">
        <v>292</v>
      </c>
      <c r="B182" t="s">
        <v>293</v>
      </c>
      <c r="C182" t="s">
        <v>80</v>
      </c>
      <c r="D182" t="s">
        <v>81</v>
      </c>
      <c r="E182" t="s">
        <v>86</v>
      </c>
      <c r="F182" t="s">
        <v>16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</row>
    <row r="183" spans="1:163" hidden="1">
      <c r="A183" t="s">
        <v>294</v>
      </c>
      <c r="B183" t="s">
        <v>295</v>
      </c>
      <c r="C183" t="s">
        <v>9</v>
      </c>
      <c r="D183" t="s">
        <v>160</v>
      </c>
      <c r="E183" t="s">
        <v>46</v>
      </c>
      <c r="F183" t="s">
        <v>16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5</v>
      </c>
      <c r="AY183">
        <v>7</v>
      </c>
      <c r="AZ183">
        <v>14</v>
      </c>
      <c r="BA183">
        <v>5</v>
      </c>
      <c r="BB183">
        <v>0</v>
      </c>
      <c r="BC183">
        <v>1</v>
      </c>
      <c r="BD183">
        <v>7</v>
      </c>
      <c r="BE183">
        <v>0</v>
      </c>
      <c r="BF183">
        <v>7</v>
      </c>
      <c r="BG183">
        <v>3</v>
      </c>
      <c r="BH183">
        <v>1</v>
      </c>
      <c r="BI183">
        <v>0</v>
      </c>
      <c r="BJ183">
        <v>0</v>
      </c>
      <c r="BK183">
        <v>0</v>
      </c>
      <c r="BL183">
        <v>2</v>
      </c>
      <c r="BM183">
        <v>1</v>
      </c>
      <c r="BN183">
        <v>3</v>
      </c>
      <c r="BO183">
        <v>7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1</v>
      </c>
      <c r="BW183">
        <v>0</v>
      </c>
      <c r="BX183">
        <v>5</v>
      </c>
      <c r="BY183">
        <v>0</v>
      </c>
      <c r="BZ183">
        <v>0</v>
      </c>
      <c r="CA183">
        <v>2</v>
      </c>
      <c r="CB183">
        <v>3</v>
      </c>
      <c r="CC183">
        <v>0</v>
      </c>
      <c r="CD183">
        <v>1</v>
      </c>
      <c r="CE183">
        <v>0</v>
      </c>
      <c r="CF183">
        <v>0</v>
      </c>
      <c r="CG183">
        <v>2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4</v>
      </c>
      <c r="CR183">
        <v>0</v>
      </c>
      <c r="CS183">
        <v>1</v>
      </c>
      <c r="CT183">
        <v>2</v>
      </c>
      <c r="CU183">
        <v>3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5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2</v>
      </c>
    </row>
    <row r="184" spans="1:163" hidden="1">
      <c r="A184" t="s">
        <v>296</v>
      </c>
      <c r="B184" t="s">
        <v>296</v>
      </c>
      <c r="C184" t="s">
        <v>9</v>
      </c>
      <c r="D184" t="s">
        <v>10</v>
      </c>
      <c r="E184" t="s">
        <v>42</v>
      </c>
      <c r="F184" t="s">
        <v>42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</row>
    <row r="185" spans="1:163" hidden="1">
      <c r="A185" t="s">
        <v>297</v>
      </c>
      <c r="B185" t="s">
        <v>297</v>
      </c>
      <c r="C185" t="s">
        <v>9</v>
      </c>
      <c r="D185" t="s">
        <v>10</v>
      </c>
      <c r="E185" t="s">
        <v>11</v>
      </c>
      <c r="F185" t="s">
        <v>12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</row>
    <row r="186" spans="1:163" hidden="1">
      <c r="A186" t="s">
        <v>298</v>
      </c>
      <c r="B186" t="s">
        <v>298</v>
      </c>
      <c r="C186" t="s">
        <v>9</v>
      </c>
      <c r="D186" t="s">
        <v>10</v>
      </c>
      <c r="E186" t="s">
        <v>11</v>
      </c>
      <c r="F186" t="s">
        <v>12</v>
      </c>
      <c r="G186">
        <v>1</v>
      </c>
      <c r="H186">
        <v>4</v>
      </c>
      <c r="I186">
        <v>1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</row>
    <row r="187" spans="1:163" hidden="1">
      <c r="A187" t="s">
        <v>299</v>
      </c>
      <c r="B187" t="s">
        <v>300</v>
      </c>
      <c r="C187" t="s">
        <v>24</v>
      </c>
      <c r="D187" t="s">
        <v>25</v>
      </c>
      <c r="E187" t="s">
        <v>15</v>
      </c>
      <c r="F187" t="s">
        <v>26</v>
      </c>
      <c r="G187">
        <v>0</v>
      </c>
      <c r="H187">
        <v>8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2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</row>
    <row r="188" spans="1:163" hidden="1">
      <c r="A188" t="s">
        <v>301</v>
      </c>
      <c r="B188" t="s">
        <v>301</v>
      </c>
      <c r="C188" t="s">
        <v>24</v>
      </c>
      <c r="D188" t="s">
        <v>25</v>
      </c>
      <c r="E188" t="s">
        <v>42</v>
      </c>
      <c r="F188" t="s">
        <v>42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</row>
    <row r="189" spans="1:163" hidden="1">
      <c r="A189" t="s">
        <v>302</v>
      </c>
      <c r="B189" t="s">
        <v>303</v>
      </c>
      <c r="C189" t="s">
        <v>24</v>
      </c>
      <c r="E189" t="s">
        <v>15</v>
      </c>
      <c r="F189" t="s">
        <v>26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</row>
    <row r="190" spans="1:163" hidden="1">
      <c r="A190" t="s">
        <v>304</v>
      </c>
      <c r="B190" t="s">
        <v>305</v>
      </c>
      <c r="C190" t="s">
        <v>19</v>
      </c>
      <c r="D190" t="s">
        <v>20</v>
      </c>
      <c r="E190" t="s">
        <v>11</v>
      </c>
      <c r="F190" t="s">
        <v>26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</row>
    <row r="191" spans="1:163" hidden="1">
      <c r="A191" t="s">
        <v>306</v>
      </c>
      <c r="B191" t="s">
        <v>306</v>
      </c>
      <c r="C191" t="s">
        <v>9</v>
      </c>
      <c r="D191" t="s">
        <v>307</v>
      </c>
      <c r="E191" t="s">
        <v>42</v>
      </c>
      <c r="F191" t="s">
        <v>42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</row>
    <row r="192" spans="1:163" hidden="1">
      <c r="A192" t="s">
        <v>308</v>
      </c>
      <c r="B192" t="s">
        <v>308</v>
      </c>
      <c r="C192" t="s">
        <v>24</v>
      </c>
      <c r="D192" t="s">
        <v>25</v>
      </c>
      <c r="E192" t="s">
        <v>46</v>
      </c>
      <c r="F192" t="s">
        <v>16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2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</row>
    <row r="193" spans="1:163" hidden="1">
      <c r="A193" t="s">
        <v>309</v>
      </c>
      <c r="B193" t="s">
        <v>309</v>
      </c>
      <c r="C193" t="s">
        <v>9</v>
      </c>
      <c r="D193" t="s">
        <v>10</v>
      </c>
      <c r="E193" t="s">
        <v>46</v>
      </c>
      <c r="F193" t="s">
        <v>12</v>
      </c>
      <c r="G193">
        <v>0</v>
      </c>
      <c r="H193">
        <v>0</v>
      </c>
      <c r="I193">
        <v>0</v>
      </c>
      <c r="J193">
        <v>0</v>
      </c>
      <c r="K193">
        <v>4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49</v>
      </c>
      <c r="Z193">
        <v>26</v>
      </c>
      <c r="AA193">
        <v>23</v>
      </c>
      <c r="AB193">
        <v>0</v>
      </c>
      <c r="AC193">
        <v>0</v>
      </c>
      <c r="AD193">
        <v>21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1</v>
      </c>
      <c r="AM193">
        <v>7</v>
      </c>
      <c r="AN193">
        <v>14</v>
      </c>
      <c r="AO193">
        <v>0</v>
      </c>
      <c r="AP193">
        <v>3</v>
      </c>
      <c r="AQ193">
        <v>0</v>
      </c>
      <c r="AR193">
        <v>6</v>
      </c>
      <c r="AS193">
        <v>0</v>
      </c>
      <c r="AT193">
        <v>0</v>
      </c>
      <c r="AU193">
        <v>11</v>
      </c>
      <c r="AV193">
        <v>7</v>
      </c>
      <c r="AW193">
        <v>44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9</v>
      </c>
      <c r="DZ193">
        <v>3</v>
      </c>
      <c r="EA193">
        <v>4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5</v>
      </c>
      <c r="EV193">
        <v>3</v>
      </c>
      <c r="EW193">
        <v>3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</row>
    <row r="194" spans="1:163" hidden="1">
      <c r="A194" t="s">
        <v>310</v>
      </c>
      <c r="B194" t="s">
        <v>310</v>
      </c>
      <c r="C194" t="s">
        <v>9</v>
      </c>
      <c r="D194" t="s">
        <v>160</v>
      </c>
      <c r="E194" t="s">
        <v>46</v>
      </c>
      <c r="F194" t="s">
        <v>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</row>
    <row r="195" spans="1:163" hidden="1">
      <c r="A195" t="s">
        <v>311</v>
      </c>
      <c r="B195" t="s">
        <v>311</v>
      </c>
      <c r="C195" t="s">
        <v>80</v>
      </c>
      <c r="D195" t="s">
        <v>81</v>
      </c>
      <c r="E195" t="s">
        <v>86</v>
      </c>
      <c r="F195" t="s">
        <v>16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</v>
      </c>
      <c r="BB195">
        <v>0</v>
      </c>
      <c r="BC195">
        <v>0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1</v>
      </c>
      <c r="BW195">
        <v>0</v>
      </c>
      <c r="BX195">
        <v>1</v>
      </c>
      <c r="BY195">
        <v>1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1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0</v>
      </c>
      <c r="DL195">
        <v>1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1</v>
      </c>
      <c r="EC195">
        <v>1</v>
      </c>
      <c r="ED195">
        <v>1</v>
      </c>
      <c r="EE195">
        <v>0</v>
      </c>
      <c r="EF195">
        <v>1</v>
      </c>
      <c r="EG195">
        <v>1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</row>
    <row r="196" spans="1:163" hidden="1">
      <c r="A196" t="s">
        <v>312</v>
      </c>
      <c r="B196" t="s">
        <v>312</v>
      </c>
      <c r="C196" t="s">
        <v>24</v>
      </c>
      <c r="D196" t="s">
        <v>25</v>
      </c>
      <c r="E196" t="s">
        <v>15</v>
      </c>
      <c r="F196" t="s">
        <v>16</v>
      </c>
      <c r="G196">
        <v>0</v>
      </c>
      <c r="H196">
        <v>1</v>
      </c>
      <c r="I196">
        <v>2</v>
      </c>
      <c r="J196">
        <v>1</v>
      </c>
      <c r="K196">
        <v>2</v>
      </c>
      <c r="L196">
        <v>0</v>
      </c>
      <c r="M196">
        <v>0</v>
      </c>
      <c r="N196">
        <v>0</v>
      </c>
      <c r="O196">
        <v>2</v>
      </c>
      <c r="P196">
        <v>1</v>
      </c>
      <c r="Q196">
        <v>12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3</v>
      </c>
    </row>
    <row r="197" spans="1:163" hidden="1">
      <c r="A197" t="s">
        <v>313</v>
      </c>
      <c r="B197" t="s">
        <v>314</v>
      </c>
      <c r="C197" t="s">
        <v>80</v>
      </c>
      <c r="D197" t="s">
        <v>81</v>
      </c>
      <c r="E197" t="s">
        <v>86</v>
      </c>
      <c r="F197" t="s">
        <v>16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1</v>
      </c>
      <c r="BC197">
        <v>0</v>
      </c>
      <c r="BD197">
        <v>1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1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  <c r="EB197">
        <v>1</v>
      </c>
      <c r="EC197">
        <v>0</v>
      </c>
      <c r="ED197">
        <v>1</v>
      </c>
      <c r="EE197">
        <v>1</v>
      </c>
      <c r="EF197">
        <v>1</v>
      </c>
      <c r="EG197">
        <v>1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</row>
    <row r="198" spans="1:163" hidden="1">
      <c r="A198" t="s">
        <v>315</v>
      </c>
      <c r="B198" t="s">
        <v>316</v>
      </c>
      <c r="C198" t="s">
        <v>24</v>
      </c>
      <c r="D198" t="s">
        <v>25</v>
      </c>
      <c r="E198" t="s">
        <v>42</v>
      </c>
      <c r="F198" t="s">
        <v>42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1</v>
      </c>
      <c r="AT198">
        <v>3</v>
      </c>
      <c r="AU198">
        <v>6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</row>
    <row r="199" spans="1:163">
      <c r="A199" t="s">
        <v>317</v>
      </c>
      <c r="B199" t="s">
        <v>318</v>
      </c>
      <c r="C199" t="s">
        <v>24</v>
      </c>
      <c r="D199" t="s">
        <v>25</v>
      </c>
      <c r="E199" t="s">
        <v>21</v>
      </c>
      <c r="F199" t="s">
        <v>16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</row>
    <row r="200" spans="1:163">
      <c r="A200" t="s">
        <v>319</v>
      </c>
      <c r="B200" t="s">
        <v>319</v>
      </c>
      <c r="C200" t="s">
        <v>24</v>
      </c>
      <c r="D200" t="s">
        <v>25</v>
      </c>
      <c r="E200" t="s">
        <v>21</v>
      </c>
      <c r="F200" t="s">
        <v>16</v>
      </c>
      <c r="G200">
        <v>0</v>
      </c>
      <c r="H200">
        <v>16</v>
      </c>
      <c r="I200">
        <v>34</v>
      </c>
      <c r="J200">
        <v>28</v>
      </c>
      <c r="K200">
        <v>136</v>
      </c>
      <c r="L200">
        <v>1</v>
      </c>
      <c r="M200">
        <v>0</v>
      </c>
      <c r="N200">
        <v>1</v>
      </c>
      <c r="O200">
        <v>17</v>
      </c>
      <c r="P200">
        <v>2</v>
      </c>
      <c r="Q200">
        <v>119</v>
      </c>
      <c r="R200">
        <v>2</v>
      </c>
      <c r="S200">
        <v>9</v>
      </c>
      <c r="T200">
        <v>1</v>
      </c>
      <c r="U200">
        <v>1</v>
      </c>
      <c r="V200">
        <v>0</v>
      </c>
      <c r="W200">
        <v>0</v>
      </c>
      <c r="X200">
        <v>49</v>
      </c>
      <c r="Y200">
        <v>6</v>
      </c>
      <c r="Z200">
        <v>1</v>
      </c>
      <c r="AA200">
        <v>5</v>
      </c>
      <c r="AB200">
        <v>4</v>
      </c>
      <c r="AC200">
        <v>58</v>
      </c>
      <c r="AD200">
        <v>17</v>
      </c>
      <c r="AE200">
        <v>26</v>
      </c>
      <c r="AF200">
        <v>136</v>
      </c>
      <c r="AG200">
        <v>86</v>
      </c>
      <c r="AH200">
        <v>13</v>
      </c>
      <c r="AI200">
        <v>15</v>
      </c>
      <c r="AJ200">
        <v>2</v>
      </c>
      <c r="AK200">
        <v>26</v>
      </c>
      <c r="AL200">
        <v>18</v>
      </c>
      <c r="AM200">
        <v>1</v>
      </c>
      <c r="AN200">
        <v>17</v>
      </c>
      <c r="AO200">
        <v>1</v>
      </c>
      <c r="AP200">
        <v>0</v>
      </c>
      <c r="AQ200">
        <v>1</v>
      </c>
      <c r="AR200">
        <v>15</v>
      </c>
      <c r="AS200">
        <v>3</v>
      </c>
      <c r="AT200">
        <v>4</v>
      </c>
      <c r="AU200">
        <v>14</v>
      </c>
      <c r="AV200">
        <v>0</v>
      </c>
      <c r="AW200">
        <v>133</v>
      </c>
      <c r="AX200">
        <v>0</v>
      </c>
      <c r="AY200">
        <v>0</v>
      </c>
      <c r="AZ200">
        <v>266</v>
      </c>
      <c r="BA200">
        <v>8</v>
      </c>
      <c r="BB200">
        <v>24</v>
      </c>
      <c r="BC200">
        <v>33</v>
      </c>
      <c r="BD200">
        <v>17</v>
      </c>
      <c r="BE200">
        <v>2</v>
      </c>
      <c r="BF200">
        <v>5</v>
      </c>
      <c r="BG200">
        <v>0</v>
      </c>
      <c r="BH200">
        <v>3</v>
      </c>
      <c r="BI200">
        <v>7</v>
      </c>
      <c r="BJ200">
        <v>8</v>
      </c>
      <c r="BK200">
        <v>0</v>
      </c>
      <c r="BL200">
        <v>2</v>
      </c>
      <c r="BM200">
        <v>2</v>
      </c>
      <c r="BN200">
        <v>9</v>
      </c>
      <c r="BO200">
        <v>2</v>
      </c>
      <c r="BP200">
        <v>1</v>
      </c>
      <c r="BQ200">
        <v>0</v>
      </c>
      <c r="BR200">
        <v>28</v>
      </c>
      <c r="BS200">
        <v>13</v>
      </c>
      <c r="BT200">
        <v>14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4</v>
      </c>
      <c r="CE200">
        <v>3</v>
      </c>
      <c r="CF200">
        <v>0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2</v>
      </c>
      <c r="CW200">
        <v>1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1</v>
      </c>
      <c r="DQ200">
        <v>2</v>
      </c>
      <c r="DR200">
        <v>1</v>
      </c>
      <c r="DS200">
        <v>0</v>
      </c>
      <c r="DT200">
        <v>0</v>
      </c>
      <c r="DU200">
        <v>0</v>
      </c>
      <c r="DV200">
        <v>3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4</v>
      </c>
      <c r="EC200">
        <v>1</v>
      </c>
      <c r="ED200">
        <v>8</v>
      </c>
      <c r="EE200">
        <v>0</v>
      </c>
      <c r="EF200">
        <v>5</v>
      </c>
      <c r="EG200">
        <v>7</v>
      </c>
      <c r="EH200">
        <v>3</v>
      </c>
      <c r="EI200">
        <v>5</v>
      </c>
      <c r="EJ200">
        <v>1</v>
      </c>
      <c r="EK200">
        <v>6</v>
      </c>
      <c r="EL200">
        <v>9</v>
      </c>
      <c r="EM200">
        <v>4</v>
      </c>
      <c r="EN200">
        <v>3</v>
      </c>
      <c r="EO200">
        <v>11</v>
      </c>
      <c r="EP200">
        <v>0</v>
      </c>
      <c r="EQ200">
        <v>3</v>
      </c>
      <c r="ER200">
        <v>9</v>
      </c>
      <c r="ES200">
        <v>19</v>
      </c>
      <c r="ET200">
        <v>9</v>
      </c>
      <c r="EU200">
        <v>36</v>
      </c>
      <c r="EV200">
        <v>1</v>
      </c>
      <c r="EW200">
        <v>56</v>
      </c>
      <c r="EX200">
        <v>47</v>
      </c>
      <c r="EY200">
        <v>0</v>
      </c>
      <c r="EZ200">
        <v>10</v>
      </c>
      <c r="FA200">
        <v>1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5</v>
      </c>
    </row>
    <row r="201" spans="1:163" hidden="1">
      <c r="A201" t="s">
        <v>320</v>
      </c>
      <c r="B201" t="s">
        <v>321</v>
      </c>
      <c r="C201" t="s">
        <v>9</v>
      </c>
      <c r="D201" t="s">
        <v>10</v>
      </c>
      <c r="E201" t="s">
        <v>11</v>
      </c>
      <c r="F201" t="s">
        <v>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</row>
    <row r="202" spans="1:163">
      <c r="A202" t="s">
        <v>322</v>
      </c>
      <c r="B202" t="s">
        <v>323</v>
      </c>
      <c r="C202" t="s">
        <v>24</v>
      </c>
      <c r="D202" t="s">
        <v>25</v>
      </c>
      <c r="E202" t="s">
        <v>21</v>
      </c>
      <c r="F202" t="s">
        <v>16</v>
      </c>
      <c r="G202">
        <v>0</v>
      </c>
      <c r="H202">
        <v>0</v>
      </c>
      <c r="I202">
        <v>1</v>
      </c>
      <c r="J202">
        <v>7</v>
      </c>
      <c r="K202">
        <v>0</v>
      </c>
      <c r="L202">
        <v>0</v>
      </c>
      <c r="M202">
        <v>8</v>
      </c>
      <c r="N202">
        <v>0</v>
      </c>
      <c r="O202">
        <v>1</v>
      </c>
      <c r="P202">
        <v>4</v>
      </c>
      <c r="Q202">
        <v>1</v>
      </c>
      <c r="R202">
        <v>0</v>
      </c>
      <c r="S202">
        <v>0</v>
      </c>
      <c r="T202">
        <v>6</v>
      </c>
      <c r="U202">
        <v>0</v>
      </c>
      <c r="V202">
        <v>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</v>
      </c>
      <c r="AC202">
        <v>27</v>
      </c>
      <c r="AD202">
        <v>5</v>
      </c>
      <c r="AE202">
        <v>6</v>
      </c>
      <c r="AF202">
        <v>32</v>
      </c>
      <c r="AG202">
        <v>15</v>
      </c>
      <c r="AH202">
        <v>8</v>
      </c>
      <c r="AI202">
        <v>8</v>
      </c>
      <c r="AJ202">
        <v>3</v>
      </c>
      <c r="AK202">
        <v>34</v>
      </c>
      <c r="AL202">
        <v>4</v>
      </c>
      <c r="AM202">
        <v>0</v>
      </c>
      <c r="AN202">
        <v>3</v>
      </c>
      <c r="AO202">
        <v>0</v>
      </c>
      <c r="AP202">
        <v>0</v>
      </c>
      <c r="AQ202">
        <v>1</v>
      </c>
      <c r="AR202">
        <v>5</v>
      </c>
      <c r="AS202">
        <v>6</v>
      </c>
      <c r="AT202">
        <v>9</v>
      </c>
      <c r="AU202">
        <v>13</v>
      </c>
      <c r="AV202">
        <v>7</v>
      </c>
      <c r="AW202">
        <v>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2</v>
      </c>
      <c r="BP202">
        <v>0</v>
      </c>
      <c r="BQ202">
        <v>0</v>
      </c>
      <c r="BR202">
        <v>8</v>
      </c>
      <c r="BS202">
        <v>4</v>
      </c>
      <c r="BT202">
        <v>6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</row>
    <row r="203" spans="1:163" hidden="1">
      <c r="A203" t="s">
        <v>324</v>
      </c>
      <c r="B203" t="s">
        <v>325</v>
      </c>
      <c r="C203" t="s">
        <v>24</v>
      </c>
      <c r="D203" t="s">
        <v>25</v>
      </c>
      <c r="E203" t="s">
        <v>15</v>
      </c>
      <c r="F203" t="s">
        <v>26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</row>
    <row r="204" spans="1:163">
      <c r="A204" t="s">
        <v>326</v>
      </c>
      <c r="B204" t="s">
        <v>326</v>
      </c>
      <c r="C204" t="s">
        <v>327</v>
      </c>
      <c r="D204" t="s">
        <v>328</v>
      </c>
      <c r="E204" t="s">
        <v>21</v>
      </c>
      <c r="F204" t="s">
        <v>16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1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1</v>
      </c>
      <c r="FA204">
        <v>0</v>
      </c>
      <c r="FB204">
        <v>0</v>
      </c>
      <c r="FC204">
        <v>1</v>
      </c>
      <c r="FD204">
        <v>0</v>
      </c>
      <c r="FE204">
        <v>0</v>
      </c>
      <c r="FF204">
        <v>0</v>
      </c>
      <c r="FG204">
        <v>0</v>
      </c>
    </row>
    <row r="205" spans="1:163" hidden="1">
      <c r="A205" t="s">
        <v>329</v>
      </c>
      <c r="B205" t="s">
        <v>330</v>
      </c>
      <c r="C205" t="s">
        <v>80</v>
      </c>
      <c r="D205" t="s">
        <v>81</v>
      </c>
      <c r="E205" t="s">
        <v>86</v>
      </c>
      <c r="F205" t="s">
        <v>16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0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0</v>
      </c>
      <c r="EA205">
        <v>0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</v>
      </c>
      <c r="FD205">
        <v>0</v>
      </c>
      <c r="FE205">
        <v>0</v>
      </c>
      <c r="FF205">
        <v>0</v>
      </c>
      <c r="FG205">
        <v>0</v>
      </c>
    </row>
    <row r="206" spans="1:163">
      <c r="A206" t="s">
        <v>327</v>
      </c>
      <c r="B206" t="s">
        <v>327</v>
      </c>
      <c r="C206" t="s">
        <v>327</v>
      </c>
      <c r="E206" t="s">
        <v>21</v>
      </c>
      <c r="F206" t="s">
        <v>16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0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0</v>
      </c>
      <c r="DJ206">
        <v>0</v>
      </c>
      <c r="DK206">
        <v>0</v>
      </c>
      <c r="DL206">
        <v>1</v>
      </c>
      <c r="DM206">
        <v>1</v>
      </c>
      <c r="DN206">
        <v>0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0</v>
      </c>
      <c r="DU206">
        <v>0</v>
      </c>
      <c r="DV206">
        <v>1</v>
      </c>
      <c r="DW206">
        <v>1</v>
      </c>
      <c r="DX206">
        <v>0</v>
      </c>
      <c r="DY206">
        <v>1</v>
      </c>
      <c r="DZ206">
        <v>0</v>
      </c>
      <c r="EA206">
        <v>1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0</v>
      </c>
      <c r="EH206">
        <v>0</v>
      </c>
      <c r="EI206">
        <v>0</v>
      </c>
      <c r="EJ206">
        <v>0</v>
      </c>
      <c r="EK206">
        <v>1</v>
      </c>
      <c r="EL206">
        <v>0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0</v>
      </c>
      <c r="ES206">
        <v>1</v>
      </c>
      <c r="ET206">
        <v>0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</row>
    <row r="207" spans="1:163">
      <c r="A207" t="s">
        <v>331</v>
      </c>
      <c r="B207" t="s">
        <v>332</v>
      </c>
      <c r="C207" t="s">
        <v>24</v>
      </c>
      <c r="D207" t="s">
        <v>25</v>
      </c>
      <c r="E207" t="s">
        <v>21</v>
      </c>
      <c r="F207" t="s">
        <v>16</v>
      </c>
      <c r="G207">
        <v>0</v>
      </c>
      <c r="H207">
        <v>2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2</v>
      </c>
      <c r="AK207">
        <v>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</row>
    <row r="208" spans="1:163" hidden="1">
      <c r="A208" t="s">
        <v>333</v>
      </c>
      <c r="B208" t="s">
        <v>333</v>
      </c>
      <c r="C208" t="s">
        <v>24</v>
      </c>
      <c r="D208" t="s">
        <v>25</v>
      </c>
      <c r="E208" t="s">
        <v>15</v>
      </c>
      <c r="F208" t="s">
        <v>26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</row>
    <row r="209" spans="1:163" hidden="1">
      <c r="A209" t="s">
        <v>334</v>
      </c>
      <c r="B209" t="s">
        <v>334</v>
      </c>
      <c r="C209" t="s">
        <v>335</v>
      </c>
      <c r="E209" t="s">
        <v>15</v>
      </c>
      <c r="F209" t="s">
        <v>26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</row>
    <row r="210" spans="1:163" hidden="1">
      <c r="A210" t="s">
        <v>336</v>
      </c>
      <c r="B210" t="s">
        <v>336</v>
      </c>
      <c r="C210" t="s">
        <v>24</v>
      </c>
      <c r="D210" t="s">
        <v>25</v>
      </c>
      <c r="E210" t="s">
        <v>15</v>
      </c>
      <c r="F210" t="s">
        <v>26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</row>
    <row r="211" spans="1:163" hidden="1">
      <c r="A211" t="s">
        <v>337</v>
      </c>
      <c r="B211" t="s">
        <v>338</v>
      </c>
      <c r="C211" t="s">
        <v>24</v>
      </c>
      <c r="D211" t="s">
        <v>25</v>
      </c>
      <c r="E211" t="s">
        <v>28</v>
      </c>
      <c r="F211" t="s">
        <v>29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</row>
    <row r="212" spans="1:163" hidden="1">
      <c r="A212" t="s">
        <v>339</v>
      </c>
      <c r="B212" t="s">
        <v>340</v>
      </c>
      <c r="C212" t="s">
        <v>9</v>
      </c>
      <c r="D212" t="s">
        <v>160</v>
      </c>
      <c r="E212" t="s">
        <v>46</v>
      </c>
      <c r="F212" t="s">
        <v>16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4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1</v>
      </c>
      <c r="FF212">
        <v>2</v>
      </c>
      <c r="FG212">
        <v>0</v>
      </c>
    </row>
    <row r="213" spans="1:163" hidden="1">
      <c r="A213" t="s">
        <v>341</v>
      </c>
      <c r="B213" t="s">
        <v>341</v>
      </c>
      <c r="C213" t="s">
        <v>44</v>
      </c>
      <c r="D213" t="s">
        <v>45</v>
      </c>
      <c r="E213" t="s">
        <v>15</v>
      </c>
      <c r="F213" t="s">
        <v>16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1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1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</row>
    <row r="214" spans="1:163" hidden="1">
      <c r="A214" t="s">
        <v>342</v>
      </c>
      <c r="B214" t="s">
        <v>343</v>
      </c>
      <c r="C214" t="s">
        <v>24</v>
      </c>
      <c r="D214" t="s">
        <v>25</v>
      </c>
      <c r="E214" t="s">
        <v>46</v>
      </c>
      <c r="F214" t="s">
        <v>16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2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2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</row>
    <row r="215" spans="1:163" hidden="1">
      <c r="A215" t="s">
        <v>342</v>
      </c>
      <c r="B215" t="s">
        <v>343</v>
      </c>
      <c r="C215" t="s">
        <v>24</v>
      </c>
      <c r="D215" t="s">
        <v>25</v>
      </c>
      <c r="E215" t="s">
        <v>46</v>
      </c>
      <c r="F215" t="s">
        <v>16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4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2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1</v>
      </c>
      <c r="EU215">
        <v>0</v>
      </c>
      <c r="EV215">
        <v>1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</row>
    <row r="216" spans="1:163" hidden="1">
      <c r="A216" t="s">
        <v>342</v>
      </c>
      <c r="B216" t="s">
        <v>343</v>
      </c>
      <c r="C216" t="s">
        <v>24</v>
      </c>
      <c r="D216" t="s">
        <v>25</v>
      </c>
      <c r="E216" t="s">
        <v>46</v>
      </c>
      <c r="F216" t="s">
        <v>16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2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</row>
    <row r="217" spans="1:163" hidden="1">
      <c r="A217" t="s">
        <v>342</v>
      </c>
      <c r="B217" t="s">
        <v>343</v>
      </c>
      <c r="C217" t="s">
        <v>24</v>
      </c>
      <c r="D217" t="s">
        <v>25</v>
      </c>
      <c r="E217" t="s">
        <v>46</v>
      </c>
      <c r="F217" t="s">
        <v>16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4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2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1</v>
      </c>
      <c r="EU217">
        <v>0</v>
      </c>
      <c r="EV217">
        <v>1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</row>
    <row r="218" spans="1:163" hidden="1">
      <c r="A218" t="s">
        <v>344</v>
      </c>
      <c r="B218" t="s">
        <v>344</v>
      </c>
      <c r="C218" t="s">
        <v>19</v>
      </c>
      <c r="D218" t="s">
        <v>20</v>
      </c>
      <c r="E218" t="s">
        <v>15</v>
      </c>
      <c r="F218" t="s">
        <v>16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4</v>
      </c>
      <c r="X218">
        <v>1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2</v>
      </c>
      <c r="AG218">
        <v>1</v>
      </c>
      <c r="AH218">
        <v>0</v>
      </c>
      <c r="AI218">
        <v>0</v>
      </c>
      <c r="AJ218">
        <v>2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17</v>
      </c>
      <c r="AX218">
        <v>0</v>
      </c>
      <c r="AY218">
        <v>2</v>
      </c>
      <c r="AZ218">
        <v>0</v>
      </c>
      <c r="BA218">
        <v>2</v>
      </c>
      <c r="BB218">
        <v>0</v>
      </c>
      <c r="BC218">
        <v>0</v>
      </c>
      <c r="BD218">
        <v>4</v>
      </c>
      <c r="BE218">
        <v>0</v>
      </c>
      <c r="BF218">
        <v>1</v>
      </c>
      <c r="BG218">
        <v>0</v>
      </c>
      <c r="BH218">
        <v>2</v>
      </c>
      <c r="BI218">
        <v>1</v>
      </c>
      <c r="BJ218">
        <v>0</v>
      </c>
      <c r="BK218">
        <v>0</v>
      </c>
      <c r="BL218">
        <v>1</v>
      </c>
      <c r="BM218">
        <v>1</v>
      </c>
      <c r="BN218">
        <v>0</v>
      </c>
      <c r="BO218">
        <v>2</v>
      </c>
      <c r="BP218">
        <v>0</v>
      </c>
      <c r="BQ218">
        <v>0</v>
      </c>
      <c r="BR218">
        <v>4</v>
      </c>
      <c r="BS218">
        <v>1</v>
      </c>
      <c r="BT218">
        <v>3</v>
      </c>
      <c r="BU218">
        <v>0</v>
      </c>
      <c r="BV218">
        <v>0</v>
      </c>
      <c r="BW218">
        <v>0</v>
      </c>
      <c r="BX218">
        <v>1</v>
      </c>
      <c r="BY218">
        <v>1</v>
      </c>
      <c r="BZ218">
        <v>0</v>
      </c>
      <c r="CA218">
        <v>0</v>
      </c>
      <c r="CB218">
        <v>1</v>
      </c>
      <c r="CC218">
        <v>2</v>
      </c>
      <c r="CD218">
        <v>6</v>
      </c>
      <c r="CE218">
        <v>2</v>
      </c>
      <c r="CF218">
        <v>1</v>
      </c>
      <c r="CG218">
        <v>0</v>
      </c>
      <c r="CH218">
        <v>6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2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2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2</v>
      </c>
      <c r="DI218">
        <v>0</v>
      </c>
      <c r="DJ218">
        <v>0</v>
      </c>
      <c r="DK218">
        <v>2</v>
      </c>
      <c r="DL218">
        <v>2</v>
      </c>
      <c r="DM218">
        <v>3</v>
      </c>
      <c r="DN218">
        <v>2</v>
      </c>
      <c r="DO218">
        <v>0</v>
      </c>
      <c r="DP218">
        <v>0</v>
      </c>
      <c r="DQ218">
        <v>1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0</v>
      </c>
      <c r="EL218">
        <v>0</v>
      </c>
      <c r="EM218">
        <v>0</v>
      </c>
      <c r="EN218">
        <v>1</v>
      </c>
      <c r="EO218">
        <v>0</v>
      </c>
      <c r="EP218">
        <v>2</v>
      </c>
      <c r="EQ218">
        <v>0</v>
      </c>
      <c r="ER218">
        <v>0</v>
      </c>
      <c r="ES218">
        <v>0</v>
      </c>
      <c r="ET218">
        <v>1</v>
      </c>
      <c r="EU218">
        <v>2</v>
      </c>
      <c r="EV218">
        <v>0</v>
      </c>
      <c r="EW218">
        <v>0</v>
      </c>
      <c r="EX218">
        <v>1</v>
      </c>
      <c r="EY218">
        <v>0</v>
      </c>
      <c r="EZ218">
        <v>1</v>
      </c>
      <c r="FA218">
        <v>1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</row>
    <row r="219" spans="1:163" hidden="1">
      <c r="A219" t="s">
        <v>345</v>
      </c>
      <c r="B219" t="s">
        <v>345</v>
      </c>
      <c r="C219" t="s">
        <v>24</v>
      </c>
      <c r="D219" t="s">
        <v>25</v>
      </c>
      <c r="E219" t="s">
        <v>15</v>
      </c>
      <c r="F219" t="s">
        <v>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</row>
    <row r="220" spans="1:163" hidden="1">
      <c r="A220" t="s">
        <v>346</v>
      </c>
      <c r="B220" t="s">
        <v>347</v>
      </c>
      <c r="C220" t="s">
        <v>80</v>
      </c>
      <c r="D220" t="s">
        <v>81</v>
      </c>
      <c r="E220" t="s">
        <v>86</v>
      </c>
      <c r="F220" t="s">
        <v>16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</row>
    <row r="221" spans="1:163" hidden="1">
      <c r="A221" t="s">
        <v>348</v>
      </c>
      <c r="B221" t="s">
        <v>349</v>
      </c>
      <c r="C221" t="s">
        <v>80</v>
      </c>
      <c r="D221" t="s">
        <v>81</v>
      </c>
      <c r="E221" t="s">
        <v>86</v>
      </c>
      <c r="F221" t="s">
        <v>16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</row>
    <row r="222" spans="1:163">
      <c r="A222" t="s">
        <v>350</v>
      </c>
      <c r="B222" t="s">
        <v>351</v>
      </c>
      <c r="C222" t="s">
        <v>24</v>
      </c>
      <c r="D222" t="s">
        <v>25</v>
      </c>
      <c r="E222" t="s">
        <v>21</v>
      </c>
      <c r="F222" t="s">
        <v>16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</row>
    <row r="223" spans="1:163">
      <c r="A223" t="s">
        <v>352</v>
      </c>
      <c r="B223" t="s">
        <v>353</v>
      </c>
      <c r="C223" t="s">
        <v>24</v>
      </c>
      <c r="D223" t="s">
        <v>25</v>
      </c>
      <c r="E223" t="s">
        <v>21</v>
      </c>
      <c r="F223" t="s">
        <v>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</row>
    <row r="224" spans="1:163">
      <c r="A224" t="s">
        <v>354</v>
      </c>
      <c r="B224" t="s">
        <v>355</v>
      </c>
      <c r="C224" t="s">
        <v>24</v>
      </c>
      <c r="D224" t="s">
        <v>25</v>
      </c>
      <c r="E224" t="s">
        <v>21</v>
      </c>
      <c r="F224" t="s">
        <v>26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3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</v>
      </c>
      <c r="CR224">
        <v>0</v>
      </c>
      <c r="CS224">
        <v>0</v>
      </c>
      <c r="CT224">
        <v>4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1</v>
      </c>
      <c r="EH224">
        <v>1</v>
      </c>
      <c r="EI224">
        <v>3</v>
      </c>
      <c r="EJ224">
        <v>1</v>
      </c>
      <c r="EK224">
        <v>0</v>
      </c>
      <c r="EL224">
        <v>0</v>
      </c>
      <c r="EM224">
        <v>0</v>
      </c>
      <c r="EN224">
        <v>0</v>
      </c>
      <c r="EO224">
        <v>1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7</v>
      </c>
      <c r="EY224">
        <v>0</v>
      </c>
      <c r="EZ224">
        <v>1</v>
      </c>
      <c r="FA224">
        <v>0</v>
      </c>
      <c r="FB224">
        <v>0</v>
      </c>
      <c r="FC224">
        <v>1</v>
      </c>
      <c r="FD224">
        <v>0</v>
      </c>
      <c r="FE224">
        <v>0</v>
      </c>
      <c r="FF224">
        <v>0</v>
      </c>
      <c r="FG224">
        <v>1</v>
      </c>
    </row>
    <row r="225" spans="1:163" hidden="1">
      <c r="A225" t="s">
        <v>356</v>
      </c>
      <c r="B225" t="s">
        <v>356</v>
      </c>
      <c r="C225" t="s">
        <v>24</v>
      </c>
      <c r="D225" t="s">
        <v>25</v>
      </c>
      <c r="E225" t="s">
        <v>15</v>
      </c>
      <c r="F225" t="s">
        <v>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</row>
    <row r="226" spans="1:163" hidden="1">
      <c r="A226" t="s">
        <v>357</v>
      </c>
      <c r="B226" t="s">
        <v>357</v>
      </c>
      <c r="C226" t="s">
        <v>9</v>
      </c>
      <c r="D226" t="s">
        <v>10</v>
      </c>
      <c r="E226" t="s">
        <v>46</v>
      </c>
      <c r="F226" t="s">
        <v>16</v>
      </c>
      <c r="G226">
        <v>0</v>
      </c>
      <c r="H226">
        <v>2</v>
      </c>
      <c r="I226">
        <v>0</v>
      </c>
      <c r="J226">
        <v>3</v>
      </c>
      <c r="K226">
        <v>0</v>
      </c>
      <c r="L226">
        <v>0</v>
      </c>
      <c r="M226">
        <v>3</v>
      </c>
      <c r="N226">
        <v>0</v>
      </c>
      <c r="O226">
        <v>1</v>
      </c>
      <c r="P226">
        <v>0</v>
      </c>
      <c r="Q226">
        <v>2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2</v>
      </c>
      <c r="AC226">
        <v>3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3</v>
      </c>
      <c r="AO226">
        <v>0</v>
      </c>
      <c r="AP226">
        <v>4</v>
      </c>
      <c r="AQ226">
        <v>0</v>
      </c>
      <c r="AR226">
        <v>3</v>
      </c>
      <c r="AS226">
        <v>0</v>
      </c>
      <c r="AT226">
        <v>1</v>
      </c>
      <c r="AU226">
        <v>1</v>
      </c>
      <c r="AV226">
        <v>1</v>
      </c>
      <c r="AW226">
        <v>1</v>
      </c>
      <c r="AX226">
        <v>0</v>
      </c>
      <c r="AY226">
        <v>0</v>
      </c>
      <c r="AZ226">
        <v>3</v>
      </c>
      <c r="BA226">
        <v>2</v>
      </c>
      <c r="BB226">
        <v>0</v>
      </c>
      <c r="BC226">
        <v>1</v>
      </c>
      <c r="BD226">
        <v>2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4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2</v>
      </c>
      <c r="BZ226">
        <v>0</v>
      </c>
      <c r="CA226">
        <v>1</v>
      </c>
      <c r="CB226">
        <v>1</v>
      </c>
      <c r="CC226">
        <v>2</v>
      </c>
      <c r="CD226">
        <v>0</v>
      </c>
      <c r="CE226">
        <v>2</v>
      </c>
      <c r="CF226">
        <v>0</v>
      </c>
      <c r="CG226">
        <v>3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3</v>
      </c>
      <c r="DA226">
        <v>0</v>
      </c>
      <c r="DB226">
        <v>2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2</v>
      </c>
      <c r="DL226">
        <v>0</v>
      </c>
      <c r="DM226">
        <v>0</v>
      </c>
      <c r="DN226">
        <v>0</v>
      </c>
      <c r="DO226">
        <v>1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1</v>
      </c>
      <c r="EC226">
        <v>0</v>
      </c>
      <c r="ED226">
        <v>3</v>
      </c>
      <c r="EE226">
        <v>1</v>
      </c>
      <c r="EF226">
        <v>1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1</v>
      </c>
      <c r="EO226">
        <v>1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3</v>
      </c>
      <c r="EV226">
        <v>0</v>
      </c>
      <c r="EW226">
        <v>0</v>
      </c>
      <c r="EX226">
        <v>1</v>
      </c>
      <c r="EY226">
        <v>0</v>
      </c>
      <c r="EZ226">
        <v>0</v>
      </c>
      <c r="FA226">
        <v>0</v>
      </c>
      <c r="FB226">
        <v>1</v>
      </c>
      <c r="FC226">
        <v>0</v>
      </c>
      <c r="FD226">
        <v>0</v>
      </c>
      <c r="FE226">
        <v>1</v>
      </c>
      <c r="FF226">
        <v>1</v>
      </c>
      <c r="FG226">
        <v>3</v>
      </c>
    </row>
    <row r="227" spans="1:163" hidden="1">
      <c r="A227" t="s">
        <v>358</v>
      </c>
      <c r="B227" t="s">
        <v>358</v>
      </c>
      <c r="C227" t="s">
        <v>24</v>
      </c>
      <c r="D227" t="s">
        <v>25</v>
      </c>
      <c r="E227" t="s">
        <v>15</v>
      </c>
      <c r="F227" t="s">
        <v>26</v>
      </c>
      <c r="G227">
        <v>0</v>
      </c>
      <c r="H227">
        <v>3</v>
      </c>
      <c r="I227">
        <v>0</v>
      </c>
      <c r="J227">
        <v>1</v>
      </c>
      <c r="K227">
        <v>1</v>
      </c>
      <c r="L227">
        <v>1</v>
      </c>
      <c r="M227">
        <v>0</v>
      </c>
      <c r="N227">
        <v>1</v>
      </c>
      <c r="O227">
        <v>1</v>
      </c>
      <c r="P227">
        <v>0</v>
      </c>
      <c r="Q227">
        <v>12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</row>
    <row r="228" spans="1:163">
      <c r="A228" t="s">
        <v>359</v>
      </c>
      <c r="B228" t="s">
        <v>360</v>
      </c>
      <c r="C228" t="s">
        <v>19</v>
      </c>
      <c r="D228" t="s">
        <v>97</v>
      </c>
      <c r="E228" t="s">
        <v>21</v>
      </c>
      <c r="F228" t="s">
        <v>26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2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1</v>
      </c>
    </row>
    <row r="229" spans="1:163" hidden="1">
      <c r="A229" t="s">
        <v>361</v>
      </c>
      <c r="B229" t="s">
        <v>361</v>
      </c>
      <c r="C229" t="s">
        <v>19</v>
      </c>
      <c r="D229" t="s">
        <v>20</v>
      </c>
      <c r="E229" t="s">
        <v>145</v>
      </c>
      <c r="F229" t="s">
        <v>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</row>
    <row r="230" spans="1:163" hidden="1">
      <c r="A230" t="s">
        <v>362</v>
      </c>
      <c r="B230" t="s">
        <v>362</v>
      </c>
      <c r="C230" t="s">
        <v>9</v>
      </c>
      <c r="D230" t="s">
        <v>10</v>
      </c>
      <c r="E230" t="s">
        <v>46</v>
      </c>
      <c r="F230" t="s">
        <v>12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</row>
    <row r="231" spans="1:163" hidden="1">
      <c r="A231" t="s">
        <v>363</v>
      </c>
      <c r="B231" t="s">
        <v>363</v>
      </c>
      <c r="C231" t="s">
        <v>19</v>
      </c>
      <c r="D231" t="s">
        <v>20</v>
      </c>
      <c r="E231" t="s">
        <v>15</v>
      </c>
      <c r="F231" t="s">
        <v>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</v>
      </c>
      <c r="O231">
        <v>0</v>
      </c>
      <c r="P231">
        <v>0</v>
      </c>
      <c r="Q231">
        <v>6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</v>
      </c>
      <c r="AO231">
        <v>0</v>
      </c>
      <c r="AP231">
        <v>1</v>
      </c>
      <c r="AQ231">
        <v>0</v>
      </c>
      <c r="AR231">
        <v>2</v>
      </c>
      <c r="AS231">
        <v>0</v>
      </c>
      <c r="AT231">
        <v>2</v>
      </c>
      <c r="AU231">
        <v>1</v>
      </c>
      <c r="AV231">
        <v>2</v>
      </c>
      <c r="AW231">
        <v>0</v>
      </c>
      <c r="AX231">
        <v>2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3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3</v>
      </c>
      <c r="CE231">
        <v>0</v>
      </c>
      <c r="CF231">
        <v>0</v>
      </c>
      <c r="CG231">
        <v>0</v>
      </c>
      <c r="CH231">
        <v>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2</v>
      </c>
      <c r="CR231">
        <v>0</v>
      </c>
      <c r="CS231">
        <v>1</v>
      </c>
      <c r="CT231">
        <v>2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5</v>
      </c>
      <c r="DR231">
        <v>0</v>
      </c>
      <c r="DS231">
        <v>2</v>
      </c>
      <c r="DT231">
        <v>0</v>
      </c>
      <c r="DU231">
        <v>1</v>
      </c>
      <c r="DV231">
        <v>0</v>
      </c>
      <c r="DW231">
        <v>1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1</v>
      </c>
      <c r="EQ231">
        <v>1</v>
      </c>
      <c r="ER231">
        <v>0</v>
      </c>
      <c r="ES231">
        <v>1</v>
      </c>
      <c r="ET231">
        <v>1</v>
      </c>
      <c r="EU231">
        <v>1</v>
      </c>
      <c r="EV231">
        <v>1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1</v>
      </c>
      <c r="FF231">
        <v>1</v>
      </c>
      <c r="FG231">
        <v>5</v>
      </c>
    </row>
    <row r="232" spans="1:163" hidden="1">
      <c r="A232" t="s">
        <v>364</v>
      </c>
      <c r="B232" t="s">
        <v>364</v>
      </c>
      <c r="C232" t="s">
        <v>44</v>
      </c>
      <c r="D232" t="s">
        <v>45</v>
      </c>
      <c r="E232" t="s">
        <v>46</v>
      </c>
      <c r="F232" t="s">
        <v>16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</row>
    <row r="233" spans="1:163" hidden="1">
      <c r="A233" t="s">
        <v>365</v>
      </c>
      <c r="B233" t="s">
        <v>366</v>
      </c>
      <c r="C233" t="s">
        <v>24</v>
      </c>
      <c r="D233" t="s">
        <v>25</v>
      </c>
      <c r="E233" t="s">
        <v>15</v>
      </c>
      <c r="F233" t="s">
        <v>26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5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</row>
    <row r="234" spans="1:163" hidden="1">
      <c r="A234" t="s">
        <v>367</v>
      </c>
      <c r="B234" t="s">
        <v>368</v>
      </c>
      <c r="C234" t="s">
        <v>9</v>
      </c>
      <c r="D234" t="s">
        <v>10</v>
      </c>
      <c r="E234" t="s">
        <v>42</v>
      </c>
      <c r="F234" t="s">
        <v>42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2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3</v>
      </c>
    </row>
    <row r="235" spans="1:163" hidden="1">
      <c r="A235" t="s">
        <v>369</v>
      </c>
      <c r="B235" t="s">
        <v>370</v>
      </c>
      <c r="C235" t="s">
        <v>24</v>
      </c>
      <c r="D235" t="s">
        <v>25</v>
      </c>
      <c r="E235" t="s">
        <v>42</v>
      </c>
      <c r="F235" t="s">
        <v>42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0</v>
      </c>
      <c r="BF235">
        <v>1</v>
      </c>
      <c r="BG235">
        <v>1</v>
      </c>
      <c r="BH235">
        <v>1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0</v>
      </c>
      <c r="BX235">
        <v>1</v>
      </c>
      <c r="BY235">
        <v>0</v>
      </c>
      <c r="BZ235">
        <v>1</v>
      </c>
      <c r="CA235">
        <v>1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0</v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1</v>
      </c>
      <c r="DG235">
        <v>0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0</v>
      </c>
      <c r="DT235">
        <v>1</v>
      </c>
      <c r="DU235">
        <v>0</v>
      </c>
      <c r="DV235">
        <v>1</v>
      </c>
      <c r="DW235">
        <v>0</v>
      </c>
      <c r="DX235">
        <v>1</v>
      </c>
      <c r="DY235">
        <v>1</v>
      </c>
      <c r="DZ235">
        <v>1</v>
      </c>
      <c r="EA235">
        <v>0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1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0</v>
      </c>
      <c r="FD235">
        <v>0</v>
      </c>
      <c r="FE235">
        <v>0</v>
      </c>
      <c r="FF235">
        <v>1</v>
      </c>
      <c r="FG235">
        <v>0</v>
      </c>
    </row>
    <row r="236" spans="1:163" hidden="1">
      <c r="A236" t="s">
        <v>371</v>
      </c>
      <c r="B236" t="s">
        <v>372</v>
      </c>
      <c r="C236" t="s">
        <v>24</v>
      </c>
      <c r="D236" t="s">
        <v>25</v>
      </c>
      <c r="E236" t="s">
        <v>42</v>
      </c>
      <c r="F236" t="s">
        <v>42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7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</row>
    <row r="237" spans="1:163" hidden="1">
      <c r="A237" t="s">
        <v>373</v>
      </c>
      <c r="B237" t="s">
        <v>373</v>
      </c>
      <c r="C237" t="s">
        <v>44</v>
      </c>
      <c r="D237" t="s">
        <v>282</v>
      </c>
      <c r="E237" t="s">
        <v>46</v>
      </c>
      <c r="F237" t="s">
        <v>26</v>
      </c>
      <c r="G237">
        <v>0</v>
      </c>
      <c r="H237">
        <v>23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42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1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</row>
    <row r="238" spans="1:163" hidden="1">
      <c r="A238" t="s">
        <v>374</v>
      </c>
      <c r="B238" t="s">
        <v>374</v>
      </c>
      <c r="C238" t="s">
        <v>44</v>
      </c>
      <c r="D238" t="s">
        <v>375</v>
      </c>
      <c r="E238" t="s">
        <v>15</v>
      </c>
      <c r="F238" t="s">
        <v>16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2</v>
      </c>
      <c r="AK238">
        <v>4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</row>
    <row r="239" spans="1:163" hidden="1">
      <c r="A239" t="s">
        <v>376</v>
      </c>
      <c r="B239" t="s">
        <v>377</v>
      </c>
      <c r="C239" t="s">
        <v>24</v>
      </c>
      <c r="D239" t="s">
        <v>25</v>
      </c>
      <c r="E239" t="s">
        <v>15</v>
      </c>
      <c r="F239" t="s">
        <v>26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</row>
    <row r="240" spans="1:163">
      <c r="A240" t="s">
        <v>378</v>
      </c>
      <c r="B240" t="s">
        <v>378</v>
      </c>
      <c r="C240" t="s">
        <v>327</v>
      </c>
      <c r="D240" t="s">
        <v>379</v>
      </c>
      <c r="E240" t="s">
        <v>21</v>
      </c>
      <c r="F240" t="s">
        <v>16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3</v>
      </c>
      <c r="AY240">
        <v>2</v>
      </c>
      <c r="AZ240">
        <v>0</v>
      </c>
      <c r="BA240">
        <v>1</v>
      </c>
      <c r="BB240">
        <v>0</v>
      </c>
      <c r="BC240">
        <v>1</v>
      </c>
      <c r="BD240">
        <v>1</v>
      </c>
      <c r="BE240">
        <v>0</v>
      </c>
      <c r="BF240">
        <v>1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</row>
    <row r="241" spans="1:163" hidden="1">
      <c r="A241" t="s">
        <v>380</v>
      </c>
      <c r="B241" t="s">
        <v>380</v>
      </c>
      <c r="C241" t="s">
        <v>24</v>
      </c>
      <c r="D241" t="s">
        <v>25</v>
      </c>
      <c r="E241" t="s">
        <v>46</v>
      </c>
      <c r="F241" t="s">
        <v>16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3</v>
      </c>
      <c r="CQ241">
        <v>2</v>
      </c>
      <c r="CR241">
        <v>0</v>
      </c>
      <c r="CS241">
        <v>3</v>
      </c>
      <c r="CT241">
        <v>0</v>
      </c>
      <c r="CU241">
        <v>3</v>
      </c>
      <c r="CV241">
        <v>6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0</v>
      </c>
      <c r="EK241">
        <v>7</v>
      </c>
      <c r="EL241">
        <v>0</v>
      </c>
      <c r="EM241">
        <v>2</v>
      </c>
      <c r="EN241">
        <v>0</v>
      </c>
      <c r="EO241">
        <v>2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</row>
    <row r="242" spans="1:163">
      <c r="A242" t="s">
        <v>381</v>
      </c>
      <c r="B242" t="s">
        <v>381</v>
      </c>
      <c r="C242" t="s">
        <v>40</v>
      </c>
      <c r="D242" t="s">
        <v>41</v>
      </c>
      <c r="E242" t="s">
        <v>21</v>
      </c>
      <c r="F242" t="s">
        <v>16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</row>
    <row r="243" spans="1:163" hidden="1">
      <c r="A243" t="s">
        <v>382</v>
      </c>
      <c r="B243" t="s">
        <v>382</v>
      </c>
      <c r="C243" t="s">
        <v>9</v>
      </c>
      <c r="D243" t="s">
        <v>10</v>
      </c>
      <c r="E243" t="s">
        <v>42</v>
      </c>
      <c r="F243" t="s">
        <v>42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</row>
    <row r="244" spans="1:163" hidden="1">
      <c r="A244" t="s">
        <v>383</v>
      </c>
      <c r="B244" t="s">
        <v>384</v>
      </c>
      <c r="C244" t="s">
        <v>165</v>
      </c>
      <c r="D244" t="s">
        <v>175</v>
      </c>
      <c r="E244" t="s">
        <v>42</v>
      </c>
      <c r="F244" t="s">
        <v>42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1</v>
      </c>
      <c r="BN244">
        <v>1</v>
      </c>
      <c r="BO244">
        <v>1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1</v>
      </c>
      <c r="DQ244">
        <v>3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</row>
    <row r="245" spans="1:163" hidden="1">
      <c r="A245" t="s">
        <v>385</v>
      </c>
      <c r="B245" t="s">
        <v>385</v>
      </c>
      <c r="C245" t="s">
        <v>24</v>
      </c>
      <c r="D245" t="s">
        <v>25</v>
      </c>
      <c r="E245" t="s">
        <v>15</v>
      </c>
      <c r="F245" t="s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6</v>
      </c>
      <c r="BI245">
        <v>2</v>
      </c>
      <c r="BJ245">
        <v>0</v>
      </c>
      <c r="BK245">
        <v>0</v>
      </c>
      <c r="BL245">
        <v>0</v>
      </c>
      <c r="BM245">
        <v>0</v>
      </c>
      <c r="BN245">
        <v>6</v>
      </c>
      <c r="BO245">
        <v>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5</v>
      </c>
      <c r="CM245">
        <v>1</v>
      </c>
      <c r="CN245">
        <v>1</v>
      </c>
      <c r="CO245">
        <v>1</v>
      </c>
      <c r="CP245">
        <v>1</v>
      </c>
      <c r="CQ245">
        <v>3</v>
      </c>
      <c r="CR245">
        <v>0</v>
      </c>
      <c r="CS245">
        <v>1</v>
      </c>
      <c r="CT245">
        <v>1</v>
      </c>
      <c r="CU245">
        <v>1</v>
      </c>
      <c r="CV245">
        <v>3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1</v>
      </c>
      <c r="EX245">
        <v>0</v>
      </c>
      <c r="EY245">
        <v>0</v>
      </c>
      <c r="EZ245">
        <v>1</v>
      </c>
      <c r="FA245">
        <v>1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</row>
    <row r="246" spans="1:163" hidden="1">
      <c r="A246" t="s">
        <v>386</v>
      </c>
      <c r="B246" t="s">
        <v>387</v>
      </c>
      <c r="C246" t="s">
        <v>24</v>
      </c>
      <c r="D246" t="s">
        <v>25</v>
      </c>
      <c r="E246" t="s">
        <v>15</v>
      </c>
      <c r="F246" t="s">
        <v>26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12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2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1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</v>
      </c>
    </row>
    <row r="247" spans="1:163" hidden="1">
      <c r="A247" t="s">
        <v>388</v>
      </c>
      <c r="B247" t="s">
        <v>389</v>
      </c>
      <c r="C247" t="s">
        <v>19</v>
      </c>
      <c r="D247" t="s">
        <v>20</v>
      </c>
      <c r="E247" t="s">
        <v>145</v>
      </c>
      <c r="F247" t="s">
        <v>16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</row>
    <row r="248" spans="1:163" hidden="1">
      <c r="A248" t="s">
        <v>390</v>
      </c>
      <c r="B248" t="s">
        <v>391</v>
      </c>
      <c r="C248" t="s">
        <v>24</v>
      </c>
      <c r="D248" t="s">
        <v>25</v>
      </c>
      <c r="E248" t="s">
        <v>15</v>
      </c>
      <c r="F248" t="s">
        <v>26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2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</row>
    <row r="249" spans="1:163">
      <c r="A249" t="s">
        <v>392</v>
      </c>
      <c r="B249" t="s">
        <v>392</v>
      </c>
      <c r="C249" t="s">
        <v>19</v>
      </c>
      <c r="D249" t="s">
        <v>97</v>
      </c>
      <c r="E249" t="s">
        <v>21</v>
      </c>
      <c r="F249" t="s">
        <v>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1</v>
      </c>
      <c r="FG249">
        <v>0</v>
      </c>
    </row>
    <row r="250" spans="1:163" hidden="1">
      <c r="A250" t="s">
        <v>393</v>
      </c>
      <c r="B250" t="s">
        <v>393</v>
      </c>
      <c r="C250" t="s">
        <v>19</v>
      </c>
      <c r="D250" t="s">
        <v>97</v>
      </c>
      <c r="E250" t="s">
        <v>15</v>
      </c>
      <c r="F250" t="s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7</v>
      </c>
      <c r="BO250">
        <v>27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</row>
    <row r="251" spans="1:163" hidden="1">
      <c r="A251" t="s">
        <v>394</v>
      </c>
      <c r="B251" t="s">
        <v>395</v>
      </c>
      <c r="C251" t="s">
        <v>44</v>
      </c>
      <c r="D251" t="s">
        <v>90</v>
      </c>
      <c r="E251" t="s">
        <v>42</v>
      </c>
      <c r="F251" t="s">
        <v>42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</row>
    <row r="252" spans="1:163" hidden="1">
      <c r="A252" t="s">
        <v>396</v>
      </c>
      <c r="B252" t="s">
        <v>397</v>
      </c>
      <c r="C252" t="s">
        <v>9</v>
      </c>
      <c r="D252" t="s">
        <v>10</v>
      </c>
      <c r="E252" t="s">
        <v>11</v>
      </c>
      <c r="F252" t="s">
        <v>12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</row>
    <row r="253" spans="1:163" hidden="1">
      <c r="A253" t="s">
        <v>398</v>
      </c>
      <c r="B253" t="s">
        <v>398</v>
      </c>
      <c r="C253" t="s">
        <v>19</v>
      </c>
      <c r="D253" t="s">
        <v>193</v>
      </c>
      <c r="E253" t="s">
        <v>145</v>
      </c>
      <c r="F253" t="s">
        <v>16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23</v>
      </c>
      <c r="X253">
        <v>0</v>
      </c>
      <c r="Y253">
        <v>0</v>
      </c>
      <c r="Z253">
        <v>0</v>
      </c>
      <c r="AA253">
        <v>2</v>
      </c>
      <c r="AB253">
        <v>0</v>
      </c>
      <c r="AC253">
        <v>4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  <c r="AL253">
        <v>3</v>
      </c>
      <c r="AM253">
        <v>1</v>
      </c>
      <c r="AN253">
        <v>3</v>
      </c>
      <c r="AO253">
        <v>0</v>
      </c>
      <c r="AP253">
        <v>2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6</v>
      </c>
      <c r="AX253">
        <v>0</v>
      </c>
      <c r="AY253">
        <v>2</v>
      </c>
      <c r="AZ253">
        <v>3</v>
      </c>
      <c r="BA253">
        <v>1</v>
      </c>
      <c r="BB253">
        <v>1</v>
      </c>
      <c r="BC253">
        <v>2</v>
      </c>
      <c r="BD253">
        <v>19</v>
      </c>
      <c r="BE253">
        <v>2</v>
      </c>
      <c r="BF253">
        <v>36</v>
      </c>
      <c r="BG253">
        <v>2</v>
      </c>
      <c r="BH253">
        <v>0</v>
      </c>
      <c r="BI253">
        <v>1</v>
      </c>
      <c r="BJ253">
        <v>2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2</v>
      </c>
      <c r="BR253">
        <v>3</v>
      </c>
      <c r="BS253">
        <v>0</v>
      </c>
      <c r="BT253">
        <v>12</v>
      </c>
      <c r="BU253">
        <v>0</v>
      </c>
      <c r="BV253">
        <v>1</v>
      </c>
      <c r="BW253">
        <v>0</v>
      </c>
      <c r="BX253">
        <v>3</v>
      </c>
      <c r="BY253">
        <v>3</v>
      </c>
      <c r="BZ253">
        <v>0</v>
      </c>
      <c r="CA253">
        <v>1</v>
      </c>
      <c r="CB253">
        <v>1</v>
      </c>
      <c r="CC253">
        <v>0</v>
      </c>
      <c r="CD253">
        <v>0</v>
      </c>
      <c r="CE253">
        <v>0</v>
      </c>
      <c r="CF253">
        <v>4</v>
      </c>
      <c r="CG253">
        <v>0</v>
      </c>
      <c r="CH253">
        <v>5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2</v>
      </c>
      <c r="CT253">
        <v>0</v>
      </c>
      <c r="CU253">
        <v>4</v>
      </c>
      <c r="CV253">
        <v>0</v>
      </c>
      <c r="CW253">
        <v>0</v>
      </c>
      <c r="CX253">
        <v>2</v>
      </c>
      <c r="CY253">
        <v>0</v>
      </c>
      <c r="CZ253">
        <v>2</v>
      </c>
      <c r="DA253">
        <v>0</v>
      </c>
      <c r="DB253">
        <v>1</v>
      </c>
      <c r="DC253">
        <v>2</v>
      </c>
      <c r="DD253">
        <v>0</v>
      </c>
      <c r="DE253">
        <v>0</v>
      </c>
      <c r="DF253">
        <v>0</v>
      </c>
      <c r="DG253">
        <v>1</v>
      </c>
      <c r="DH253">
        <v>0</v>
      </c>
      <c r="DI253">
        <v>0</v>
      </c>
      <c r="DJ253">
        <v>1</v>
      </c>
      <c r="DK253">
        <v>1</v>
      </c>
      <c r="DL253">
        <v>1</v>
      </c>
      <c r="DM253">
        <v>7</v>
      </c>
      <c r="DN253">
        <v>0</v>
      </c>
      <c r="DO253">
        <v>0</v>
      </c>
      <c r="DP253">
        <v>0</v>
      </c>
      <c r="DQ253">
        <v>3</v>
      </c>
      <c r="DR253">
        <v>0</v>
      </c>
      <c r="DS253">
        <v>3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3</v>
      </c>
      <c r="ED253">
        <v>1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1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1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</row>
    <row r="254" spans="1:163">
      <c r="A254" t="s">
        <v>399</v>
      </c>
      <c r="B254" t="s">
        <v>399</v>
      </c>
      <c r="C254" t="s">
        <v>24</v>
      </c>
      <c r="D254" t="s">
        <v>25</v>
      </c>
      <c r="E254" t="s">
        <v>21</v>
      </c>
      <c r="F254" t="s">
        <v>26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</row>
    <row r="255" spans="1:163">
      <c r="A255" t="s">
        <v>400</v>
      </c>
      <c r="B255" t="s">
        <v>400</v>
      </c>
      <c r="C255" t="s">
        <v>19</v>
      </c>
      <c r="D255" t="s">
        <v>97</v>
      </c>
      <c r="E255" t="s">
        <v>21</v>
      </c>
      <c r="F255" t="s">
        <v>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1</v>
      </c>
      <c r="BM255">
        <v>4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1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</v>
      </c>
    </row>
    <row r="256" spans="1:163">
      <c r="A256" t="s">
        <v>401</v>
      </c>
      <c r="B256" t="s">
        <v>401</v>
      </c>
      <c r="C256" t="s">
        <v>165</v>
      </c>
      <c r="D256" t="s">
        <v>166</v>
      </c>
      <c r="E256" t="s">
        <v>21</v>
      </c>
      <c r="F256" t="s">
        <v>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</row>
    <row r="257" spans="1:163">
      <c r="A257" t="s">
        <v>402</v>
      </c>
      <c r="B257" t="s">
        <v>403</v>
      </c>
      <c r="C257" t="s">
        <v>165</v>
      </c>
      <c r="D257" t="s">
        <v>166</v>
      </c>
      <c r="E257" t="s">
        <v>21</v>
      </c>
      <c r="F257" t="s">
        <v>16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1</v>
      </c>
      <c r="DH257">
        <v>0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1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</row>
    <row r="258" spans="1:163">
      <c r="A258" t="s">
        <v>404</v>
      </c>
      <c r="B258" t="s">
        <v>405</v>
      </c>
      <c r="C258" t="s">
        <v>165</v>
      </c>
      <c r="D258" t="s">
        <v>166</v>
      </c>
      <c r="E258" t="s">
        <v>21</v>
      </c>
      <c r="F258" t="s">
        <v>16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</row>
    <row r="259" spans="1:163" hidden="1">
      <c r="A259" t="s">
        <v>406</v>
      </c>
      <c r="B259" t="s">
        <v>407</v>
      </c>
      <c r="C259" t="s">
        <v>19</v>
      </c>
      <c r="D259" t="s">
        <v>20</v>
      </c>
      <c r="E259" t="s">
        <v>11</v>
      </c>
      <c r="F259" t="s">
        <v>16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</row>
    <row r="260" spans="1:163" hidden="1">
      <c r="A260" t="s">
        <v>408</v>
      </c>
      <c r="B260" t="s">
        <v>408</v>
      </c>
      <c r="C260" t="s">
        <v>44</v>
      </c>
      <c r="D260" t="s">
        <v>45</v>
      </c>
      <c r="E260" t="s">
        <v>15</v>
      </c>
      <c r="F260" t="s">
        <v>16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</row>
    <row r="261" spans="1:163" hidden="1">
      <c r="A261" t="s">
        <v>409</v>
      </c>
      <c r="B261" t="s">
        <v>410</v>
      </c>
      <c r="C261" t="s">
        <v>19</v>
      </c>
      <c r="D261" t="s">
        <v>20</v>
      </c>
      <c r="E261" t="s">
        <v>15</v>
      </c>
      <c r="F261" t="s">
        <v>16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1</v>
      </c>
      <c r="AY261">
        <v>0</v>
      </c>
      <c r="AZ261">
        <v>2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2</v>
      </c>
      <c r="BG261">
        <v>0</v>
      </c>
      <c r="BH261">
        <v>0</v>
      </c>
      <c r="BI261">
        <v>1</v>
      </c>
      <c r="BJ261">
        <v>1</v>
      </c>
      <c r="BK261">
        <v>0</v>
      </c>
      <c r="BL261">
        <v>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1</v>
      </c>
      <c r="DK261">
        <v>3</v>
      </c>
      <c r="DL261">
        <v>0</v>
      </c>
      <c r="DM261">
        <v>1</v>
      </c>
      <c r="DN261">
        <v>1</v>
      </c>
      <c r="DO261">
        <v>1</v>
      </c>
      <c r="DP261">
        <v>2</v>
      </c>
      <c r="DQ261">
        <v>2</v>
      </c>
      <c r="DR261">
        <v>1</v>
      </c>
      <c r="DS261">
        <v>1</v>
      </c>
      <c r="DT261">
        <v>0</v>
      </c>
      <c r="DU261">
        <v>0</v>
      </c>
      <c r="DV261">
        <v>0</v>
      </c>
      <c r="DW261">
        <v>1</v>
      </c>
      <c r="DX261">
        <v>1</v>
      </c>
      <c r="DY261">
        <v>0</v>
      </c>
      <c r="DZ261">
        <v>2</v>
      </c>
      <c r="EA261">
        <v>0</v>
      </c>
      <c r="EB261">
        <v>2</v>
      </c>
      <c r="EC261">
        <v>1</v>
      </c>
      <c r="ED261">
        <v>0</v>
      </c>
      <c r="EE261">
        <v>0</v>
      </c>
      <c r="EF261">
        <v>0</v>
      </c>
      <c r="EG261">
        <v>1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1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1</v>
      </c>
      <c r="FC261">
        <v>0</v>
      </c>
      <c r="FD261">
        <v>0</v>
      </c>
      <c r="FE261">
        <v>1</v>
      </c>
      <c r="FF261">
        <v>1</v>
      </c>
      <c r="FG261">
        <v>0</v>
      </c>
    </row>
    <row r="262" spans="1:163">
      <c r="A262" t="s">
        <v>411</v>
      </c>
      <c r="B262" t="s">
        <v>411</v>
      </c>
      <c r="C262" t="s">
        <v>9</v>
      </c>
      <c r="D262" t="s">
        <v>52</v>
      </c>
      <c r="E262" t="s">
        <v>21</v>
      </c>
      <c r="F262" t="s">
        <v>16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0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1</v>
      </c>
      <c r="BW262">
        <v>0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0</v>
      </c>
      <c r="CD262">
        <v>1</v>
      </c>
      <c r="CE262">
        <v>1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0</v>
      </c>
      <c r="CT262">
        <v>1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1</v>
      </c>
      <c r="DD262">
        <v>1</v>
      </c>
      <c r="DE262">
        <v>0</v>
      </c>
      <c r="DF262">
        <v>0</v>
      </c>
      <c r="DG262">
        <v>1</v>
      </c>
      <c r="DH262">
        <v>1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1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1</v>
      </c>
      <c r="EC262">
        <v>0</v>
      </c>
      <c r="ED262">
        <v>0</v>
      </c>
      <c r="EE262">
        <v>0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1</v>
      </c>
      <c r="EL262">
        <v>0</v>
      </c>
      <c r="EM262">
        <v>0</v>
      </c>
      <c r="EN262">
        <v>0</v>
      </c>
      <c r="EO262">
        <v>0</v>
      </c>
      <c r="EP262">
        <v>1</v>
      </c>
      <c r="EQ262">
        <v>1</v>
      </c>
      <c r="ER262">
        <v>0</v>
      </c>
      <c r="ES262">
        <v>0</v>
      </c>
      <c r="ET262">
        <v>1</v>
      </c>
      <c r="EU262">
        <v>1</v>
      </c>
      <c r="EV262">
        <v>1</v>
      </c>
      <c r="EW262">
        <v>0</v>
      </c>
      <c r="EX262">
        <v>0</v>
      </c>
      <c r="EY262">
        <v>0</v>
      </c>
      <c r="EZ262">
        <v>265</v>
      </c>
      <c r="FA262">
        <v>20</v>
      </c>
      <c r="FB262">
        <v>3</v>
      </c>
      <c r="FC262">
        <v>38</v>
      </c>
      <c r="FD262">
        <v>5</v>
      </c>
      <c r="FE262">
        <v>61</v>
      </c>
      <c r="FF262">
        <v>0</v>
      </c>
      <c r="FG262">
        <v>305</v>
      </c>
    </row>
    <row r="263" spans="1:163">
      <c r="A263" t="s">
        <v>412</v>
      </c>
      <c r="B263" t="s">
        <v>412</v>
      </c>
      <c r="C263" t="s">
        <v>327</v>
      </c>
      <c r="D263" t="s">
        <v>328</v>
      </c>
      <c r="E263" t="s">
        <v>21</v>
      </c>
      <c r="F263" t="s">
        <v>16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</row>
    <row r="264" spans="1:163" hidden="1">
      <c r="A264" t="s">
        <v>413</v>
      </c>
      <c r="B264" t="s">
        <v>413</v>
      </c>
      <c r="C264" t="s">
        <v>9</v>
      </c>
      <c r="D264" t="s">
        <v>10</v>
      </c>
      <c r="E264" t="s">
        <v>11</v>
      </c>
      <c r="F264" t="s">
        <v>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1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</row>
    <row r="265" spans="1:163">
      <c r="A265" t="s">
        <v>414</v>
      </c>
      <c r="B265" t="s">
        <v>414</v>
      </c>
      <c r="C265" t="s">
        <v>40</v>
      </c>
      <c r="D265" t="s">
        <v>41</v>
      </c>
      <c r="E265" t="s">
        <v>21</v>
      </c>
      <c r="F265" t="s">
        <v>16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</v>
      </c>
      <c r="DB265">
        <v>3</v>
      </c>
      <c r="DC265">
        <v>3</v>
      </c>
      <c r="DD265">
        <v>0</v>
      </c>
      <c r="DE265">
        <v>0</v>
      </c>
      <c r="DF265">
        <v>0</v>
      </c>
      <c r="DG265">
        <v>1</v>
      </c>
      <c r="DH265">
        <v>1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3</v>
      </c>
      <c r="DO265">
        <v>0</v>
      </c>
      <c r="DP265">
        <v>0</v>
      </c>
      <c r="DQ265">
        <v>7</v>
      </c>
      <c r="DR265">
        <v>2</v>
      </c>
      <c r="DS265">
        <v>0</v>
      </c>
      <c r="DT265">
        <v>0</v>
      </c>
      <c r="DU265">
        <v>0</v>
      </c>
      <c r="DV265">
        <v>1</v>
      </c>
      <c r="DW265">
        <v>6</v>
      </c>
      <c r="DX265">
        <v>0</v>
      </c>
      <c r="DY265">
        <v>0</v>
      </c>
      <c r="DZ265">
        <v>1</v>
      </c>
      <c r="EA265">
        <v>0</v>
      </c>
      <c r="EB265">
        <v>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</row>
    <row r="266" spans="1:163" ht="14.25" hidden="1" customHeight="1">
      <c r="A266" t="s">
        <v>415</v>
      </c>
      <c r="B266" t="s">
        <v>415</v>
      </c>
      <c r="C266" s="4" t="s">
        <v>24</v>
      </c>
      <c r="D266" s="5"/>
      <c r="E266" s="4" t="s">
        <v>15</v>
      </c>
      <c r="F266" s="4" t="s">
        <v>26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1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</row>
    <row r="267" spans="1:163" hidden="1">
      <c r="A267" s="4" t="s">
        <v>416</v>
      </c>
      <c r="B267" t="s">
        <v>416</v>
      </c>
      <c r="C267" s="4" t="s">
        <v>24</v>
      </c>
      <c r="D267" s="4" t="s">
        <v>25</v>
      </c>
      <c r="E267" s="4" t="s">
        <v>15</v>
      </c>
      <c r="F267" s="4" t="s">
        <v>26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1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</row>
    <row r="269" spans="1:163">
      <c r="EY269">
        <f>EY4</f>
        <v>1</v>
      </c>
    </row>
  </sheetData>
  <autoFilter ref="A1:FG267" xr:uid="{00000000-0009-0000-0000-000002000000}">
    <filterColumn colId="4">
      <filters>
        <filter val="suspension feeder"/>
      </filters>
    </filterColumn>
  </autoFilter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7"/>
  <sheetViews>
    <sheetView topLeftCell="A20" zoomScale="70" zoomScaleNormal="70" workbookViewId="0">
      <selection activeCell="D60" sqref="D60"/>
    </sheetView>
  </sheetViews>
  <sheetFormatPr defaultColWidth="9" defaultRowHeight="14.4"/>
  <cols>
    <col min="1" max="1" width="5.6640625" customWidth="1"/>
    <col min="2" max="2" width="10.6640625" customWidth="1"/>
    <col min="3" max="3" width="12.5546875" customWidth="1"/>
    <col min="4" max="4" width="17.33203125" customWidth="1"/>
    <col min="5" max="5" width="18.33203125" customWidth="1"/>
    <col min="6" max="6" width="21.5546875" customWidth="1"/>
    <col min="7" max="7" width="15.109375" customWidth="1"/>
    <col min="8" max="8" width="15.88671875" customWidth="1"/>
    <col min="9" max="9" width="19" customWidth="1"/>
    <col min="10" max="10" width="13.109375" customWidth="1"/>
    <col min="11" max="11" width="11.33203125" customWidth="1"/>
    <col min="12" max="12" width="14.33203125" customWidth="1"/>
    <col min="13" max="13" width="16.6640625" customWidth="1"/>
    <col min="14" max="14" width="11.5546875" customWidth="1"/>
    <col min="15" max="15" width="13.6640625" customWidth="1"/>
    <col min="16" max="16" width="17.6640625" customWidth="1"/>
    <col min="17" max="17" width="17" customWidth="1"/>
    <col min="18" max="18" width="15.5546875" customWidth="1"/>
    <col min="19" max="19" width="19.33203125" customWidth="1"/>
    <col min="20" max="20" width="15.33203125" customWidth="1"/>
    <col min="21" max="21" width="16" customWidth="1"/>
    <col min="22" max="22" width="19.44140625" customWidth="1"/>
    <col min="23" max="23" width="15.88671875" customWidth="1"/>
    <col min="24" max="24" width="12.88671875" customWidth="1"/>
  </cols>
  <sheetData>
    <row r="1" spans="1:24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2" t="s">
        <v>86</v>
      </c>
      <c r="K1" s="2" t="s">
        <v>46</v>
      </c>
      <c r="L1" s="2" t="s">
        <v>15</v>
      </c>
      <c r="M1" s="2" t="s">
        <v>28</v>
      </c>
      <c r="N1" s="2" t="s">
        <v>11</v>
      </c>
      <c r="O1" s="2" t="s">
        <v>145</v>
      </c>
      <c r="P1" s="2" t="s">
        <v>21</v>
      </c>
      <c r="Q1" s="3" t="s">
        <v>589</v>
      </c>
      <c r="R1" s="3" t="s">
        <v>590</v>
      </c>
      <c r="S1" s="3" t="s">
        <v>591</v>
      </c>
      <c r="T1" s="3" t="s">
        <v>592</v>
      </c>
      <c r="U1" s="3" t="s">
        <v>593</v>
      </c>
      <c r="V1" s="3" t="s">
        <v>594</v>
      </c>
      <c r="W1" t="s">
        <v>595</v>
      </c>
      <c r="X1" t="s">
        <v>596</v>
      </c>
    </row>
    <row r="2" spans="1:24">
      <c r="A2">
        <v>1995</v>
      </c>
      <c r="B2" t="s">
        <v>423</v>
      </c>
      <c r="C2">
        <v>19</v>
      </c>
      <c r="D2">
        <v>8</v>
      </c>
      <c r="E2">
        <v>46</v>
      </c>
      <c r="F2">
        <v>1</v>
      </c>
      <c r="G2">
        <f>D2/(D2+E2+F2)</f>
        <v>0.14545454545454545</v>
      </c>
      <c r="H2">
        <f>E2/(D2+E2+F2)</f>
        <v>0.83636363636363631</v>
      </c>
      <c r="I2">
        <f t="shared" ref="I2:I33" si="0">F2/(D2+E2+F2)</f>
        <v>1.8181818181818181E-2</v>
      </c>
      <c r="J2">
        <v>0</v>
      </c>
      <c r="K2">
        <v>20</v>
      </c>
      <c r="L2">
        <v>6</v>
      </c>
      <c r="M2">
        <v>1</v>
      </c>
      <c r="N2">
        <v>2</v>
      </c>
      <c r="O2">
        <v>0</v>
      </c>
      <c r="P2">
        <v>27</v>
      </c>
      <c r="Q2">
        <f>J2/(K2+L2+M2+N2+O2+P2+J2)</f>
        <v>0</v>
      </c>
      <c r="R2">
        <f>K2/(K2+L2+M2+N2+O2+P2+J2)</f>
        <v>0.35714285714285715</v>
      </c>
      <c r="S2">
        <f>L2/(K2+L2+M2+N2+O2+P2+J2)</f>
        <v>0.10714285714285714</v>
      </c>
      <c r="T2">
        <f t="shared" ref="T2:T33" si="1">N2/(K2+L2+M2+N2+O2+P2+J2)</f>
        <v>3.5714285714285712E-2</v>
      </c>
      <c r="U2">
        <f t="shared" ref="U2:U33" si="2">O2/(K2+L2+M2+N2+O2+P2+J2)</f>
        <v>0</v>
      </c>
      <c r="V2">
        <f>P2/(K2+L2+M2+N2+O2+P2+J2)</f>
        <v>0.48214285714285715</v>
      </c>
      <c r="W2">
        <f>M2/(K2+L2+N2+N2+O2+P2+J2)</f>
        <v>1.7543859649122806E-2</v>
      </c>
      <c r="X2">
        <v>8.7660843811656299</v>
      </c>
    </row>
    <row r="3" spans="1:24">
      <c r="A3">
        <v>1995</v>
      </c>
      <c r="B3" t="s">
        <v>424</v>
      </c>
      <c r="C3">
        <v>54</v>
      </c>
      <c r="D3">
        <v>113</v>
      </c>
      <c r="E3">
        <v>259</v>
      </c>
      <c r="F3">
        <v>5</v>
      </c>
      <c r="G3">
        <f t="shared" ref="G3:G34" si="3">D3/(D3+E3+F3)</f>
        <v>0.29973474801061006</v>
      </c>
      <c r="H3">
        <f t="shared" ref="H3:H66" si="4">E3/(D3+E3+F3)</f>
        <v>0.6870026525198939</v>
      </c>
      <c r="I3">
        <f t="shared" si="0"/>
        <v>1.3262599469496022E-2</v>
      </c>
      <c r="J3">
        <v>0</v>
      </c>
      <c r="K3">
        <v>181</v>
      </c>
      <c r="L3">
        <v>81</v>
      </c>
      <c r="M3">
        <v>1</v>
      </c>
      <c r="N3">
        <v>10</v>
      </c>
      <c r="O3">
        <v>10</v>
      </c>
      <c r="P3">
        <v>94</v>
      </c>
      <c r="Q3">
        <f t="shared" ref="Q3:Q66" si="5">J3/(K3+L3+M3+N3+O3+P3+J3)</f>
        <v>0</v>
      </c>
      <c r="R3">
        <f t="shared" ref="R3:R66" si="6">K3/(K3+L3+M3+N3+O3+P3+J3)</f>
        <v>0.48010610079575594</v>
      </c>
      <c r="S3">
        <f t="shared" ref="S3:S66" si="7">L3/(K3+L3+M3+N3+O3+P3+J3)</f>
        <v>0.21485411140583555</v>
      </c>
      <c r="T3">
        <f t="shared" si="1"/>
        <v>2.6525198938992044E-2</v>
      </c>
      <c r="U3">
        <f t="shared" si="2"/>
        <v>2.6525198938992044E-2</v>
      </c>
      <c r="V3">
        <f t="shared" ref="V3:V33" si="8">P3/(K3+L3+M3+N3+O3+P3+J3)</f>
        <v>0.24933687002652519</v>
      </c>
      <c r="W3">
        <f t="shared" ref="W3:W34" si="9">M3/(K3+L3+N3+N3+O3+P3+J3)</f>
        <v>2.5906735751295338E-3</v>
      </c>
      <c r="X3">
        <v>24.8466354879093</v>
      </c>
    </row>
    <row r="4" spans="1:24">
      <c r="A4">
        <v>1995</v>
      </c>
      <c r="B4" t="s">
        <v>425</v>
      </c>
      <c r="C4">
        <v>34</v>
      </c>
      <c r="D4">
        <v>21</v>
      </c>
      <c r="E4">
        <v>141</v>
      </c>
      <c r="F4">
        <v>3</v>
      </c>
      <c r="G4">
        <f t="shared" si="3"/>
        <v>0.12727272727272726</v>
      </c>
      <c r="H4">
        <f t="shared" si="4"/>
        <v>0.8545454545454545</v>
      </c>
      <c r="I4">
        <f t="shared" si="0"/>
        <v>1.8181818181818181E-2</v>
      </c>
      <c r="J4">
        <v>0</v>
      </c>
      <c r="K4">
        <v>73</v>
      </c>
      <c r="L4">
        <v>20</v>
      </c>
      <c r="M4">
        <v>0</v>
      </c>
      <c r="N4">
        <v>4</v>
      </c>
      <c r="O4">
        <v>0</v>
      </c>
      <c r="P4">
        <v>68</v>
      </c>
      <c r="Q4">
        <f t="shared" si="5"/>
        <v>0</v>
      </c>
      <c r="R4">
        <f t="shared" si="6"/>
        <v>0.44242424242424244</v>
      </c>
      <c r="S4">
        <f t="shared" si="7"/>
        <v>0.12121212121212122</v>
      </c>
      <c r="T4">
        <f t="shared" si="1"/>
        <v>2.4242424242424242E-2</v>
      </c>
      <c r="U4">
        <f t="shared" si="2"/>
        <v>0</v>
      </c>
      <c r="V4">
        <f t="shared" si="8"/>
        <v>0.41212121212121211</v>
      </c>
      <c r="W4">
        <f t="shared" si="9"/>
        <v>0</v>
      </c>
      <c r="X4">
        <v>15.350825945775799</v>
      </c>
    </row>
    <row r="5" spans="1:24">
      <c r="A5">
        <v>1995</v>
      </c>
      <c r="B5" t="s">
        <v>426</v>
      </c>
      <c r="C5">
        <v>29</v>
      </c>
      <c r="D5">
        <v>40</v>
      </c>
      <c r="E5">
        <v>135</v>
      </c>
      <c r="F5">
        <v>0</v>
      </c>
      <c r="G5">
        <f t="shared" si="3"/>
        <v>0.22857142857142856</v>
      </c>
      <c r="H5">
        <f t="shared" si="4"/>
        <v>0.77142857142857146</v>
      </c>
      <c r="I5">
        <f t="shared" si="0"/>
        <v>0</v>
      </c>
      <c r="J5">
        <v>0</v>
      </c>
      <c r="K5">
        <v>81</v>
      </c>
      <c r="L5">
        <v>21</v>
      </c>
      <c r="M5">
        <v>0</v>
      </c>
      <c r="N5">
        <v>0</v>
      </c>
      <c r="O5">
        <v>0</v>
      </c>
      <c r="P5">
        <v>73</v>
      </c>
      <c r="Q5">
        <f t="shared" si="5"/>
        <v>0</v>
      </c>
      <c r="R5">
        <f t="shared" si="6"/>
        <v>0.46285714285714286</v>
      </c>
      <c r="S5">
        <f t="shared" si="7"/>
        <v>0.12</v>
      </c>
      <c r="T5">
        <f t="shared" si="1"/>
        <v>0</v>
      </c>
      <c r="U5">
        <f t="shared" si="2"/>
        <v>0</v>
      </c>
      <c r="V5">
        <f t="shared" si="8"/>
        <v>0.41714285714285715</v>
      </c>
      <c r="W5">
        <f t="shared" si="9"/>
        <v>0</v>
      </c>
      <c r="X5">
        <v>13.1804485996495</v>
      </c>
    </row>
    <row r="6" spans="1:24">
      <c r="A6">
        <v>1995</v>
      </c>
      <c r="B6" t="s">
        <v>427</v>
      </c>
      <c r="C6">
        <v>42</v>
      </c>
      <c r="D6">
        <v>60</v>
      </c>
      <c r="E6">
        <v>224</v>
      </c>
      <c r="F6">
        <v>9</v>
      </c>
      <c r="G6">
        <f t="shared" si="3"/>
        <v>0.20477815699658702</v>
      </c>
      <c r="H6">
        <f t="shared" si="4"/>
        <v>0.76450511945392496</v>
      </c>
      <c r="I6">
        <f t="shared" si="0"/>
        <v>3.0716723549488054E-2</v>
      </c>
      <c r="J6">
        <v>0</v>
      </c>
      <c r="K6">
        <v>40</v>
      </c>
      <c r="L6">
        <v>51</v>
      </c>
      <c r="M6">
        <v>0</v>
      </c>
      <c r="N6">
        <v>3</v>
      </c>
      <c r="O6">
        <v>2</v>
      </c>
      <c r="P6">
        <v>197</v>
      </c>
      <c r="Q6">
        <f t="shared" si="5"/>
        <v>0</v>
      </c>
      <c r="R6">
        <f t="shared" si="6"/>
        <v>0.13651877133105803</v>
      </c>
      <c r="S6">
        <f t="shared" si="7"/>
        <v>0.17406143344709898</v>
      </c>
      <c r="T6">
        <f t="shared" si="1"/>
        <v>1.0238907849829351E-2</v>
      </c>
      <c r="U6">
        <f t="shared" si="2"/>
        <v>6.8259385665529011E-3</v>
      </c>
      <c r="V6">
        <f t="shared" si="8"/>
        <v>0.67235494880546076</v>
      </c>
      <c r="W6">
        <f t="shared" si="9"/>
        <v>0</v>
      </c>
      <c r="X6">
        <v>17.040910679991701</v>
      </c>
    </row>
    <row r="7" spans="1:24">
      <c r="A7">
        <v>1995</v>
      </c>
      <c r="B7" t="s">
        <v>428</v>
      </c>
      <c r="C7">
        <v>35</v>
      </c>
      <c r="D7">
        <v>95</v>
      </c>
      <c r="E7">
        <v>53</v>
      </c>
      <c r="F7">
        <v>9</v>
      </c>
      <c r="G7">
        <f t="shared" si="3"/>
        <v>0.60509554140127386</v>
      </c>
      <c r="H7">
        <f t="shared" si="4"/>
        <v>0.33757961783439489</v>
      </c>
      <c r="I7">
        <f t="shared" si="0"/>
        <v>5.7324840764331211E-2</v>
      </c>
      <c r="J7">
        <v>0</v>
      </c>
      <c r="K7">
        <v>38</v>
      </c>
      <c r="L7">
        <v>83</v>
      </c>
      <c r="M7">
        <v>0</v>
      </c>
      <c r="N7">
        <v>5</v>
      </c>
      <c r="O7">
        <v>0</v>
      </c>
      <c r="P7">
        <v>31</v>
      </c>
      <c r="Q7">
        <f t="shared" si="5"/>
        <v>0</v>
      </c>
      <c r="R7">
        <f t="shared" si="6"/>
        <v>0.24203821656050956</v>
      </c>
      <c r="S7">
        <f t="shared" si="7"/>
        <v>0.5286624203821656</v>
      </c>
      <c r="T7">
        <f t="shared" si="1"/>
        <v>3.1847133757961783E-2</v>
      </c>
      <c r="U7">
        <f t="shared" si="2"/>
        <v>0</v>
      </c>
      <c r="V7">
        <f t="shared" si="8"/>
        <v>0.19745222929936307</v>
      </c>
      <c r="W7">
        <f t="shared" si="9"/>
        <v>0</v>
      </c>
      <c r="X7">
        <v>14.4650791674842</v>
      </c>
    </row>
    <row r="8" spans="1:24">
      <c r="A8">
        <v>1996</v>
      </c>
      <c r="B8" t="s">
        <v>429</v>
      </c>
      <c r="C8">
        <v>23</v>
      </c>
      <c r="D8">
        <v>21</v>
      </c>
      <c r="E8">
        <v>74</v>
      </c>
      <c r="F8">
        <v>1</v>
      </c>
      <c r="G8">
        <f t="shared" si="3"/>
        <v>0.21875</v>
      </c>
      <c r="H8">
        <f t="shared" si="4"/>
        <v>0.77083333333333337</v>
      </c>
      <c r="I8">
        <f t="shared" si="0"/>
        <v>1.0416666666666666E-2</v>
      </c>
      <c r="J8">
        <v>0</v>
      </c>
      <c r="K8">
        <v>56</v>
      </c>
      <c r="L8">
        <v>8</v>
      </c>
      <c r="M8">
        <v>0</v>
      </c>
      <c r="N8">
        <v>2</v>
      </c>
      <c r="O8">
        <v>0</v>
      </c>
      <c r="P8">
        <v>30</v>
      </c>
      <c r="Q8">
        <f t="shared" si="5"/>
        <v>0</v>
      </c>
      <c r="R8">
        <f t="shared" si="6"/>
        <v>0.58333333333333337</v>
      </c>
      <c r="S8">
        <f t="shared" si="7"/>
        <v>8.3333333333333329E-2</v>
      </c>
      <c r="T8">
        <f t="shared" si="1"/>
        <v>2.0833333333333332E-2</v>
      </c>
      <c r="U8">
        <f t="shared" si="2"/>
        <v>0</v>
      </c>
      <c r="V8">
        <f t="shared" si="8"/>
        <v>0.3125</v>
      </c>
      <c r="W8">
        <f t="shared" si="9"/>
        <v>0</v>
      </c>
      <c r="X8">
        <v>4.9871494579584796</v>
      </c>
    </row>
    <row r="9" spans="1:24">
      <c r="A9">
        <v>1996</v>
      </c>
      <c r="B9" t="s">
        <v>430</v>
      </c>
      <c r="C9">
        <v>28</v>
      </c>
      <c r="D9">
        <v>70</v>
      </c>
      <c r="E9">
        <v>44</v>
      </c>
      <c r="F9">
        <v>3</v>
      </c>
      <c r="G9">
        <f t="shared" si="3"/>
        <v>0.59829059829059827</v>
      </c>
      <c r="H9">
        <f t="shared" si="4"/>
        <v>0.37606837606837606</v>
      </c>
      <c r="I9">
        <f t="shared" si="0"/>
        <v>2.564102564102564E-2</v>
      </c>
      <c r="J9">
        <v>0</v>
      </c>
      <c r="K9">
        <v>75</v>
      </c>
      <c r="L9">
        <v>19</v>
      </c>
      <c r="M9">
        <v>0</v>
      </c>
      <c r="N9">
        <v>1</v>
      </c>
      <c r="O9">
        <v>1</v>
      </c>
      <c r="P9">
        <v>21</v>
      </c>
      <c r="Q9">
        <f t="shared" si="5"/>
        <v>0</v>
      </c>
      <c r="R9">
        <f t="shared" si="6"/>
        <v>0.64102564102564108</v>
      </c>
      <c r="S9">
        <f t="shared" si="7"/>
        <v>0.1623931623931624</v>
      </c>
      <c r="T9">
        <f t="shared" si="1"/>
        <v>8.5470085470085479E-3</v>
      </c>
      <c r="U9">
        <f t="shared" si="2"/>
        <v>8.5470085470085479E-3</v>
      </c>
      <c r="V9">
        <f t="shared" si="8"/>
        <v>0.17948717948717949</v>
      </c>
      <c r="W9">
        <f t="shared" si="9"/>
        <v>0</v>
      </c>
      <c r="X9">
        <v>9.9849410036532493</v>
      </c>
    </row>
    <row r="10" spans="1:24">
      <c r="A10">
        <v>1996</v>
      </c>
      <c r="B10" t="s">
        <v>431</v>
      </c>
      <c r="C10">
        <v>40</v>
      </c>
      <c r="D10">
        <v>51</v>
      </c>
      <c r="E10">
        <v>150</v>
      </c>
      <c r="F10">
        <v>0</v>
      </c>
      <c r="G10">
        <f t="shared" si="3"/>
        <v>0.2537313432835821</v>
      </c>
      <c r="H10">
        <f t="shared" si="4"/>
        <v>0.74626865671641796</v>
      </c>
      <c r="I10">
        <f t="shared" si="0"/>
        <v>0</v>
      </c>
      <c r="J10">
        <v>0</v>
      </c>
      <c r="K10">
        <v>113</v>
      </c>
      <c r="L10">
        <v>24</v>
      </c>
      <c r="M10">
        <v>0</v>
      </c>
      <c r="N10">
        <v>2</v>
      </c>
      <c r="O10">
        <v>0</v>
      </c>
      <c r="P10">
        <v>62</v>
      </c>
      <c r="Q10">
        <f t="shared" si="5"/>
        <v>0</v>
      </c>
      <c r="R10">
        <f t="shared" si="6"/>
        <v>0.56218905472636815</v>
      </c>
      <c r="S10">
        <f t="shared" si="7"/>
        <v>0.11940298507462686</v>
      </c>
      <c r="T10">
        <f t="shared" si="1"/>
        <v>9.9502487562189053E-3</v>
      </c>
      <c r="U10">
        <f t="shared" si="2"/>
        <v>0</v>
      </c>
      <c r="V10">
        <f t="shared" si="8"/>
        <v>0.30845771144278605</v>
      </c>
      <c r="W10">
        <f t="shared" si="9"/>
        <v>0</v>
      </c>
      <c r="X10">
        <v>17.722845906464201</v>
      </c>
    </row>
    <row r="11" spans="1:24">
      <c r="A11">
        <v>1996</v>
      </c>
      <c r="B11" t="s">
        <v>432</v>
      </c>
      <c r="C11">
        <v>31</v>
      </c>
      <c r="D11">
        <v>75</v>
      </c>
      <c r="E11">
        <v>100</v>
      </c>
      <c r="F11">
        <v>1</v>
      </c>
      <c r="G11">
        <f t="shared" si="3"/>
        <v>0.42613636363636365</v>
      </c>
      <c r="H11">
        <f t="shared" si="4"/>
        <v>0.56818181818181823</v>
      </c>
      <c r="I11">
        <f t="shared" si="0"/>
        <v>5.681818181818182E-3</v>
      </c>
      <c r="J11">
        <v>0</v>
      </c>
      <c r="K11">
        <v>74</v>
      </c>
      <c r="L11">
        <v>35</v>
      </c>
      <c r="M11">
        <v>0</v>
      </c>
      <c r="N11">
        <v>1</v>
      </c>
      <c r="O11">
        <v>0</v>
      </c>
      <c r="P11">
        <v>66</v>
      </c>
      <c r="Q11">
        <f t="shared" si="5"/>
        <v>0</v>
      </c>
      <c r="R11">
        <f t="shared" si="6"/>
        <v>0.42045454545454547</v>
      </c>
      <c r="S11">
        <f t="shared" si="7"/>
        <v>0.19886363636363635</v>
      </c>
      <c r="T11">
        <f t="shared" si="1"/>
        <v>5.681818181818182E-3</v>
      </c>
      <c r="U11">
        <f t="shared" si="2"/>
        <v>0</v>
      </c>
      <c r="V11">
        <f t="shared" si="8"/>
        <v>0.375</v>
      </c>
      <c r="W11">
        <f t="shared" si="9"/>
        <v>0</v>
      </c>
      <c r="X11">
        <v>14.4564757089961</v>
      </c>
    </row>
    <row r="12" spans="1:24">
      <c r="A12">
        <v>1996</v>
      </c>
      <c r="B12" t="s">
        <v>433</v>
      </c>
      <c r="C12">
        <v>58</v>
      </c>
      <c r="D12">
        <v>98</v>
      </c>
      <c r="E12">
        <v>583</v>
      </c>
      <c r="F12">
        <v>3</v>
      </c>
      <c r="G12">
        <f t="shared" si="3"/>
        <v>0.14327485380116958</v>
      </c>
      <c r="H12">
        <f t="shared" si="4"/>
        <v>0.85233918128654973</v>
      </c>
      <c r="I12">
        <f t="shared" si="0"/>
        <v>4.3859649122807015E-3</v>
      </c>
      <c r="J12">
        <v>0</v>
      </c>
      <c r="K12">
        <v>43</v>
      </c>
      <c r="L12">
        <v>442</v>
      </c>
      <c r="M12">
        <v>0</v>
      </c>
      <c r="N12">
        <v>6</v>
      </c>
      <c r="O12">
        <v>5</v>
      </c>
      <c r="P12">
        <v>188</v>
      </c>
      <c r="Q12">
        <f t="shared" si="5"/>
        <v>0</v>
      </c>
      <c r="R12">
        <f t="shared" si="6"/>
        <v>6.2865497076023388E-2</v>
      </c>
      <c r="S12">
        <f t="shared" si="7"/>
        <v>0.64619883040935677</v>
      </c>
      <c r="T12">
        <f t="shared" si="1"/>
        <v>8.771929824561403E-3</v>
      </c>
      <c r="U12">
        <f t="shared" si="2"/>
        <v>7.3099415204678359E-3</v>
      </c>
      <c r="V12">
        <f t="shared" si="8"/>
        <v>0.27485380116959063</v>
      </c>
      <c r="W12">
        <f t="shared" si="9"/>
        <v>0</v>
      </c>
      <c r="X12">
        <v>23.702459422523201</v>
      </c>
    </row>
    <row r="13" spans="1:24">
      <c r="A13">
        <v>1997</v>
      </c>
      <c r="B13" t="s">
        <v>434</v>
      </c>
      <c r="C13">
        <v>7</v>
      </c>
      <c r="D13">
        <v>4</v>
      </c>
      <c r="E13">
        <v>21</v>
      </c>
      <c r="F13">
        <v>0</v>
      </c>
      <c r="G13">
        <f t="shared" si="3"/>
        <v>0.16</v>
      </c>
      <c r="H13">
        <f t="shared" si="4"/>
        <v>0.84</v>
      </c>
      <c r="I13">
        <f t="shared" si="0"/>
        <v>0</v>
      </c>
      <c r="J13">
        <v>0</v>
      </c>
      <c r="K13">
        <v>19</v>
      </c>
      <c r="L13">
        <v>2</v>
      </c>
      <c r="M13">
        <v>0</v>
      </c>
      <c r="N13">
        <v>0</v>
      </c>
      <c r="O13">
        <v>0</v>
      </c>
      <c r="P13">
        <v>4</v>
      </c>
      <c r="Q13">
        <f t="shared" si="5"/>
        <v>0</v>
      </c>
      <c r="R13">
        <f t="shared" si="6"/>
        <v>0.76</v>
      </c>
      <c r="S13">
        <f t="shared" si="7"/>
        <v>0.08</v>
      </c>
      <c r="T13">
        <f t="shared" si="1"/>
        <v>0</v>
      </c>
      <c r="U13">
        <f t="shared" si="2"/>
        <v>0</v>
      </c>
      <c r="V13">
        <f t="shared" si="8"/>
        <v>0.16</v>
      </c>
      <c r="W13">
        <f t="shared" si="9"/>
        <v>0</v>
      </c>
      <c r="X13">
        <v>3.54392897986975</v>
      </c>
    </row>
    <row r="14" spans="1:24">
      <c r="A14">
        <v>1997</v>
      </c>
      <c r="B14" t="s">
        <v>435</v>
      </c>
      <c r="C14">
        <v>20</v>
      </c>
      <c r="D14">
        <v>5</v>
      </c>
      <c r="E14">
        <v>114</v>
      </c>
      <c r="F14">
        <v>1</v>
      </c>
      <c r="G14">
        <f t="shared" si="3"/>
        <v>4.1666666666666664E-2</v>
      </c>
      <c r="H14">
        <f t="shared" si="4"/>
        <v>0.95</v>
      </c>
      <c r="I14">
        <f t="shared" si="0"/>
        <v>8.3333333333333332E-3</v>
      </c>
      <c r="J14">
        <v>0</v>
      </c>
      <c r="K14">
        <v>91</v>
      </c>
      <c r="L14">
        <v>10</v>
      </c>
      <c r="M14">
        <v>0</v>
      </c>
      <c r="N14">
        <v>0</v>
      </c>
      <c r="O14">
        <v>0</v>
      </c>
      <c r="P14">
        <v>19</v>
      </c>
      <c r="Q14">
        <f t="shared" si="5"/>
        <v>0</v>
      </c>
      <c r="R14">
        <f t="shared" si="6"/>
        <v>0.7583333333333333</v>
      </c>
      <c r="S14">
        <f t="shared" si="7"/>
        <v>8.3333333333333329E-2</v>
      </c>
      <c r="T14">
        <f t="shared" si="1"/>
        <v>0</v>
      </c>
      <c r="U14">
        <f t="shared" si="2"/>
        <v>0</v>
      </c>
      <c r="V14">
        <f t="shared" si="8"/>
        <v>0.15833333333333333</v>
      </c>
      <c r="W14">
        <f t="shared" si="9"/>
        <v>0</v>
      </c>
      <c r="X14">
        <v>6.3394555633337299</v>
      </c>
    </row>
    <row r="15" spans="1:24">
      <c r="A15">
        <v>1997</v>
      </c>
      <c r="B15" t="s">
        <v>436</v>
      </c>
      <c r="C15">
        <v>38</v>
      </c>
      <c r="D15">
        <v>19</v>
      </c>
      <c r="E15">
        <v>25</v>
      </c>
      <c r="F15">
        <v>1</v>
      </c>
      <c r="G15">
        <f t="shared" si="3"/>
        <v>0.42222222222222222</v>
      </c>
      <c r="H15">
        <f t="shared" si="4"/>
        <v>0.55555555555555558</v>
      </c>
      <c r="I15">
        <f t="shared" si="0"/>
        <v>2.2222222222222223E-2</v>
      </c>
      <c r="J15">
        <v>0</v>
      </c>
      <c r="K15">
        <v>6</v>
      </c>
      <c r="L15">
        <v>11</v>
      </c>
      <c r="M15">
        <v>0</v>
      </c>
      <c r="N15">
        <v>0</v>
      </c>
      <c r="O15">
        <v>2</v>
      </c>
      <c r="P15">
        <v>26</v>
      </c>
      <c r="Q15">
        <f t="shared" si="5"/>
        <v>0</v>
      </c>
      <c r="R15">
        <f t="shared" si="6"/>
        <v>0.13333333333333333</v>
      </c>
      <c r="S15">
        <f t="shared" si="7"/>
        <v>0.24444444444444444</v>
      </c>
      <c r="T15">
        <f t="shared" si="1"/>
        <v>0</v>
      </c>
      <c r="U15">
        <f t="shared" si="2"/>
        <v>4.4444444444444446E-2</v>
      </c>
      <c r="V15">
        <f t="shared" si="8"/>
        <v>0.57777777777777772</v>
      </c>
      <c r="W15">
        <f t="shared" si="9"/>
        <v>0</v>
      </c>
      <c r="X15">
        <v>14.1203673234723</v>
      </c>
    </row>
    <row r="16" spans="1:24">
      <c r="A16">
        <v>1997</v>
      </c>
      <c r="B16" t="s">
        <v>437</v>
      </c>
      <c r="C16">
        <v>29</v>
      </c>
      <c r="D16">
        <v>40</v>
      </c>
      <c r="E16">
        <v>20</v>
      </c>
      <c r="F16">
        <v>1</v>
      </c>
      <c r="G16">
        <f t="shared" si="3"/>
        <v>0.65573770491803274</v>
      </c>
      <c r="H16">
        <f t="shared" si="4"/>
        <v>0.32786885245901637</v>
      </c>
      <c r="I16">
        <f t="shared" si="0"/>
        <v>1.6393442622950821E-2</v>
      </c>
      <c r="J16">
        <v>0</v>
      </c>
      <c r="K16">
        <v>6</v>
      </c>
      <c r="L16">
        <v>44</v>
      </c>
      <c r="M16">
        <v>0</v>
      </c>
      <c r="N16">
        <v>1</v>
      </c>
      <c r="O16">
        <v>1</v>
      </c>
      <c r="P16">
        <v>9</v>
      </c>
      <c r="Q16">
        <f t="shared" si="5"/>
        <v>0</v>
      </c>
      <c r="R16">
        <f t="shared" si="6"/>
        <v>9.8360655737704916E-2</v>
      </c>
      <c r="S16">
        <f t="shared" si="7"/>
        <v>0.72131147540983609</v>
      </c>
      <c r="T16">
        <f t="shared" si="1"/>
        <v>1.6393442622950821E-2</v>
      </c>
      <c r="U16">
        <f t="shared" si="2"/>
        <v>1.6393442622950821E-2</v>
      </c>
      <c r="V16">
        <f t="shared" si="8"/>
        <v>0.14754098360655737</v>
      </c>
      <c r="W16">
        <f t="shared" si="9"/>
        <v>0</v>
      </c>
      <c r="X16">
        <v>12.0110110015095</v>
      </c>
    </row>
    <row r="17" spans="1:24">
      <c r="A17">
        <v>1997</v>
      </c>
      <c r="B17" t="s">
        <v>438</v>
      </c>
      <c r="C17">
        <v>29</v>
      </c>
      <c r="D17">
        <v>6</v>
      </c>
      <c r="E17">
        <v>22</v>
      </c>
      <c r="F17">
        <v>1</v>
      </c>
      <c r="G17">
        <f t="shared" si="3"/>
        <v>0.20689655172413793</v>
      </c>
      <c r="H17">
        <f t="shared" si="4"/>
        <v>0.75862068965517238</v>
      </c>
      <c r="I17">
        <f t="shared" si="0"/>
        <v>3.4482758620689655E-2</v>
      </c>
      <c r="J17">
        <v>0</v>
      </c>
      <c r="K17">
        <v>5</v>
      </c>
      <c r="L17">
        <v>10</v>
      </c>
      <c r="M17">
        <v>0</v>
      </c>
      <c r="N17">
        <v>3</v>
      </c>
      <c r="O17">
        <v>2</v>
      </c>
      <c r="P17">
        <v>9</v>
      </c>
      <c r="Q17">
        <f t="shared" si="5"/>
        <v>0</v>
      </c>
      <c r="R17">
        <f t="shared" si="6"/>
        <v>0.17241379310344829</v>
      </c>
      <c r="S17">
        <f t="shared" si="7"/>
        <v>0.34482758620689657</v>
      </c>
      <c r="T17">
        <f t="shared" si="1"/>
        <v>0.10344827586206896</v>
      </c>
      <c r="U17">
        <f t="shared" si="2"/>
        <v>6.8965517241379309E-2</v>
      </c>
      <c r="V17">
        <f t="shared" si="8"/>
        <v>0.31034482758620691</v>
      </c>
      <c r="W17">
        <f t="shared" si="9"/>
        <v>0</v>
      </c>
      <c r="X17">
        <v>12.9880077373821</v>
      </c>
    </row>
    <row r="18" spans="1:24">
      <c r="A18">
        <v>1998</v>
      </c>
      <c r="B18" t="s">
        <v>439</v>
      </c>
      <c r="C18">
        <v>22</v>
      </c>
      <c r="D18">
        <v>6</v>
      </c>
      <c r="E18">
        <v>160</v>
      </c>
      <c r="F18">
        <v>0</v>
      </c>
      <c r="G18">
        <f t="shared" si="3"/>
        <v>3.614457831325301E-2</v>
      </c>
      <c r="H18">
        <f t="shared" si="4"/>
        <v>0.96385542168674698</v>
      </c>
      <c r="I18">
        <f t="shared" si="0"/>
        <v>0</v>
      </c>
      <c r="J18">
        <v>0</v>
      </c>
      <c r="K18">
        <v>32</v>
      </c>
      <c r="L18">
        <v>36</v>
      </c>
      <c r="M18">
        <v>0</v>
      </c>
      <c r="N18">
        <v>3</v>
      </c>
      <c r="O18">
        <v>27</v>
      </c>
      <c r="P18">
        <v>68</v>
      </c>
      <c r="Q18">
        <f t="shared" si="5"/>
        <v>0</v>
      </c>
      <c r="R18">
        <f t="shared" si="6"/>
        <v>0.19277108433734941</v>
      </c>
      <c r="S18">
        <f t="shared" si="7"/>
        <v>0.21686746987951808</v>
      </c>
      <c r="T18">
        <f t="shared" si="1"/>
        <v>1.8072289156626505E-2</v>
      </c>
      <c r="U18">
        <f t="shared" si="2"/>
        <v>0.16265060240963855</v>
      </c>
      <c r="V18">
        <f t="shared" si="8"/>
        <v>0.40963855421686746</v>
      </c>
      <c r="W18">
        <f t="shared" si="9"/>
        <v>0</v>
      </c>
      <c r="X18">
        <v>9.1542821838717003</v>
      </c>
    </row>
    <row r="19" spans="1:24">
      <c r="A19">
        <v>1998</v>
      </c>
      <c r="B19" t="s">
        <v>440</v>
      </c>
      <c r="C19">
        <v>26</v>
      </c>
      <c r="D19">
        <v>5</v>
      </c>
      <c r="E19">
        <v>91</v>
      </c>
      <c r="F19">
        <v>1</v>
      </c>
      <c r="G19">
        <f t="shared" si="3"/>
        <v>5.1546391752577317E-2</v>
      </c>
      <c r="H19">
        <f t="shared" si="4"/>
        <v>0.93814432989690721</v>
      </c>
      <c r="I19">
        <f t="shared" si="0"/>
        <v>1.0309278350515464E-2</v>
      </c>
      <c r="J19">
        <v>0</v>
      </c>
      <c r="K19">
        <v>11</v>
      </c>
      <c r="L19">
        <v>5</v>
      </c>
      <c r="M19">
        <v>0</v>
      </c>
      <c r="N19">
        <v>6</v>
      </c>
      <c r="O19">
        <v>2</v>
      </c>
      <c r="P19">
        <v>73</v>
      </c>
      <c r="Q19">
        <f t="shared" si="5"/>
        <v>0</v>
      </c>
      <c r="R19">
        <f t="shared" si="6"/>
        <v>0.1134020618556701</v>
      </c>
      <c r="S19">
        <f t="shared" si="7"/>
        <v>5.1546391752577317E-2</v>
      </c>
      <c r="T19">
        <f t="shared" si="1"/>
        <v>6.1855670103092786E-2</v>
      </c>
      <c r="U19">
        <f t="shared" si="2"/>
        <v>2.0618556701030927E-2</v>
      </c>
      <c r="V19">
        <f t="shared" si="8"/>
        <v>0.75257731958762886</v>
      </c>
      <c r="W19">
        <f t="shared" si="9"/>
        <v>0</v>
      </c>
      <c r="X19">
        <v>10.9849610980447</v>
      </c>
    </row>
    <row r="20" spans="1:24">
      <c r="A20">
        <v>1998</v>
      </c>
      <c r="B20" t="s">
        <v>441</v>
      </c>
      <c r="C20">
        <v>20</v>
      </c>
      <c r="D20">
        <v>3</v>
      </c>
      <c r="E20">
        <v>139</v>
      </c>
      <c r="F20">
        <v>49</v>
      </c>
      <c r="G20">
        <f t="shared" si="3"/>
        <v>1.5706806282722512E-2</v>
      </c>
      <c r="H20">
        <f t="shared" si="4"/>
        <v>0.72774869109947649</v>
      </c>
      <c r="I20">
        <f t="shared" si="0"/>
        <v>0.25654450261780104</v>
      </c>
      <c r="J20">
        <v>0</v>
      </c>
      <c r="K20">
        <v>149</v>
      </c>
      <c r="L20">
        <v>26</v>
      </c>
      <c r="M20">
        <v>0</v>
      </c>
      <c r="N20">
        <v>3</v>
      </c>
      <c r="O20">
        <v>1</v>
      </c>
      <c r="P20">
        <v>14</v>
      </c>
      <c r="Q20">
        <f t="shared" si="5"/>
        <v>0</v>
      </c>
      <c r="R20">
        <f t="shared" si="6"/>
        <v>0.772020725388601</v>
      </c>
      <c r="S20">
        <f t="shared" si="7"/>
        <v>0.13471502590673576</v>
      </c>
      <c r="T20">
        <f t="shared" si="1"/>
        <v>1.5544041450777202E-2</v>
      </c>
      <c r="U20">
        <f t="shared" si="2"/>
        <v>5.1813471502590676E-3</v>
      </c>
      <c r="V20">
        <f t="shared" si="8"/>
        <v>7.2538860103626937E-2</v>
      </c>
      <c r="W20">
        <f t="shared" si="9"/>
        <v>0</v>
      </c>
      <c r="X20">
        <v>8.3352988147956104</v>
      </c>
    </row>
    <row r="21" spans="1:24">
      <c r="A21">
        <v>1998</v>
      </c>
      <c r="B21" t="s">
        <v>442</v>
      </c>
      <c r="C21">
        <v>19</v>
      </c>
      <c r="D21">
        <v>3</v>
      </c>
      <c r="E21">
        <v>151</v>
      </c>
      <c r="F21">
        <v>28</v>
      </c>
      <c r="G21">
        <f t="shared" si="3"/>
        <v>1.6483516483516484E-2</v>
      </c>
      <c r="H21">
        <f t="shared" si="4"/>
        <v>0.82967032967032972</v>
      </c>
      <c r="I21">
        <f t="shared" si="0"/>
        <v>0.15384615384615385</v>
      </c>
      <c r="J21">
        <v>0</v>
      </c>
      <c r="K21">
        <v>88</v>
      </c>
      <c r="L21">
        <v>35</v>
      </c>
      <c r="M21">
        <v>0</v>
      </c>
      <c r="N21">
        <v>3</v>
      </c>
      <c r="O21">
        <v>0</v>
      </c>
      <c r="P21">
        <v>57</v>
      </c>
      <c r="Q21">
        <f t="shared" si="5"/>
        <v>0</v>
      </c>
      <c r="R21">
        <f t="shared" si="6"/>
        <v>0.48087431693989069</v>
      </c>
      <c r="S21">
        <f t="shared" si="7"/>
        <v>0.19125683060109289</v>
      </c>
      <c r="T21">
        <f t="shared" si="1"/>
        <v>1.6393442622950821E-2</v>
      </c>
      <c r="U21">
        <f t="shared" si="2"/>
        <v>0</v>
      </c>
      <c r="V21">
        <f t="shared" si="8"/>
        <v>0.31147540983606559</v>
      </c>
      <c r="W21">
        <f t="shared" si="9"/>
        <v>0</v>
      </c>
      <c r="X21">
        <v>8.0237251678855301</v>
      </c>
    </row>
    <row r="22" spans="1:24">
      <c r="A22">
        <v>1998</v>
      </c>
      <c r="B22" t="s">
        <v>443</v>
      </c>
      <c r="C22">
        <v>42</v>
      </c>
      <c r="D22">
        <v>38</v>
      </c>
      <c r="E22">
        <v>279</v>
      </c>
      <c r="F22">
        <v>26</v>
      </c>
      <c r="G22">
        <f t="shared" si="3"/>
        <v>0.11078717201166181</v>
      </c>
      <c r="H22">
        <f t="shared" si="4"/>
        <v>0.8134110787172012</v>
      </c>
      <c r="I22">
        <f t="shared" si="0"/>
        <v>7.5801749271137031E-2</v>
      </c>
      <c r="J22">
        <v>0</v>
      </c>
      <c r="K22">
        <v>216</v>
      </c>
      <c r="L22">
        <v>57</v>
      </c>
      <c r="M22">
        <v>0</v>
      </c>
      <c r="N22">
        <v>3</v>
      </c>
      <c r="O22">
        <v>7</v>
      </c>
      <c r="P22">
        <v>62</v>
      </c>
      <c r="Q22">
        <f t="shared" si="5"/>
        <v>0</v>
      </c>
      <c r="R22">
        <f t="shared" si="6"/>
        <v>0.62608695652173918</v>
      </c>
      <c r="S22">
        <f t="shared" si="7"/>
        <v>0.16521739130434782</v>
      </c>
      <c r="T22">
        <f t="shared" si="1"/>
        <v>8.6956521739130436E-3</v>
      </c>
      <c r="U22">
        <f t="shared" si="2"/>
        <v>2.0289855072463767E-2</v>
      </c>
      <c r="V22">
        <f t="shared" si="8"/>
        <v>0.17971014492753623</v>
      </c>
      <c r="W22">
        <f t="shared" si="9"/>
        <v>0</v>
      </c>
      <c r="X22">
        <v>18.4081545449076</v>
      </c>
    </row>
    <row r="23" spans="1:24">
      <c r="A23">
        <v>1999</v>
      </c>
      <c r="B23" t="s">
        <v>444</v>
      </c>
      <c r="C23">
        <v>24</v>
      </c>
      <c r="D23">
        <v>26</v>
      </c>
      <c r="E23">
        <v>141</v>
      </c>
      <c r="F23">
        <v>0</v>
      </c>
      <c r="G23">
        <f t="shared" si="3"/>
        <v>0.15568862275449102</v>
      </c>
      <c r="H23">
        <f t="shared" si="4"/>
        <v>0.84431137724550898</v>
      </c>
      <c r="I23">
        <f t="shared" si="0"/>
        <v>0</v>
      </c>
      <c r="J23">
        <v>0</v>
      </c>
      <c r="K23">
        <v>104</v>
      </c>
      <c r="L23">
        <v>25</v>
      </c>
      <c r="M23">
        <v>0</v>
      </c>
      <c r="N23">
        <v>2</v>
      </c>
      <c r="O23">
        <v>2</v>
      </c>
      <c r="P23">
        <v>34</v>
      </c>
      <c r="Q23">
        <f t="shared" si="5"/>
        <v>0</v>
      </c>
      <c r="R23">
        <f t="shared" si="6"/>
        <v>0.6227544910179641</v>
      </c>
      <c r="S23">
        <f t="shared" si="7"/>
        <v>0.1497005988023952</v>
      </c>
      <c r="T23">
        <f t="shared" si="1"/>
        <v>1.1976047904191617E-2</v>
      </c>
      <c r="U23">
        <f t="shared" si="2"/>
        <v>1.1976047904191617E-2</v>
      </c>
      <c r="V23">
        <f t="shared" si="8"/>
        <v>0.20359281437125748</v>
      </c>
      <c r="W23">
        <f t="shared" si="9"/>
        <v>0</v>
      </c>
      <c r="X23">
        <v>10.5751510365904</v>
      </c>
    </row>
    <row r="24" spans="1:24">
      <c r="A24">
        <v>1999</v>
      </c>
      <c r="B24" t="s">
        <v>445</v>
      </c>
      <c r="C24">
        <v>29</v>
      </c>
      <c r="D24">
        <v>64</v>
      </c>
      <c r="E24">
        <v>235</v>
      </c>
      <c r="F24">
        <v>0</v>
      </c>
      <c r="G24">
        <f t="shared" si="3"/>
        <v>0.21404682274247491</v>
      </c>
      <c r="H24">
        <f t="shared" si="4"/>
        <v>0.78595317725752512</v>
      </c>
      <c r="I24">
        <f t="shared" si="0"/>
        <v>0</v>
      </c>
      <c r="J24">
        <v>0</v>
      </c>
      <c r="K24">
        <v>139</v>
      </c>
      <c r="L24">
        <v>16</v>
      </c>
      <c r="M24">
        <v>5</v>
      </c>
      <c r="N24">
        <v>2</v>
      </c>
      <c r="O24">
        <v>4</v>
      </c>
      <c r="P24">
        <v>134</v>
      </c>
      <c r="Q24">
        <f t="shared" si="5"/>
        <v>0</v>
      </c>
      <c r="R24">
        <f t="shared" si="6"/>
        <v>0.46333333333333332</v>
      </c>
      <c r="S24">
        <f t="shared" si="7"/>
        <v>5.3333333333333337E-2</v>
      </c>
      <c r="T24">
        <f t="shared" si="1"/>
        <v>6.6666666666666671E-3</v>
      </c>
      <c r="U24">
        <f t="shared" si="2"/>
        <v>1.3333333333333334E-2</v>
      </c>
      <c r="V24">
        <f t="shared" si="8"/>
        <v>0.44666666666666666</v>
      </c>
      <c r="W24">
        <f t="shared" si="9"/>
        <v>1.6835016835016835E-2</v>
      </c>
      <c r="X24">
        <v>12.6997287028502</v>
      </c>
    </row>
    <row r="25" spans="1:24">
      <c r="A25">
        <v>1999</v>
      </c>
      <c r="B25" t="s">
        <v>446</v>
      </c>
      <c r="C25">
        <v>31</v>
      </c>
      <c r="D25">
        <v>35</v>
      </c>
      <c r="E25">
        <v>274</v>
      </c>
      <c r="F25">
        <v>21</v>
      </c>
      <c r="G25">
        <f t="shared" si="3"/>
        <v>0.10606060606060606</v>
      </c>
      <c r="H25">
        <f t="shared" si="4"/>
        <v>0.83030303030303032</v>
      </c>
      <c r="I25">
        <f t="shared" si="0"/>
        <v>6.363636363636363E-2</v>
      </c>
      <c r="J25">
        <v>0</v>
      </c>
      <c r="K25">
        <v>226</v>
      </c>
      <c r="L25">
        <v>31</v>
      </c>
      <c r="M25">
        <v>5</v>
      </c>
      <c r="N25">
        <v>0</v>
      </c>
      <c r="O25">
        <v>0</v>
      </c>
      <c r="P25">
        <v>77</v>
      </c>
      <c r="Q25">
        <f t="shared" si="5"/>
        <v>0</v>
      </c>
      <c r="R25">
        <f t="shared" si="6"/>
        <v>0.66666666666666663</v>
      </c>
      <c r="S25">
        <f t="shared" si="7"/>
        <v>9.1445427728613568E-2</v>
      </c>
      <c r="T25">
        <f t="shared" si="1"/>
        <v>0</v>
      </c>
      <c r="U25">
        <f t="shared" si="2"/>
        <v>0</v>
      </c>
      <c r="V25">
        <f t="shared" si="8"/>
        <v>0.22713864306784662</v>
      </c>
      <c r="W25">
        <f t="shared" si="9"/>
        <v>1.4970059880239521E-2</v>
      </c>
      <c r="X25">
        <v>14.367723994189699</v>
      </c>
    </row>
    <row r="26" spans="1:24">
      <c r="A26">
        <v>1999</v>
      </c>
      <c r="B26" t="s">
        <v>447</v>
      </c>
      <c r="C26">
        <v>22</v>
      </c>
      <c r="D26">
        <v>12</v>
      </c>
      <c r="E26">
        <v>237</v>
      </c>
      <c r="F26">
        <v>1</v>
      </c>
      <c r="G26">
        <f t="shared" si="3"/>
        <v>4.8000000000000001E-2</v>
      </c>
      <c r="H26">
        <f t="shared" si="4"/>
        <v>0.94799999999999995</v>
      </c>
      <c r="I26">
        <f t="shared" si="0"/>
        <v>4.0000000000000001E-3</v>
      </c>
      <c r="J26">
        <v>0</v>
      </c>
      <c r="K26">
        <v>161</v>
      </c>
      <c r="L26">
        <v>37</v>
      </c>
      <c r="M26">
        <v>0</v>
      </c>
      <c r="N26">
        <v>1</v>
      </c>
      <c r="O26">
        <v>0</v>
      </c>
      <c r="P26">
        <v>52</v>
      </c>
      <c r="Q26">
        <f t="shared" si="5"/>
        <v>0</v>
      </c>
      <c r="R26">
        <f t="shared" si="6"/>
        <v>0.64143426294820716</v>
      </c>
      <c r="S26">
        <f t="shared" si="7"/>
        <v>0.14741035856573706</v>
      </c>
      <c r="T26">
        <f t="shared" si="1"/>
        <v>3.9840637450199202E-3</v>
      </c>
      <c r="U26">
        <f t="shared" si="2"/>
        <v>0</v>
      </c>
      <c r="V26">
        <f t="shared" si="8"/>
        <v>0.20717131474103587</v>
      </c>
      <c r="W26">
        <f t="shared" si="9"/>
        <v>0</v>
      </c>
      <c r="X26">
        <v>9.9649968704804195</v>
      </c>
    </row>
    <row r="27" spans="1:24">
      <c r="A27">
        <v>1999</v>
      </c>
      <c r="B27" t="s">
        <v>448</v>
      </c>
      <c r="C27">
        <v>27</v>
      </c>
      <c r="D27">
        <v>9</v>
      </c>
      <c r="E27">
        <v>447</v>
      </c>
      <c r="F27">
        <v>0</v>
      </c>
      <c r="G27">
        <f t="shared" si="3"/>
        <v>1.9736842105263157E-2</v>
      </c>
      <c r="H27">
        <f t="shared" si="4"/>
        <v>0.98026315789473684</v>
      </c>
      <c r="I27">
        <f t="shared" si="0"/>
        <v>0</v>
      </c>
      <c r="J27">
        <v>0</v>
      </c>
      <c r="K27">
        <v>140</v>
      </c>
      <c r="L27">
        <v>105</v>
      </c>
      <c r="M27">
        <v>0</v>
      </c>
      <c r="N27">
        <v>1</v>
      </c>
      <c r="O27">
        <v>5</v>
      </c>
      <c r="P27">
        <v>206</v>
      </c>
      <c r="Q27">
        <f t="shared" si="5"/>
        <v>0</v>
      </c>
      <c r="R27">
        <f t="shared" si="6"/>
        <v>0.30634573304157547</v>
      </c>
      <c r="S27">
        <f t="shared" si="7"/>
        <v>0.22975929978118162</v>
      </c>
      <c r="T27">
        <f t="shared" si="1"/>
        <v>2.1881838074398249E-3</v>
      </c>
      <c r="U27">
        <f t="shared" si="2"/>
        <v>1.0940919037199124E-2</v>
      </c>
      <c r="V27">
        <f t="shared" si="8"/>
        <v>0.45076586433260396</v>
      </c>
      <c r="W27">
        <f t="shared" si="9"/>
        <v>0</v>
      </c>
      <c r="X27">
        <v>12.7144820872526</v>
      </c>
    </row>
    <row r="28" spans="1:24">
      <c r="A28">
        <v>1999</v>
      </c>
      <c r="B28" t="s">
        <v>449</v>
      </c>
      <c r="C28">
        <v>30</v>
      </c>
      <c r="D28">
        <v>23</v>
      </c>
      <c r="E28">
        <v>313</v>
      </c>
      <c r="F28">
        <v>0</v>
      </c>
      <c r="G28">
        <f t="shared" si="3"/>
        <v>6.8452380952380959E-2</v>
      </c>
      <c r="H28">
        <f t="shared" si="4"/>
        <v>0.93154761904761907</v>
      </c>
      <c r="I28">
        <f t="shared" si="0"/>
        <v>0</v>
      </c>
      <c r="J28">
        <v>0</v>
      </c>
      <c r="K28">
        <v>137</v>
      </c>
      <c r="L28">
        <v>73</v>
      </c>
      <c r="M28">
        <v>0</v>
      </c>
      <c r="N28">
        <v>2</v>
      </c>
      <c r="O28">
        <v>0</v>
      </c>
      <c r="P28">
        <v>126</v>
      </c>
      <c r="Q28">
        <f t="shared" si="5"/>
        <v>0</v>
      </c>
      <c r="R28">
        <f t="shared" si="6"/>
        <v>0.40532544378698226</v>
      </c>
      <c r="S28">
        <f t="shared" si="7"/>
        <v>0.21597633136094674</v>
      </c>
      <c r="T28">
        <f t="shared" si="1"/>
        <v>5.9171597633136093E-3</v>
      </c>
      <c r="U28">
        <f t="shared" si="2"/>
        <v>0</v>
      </c>
      <c r="V28">
        <f t="shared" si="8"/>
        <v>0.37278106508875741</v>
      </c>
      <c r="W28">
        <f t="shared" si="9"/>
        <v>0</v>
      </c>
      <c r="X28">
        <v>13.8632475061164</v>
      </c>
    </row>
    <row r="29" spans="1:24">
      <c r="A29">
        <v>1999</v>
      </c>
      <c r="B29" t="s">
        <v>450</v>
      </c>
      <c r="C29">
        <v>28</v>
      </c>
      <c r="D29">
        <v>37</v>
      </c>
      <c r="E29">
        <v>99</v>
      </c>
      <c r="F29">
        <v>3</v>
      </c>
      <c r="G29">
        <f t="shared" si="3"/>
        <v>0.26618705035971224</v>
      </c>
      <c r="H29">
        <f t="shared" si="4"/>
        <v>0.71223021582733814</v>
      </c>
      <c r="I29">
        <f t="shared" si="0"/>
        <v>2.1582733812949641E-2</v>
      </c>
      <c r="J29">
        <v>0</v>
      </c>
      <c r="K29">
        <v>61</v>
      </c>
      <c r="L29">
        <v>15</v>
      </c>
      <c r="M29">
        <v>0</v>
      </c>
      <c r="N29">
        <v>2</v>
      </c>
      <c r="O29">
        <v>4</v>
      </c>
      <c r="P29">
        <v>57</v>
      </c>
      <c r="Q29">
        <f t="shared" si="5"/>
        <v>0</v>
      </c>
      <c r="R29">
        <f t="shared" si="6"/>
        <v>0.43884892086330934</v>
      </c>
      <c r="S29">
        <f t="shared" si="7"/>
        <v>0.1079136690647482</v>
      </c>
      <c r="T29">
        <f t="shared" si="1"/>
        <v>1.4388489208633094E-2</v>
      </c>
      <c r="U29">
        <f t="shared" si="2"/>
        <v>2.8776978417266189E-2</v>
      </c>
      <c r="V29">
        <f t="shared" si="8"/>
        <v>0.41007194244604317</v>
      </c>
      <c r="W29">
        <f t="shared" si="9"/>
        <v>0</v>
      </c>
      <c r="X29">
        <v>11.3423070448471</v>
      </c>
    </row>
    <row r="30" spans="1:24">
      <c r="A30">
        <v>1999</v>
      </c>
      <c r="B30" t="s">
        <v>451</v>
      </c>
      <c r="C30">
        <v>29</v>
      </c>
      <c r="D30">
        <v>19</v>
      </c>
      <c r="E30">
        <v>103</v>
      </c>
      <c r="F30">
        <v>1</v>
      </c>
      <c r="G30">
        <f t="shared" si="3"/>
        <v>0.15447154471544716</v>
      </c>
      <c r="H30">
        <f t="shared" si="4"/>
        <v>0.83739837398373984</v>
      </c>
      <c r="I30">
        <f t="shared" si="0"/>
        <v>8.130081300813009E-3</v>
      </c>
      <c r="J30">
        <v>0</v>
      </c>
      <c r="K30">
        <v>59</v>
      </c>
      <c r="L30">
        <v>16</v>
      </c>
      <c r="M30">
        <v>0</v>
      </c>
      <c r="N30">
        <v>2</v>
      </c>
      <c r="O30">
        <v>2</v>
      </c>
      <c r="P30">
        <v>46</v>
      </c>
      <c r="Q30">
        <f t="shared" si="5"/>
        <v>0</v>
      </c>
      <c r="R30">
        <f t="shared" si="6"/>
        <v>0.47199999999999998</v>
      </c>
      <c r="S30">
        <f t="shared" si="7"/>
        <v>0.128</v>
      </c>
      <c r="T30">
        <f t="shared" si="1"/>
        <v>1.6E-2</v>
      </c>
      <c r="U30">
        <f t="shared" si="2"/>
        <v>1.6E-2</v>
      </c>
      <c r="V30">
        <f t="shared" si="8"/>
        <v>0.36799999999999999</v>
      </c>
      <c r="W30">
        <f t="shared" si="9"/>
        <v>0</v>
      </c>
      <c r="X30">
        <v>11.960028616981401</v>
      </c>
    </row>
    <row r="31" spans="1:24">
      <c r="A31">
        <v>1999</v>
      </c>
      <c r="B31" t="s">
        <v>452</v>
      </c>
      <c r="C31">
        <v>31</v>
      </c>
      <c r="D31">
        <v>74</v>
      </c>
      <c r="E31">
        <v>378</v>
      </c>
      <c r="F31">
        <v>0</v>
      </c>
      <c r="G31">
        <f t="shared" si="3"/>
        <v>0.16371681415929204</v>
      </c>
      <c r="H31">
        <f t="shared" si="4"/>
        <v>0.83628318584070793</v>
      </c>
      <c r="I31">
        <f t="shared" si="0"/>
        <v>0</v>
      </c>
      <c r="J31">
        <v>0</v>
      </c>
      <c r="K31">
        <v>280</v>
      </c>
      <c r="L31">
        <v>87</v>
      </c>
      <c r="M31">
        <v>7</v>
      </c>
      <c r="N31">
        <v>1</v>
      </c>
      <c r="O31">
        <v>4</v>
      </c>
      <c r="P31">
        <v>80</v>
      </c>
      <c r="Q31">
        <f t="shared" si="5"/>
        <v>0</v>
      </c>
      <c r="R31">
        <f t="shared" si="6"/>
        <v>0.61002178649237471</v>
      </c>
      <c r="S31">
        <f t="shared" si="7"/>
        <v>0.18954248366013071</v>
      </c>
      <c r="T31">
        <f t="shared" si="1"/>
        <v>2.1786492374727671E-3</v>
      </c>
      <c r="U31">
        <f t="shared" si="2"/>
        <v>8.7145969498910684E-3</v>
      </c>
      <c r="V31">
        <f t="shared" si="8"/>
        <v>0.17429193899782136</v>
      </c>
      <c r="W31">
        <f t="shared" si="9"/>
        <v>1.5452538631346579E-2</v>
      </c>
      <c r="X31">
        <v>13.4203792906678</v>
      </c>
    </row>
    <row r="32" spans="1:24">
      <c r="A32">
        <v>1999</v>
      </c>
      <c r="B32" t="s">
        <v>453</v>
      </c>
      <c r="C32">
        <v>43</v>
      </c>
      <c r="D32">
        <v>59</v>
      </c>
      <c r="E32">
        <v>556</v>
      </c>
      <c r="F32">
        <v>2</v>
      </c>
      <c r="G32">
        <f t="shared" si="3"/>
        <v>9.5623987034035657E-2</v>
      </c>
      <c r="H32">
        <f t="shared" si="4"/>
        <v>0.90113452188006482</v>
      </c>
      <c r="I32">
        <f t="shared" si="0"/>
        <v>3.2414910858995136E-3</v>
      </c>
      <c r="J32">
        <v>0</v>
      </c>
      <c r="K32">
        <v>363</v>
      </c>
      <c r="L32">
        <v>97</v>
      </c>
      <c r="M32">
        <v>3</v>
      </c>
      <c r="N32">
        <v>4</v>
      </c>
      <c r="O32">
        <v>3</v>
      </c>
      <c r="P32">
        <v>150</v>
      </c>
      <c r="Q32">
        <f t="shared" si="5"/>
        <v>0</v>
      </c>
      <c r="R32">
        <f t="shared" si="6"/>
        <v>0.5854838709677419</v>
      </c>
      <c r="S32">
        <f t="shared" si="7"/>
        <v>0.15645161290322582</v>
      </c>
      <c r="T32">
        <f t="shared" si="1"/>
        <v>6.4516129032258064E-3</v>
      </c>
      <c r="U32">
        <f t="shared" si="2"/>
        <v>4.8387096774193551E-3</v>
      </c>
      <c r="V32">
        <f t="shared" si="8"/>
        <v>0.24193548387096775</v>
      </c>
      <c r="W32">
        <f t="shared" si="9"/>
        <v>4.830917874396135E-3</v>
      </c>
      <c r="X32">
        <v>17.027868303468601</v>
      </c>
    </row>
    <row r="33" spans="1:24">
      <c r="A33">
        <v>2000</v>
      </c>
      <c r="B33" t="s">
        <v>454</v>
      </c>
      <c r="C33">
        <v>31</v>
      </c>
      <c r="D33">
        <v>20</v>
      </c>
      <c r="E33">
        <v>138</v>
      </c>
      <c r="F33">
        <v>4</v>
      </c>
      <c r="G33">
        <f t="shared" si="3"/>
        <v>0.12345679012345678</v>
      </c>
      <c r="H33">
        <f t="shared" si="4"/>
        <v>0.85185185185185186</v>
      </c>
      <c r="I33">
        <f t="shared" si="0"/>
        <v>2.4691358024691357E-2</v>
      </c>
      <c r="J33">
        <v>0</v>
      </c>
      <c r="K33">
        <v>57</v>
      </c>
      <c r="L33">
        <v>25</v>
      </c>
      <c r="M33">
        <v>0</v>
      </c>
      <c r="N33">
        <v>2</v>
      </c>
      <c r="O33">
        <v>6</v>
      </c>
      <c r="P33">
        <v>72</v>
      </c>
      <c r="Q33">
        <f t="shared" si="5"/>
        <v>0</v>
      </c>
      <c r="R33">
        <f t="shared" si="6"/>
        <v>0.35185185185185186</v>
      </c>
      <c r="S33">
        <f t="shared" si="7"/>
        <v>0.15432098765432098</v>
      </c>
      <c r="T33">
        <f t="shared" si="1"/>
        <v>1.2345679012345678E-2</v>
      </c>
      <c r="U33">
        <f t="shared" si="2"/>
        <v>3.7037037037037035E-2</v>
      </c>
      <c r="V33">
        <f t="shared" si="8"/>
        <v>0.44444444444444442</v>
      </c>
      <c r="W33">
        <f t="shared" si="9"/>
        <v>0</v>
      </c>
      <c r="X33">
        <v>13.7995404605324</v>
      </c>
    </row>
    <row r="34" spans="1:24">
      <c r="A34">
        <v>2000</v>
      </c>
      <c r="B34" t="s">
        <v>455</v>
      </c>
      <c r="C34">
        <v>26</v>
      </c>
      <c r="D34">
        <v>16</v>
      </c>
      <c r="E34">
        <v>111</v>
      </c>
      <c r="F34">
        <v>10</v>
      </c>
      <c r="G34">
        <f t="shared" si="3"/>
        <v>0.11678832116788321</v>
      </c>
      <c r="H34">
        <f t="shared" si="4"/>
        <v>0.81021897810218979</v>
      </c>
      <c r="I34">
        <f t="shared" ref="I34:I65" si="10">F34/(D34+E34+F34)</f>
        <v>7.2992700729927001E-2</v>
      </c>
      <c r="J34">
        <v>0</v>
      </c>
      <c r="K34">
        <v>91</v>
      </c>
      <c r="L34">
        <v>7</v>
      </c>
      <c r="M34">
        <v>1</v>
      </c>
      <c r="N34">
        <v>4</v>
      </c>
      <c r="O34">
        <v>3</v>
      </c>
      <c r="P34">
        <v>31</v>
      </c>
      <c r="Q34">
        <f t="shared" si="5"/>
        <v>0</v>
      </c>
      <c r="R34">
        <f t="shared" si="6"/>
        <v>0.66423357664233573</v>
      </c>
      <c r="S34">
        <f t="shared" si="7"/>
        <v>5.1094890510948905E-2</v>
      </c>
      <c r="T34">
        <f t="shared" ref="T34:T65" si="11">N34/(K34+L34+M34+N34+O34+P34+J34)</f>
        <v>2.9197080291970802E-2</v>
      </c>
      <c r="U34">
        <f t="shared" ref="U34:U65" si="12">O34/(K34+L34+M34+N34+O34+P34+J34)</f>
        <v>2.1897810218978103E-2</v>
      </c>
      <c r="V34">
        <f t="shared" ref="V34:V65" si="13">P34/(K34+L34+M34+N34+O34+P34+J34)</f>
        <v>0.22627737226277372</v>
      </c>
      <c r="W34">
        <f t="shared" si="9"/>
        <v>7.1428571428571426E-3</v>
      </c>
      <c r="X34">
        <v>10.060384812786101</v>
      </c>
    </row>
    <row r="35" spans="1:24">
      <c r="A35">
        <v>2000</v>
      </c>
      <c r="B35" t="s">
        <v>456</v>
      </c>
      <c r="C35">
        <v>46</v>
      </c>
      <c r="D35">
        <v>25</v>
      </c>
      <c r="E35">
        <v>127</v>
      </c>
      <c r="F35">
        <v>16</v>
      </c>
      <c r="G35">
        <f t="shared" ref="G35:G66" si="14">D35/(D35+E35+F35)</f>
        <v>0.14880952380952381</v>
      </c>
      <c r="H35">
        <f t="shared" si="4"/>
        <v>0.75595238095238093</v>
      </c>
      <c r="I35">
        <f t="shared" si="10"/>
        <v>9.5238095238095233E-2</v>
      </c>
      <c r="J35">
        <v>0</v>
      </c>
      <c r="K35">
        <v>93</v>
      </c>
      <c r="L35">
        <v>20</v>
      </c>
      <c r="M35">
        <v>1</v>
      </c>
      <c r="N35">
        <v>6</v>
      </c>
      <c r="O35">
        <v>5</v>
      </c>
      <c r="P35">
        <v>43</v>
      </c>
      <c r="Q35">
        <f t="shared" si="5"/>
        <v>0</v>
      </c>
      <c r="R35">
        <f t="shared" si="6"/>
        <v>0.5535714285714286</v>
      </c>
      <c r="S35">
        <f t="shared" si="7"/>
        <v>0.11904761904761904</v>
      </c>
      <c r="T35">
        <f t="shared" si="11"/>
        <v>3.5714285714285712E-2</v>
      </c>
      <c r="U35">
        <f t="shared" si="12"/>
        <v>2.976190476190476E-2</v>
      </c>
      <c r="V35">
        <f t="shared" si="13"/>
        <v>0.25595238095238093</v>
      </c>
      <c r="W35">
        <f t="shared" ref="W35:W66" si="15">M35/(K35+L35+N35+N35+O35+P35+J35)</f>
        <v>5.7803468208092483E-3</v>
      </c>
      <c r="X35">
        <v>20.5901293956966</v>
      </c>
    </row>
    <row r="36" spans="1:24">
      <c r="A36">
        <v>2000</v>
      </c>
      <c r="B36" t="s">
        <v>457</v>
      </c>
      <c r="C36">
        <v>22</v>
      </c>
      <c r="D36">
        <v>14</v>
      </c>
      <c r="E36">
        <v>44</v>
      </c>
      <c r="F36">
        <v>1</v>
      </c>
      <c r="G36">
        <f t="shared" si="14"/>
        <v>0.23728813559322035</v>
      </c>
      <c r="H36">
        <f t="shared" si="4"/>
        <v>0.74576271186440679</v>
      </c>
      <c r="I36">
        <f t="shared" si="10"/>
        <v>1.6949152542372881E-2</v>
      </c>
      <c r="J36">
        <v>0</v>
      </c>
      <c r="K36">
        <v>28</v>
      </c>
      <c r="L36">
        <v>8</v>
      </c>
      <c r="M36">
        <v>0</v>
      </c>
      <c r="N36">
        <v>2</v>
      </c>
      <c r="O36">
        <v>1</v>
      </c>
      <c r="P36">
        <v>20</v>
      </c>
      <c r="Q36">
        <f t="shared" si="5"/>
        <v>0</v>
      </c>
      <c r="R36">
        <f t="shared" si="6"/>
        <v>0.47457627118644069</v>
      </c>
      <c r="S36">
        <f t="shared" si="7"/>
        <v>0.13559322033898305</v>
      </c>
      <c r="T36">
        <f t="shared" si="11"/>
        <v>3.3898305084745763E-2</v>
      </c>
      <c r="U36">
        <f t="shared" si="12"/>
        <v>1.6949152542372881E-2</v>
      </c>
      <c r="V36">
        <f t="shared" si="13"/>
        <v>0.33898305084745761</v>
      </c>
      <c r="W36">
        <f t="shared" si="15"/>
        <v>0</v>
      </c>
      <c r="X36">
        <v>9.2462948908131608</v>
      </c>
    </row>
    <row r="37" spans="1:24">
      <c r="A37">
        <v>2000</v>
      </c>
      <c r="B37" t="s">
        <v>458</v>
      </c>
      <c r="C37">
        <v>24</v>
      </c>
      <c r="D37">
        <v>3</v>
      </c>
      <c r="E37">
        <v>66</v>
      </c>
      <c r="F37">
        <v>8</v>
      </c>
      <c r="G37">
        <f t="shared" si="14"/>
        <v>3.896103896103896E-2</v>
      </c>
      <c r="H37">
        <f t="shared" si="4"/>
        <v>0.8571428571428571</v>
      </c>
      <c r="I37">
        <f t="shared" si="10"/>
        <v>0.1038961038961039</v>
      </c>
      <c r="J37">
        <v>0</v>
      </c>
      <c r="K37">
        <v>18</v>
      </c>
      <c r="L37">
        <v>9</v>
      </c>
      <c r="M37">
        <v>1</v>
      </c>
      <c r="N37">
        <v>5</v>
      </c>
      <c r="O37">
        <v>3</v>
      </c>
      <c r="P37">
        <v>41</v>
      </c>
      <c r="Q37">
        <f t="shared" si="5"/>
        <v>0</v>
      </c>
      <c r="R37">
        <f t="shared" si="6"/>
        <v>0.23376623376623376</v>
      </c>
      <c r="S37">
        <f t="shared" si="7"/>
        <v>0.11688311688311688</v>
      </c>
      <c r="T37">
        <f t="shared" si="11"/>
        <v>6.4935064935064929E-2</v>
      </c>
      <c r="U37">
        <f t="shared" si="12"/>
        <v>3.896103896103896E-2</v>
      </c>
      <c r="V37">
        <f t="shared" si="13"/>
        <v>0.53246753246753242</v>
      </c>
      <c r="W37">
        <f t="shared" si="15"/>
        <v>1.2345679012345678E-2</v>
      </c>
      <c r="X37">
        <v>9.5527316893173406</v>
      </c>
    </row>
    <row r="38" spans="1:24">
      <c r="A38">
        <v>2000</v>
      </c>
      <c r="B38" t="s">
        <v>459</v>
      </c>
      <c r="C38">
        <v>24</v>
      </c>
      <c r="D38">
        <v>22</v>
      </c>
      <c r="E38">
        <v>48</v>
      </c>
      <c r="F38">
        <v>1</v>
      </c>
      <c r="G38">
        <f t="shared" si="14"/>
        <v>0.30985915492957744</v>
      </c>
      <c r="H38">
        <f t="shared" si="4"/>
        <v>0.676056338028169</v>
      </c>
      <c r="I38">
        <f t="shared" si="10"/>
        <v>1.4084507042253521E-2</v>
      </c>
      <c r="J38">
        <v>0</v>
      </c>
      <c r="K38">
        <v>35</v>
      </c>
      <c r="L38">
        <v>7</v>
      </c>
      <c r="M38">
        <v>1</v>
      </c>
      <c r="N38">
        <v>2</v>
      </c>
      <c r="O38">
        <v>0</v>
      </c>
      <c r="P38">
        <v>26</v>
      </c>
      <c r="Q38">
        <f t="shared" si="5"/>
        <v>0</v>
      </c>
      <c r="R38">
        <f t="shared" si="6"/>
        <v>0.49295774647887325</v>
      </c>
      <c r="S38">
        <f t="shared" si="7"/>
        <v>9.8591549295774641E-2</v>
      </c>
      <c r="T38">
        <f t="shared" si="11"/>
        <v>2.8169014084507043E-2</v>
      </c>
      <c r="U38">
        <f t="shared" si="12"/>
        <v>0</v>
      </c>
      <c r="V38">
        <f t="shared" si="13"/>
        <v>0.36619718309859156</v>
      </c>
      <c r="W38">
        <f t="shared" si="15"/>
        <v>1.3888888888888888E-2</v>
      </c>
      <c r="X38">
        <v>9.7663869702543202</v>
      </c>
    </row>
    <row r="39" spans="1:24">
      <c r="A39">
        <v>2001</v>
      </c>
      <c r="B39" t="s">
        <v>460</v>
      </c>
      <c r="C39">
        <v>32</v>
      </c>
      <c r="D39">
        <v>22</v>
      </c>
      <c r="E39">
        <v>63</v>
      </c>
      <c r="F39">
        <v>6</v>
      </c>
      <c r="G39">
        <f t="shared" si="14"/>
        <v>0.24175824175824176</v>
      </c>
      <c r="H39">
        <f t="shared" si="4"/>
        <v>0.69230769230769229</v>
      </c>
      <c r="I39">
        <f t="shared" si="10"/>
        <v>6.5934065934065936E-2</v>
      </c>
      <c r="J39">
        <v>0</v>
      </c>
      <c r="K39">
        <v>24</v>
      </c>
      <c r="L39">
        <v>16</v>
      </c>
      <c r="M39">
        <v>1</v>
      </c>
      <c r="N39">
        <v>2</v>
      </c>
      <c r="O39">
        <v>0</v>
      </c>
      <c r="P39">
        <v>49</v>
      </c>
      <c r="Q39">
        <f t="shared" si="5"/>
        <v>0</v>
      </c>
      <c r="R39">
        <f t="shared" si="6"/>
        <v>0.2608695652173913</v>
      </c>
      <c r="S39">
        <f t="shared" si="7"/>
        <v>0.17391304347826086</v>
      </c>
      <c r="T39">
        <f t="shared" si="11"/>
        <v>2.1739130434782608E-2</v>
      </c>
      <c r="U39">
        <f t="shared" si="12"/>
        <v>0</v>
      </c>
      <c r="V39">
        <f t="shared" si="13"/>
        <v>0.53260869565217395</v>
      </c>
      <c r="W39">
        <f t="shared" si="15"/>
        <v>1.0752688172043012E-2</v>
      </c>
      <c r="X39">
        <v>13.336671237725</v>
      </c>
    </row>
    <row r="40" spans="1:24">
      <c r="A40">
        <v>2001</v>
      </c>
      <c r="B40" t="s">
        <v>461</v>
      </c>
      <c r="C40">
        <v>22</v>
      </c>
      <c r="D40">
        <v>58</v>
      </c>
      <c r="E40">
        <v>53</v>
      </c>
      <c r="F40">
        <v>0</v>
      </c>
      <c r="G40">
        <f t="shared" si="14"/>
        <v>0.52252252252252251</v>
      </c>
      <c r="H40">
        <f t="shared" si="4"/>
        <v>0.47747747747747749</v>
      </c>
      <c r="I40">
        <f t="shared" si="10"/>
        <v>0</v>
      </c>
      <c r="J40">
        <v>0</v>
      </c>
      <c r="K40">
        <v>36</v>
      </c>
      <c r="L40">
        <v>11</v>
      </c>
      <c r="M40">
        <v>2</v>
      </c>
      <c r="N40">
        <v>0</v>
      </c>
      <c r="O40">
        <v>1</v>
      </c>
      <c r="P40">
        <v>63</v>
      </c>
      <c r="Q40">
        <f t="shared" si="5"/>
        <v>0</v>
      </c>
      <c r="R40">
        <f t="shared" si="6"/>
        <v>0.31858407079646017</v>
      </c>
      <c r="S40">
        <f t="shared" si="7"/>
        <v>9.7345132743362831E-2</v>
      </c>
      <c r="T40">
        <f t="shared" si="11"/>
        <v>0</v>
      </c>
      <c r="U40">
        <f t="shared" si="12"/>
        <v>8.8495575221238937E-3</v>
      </c>
      <c r="V40">
        <f t="shared" si="13"/>
        <v>0.55752212389380529</v>
      </c>
      <c r="W40">
        <f t="shared" si="15"/>
        <v>1.8018018018018018E-2</v>
      </c>
      <c r="X40">
        <v>8.5085582156311901</v>
      </c>
    </row>
    <row r="41" spans="1:24">
      <c r="A41">
        <v>2001</v>
      </c>
      <c r="B41" t="s">
        <v>462</v>
      </c>
      <c r="C41">
        <v>24</v>
      </c>
      <c r="D41">
        <v>11</v>
      </c>
      <c r="E41">
        <v>83</v>
      </c>
      <c r="F41">
        <v>0</v>
      </c>
      <c r="G41">
        <f t="shared" si="14"/>
        <v>0.11702127659574468</v>
      </c>
      <c r="H41">
        <f t="shared" si="4"/>
        <v>0.88297872340425532</v>
      </c>
      <c r="I41">
        <f t="shared" si="10"/>
        <v>0</v>
      </c>
      <c r="J41">
        <v>0</v>
      </c>
      <c r="K41">
        <v>53</v>
      </c>
      <c r="L41">
        <v>11</v>
      </c>
      <c r="M41">
        <v>0</v>
      </c>
      <c r="N41">
        <v>1</v>
      </c>
      <c r="O41">
        <v>1</v>
      </c>
      <c r="P41">
        <v>28</v>
      </c>
      <c r="Q41">
        <f t="shared" si="5"/>
        <v>0</v>
      </c>
      <c r="R41">
        <f t="shared" si="6"/>
        <v>0.56382978723404253</v>
      </c>
      <c r="S41">
        <f t="shared" si="7"/>
        <v>0.11702127659574468</v>
      </c>
      <c r="T41">
        <f t="shared" si="11"/>
        <v>1.0638297872340425E-2</v>
      </c>
      <c r="U41">
        <f t="shared" si="12"/>
        <v>1.0638297872340425E-2</v>
      </c>
      <c r="V41">
        <f t="shared" si="13"/>
        <v>0.2978723404255319</v>
      </c>
      <c r="W41">
        <f t="shared" si="15"/>
        <v>0</v>
      </c>
      <c r="X41">
        <v>9.7419322647692006</v>
      </c>
    </row>
    <row r="42" spans="1:24">
      <c r="A42">
        <v>2001</v>
      </c>
      <c r="B42" t="s">
        <v>463</v>
      </c>
      <c r="C42">
        <v>37</v>
      </c>
      <c r="D42">
        <v>13</v>
      </c>
      <c r="E42">
        <v>153</v>
      </c>
      <c r="F42">
        <v>15</v>
      </c>
      <c r="G42">
        <f t="shared" si="14"/>
        <v>7.18232044198895E-2</v>
      </c>
      <c r="H42">
        <f t="shared" si="4"/>
        <v>0.84530386740331487</v>
      </c>
      <c r="I42">
        <f t="shared" si="10"/>
        <v>8.2872928176795577E-2</v>
      </c>
      <c r="J42">
        <v>0</v>
      </c>
      <c r="K42">
        <v>65</v>
      </c>
      <c r="L42">
        <v>17</v>
      </c>
      <c r="M42">
        <v>0</v>
      </c>
      <c r="N42">
        <v>9</v>
      </c>
      <c r="O42">
        <v>3</v>
      </c>
      <c r="P42">
        <v>88</v>
      </c>
      <c r="Q42">
        <f t="shared" si="5"/>
        <v>0</v>
      </c>
      <c r="R42">
        <f t="shared" si="6"/>
        <v>0.35714285714285715</v>
      </c>
      <c r="S42">
        <f t="shared" si="7"/>
        <v>9.3406593406593408E-2</v>
      </c>
      <c r="T42">
        <f t="shared" si="11"/>
        <v>4.9450549450549448E-2</v>
      </c>
      <c r="U42">
        <f t="shared" si="12"/>
        <v>1.6483516483516484E-2</v>
      </c>
      <c r="V42">
        <f t="shared" si="13"/>
        <v>0.48351648351648352</v>
      </c>
      <c r="W42">
        <f t="shared" si="15"/>
        <v>0</v>
      </c>
      <c r="X42">
        <v>16.6001652125438</v>
      </c>
    </row>
    <row r="43" spans="1:24">
      <c r="A43">
        <v>2001</v>
      </c>
      <c r="B43" t="s">
        <v>464</v>
      </c>
      <c r="C43">
        <v>30</v>
      </c>
      <c r="D43">
        <v>46</v>
      </c>
      <c r="E43">
        <v>95</v>
      </c>
      <c r="F43">
        <v>10</v>
      </c>
      <c r="G43">
        <f t="shared" si="14"/>
        <v>0.30463576158940397</v>
      </c>
      <c r="H43">
        <f t="shared" si="4"/>
        <v>0.62913907284768211</v>
      </c>
      <c r="I43">
        <f t="shared" si="10"/>
        <v>6.6225165562913912E-2</v>
      </c>
      <c r="J43">
        <v>0</v>
      </c>
      <c r="K43">
        <v>70</v>
      </c>
      <c r="L43">
        <v>19</v>
      </c>
      <c r="M43">
        <v>0</v>
      </c>
      <c r="N43">
        <v>4</v>
      </c>
      <c r="O43">
        <v>0</v>
      </c>
      <c r="P43">
        <v>58</v>
      </c>
      <c r="Q43">
        <f t="shared" si="5"/>
        <v>0</v>
      </c>
      <c r="R43">
        <f t="shared" si="6"/>
        <v>0.46357615894039733</v>
      </c>
      <c r="S43">
        <f t="shared" si="7"/>
        <v>0.12582781456953643</v>
      </c>
      <c r="T43">
        <f t="shared" si="11"/>
        <v>2.6490066225165563E-2</v>
      </c>
      <c r="U43">
        <f t="shared" si="12"/>
        <v>0</v>
      </c>
      <c r="V43">
        <f t="shared" si="13"/>
        <v>0.38410596026490068</v>
      </c>
      <c r="W43">
        <f t="shared" si="15"/>
        <v>0</v>
      </c>
      <c r="X43">
        <v>14.3182859097943</v>
      </c>
    </row>
    <row r="44" spans="1:24">
      <c r="A44">
        <v>2001</v>
      </c>
      <c r="B44" t="s">
        <v>465</v>
      </c>
      <c r="C44">
        <v>48</v>
      </c>
      <c r="D44">
        <v>37</v>
      </c>
      <c r="E44">
        <v>764</v>
      </c>
      <c r="F44">
        <v>45</v>
      </c>
      <c r="G44">
        <f t="shared" si="14"/>
        <v>4.3735224586288417E-2</v>
      </c>
      <c r="H44">
        <f t="shared" si="4"/>
        <v>0.90307328605200943</v>
      </c>
      <c r="I44">
        <f t="shared" si="10"/>
        <v>5.3191489361702128E-2</v>
      </c>
      <c r="J44">
        <v>0</v>
      </c>
      <c r="K44">
        <v>395</v>
      </c>
      <c r="L44">
        <v>167</v>
      </c>
      <c r="M44">
        <v>2</v>
      </c>
      <c r="N44">
        <v>2</v>
      </c>
      <c r="O44">
        <v>14</v>
      </c>
      <c r="P44">
        <v>268</v>
      </c>
      <c r="Q44">
        <f t="shared" si="5"/>
        <v>0</v>
      </c>
      <c r="R44">
        <f t="shared" si="6"/>
        <v>0.46580188679245282</v>
      </c>
      <c r="S44">
        <f t="shared" si="7"/>
        <v>0.19693396226415094</v>
      </c>
      <c r="T44">
        <f t="shared" si="11"/>
        <v>2.3584905660377358E-3</v>
      </c>
      <c r="U44">
        <f t="shared" si="12"/>
        <v>1.6509433962264151E-2</v>
      </c>
      <c r="V44">
        <f t="shared" si="13"/>
        <v>0.31603773584905659</v>
      </c>
      <c r="W44">
        <f t="shared" si="15"/>
        <v>2.3584905660377358E-3</v>
      </c>
      <c r="X44">
        <v>21.0967839956683</v>
      </c>
    </row>
    <row r="45" spans="1:24">
      <c r="A45">
        <v>2002</v>
      </c>
      <c r="B45" t="s">
        <v>466</v>
      </c>
      <c r="C45">
        <v>33</v>
      </c>
      <c r="D45">
        <v>9</v>
      </c>
      <c r="E45">
        <v>156</v>
      </c>
      <c r="F45">
        <v>2</v>
      </c>
      <c r="G45">
        <f t="shared" si="14"/>
        <v>5.3892215568862277E-2</v>
      </c>
      <c r="H45">
        <f t="shared" si="4"/>
        <v>0.93413173652694614</v>
      </c>
      <c r="I45">
        <f t="shared" si="10"/>
        <v>1.1976047904191617E-2</v>
      </c>
      <c r="J45">
        <v>2</v>
      </c>
      <c r="K45">
        <v>30</v>
      </c>
      <c r="L45">
        <v>43</v>
      </c>
      <c r="M45">
        <v>2</v>
      </c>
      <c r="N45">
        <v>3</v>
      </c>
      <c r="O45">
        <v>0</v>
      </c>
      <c r="P45">
        <v>89</v>
      </c>
      <c r="Q45">
        <f t="shared" si="5"/>
        <v>1.1834319526627219E-2</v>
      </c>
      <c r="R45">
        <f t="shared" si="6"/>
        <v>0.17751479289940827</v>
      </c>
      <c r="S45">
        <f t="shared" si="7"/>
        <v>0.25443786982248523</v>
      </c>
      <c r="T45">
        <f t="shared" si="11"/>
        <v>1.7751479289940829E-2</v>
      </c>
      <c r="U45">
        <f t="shared" si="12"/>
        <v>0</v>
      </c>
      <c r="V45">
        <f t="shared" si="13"/>
        <v>0.52662721893491127</v>
      </c>
      <c r="W45">
        <f t="shared" si="15"/>
        <v>1.1764705882352941E-2</v>
      </c>
      <c r="X45">
        <v>13.3468101352194</v>
      </c>
    </row>
    <row r="46" spans="1:24">
      <c r="A46">
        <v>2002</v>
      </c>
      <c r="B46" t="s">
        <v>467</v>
      </c>
      <c r="C46">
        <v>35</v>
      </c>
      <c r="D46">
        <v>10</v>
      </c>
      <c r="E46">
        <v>247</v>
      </c>
      <c r="F46">
        <v>0</v>
      </c>
      <c r="G46">
        <f t="shared" si="14"/>
        <v>3.8910505836575876E-2</v>
      </c>
      <c r="H46">
        <f t="shared" si="4"/>
        <v>0.96108949416342415</v>
      </c>
      <c r="I46">
        <f t="shared" si="10"/>
        <v>0</v>
      </c>
      <c r="J46">
        <v>3</v>
      </c>
      <c r="K46">
        <v>11</v>
      </c>
      <c r="L46">
        <v>86</v>
      </c>
      <c r="M46">
        <v>1</v>
      </c>
      <c r="N46">
        <v>5</v>
      </c>
      <c r="O46">
        <v>13</v>
      </c>
      <c r="P46">
        <v>139</v>
      </c>
      <c r="Q46">
        <f t="shared" si="5"/>
        <v>1.1627906976744186E-2</v>
      </c>
      <c r="R46">
        <f t="shared" si="6"/>
        <v>4.2635658914728682E-2</v>
      </c>
      <c r="S46">
        <f t="shared" si="7"/>
        <v>0.33333333333333331</v>
      </c>
      <c r="T46">
        <f t="shared" si="11"/>
        <v>1.937984496124031E-2</v>
      </c>
      <c r="U46">
        <f t="shared" si="12"/>
        <v>5.0387596899224806E-2</v>
      </c>
      <c r="V46">
        <f t="shared" si="13"/>
        <v>0.53875968992248058</v>
      </c>
      <c r="W46">
        <f t="shared" si="15"/>
        <v>3.8167938931297708E-3</v>
      </c>
      <c r="X46">
        <v>16.622412870171399</v>
      </c>
    </row>
    <row r="47" spans="1:24">
      <c r="A47">
        <v>2002</v>
      </c>
      <c r="B47" t="s">
        <v>468</v>
      </c>
      <c r="C47">
        <v>40</v>
      </c>
      <c r="D47">
        <v>7</v>
      </c>
      <c r="E47">
        <v>743</v>
      </c>
      <c r="F47">
        <v>0</v>
      </c>
      <c r="G47">
        <f t="shared" si="14"/>
        <v>9.3333333333333341E-3</v>
      </c>
      <c r="H47">
        <f t="shared" si="4"/>
        <v>0.9906666666666667</v>
      </c>
      <c r="I47">
        <f t="shared" si="10"/>
        <v>0</v>
      </c>
      <c r="J47">
        <v>6</v>
      </c>
      <c r="K47">
        <v>78</v>
      </c>
      <c r="L47">
        <v>42</v>
      </c>
      <c r="M47">
        <v>0</v>
      </c>
      <c r="N47">
        <v>5</v>
      </c>
      <c r="O47">
        <v>6</v>
      </c>
      <c r="P47">
        <v>613</v>
      </c>
      <c r="Q47">
        <f t="shared" si="5"/>
        <v>8.0000000000000002E-3</v>
      </c>
      <c r="R47">
        <f t="shared" si="6"/>
        <v>0.104</v>
      </c>
      <c r="S47">
        <f t="shared" si="7"/>
        <v>5.6000000000000001E-2</v>
      </c>
      <c r="T47">
        <f t="shared" si="11"/>
        <v>6.6666666666666671E-3</v>
      </c>
      <c r="U47">
        <f t="shared" si="12"/>
        <v>8.0000000000000002E-3</v>
      </c>
      <c r="V47">
        <f t="shared" si="13"/>
        <v>0.81733333333333336</v>
      </c>
      <c r="W47">
        <f t="shared" si="15"/>
        <v>0</v>
      </c>
      <c r="X47">
        <v>16.896601041146901</v>
      </c>
    </row>
    <row r="48" spans="1:24">
      <c r="A48">
        <v>2002</v>
      </c>
      <c r="B48" t="s">
        <v>469</v>
      </c>
      <c r="C48">
        <v>38</v>
      </c>
      <c r="D48">
        <v>10</v>
      </c>
      <c r="E48">
        <v>276</v>
      </c>
      <c r="F48">
        <v>1</v>
      </c>
      <c r="G48">
        <f t="shared" si="14"/>
        <v>3.484320557491289E-2</v>
      </c>
      <c r="H48">
        <f t="shared" si="4"/>
        <v>0.9616724738675958</v>
      </c>
      <c r="I48">
        <f t="shared" si="10"/>
        <v>3.4843205574912892E-3</v>
      </c>
      <c r="J48">
        <v>4</v>
      </c>
      <c r="K48">
        <v>183</v>
      </c>
      <c r="L48">
        <v>35</v>
      </c>
      <c r="M48">
        <v>0</v>
      </c>
      <c r="N48">
        <v>2</v>
      </c>
      <c r="O48">
        <v>1</v>
      </c>
      <c r="P48">
        <v>62</v>
      </c>
      <c r="Q48">
        <f t="shared" si="5"/>
        <v>1.3937282229965157E-2</v>
      </c>
      <c r="R48">
        <f t="shared" si="6"/>
        <v>0.6376306620209059</v>
      </c>
      <c r="S48">
        <f t="shared" si="7"/>
        <v>0.12195121951219512</v>
      </c>
      <c r="T48">
        <f t="shared" si="11"/>
        <v>6.9686411149825784E-3</v>
      </c>
      <c r="U48">
        <f t="shared" si="12"/>
        <v>3.4843205574912892E-3</v>
      </c>
      <c r="V48">
        <f t="shared" si="13"/>
        <v>0.21602787456445993</v>
      </c>
      <c r="W48">
        <f t="shared" si="15"/>
        <v>0</v>
      </c>
      <c r="X48">
        <v>18.293823988102702</v>
      </c>
    </row>
    <row r="49" spans="1:24">
      <c r="A49">
        <v>2002</v>
      </c>
      <c r="B49" t="s">
        <v>470</v>
      </c>
      <c r="C49">
        <v>32</v>
      </c>
      <c r="D49">
        <v>9</v>
      </c>
      <c r="E49">
        <v>190</v>
      </c>
      <c r="F49">
        <v>0</v>
      </c>
      <c r="G49">
        <f t="shared" si="14"/>
        <v>4.5226130653266333E-2</v>
      </c>
      <c r="H49">
        <f t="shared" si="4"/>
        <v>0.95477386934673369</v>
      </c>
      <c r="I49">
        <f t="shared" si="10"/>
        <v>0</v>
      </c>
      <c r="J49">
        <v>4</v>
      </c>
      <c r="K49">
        <v>58</v>
      </c>
      <c r="L49">
        <v>49</v>
      </c>
      <c r="M49">
        <v>0</v>
      </c>
      <c r="N49">
        <v>0</v>
      </c>
      <c r="O49">
        <v>2</v>
      </c>
      <c r="P49">
        <v>86</v>
      </c>
      <c r="Q49">
        <f t="shared" si="5"/>
        <v>2.0100502512562814E-2</v>
      </c>
      <c r="R49">
        <f t="shared" si="6"/>
        <v>0.29145728643216079</v>
      </c>
      <c r="S49">
        <f t="shared" si="7"/>
        <v>0.24623115577889448</v>
      </c>
      <c r="T49">
        <f t="shared" si="11"/>
        <v>0</v>
      </c>
      <c r="U49">
        <f t="shared" si="12"/>
        <v>1.0050251256281407E-2</v>
      </c>
      <c r="V49">
        <f t="shared" si="13"/>
        <v>0.43216080402010049</v>
      </c>
      <c r="W49">
        <f t="shared" si="15"/>
        <v>0</v>
      </c>
      <c r="X49">
        <v>15.25340159838</v>
      </c>
    </row>
    <row r="50" spans="1:24">
      <c r="A50">
        <v>2002</v>
      </c>
      <c r="B50" t="s">
        <v>471</v>
      </c>
      <c r="C50">
        <v>43</v>
      </c>
      <c r="D50">
        <v>10</v>
      </c>
      <c r="E50">
        <v>222</v>
      </c>
      <c r="F50">
        <v>0</v>
      </c>
      <c r="G50">
        <f t="shared" si="14"/>
        <v>4.3103448275862072E-2</v>
      </c>
      <c r="H50">
        <f t="shared" si="4"/>
        <v>0.9568965517241379</v>
      </c>
      <c r="I50">
        <f t="shared" si="10"/>
        <v>0</v>
      </c>
      <c r="J50">
        <v>3</v>
      </c>
      <c r="K50">
        <v>78</v>
      </c>
      <c r="L50">
        <v>56</v>
      </c>
      <c r="M50">
        <v>0</v>
      </c>
      <c r="N50">
        <v>1</v>
      </c>
      <c r="O50">
        <v>4</v>
      </c>
      <c r="P50">
        <v>90</v>
      </c>
      <c r="Q50">
        <f t="shared" si="5"/>
        <v>1.2931034482758621E-2</v>
      </c>
      <c r="R50">
        <f t="shared" si="6"/>
        <v>0.33620689655172414</v>
      </c>
      <c r="S50">
        <f t="shared" si="7"/>
        <v>0.2413793103448276</v>
      </c>
      <c r="T50">
        <f t="shared" si="11"/>
        <v>4.3103448275862068E-3</v>
      </c>
      <c r="U50">
        <f t="shared" si="12"/>
        <v>1.7241379310344827E-2</v>
      </c>
      <c r="V50">
        <f t="shared" si="13"/>
        <v>0.38793103448275862</v>
      </c>
      <c r="W50">
        <f t="shared" si="15"/>
        <v>0</v>
      </c>
      <c r="X50">
        <v>20.418319408723999</v>
      </c>
    </row>
    <row r="51" spans="1:24">
      <c r="A51">
        <v>2003</v>
      </c>
      <c r="B51" t="s">
        <v>472</v>
      </c>
      <c r="C51">
        <v>52</v>
      </c>
      <c r="D51">
        <v>38</v>
      </c>
      <c r="E51">
        <v>237</v>
      </c>
      <c r="F51">
        <v>0</v>
      </c>
      <c r="G51">
        <f t="shared" si="14"/>
        <v>0.13818181818181818</v>
      </c>
      <c r="H51">
        <f t="shared" si="4"/>
        <v>0.86181818181818182</v>
      </c>
      <c r="I51">
        <f t="shared" si="10"/>
        <v>0</v>
      </c>
      <c r="J51">
        <v>3</v>
      </c>
      <c r="K51">
        <v>45</v>
      </c>
      <c r="L51">
        <v>66</v>
      </c>
      <c r="M51">
        <v>3</v>
      </c>
      <c r="N51">
        <v>9</v>
      </c>
      <c r="O51">
        <v>22</v>
      </c>
      <c r="P51">
        <v>130</v>
      </c>
      <c r="Q51">
        <f t="shared" si="5"/>
        <v>1.0791366906474821E-2</v>
      </c>
      <c r="R51">
        <f t="shared" si="6"/>
        <v>0.16187050359712229</v>
      </c>
      <c r="S51">
        <f t="shared" si="7"/>
        <v>0.23741007194244604</v>
      </c>
      <c r="T51">
        <f t="shared" si="11"/>
        <v>3.237410071942446E-2</v>
      </c>
      <c r="U51">
        <f t="shared" si="12"/>
        <v>7.9136690647482008E-2</v>
      </c>
      <c r="V51">
        <f t="shared" si="13"/>
        <v>0.46762589928057552</v>
      </c>
      <c r="W51">
        <f t="shared" si="15"/>
        <v>1.0563380281690141E-2</v>
      </c>
      <c r="X51">
        <v>24.5747501250775</v>
      </c>
    </row>
    <row r="52" spans="1:24">
      <c r="A52">
        <v>2003</v>
      </c>
      <c r="B52" t="s">
        <v>473</v>
      </c>
      <c r="C52">
        <v>17</v>
      </c>
      <c r="D52">
        <v>0</v>
      </c>
      <c r="E52">
        <v>74</v>
      </c>
      <c r="F52">
        <v>0</v>
      </c>
      <c r="G52">
        <f t="shared" si="14"/>
        <v>0</v>
      </c>
      <c r="H52">
        <f t="shared" si="4"/>
        <v>1</v>
      </c>
      <c r="I52">
        <f t="shared" si="10"/>
        <v>0</v>
      </c>
      <c r="J52">
        <v>0</v>
      </c>
      <c r="K52">
        <v>20</v>
      </c>
      <c r="L52">
        <v>15</v>
      </c>
      <c r="M52">
        <v>1</v>
      </c>
      <c r="N52">
        <v>0</v>
      </c>
      <c r="O52">
        <v>2</v>
      </c>
      <c r="P52">
        <v>37</v>
      </c>
      <c r="Q52">
        <f t="shared" si="5"/>
        <v>0</v>
      </c>
      <c r="R52">
        <f t="shared" si="6"/>
        <v>0.26666666666666666</v>
      </c>
      <c r="S52">
        <f t="shared" si="7"/>
        <v>0.2</v>
      </c>
      <c r="T52">
        <f t="shared" si="11"/>
        <v>0</v>
      </c>
      <c r="U52">
        <f t="shared" si="12"/>
        <v>2.6666666666666668E-2</v>
      </c>
      <c r="V52">
        <f t="shared" si="13"/>
        <v>0.49333333333333335</v>
      </c>
      <c r="W52">
        <f t="shared" si="15"/>
        <v>1.3513513513513514E-2</v>
      </c>
      <c r="X52">
        <v>6.6002139209787396</v>
      </c>
    </row>
    <row r="53" spans="1:24">
      <c r="A53">
        <v>2003</v>
      </c>
      <c r="B53" t="s">
        <v>474</v>
      </c>
      <c r="C53">
        <v>46</v>
      </c>
      <c r="D53">
        <v>36</v>
      </c>
      <c r="E53">
        <v>416</v>
      </c>
      <c r="F53">
        <v>0</v>
      </c>
      <c r="G53">
        <f t="shared" si="14"/>
        <v>7.9646017699115043E-2</v>
      </c>
      <c r="H53">
        <f t="shared" si="4"/>
        <v>0.92035398230088494</v>
      </c>
      <c r="I53">
        <f t="shared" si="10"/>
        <v>0</v>
      </c>
      <c r="J53">
        <v>2</v>
      </c>
      <c r="K53">
        <v>307</v>
      </c>
      <c r="L53">
        <v>14</v>
      </c>
      <c r="M53">
        <v>1</v>
      </c>
      <c r="N53">
        <v>6</v>
      </c>
      <c r="O53">
        <v>46</v>
      </c>
      <c r="P53">
        <v>77</v>
      </c>
      <c r="Q53">
        <f t="shared" si="5"/>
        <v>4.4150110375275938E-3</v>
      </c>
      <c r="R53">
        <f t="shared" si="6"/>
        <v>0.67770419426048567</v>
      </c>
      <c r="S53">
        <f t="shared" si="7"/>
        <v>3.0905077262693158E-2</v>
      </c>
      <c r="T53">
        <f t="shared" si="11"/>
        <v>1.3245033112582781E-2</v>
      </c>
      <c r="U53">
        <f t="shared" si="12"/>
        <v>0.10154525386313466</v>
      </c>
      <c r="V53">
        <f t="shared" si="13"/>
        <v>0.16997792494481237</v>
      </c>
      <c r="W53">
        <f t="shared" si="15"/>
        <v>2.1834061135371178E-3</v>
      </c>
      <c r="X53">
        <v>21.714405707514199</v>
      </c>
    </row>
    <row r="54" spans="1:24">
      <c r="A54">
        <v>2003</v>
      </c>
      <c r="B54" t="s">
        <v>475</v>
      </c>
      <c r="C54">
        <v>33</v>
      </c>
      <c r="D54">
        <v>2</v>
      </c>
      <c r="E54">
        <v>91</v>
      </c>
      <c r="F54">
        <v>0</v>
      </c>
      <c r="G54">
        <f t="shared" si="14"/>
        <v>2.1505376344086023E-2</v>
      </c>
      <c r="H54">
        <f t="shared" si="4"/>
        <v>0.978494623655914</v>
      </c>
      <c r="I54">
        <f t="shared" si="10"/>
        <v>0</v>
      </c>
      <c r="J54">
        <v>3</v>
      </c>
      <c r="K54">
        <v>35</v>
      </c>
      <c r="L54">
        <v>3</v>
      </c>
      <c r="M54">
        <v>1</v>
      </c>
      <c r="N54">
        <v>0</v>
      </c>
      <c r="O54">
        <v>5</v>
      </c>
      <c r="P54">
        <v>47</v>
      </c>
      <c r="Q54">
        <f t="shared" si="5"/>
        <v>3.1914893617021274E-2</v>
      </c>
      <c r="R54">
        <f t="shared" si="6"/>
        <v>0.37234042553191488</v>
      </c>
      <c r="S54">
        <f t="shared" si="7"/>
        <v>3.1914893617021274E-2</v>
      </c>
      <c r="T54">
        <f t="shared" si="11"/>
        <v>0</v>
      </c>
      <c r="U54">
        <f t="shared" si="12"/>
        <v>5.3191489361702128E-2</v>
      </c>
      <c r="V54">
        <f t="shared" si="13"/>
        <v>0.5</v>
      </c>
      <c r="W54">
        <f t="shared" si="15"/>
        <v>1.0752688172043012E-2</v>
      </c>
      <c r="X54">
        <v>4.1959306986308302</v>
      </c>
    </row>
    <row r="55" spans="1:24">
      <c r="A55">
        <v>2003</v>
      </c>
      <c r="B55" t="s">
        <v>476</v>
      </c>
      <c r="C55">
        <v>28</v>
      </c>
      <c r="D55">
        <v>14</v>
      </c>
      <c r="E55">
        <v>120</v>
      </c>
      <c r="F55">
        <v>0</v>
      </c>
      <c r="G55">
        <f t="shared" si="14"/>
        <v>0.1044776119402985</v>
      </c>
      <c r="H55">
        <f t="shared" si="4"/>
        <v>0.89552238805970152</v>
      </c>
      <c r="I55">
        <f t="shared" si="10"/>
        <v>0</v>
      </c>
      <c r="J55">
        <v>2</v>
      </c>
      <c r="K55">
        <v>44</v>
      </c>
      <c r="L55">
        <v>33</v>
      </c>
      <c r="M55">
        <v>1</v>
      </c>
      <c r="N55">
        <v>0</v>
      </c>
      <c r="O55">
        <v>0</v>
      </c>
      <c r="P55">
        <v>55</v>
      </c>
      <c r="Q55">
        <f t="shared" si="5"/>
        <v>1.4814814814814815E-2</v>
      </c>
      <c r="R55">
        <f t="shared" si="6"/>
        <v>0.32592592592592595</v>
      </c>
      <c r="S55">
        <f t="shared" si="7"/>
        <v>0.24444444444444444</v>
      </c>
      <c r="T55">
        <f t="shared" si="11"/>
        <v>0</v>
      </c>
      <c r="U55">
        <f t="shared" si="12"/>
        <v>0</v>
      </c>
      <c r="V55">
        <f t="shared" si="13"/>
        <v>0.40740740740740738</v>
      </c>
      <c r="W55">
        <f t="shared" si="15"/>
        <v>7.462686567164179E-3</v>
      </c>
      <c r="X55">
        <v>11.7596332858314</v>
      </c>
    </row>
    <row r="56" spans="1:24">
      <c r="A56">
        <v>2003</v>
      </c>
      <c r="B56" t="s">
        <v>477</v>
      </c>
      <c r="C56">
        <v>44</v>
      </c>
      <c r="D56">
        <v>25</v>
      </c>
      <c r="E56">
        <v>293</v>
      </c>
      <c r="F56">
        <v>1</v>
      </c>
      <c r="G56">
        <f t="shared" si="14"/>
        <v>7.8369905956112859E-2</v>
      </c>
      <c r="H56">
        <f t="shared" si="4"/>
        <v>0.91849529780564265</v>
      </c>
      <c r="I56">
        <f t="shared" si="10"/>
        <v>3.134796238244514E-3</v>
      </c>
      <c r="J56">
        <v>0</v>
      </c>
      <c r="K56">
        <v>189</v>
      </c>
      <c r="L56">
        <v>46</v>
      </c>
      <c r="M56">
        <v>1</v>
      </c>
      <c r="N56">
        <v>5</v>
      </c>
      <c r="O56">
        <v>6</v>
      </c>
      <c r="P56">
        <v>73</v>
      </c>
      <c r="Q56">
        <f t="shared" si="5"/>
        <v>0</v>
      </c>
      <c r="R56">
        <f t="shared" si="6"/>
        <v>0.59062499999999996</v>
      </c>
      <c r="S56">
        <f t="shared" si="7"/>
        <v>0.14374999999999999</v>
      </c>
      <c r="T56">
        <f t="shared" si="11"/>
        <v>1.5625E-2</v>
      </c>
      <c r="U56">
        <f t="shared" si="12"/>
        <v>1.8749999999999999E-2</v>
      </c>
      <c r="V56">
        <f t="shared" si="13"/>
        <v>0.22812499999999999</v>
      </c>
      <c r="W56">
        <f t="shared" si="15"/>
        <v>3.0864197530864196E-3</v>
      </c>
      <c r="X56">
        <v>20.276354254030402</v>
      </c>
    </row>
    <row r="57" spans="1:24">
      <c r="A57">
        <v>2004</v>
      </c>
      <c r="B57" t="s">
        <v>478</v>
      </c>
      <c r="C57">
        <v>26</v>
      </c>
      <c r="D57">
        <v>2</v>
      </c>
      <c r="E57">
        <v>44</v>
      </c>
      <c r="F57">
        <v>1</v>
      </c>
      <c r="G57">
        <f t="shared" si="14"/>
        <v>4.2553191489361701E-2</v>
      </c>
      <c r="H57">
        <f t="shared" si="4"/>
        <v>0.93617021276595747</v>
      </c>
      <c r="I57">
        <f t="shared" si="10"/>
        <v>2.1276595744680851E-2</v>
      </c>
      <c r="J57">
        <v>2</v>
      </c>
      <c r="K57">
        <v>3</v>
      </c>
      <c r="L57">
        <v>2</v>
      </c>
      <c r="M57">
        <v>1</v>
      </c>
      <c r="N57">
        <v>1</v>
      </c>
      <c r="O57">
        <v>3</v>
      </c>
      <c r="P57">
        <v>36</v>
      </c>
      <c r="Q57">
        <f t="shared" si="5"/>
        <v>4.1666666666666664E-2</v>
      </c>
      <c r="R57">
        <f t="shared" si="6"/>
        <v>6.25E-2</v>
      </c>
      <c r="S57">
        <f t="shared" si="7"/>
        <v>4.1666666666666664E-2</v>
      </c>
      <c r="T57">
        <f t="shared" si="11"/>
        <v>2.0833333333333332E-2</v>
      </c>
      <c r="U57">
        <f t="shared" si="12"/>
        <v>6.25E-2</v>
      </c>
      <c r="V57">
        <f t="shared" si="13"/>
        <v>0.75</v>
      </c>
      <c r="W57">
        <f t="shared" si="15"/>
        <v>2.0833333333333332E-2</v>
      </c>
      <c r="X57">
        <v>10.610789361302199</v>
      </c>
    </row>
    <row r="58" spans="1:24">
      <c r="A58">
        <v>2004</v>
      </c>
      <c r="B58" t="s">
        <v>479</v>
      </c>
      <c r="C58">
        <v>13</v>
      </c>
      <c r="D58">
        <v>2</v>
      </c>
      <c r="E58">
        <v>22</v>
      </c>
      <c r="F58">
        <v>0</v>
      </c>
      <c r="G58">
        <f t="shared" si="14"/>
        <v>8.3333333333333329E-2</v>
      </c>
      <c r="H58">
        <f t="shared" si="4"/>
        <v>0.91666666666666663</v>
      </c>
      <c r="I58">
        <f t="shared" si="10"/>
        <v>0</v>
      </c>
      <c r="J58">
        <v>1</v>
      </c>
      <c r="K58">
        <v>8</v>
      </c>
      <c r="L58">
        <v>5</v>
      </c>
      <c r="M58">
        <v>0</v>
      </c>
      <c r="N58">
        <v>0</v>
      </c>
      <c r="O58">
        <v>0</v>
      </c>
      <c r="P58">
        <v>10</v>
      </c>
      <c r="Q58">
        <f t="shared" si="5"/>
        <v>4.1666666666666664E-2</v>
      </c>
      <c r="R58">
        <f t="shared" si="6"/>
        <v>0.33333333333333331</v>
      </c>
      <c r="S58">
        <f t="shared" si="7"/>
        <v>0.20833333333333334</v>
      </c>
      <c r="T58">
        <f t="shared" si="11"/>
        <v>0</v>
      </c>
      <c r="U58">
        <f t="shared" si="12"/>
        <v>0</v>
      </c>
      <c r="V58">
        <f t="shared" si="13"/>
        <v>0.41666666666666669</v>
      </c>
      <c r="W58">
        <f t="shared" si="15"/>
        <v>0</v>
      </c>
      <c r="X58">
        <v>6.3290807346914004</v>
      </c>
    </row>
    <row r="59" spans="1:24">
      <c r="A59">
        <v>2004</v>
      </c>
      <c r="B59" t="s">
        <v>480</v>
      </c>
      <c r="C59">
        <v>23</v>
      </c>
      <c r="D59">
        <v>2</v>
      </c>
      <c r="E59">
        <v>123</v>
      </c>
      <c r="F59">
        <v>0</v>
      </c>
      <c r="G59">
        <f t="shared" si="14"/>
        <v>1.6E-2</v>
      </c>
      <c r="H59">
        <f t="shared" si="4"/>
        <v>0.98399999999999999</v>
      </c>
      <c r="I59">
        <f t="shared" si="10"/>
        <v>0</v>
      </c>
      <c r="J59">
        <v>0</v>
      </c>
      <c r="K59">
        <v>98</v>
      </c>
      <c r="L59">
        <v>6</v>
      </c>
      <c r="M59">
        <v>1</v>
      </c>
      <c r="N59">
        <v>2</v>
      </c>
      <c r="O59">
        <v>3</v>
      </c>
      <c r="P59">
        <v>16</v>
      </c>
      <c r="Q59">
        <f t="shared" si="5"/>
        <v>0</v>
      </c>
      <c r="R59">
        <f t="shared" si="6"/>
        <v>0.77777777777777779</v>
      </c>
      <c r="S59">
        <f t="shared" si="7"/>
        <v>4.7619047619047616E-2</v>
      </c>
      <c r="T59">
        <f t="shared" si="11"/>
        <v>1.5873015873015872E-2</v>
      </c>
      <c r="U59">
        <f t="shared" si="12"/>
        <v>2.3809523809523808E-2</v>
      </c>
      <c r="V59">
        <f t="shared" si="13"/>
        <v>0.12698412698412698</v>
      </c>
      <c r="W59">
        <f t="shared" si="15"/>
        <v>7.874015748031496E-3</v>
      </c>
      <c r="X59">
        <v>10.171028080393301</v>
      </c>
    </row>
    <row r="60" spans="1:24">
      <c r="A60">
        <v>2004</v>
      </c>
      <c r="B60" t="s">
        <v>481</v>
      </c>
      <c r="C60">
        <v>27</v>
      </c>
      <c r="D60">
        <v>13</v>
      </c>
      <c r="E60">
        <v>115</v>
      </c>
      <c r="F60">
        <v>0</v>
      </c>
      <c r="G60">
        <f t="shared" si="14"/>
        <v>0.1015625</v>
      </c>
      <c r="H60">
        <f t="shared" si="4"/>
        <v>0.8984375</v>
      </c>
      <c r="I60">
        <f t="shared" si="10"/>
        <v>0</v>
      </c>
      <c r="J60">
        <v>0</v>
      </c>
      <c r="K60">
        <v>82</v>
      </c>
      <c r="L60">
        <v>5</v>
      </c>
      <c r="M60">
        <v>1</v>
      </c>
      <c r="N60">
        <v>4</v>
      </c>
      <c r="O60">
        <v>1</v>
      </c>
      <c r="P60">
        <v>36</v>
      </c>
      <c r="Q60">
        <f t="shared" si="5"/>
        <v>0</v>
      </c>
      <c r="R60">
        <f t="shared" si="6"/>
        <v>0.63565891472868219</v>
      </c>
      <c r="S60">
        <f t="shared" si="7"/>
        <v>3.875968992248062E-2</v>
      </c>
      <c r="T60">
        <f t="shared" si="11"/>
        <v>3.1007751937984496E-2</v>
      </c>
      <c r="U60">
        <f t="shared" si="12"/>
        <v>7.7519379844961239E-3</v>
      </c>
      <c r="V60">
        <f t="shared" si="13"/>
        <v>0.27906976744186046</v>
      </c>
      <c r="W60">
        <f t="shared" si="15"/>
        <v>7.575757575757576E-3</v>
      </c>
      <c r="X60">
        <v>10.7655737827273</v>
      </c>
    </row>
    <row r="61" spans="1:24">
      <c r="A61">
        <v>2004</v>
      </c>
      <c r="B61" t="s">
        <v>482</v>
      </c>
      <c r="C61">
        <v>42</v>
      </c>
      <c r="D61">
        <v>56</v>
      </c>
      <c r="E61">
        <v>141</v>
      </c>
      <c r="F61">
        <v>0</v>
      </c>
      <c r="G61">
        <f t="shared" si="14"/>
        <v>0.28426395939086296</v>
      </c>
      <c r="H61">
        <f t="shared" si="4"/>
        <v>0.71573604060913709</v>
      </c>
      <c r="I61">
        <f t="shared" si="10"/>
        <v>0</v>
      </c>
      <c r="J61">
        <v>0</v>
      </c>
      <c r="K61">
        <v>61</v>
      </c>
      <c r="L61">
        <v>53</v>
      </c>
      <c r="M61">
        <v>1</v>
      </c>
      <c r="N61">
        <v>4</v>
      </c>
      <c r="O61">
        <v>1</v>
      </c>
      <c r="P61">
        <v>78</v>
      </c>
      <c r="Q61">
        <f t="shared" si="5"/>
        <v>0</v>
      </c>
      <c r="R61">
        <f t="shared" si="6"/>
        <v>0.30808080808080807</v>
      </c>
      <c r="S61">
        <f t="shared" si="7"/>
        <v>0.26767676767676768</v>
      </c>
      <c r="T61">
        <f t="shared" si="11"/>
        <v>2.0202020202020204E-2</v>
      </c>
      <c r="U61">
        <f t="shared" si="12"/>
        <v>5.0505050505050509E-3</v>
      </c>
      <c r="V61">
        <f t="shared" si="13"/>
        <v>0.39393939393939392</v>
      </c>
      <c r="W61">
        <f t="shared" si="15"/>
        <v>4.9751243781094526E-3</v>
      </c>
      <c r="X61">
        <v>19.7152782064673</v>
      </c>
    </row>
    <row r="62" spans="1:24">
      <c r="A62">
        <v>2004</v>
      </c>
      <c r="B62" t="s">
        <v>483</v>
      </c>
      <c r="C62">
        <v>51</v>
      </c>
      <c r="D62">
        <v>58</v>
      </c>
      <c r="E62">
        <v>64</v>
      </c>
      <c r="F62">
        <v>3</v>
      </c>
      <c r="G62">
        <f t="shared" si="14"/>
        <v>0.46400000000000002</v>
      </c>
      <c r="H62">
        <f t="shared" si="4"/>
        <v>0.51200000000000001</v>
      </c>
      <c r="I62">
        <f t="shared" si="10"/>
        <v>2.4E-2</v>
      </c>
      <c r="J62">
        <v>0</v>
      </c>
      <c r="K62">
        <v>21</v>
      </c>
      <c r="L62">
        <v>50</v>
      </c>
      <c r="M62">
        <v>3</v>
      </c>
      <c r="N62">
        <v>12</v>
      </c>
      <c r="O62">
        <v>6</v>
      </c>
      <c r="P62">
        <v>36</v>
      </c>
      <c r="Q62">
        <f t="shared" si="5"/>
        <v>0</v>
      </c>
      <c r="R62">
        <f t="shared" si="6"/>
        <v>0.1640625</v>
      </c>
      <c r="S62">
        <f t="shared" si="7"/>
        <v>0.390625</v>
      </c>
      <c r="T62">
        <f t="shared" si="11"/>
        <v>9.375E-2</v>
      </c>
      <c r="U62">
        <f t="shared" si="12"/>
        <v>4.6875E-2</v>
      </c>
      <c r="V62">
        <f t="shared" si="13"/>
        <v>0.28125</v>
      </c>
      <c r="W62">
        <f t="shared" si="15"/>
        <v>2.1897810218978103E-2</v>
      </c>
      <c r="X62">
        <v>21.540576394080801</v>
      </c>
    </row>
    <row r="63" spans="1:24">
      <c r="A63">
        <v>2005</v>
      </c>
      <c r="B63" t="s">
        <v>484</v>
      </c>
      <c r="C63">
        <v>22</v>
      </c>
      <c r="D63">
        <v>5</v>
      </c>
      <c r="E63">
        <v>58</v>
      </c>
      <c r="F63">
        <v>2</v>
      </c>
      <c r="G63">
        <f t="shared" si="14"/>
        <v>7.6923076923076927E-2</v>
      </c>
      <c r="H63">
        <f t="shared" si="4"/>
        <v>0.89230769230769236</v>
      </c>
      <c r="I63">
        <f t="shared" si="10"/>
        <v>3.0769230769230771E-2</v>
      </c>
      <c r="J63">
        <v>0</v>
      </c>
      <c r="K63">
        <v>46</v>
      </c>
      <c r="L63">
        <v>9</v>
      </c>
      <c r="M63">
        <v>1</v>
      </c>
      <c r="N63">
        <v>1</v>
      </c>
      <c r="O63">
        <v>0</v>
      </c>
      <c r="P63">
        <v>9</v>
      </c>
      <c r="Q63">
        <f t="shared" si="5"/>
        <v>0</v>
      </c>
      <c r="R63">
        <f t="shared" si="6"/>
        <v>0.69696969696969702</v>
      </c>
      <c r="S63">
        <f t="shared" si="7"/>
        <v>0.13636363636363635</v>
      </c>
      <c r="T63">
        <f t="shared" si="11"/>
        <v>1.5151515151515152E-2</v>
      </c>
      <c r="U63">
        <f t="shared" si="12"/>
        <v>0</v>
      </c>
      <c r="V63">
        <f t="shared" si="13"/>
        <v>0.13636363636363635</v>
      </c>
      <c r="W63">
        <f t="shared" si="15"/>
        <v>1.5151515151515152E-2</v>
      </c>
      <c r="X63">
        <v>9.4479064175094205</v>
      </c>
    </row>
    <row r="64" spans="1:24">
      <c r="A64">
        <v>2005</v>
      </c>
      <c r="B64" t="s">
        <v>485</v>
      </c>
      <c r="C64">
        <v>24</v>
      </c>
      <c r="D64">
        <v>18</v>
      </c>
      <c r="E64">
        <v>130</v>
      </c>
      <c r="F64">
        <v>2</v>
      </c>
      <c r="G64">
        <f t="shared" si="14"/>
        <v>0.12</v>
      </c>
      <c r="H64">
        <f t="shared" si="4"/>
        <v>0.8666666666666667</v>
      </c>
      <c r="I64">
        <f t="shared" si="10"/>
        <v>1.3333333333333334E-2</v>
      </c>
      <c r="J64">
        <v>0</v>
      </c>
      <c r="K64">
        <v>115</v>
      </c>
      <c r="L64">
        <v>6</v>
      </c>
      <c r="M64">
        <v>0</v>
      </c>
      <c r="N64">
        <v>1</v>
      </c>
      <c r="O64">
        <v>3</v>
      </c>
      <c r="P64">
        <v>25</v>
      </c>
      <c r="Q64">
        <f t="shared" si="5"/>
        <v>0</v>
      </c>
      <c r="R64">
        <f t="shared" si="6"/>
        <v>0.76666666666666672</v>
      </c>
      <c r="S64">
        <f t="shared" si="7"/>
        <v>0.04</v>
      </c>
      <c r="T64">
        <f t="shared" si="11"/>
        <v>6.6666666666666671E-3</v>
      </c>
      <c r="U64">
        <f t="shared" si="12"/>
        <v>0.02</v>
      </c>
      <c r="V64">
        <f t="shared" si="13"/>
        <v>0.16666666666666666</v>
      </c>
      <c r="W64">
        <f t="shared" si="15"/>
        <v>0</v>
      </c>
      <c r="X64">
        <v>11.3659845705502</v>
      </c>
    </row>
    <row r="65" spans="1:24">
      <c r="A65">
        <v>2005</v>
      </c>
      <c r="B65" t="s">
        <v>486</v>
      </c>
      <c r="C65">
        <v>30</v>
      </c>
      <c r="D65">
        <v>19</v>
      </c>
      <c r="E65">
        <v>169</v>
      </c>
      <c r="F65">
        <v>0</v>
      </c>
      <c r="G65">
        <f t="shared" si="14"/>
        <v>0.10106382978723404</v>
      </c>
      <c r="H65">
        <f t="shared" si="4"/>
        <v>0.89893617021276595</v>
      </c>
      <c r="I65">
        <f t="shared" si="10"/>
        <v>0</v>
      </c>
      <c r="J65">
        <v>1</v>
      </c>
      <c r="K65">
        <v>39</v>
      </c>
      <c r="L65">
        <v>81</v>
      </c>
      <c r="M65">
        <v>0</v>
      </c>
      <c r="N65">
        <v>2</v>
      </c>
      <c r="O65">
        <v>3</v>
      </c>
      <c r="P65">
        <v>62</v>
      </c>
      <c r="Q65">
        <f t="shared" si="5"/>
        <v>5.3191489361702126E-3</v>
      </c>
      <c r="R65">
        <f t="shared" si="6"/>
        <v>0.20744680851063829</v>
      </c>
      <c r="S65">
        <f t="shared" si="7"/>
        <v>0.43085106382978722</v>
      </c>
      <c r="T65">
        <f t="shared" si="11"/>
        <v>1.0638297872340425E-2</v>
      </c>
      <c r="U65">
        <f t="shared" si="12"/>
        <v>1.5957446808510637E-2</v>
      </c>
      <c r="V65">
        <f t="shared" si="13"/>
        <v>0.32978723404255317</v>
      </c>
      <c r="W65">
        <f t="shared" si="15"/>
        <v>0</v>
      </c>
      <c r="X65">
        <v>13.5397070764435</v>
      </c>
    </row>
    <row r="66" spans="1:24">
      <c r="A66">
        <v>2005</v>
      </c>
      <c r="B66" t="s">
        <v>487</v>
      </c>
      <c r="C66">
        <v>27</v>
      </c>
      <c r="D66">
        <v>5</v>
      </c>
      <c r="E66">
        <v>226</v>
      </c>
      <c r="F66">
        <v>2</v>
      </c>
      <c r="G66">
        <f t="shared" si="14"/>
        <v>2.1459227467811159E-2</v>
      </c>
      <c r="H66">
        <f t="shared" si="4"/>
        <v>0.96995708154506433</v>
      </c>
      <c r="I66">
        <f t="shared" ref="I66:I67" si="16">F66/(D66+E66+F66)</f>
        <v>8.5836909871244635E-3</v>
      </c>
      <c r="J66">
        <v>0</v>
      </c>
      <c r="K66">
        <v>151</v>
      </c>
      <c r="L66">
        <v>49</v>
      </c>
      <c r="M66">
        <v>1</v>
      </c>
      <c r="N66">
        <v>0</v>
      </c>
      <c r="O66">
        <v>1</v>
      </c>
      <c r="P66">
        <v>32</v>
      </c>
      <c r="Q66">
        <f t="shared" si="5"/>
        <v>0</v>
      </c>
      <c r="R66">
        <f t="shared" si="6"/>
        <v>0.64529914529914534</v>
      </c>
      <c r="S66">
        <f t="shared" si="7"/>
        <v>0.20940170940170941</v>
      </c>
      <c r="T66">
        <f t="shared" ref="T66:T67" si="17">N66/(K66+L66+M66+N66+O66+P66+J66)</f>
        <v>0</v>
      </c>
      <c r="U66">
        <f t="shared" ref="U66:U67" si="18">O66/(K66+L66+M66+N66+O66+P66+J66)</f>
        <v>4.2735042735042739E-3</v>
      </c>
      <c r="V66">
        <f t="shared" ref="V66:V67" si="19">P66/(K66+L66+M66+N66+O66+P66+J66)</f>
        <v>0.13675213675213677</v>
      </c>
      <c r="W66">
        <f t="shared" si="15"/>
        <v>4.2918454935622317E-3</v>
      </c>
      <c r="X66">
        <v>13.0451309727297</v>
      </c>
    </row>
    <row r="67" spans="1:24">
      <c r="A67">
        <v>2005</v>
      </c>
      <c r="B67" t="s">
        <v>488</v>
      </c>
      <c r="C67">
        <v>48</v>
      </c>
      <c r="D67">
        <v>8</v>
      </c>
      <c r="E67">
        <v>382</v>
      </c>
      <c r="F67">
        <v>0</v>
      </c>
      <c r="G67">
        <f t="shared" ref="G67" si="20">D67/(D67+E67+F67)</f>
        <v>2.0512820512820513E-2</v>
      </c>
      <c r="H67">
        <f t="shared" ref="H67" si="21">E67/(D67+E67+F67)</f>
        <v>0.97948717948717945</v>
      </c>
      <c r="I67">
        <f t="shared" si="16"/>
        <v>0</v>
      </c>
      <c r="J67">
        <v>4</v>
      </c>
      <c r="K67">
        <v>270</v>
      </c>
      <c r="L67">
        <v>40</v>
      </c>
      <c r="M67">
        <v>0</v>
      </c>
      <c r="N67">
        <v>3</v>
      </c>
      <c r="O67">
        <v>16</v>
      </c>
      <c r="P67">
        <v>63</v>
      </c>
      <c r="Q67">
        <f t="shared" ref="Q67" si="22">J67/(K67+L67+M67+N67+O67+P67+J67)</f>
        <v>1.0101010101010102E-2</v>
      </c>
      <c r="R67">
        <f t="shared" ref="R67" si="23">K67/(K67+L67+M67+N67+O67+P67+J67)</f>
        <v>0.68181818181818177</v>
      </c>
      <c r="S67">
        <f t="shared" ref="S67" si="24">L67/(K67+L67+M67+N67+O67+P67+J67)</f>
        <v>0.10101010101010101</v>
      </c>
      <c r="T67">
        <f t="shared" si="17"/>
        <v>7.575757575757576E-3</v>
      </c>
      <c r="U67">
        <f t="shared" si="18"/>
        <v>4.0404040404040407E-2</v>
      </c>
      <c r="V67">
        <f t="shared" si="19"/>
        <v>0.15909090909090909</v>
      </c>
      <c r="W67">
        <f t="shared" ref="W67" si="25">M67/(K67+L67+N67+N67+O67+P67+J67)</f>
        <v>0</v>
      </c>
      <c r="X67">
        <v>22.1482153696772</v>
      </c>
    </row>
    <row r="68" spans="1:24">
      <c r="A68">
        <v>2007</v>
      </c>
      <c r="B68" t="s">
        <v>490</v>
      </c>
      <c r="C68">
        <v>23</v>
      </c>
      <c r="D68">
        <v>0</v>
      </c>
      <c r="E68">
        <v>24</v>
      </c>
      <c r="F68">
        <v>0</v>
      </c>
      <c r="G68">
        <f t="shared" ref="G68:G97" si="26">D68/(D68+E68+F68)</f>
        <v>0</v>
      </c>
      <c r="H68">
        <f t="shared" ref="H68:H99" si="27">E68/(D68+E68+F68)</f>
        <v>1</v>
      </c>
      <c r="I68">
        <f t="shared" ref="I68:I96" si="28">F68/(D68+E68+F68)</f>
        <v>0</v>
      </c>
      <c r="J68">
        <v>6</v>
      </c>
      <c r="K68">
        <v>6</v>
      </c>
      <c r="L68">
        <v>1</v>
      </c>
      <c r="M68">
        <v>1</v>
      </c>
      <c r="N68">
        <v>0</v>
      </c>
      <c r="O68">
        <v>3</v>
      </c>
      <c r="P68">
        <v>8</v>
      </c>
      <c r="Q68">
        <f t="shared" ref="Q68:Q99" si="29">J68/(K68+L68+M68+N68+O68+P68+J68)</f>
        <v>0.24</v>
      </c>
      <c r="R68">
        <f t="shared" ref="R68:R99" si="30">K68/(K68+L68+M68+N68+O68+P68+J68)</f>
        <v>0.24</v>
      </c>
      <c r="S68">
        <f t="shared" ref="S68:S99" si="31">L68/(K68+L68+M68+N68+O68+P68+J68)</f>
        <v>0.04</v>
      </c>
      <c r="T68">
        <f t="shared" ref="T68:T96" si="32">N68/(K68+L68+M68+N68+O68+P68+J68)</f>
        <v>0</v>
      </c>
      <c r="U68">
        <f t="shared" ref="U68:U96" si="33">O68/(K68+L68+M68+N68+O68+P68+J68)</f>
        <v>0.12</v>
      </c>
      <c r="V68">
        <f t="shared" ref="V68:V96" si="34">P68/(K68+L68+M68+N68+O68+P68+J68)</f>
        <v>0.32</v>
      </c>
      <c r="W68">
        <f t="shared" ref="W68:W97" si="35">M68/(K68+L68+N68+N68+O68+P68+J68)</f>
        <v>4.1666666666666664E-2</v>
      </c>
      <c r="X68">
        <v>11.8660877398408</v>
      </c>
    </row>
    <row r="69" spans="1:24">
      <c r="A69">
        <v>2007</v>
      </c>
      <c r="B69" t="s">
        <v>491</v>
      </c>
      <c r="C69">
        <v>9</v>
      </c>
      <c r="D69">
        <v>0</v>
      </c>
      <c r="E69">
        <v>89</v>
      </c>
      <c r="F69">
        <v>0</v>
      </c>
      <c r="G69">
        <f t="shared" si="26"/>
        <v>0</v>
      </c>
      <c r="H69">
        <f t="shared" si="27"/>
        <v>1</v>
      </c>
      <c r="I69">
        <f t="shared" si="28"/>
        <v>0</v>
      </c>
      <c r="J69">
        <v>0</v>
      </c>
      <c r="K69">
        <v>73</v>
      </c>
      <c r="L69">
        <v>12</v>
      </c>
      <c r="M69">
        <v>0</v>
      </c>
      <c r="N69">
        <v>0</v>
      </c>
      <c r="O69">
        <v>0</v>
      </c>
      <c r="P69">
        <v>4</v>
      </c>
      <c r="Q69">
        <f t="shared" si="29"/>
        <v>0</v>
      </c>
      <c r="R69">
        <f t="shared" si="30"/>
        <v>0.8202247191011236</v>
      </c>
      <c r="S69">
        <f t="shared" si="31"/>
        <v>0.1348314606741573</v>
      </c>
      <c r="T69">
        <f t="shared" si="32"/>
        <v>0</v>
      </c>
      <c r="U69">
        <f t="shared" si="33"/>
        <v>0</v>
      </c>
      <c r="V69">
        <f t="shared" si="34"/>
        <v>4.49438202247191E-2</v>
      </c>
      <c r="W69">
        <f t="shared" si="35"/>
        <v>0</v>
      </c>
      <c r="X69">
        <v>2.08906491522204</v>
      </c>
    </row>
    <row r="70" spans="1:24">
      <c r="A70">
        <v>2007</v>
      </c>
      <c r="B70" t="s">
        <v>492</v>
      </c>
      <c r="C70">
        <v>32</v>
      </c>
      <c r="D70">
        <v>2</v>
      </c>
      <c r="E70">
        <v>293</v>
      </c>
      <c r="F70">
        <v>0</v>
      </c>
      <c r="G70">
        <f t="shared" si="26"/>
        <v>6.7796610169491523E-3</v>
      </c>
      <c r="H70">
        <f t="shared" si="27"/>
        <v>0.99322033898305084</v>
      </c>
      <c r="I70">
        <f t="shared" si="28"/>
        <v>0</v>
      </c>
      <c r="J70">
        <v>4</v>
      </c>
      <c r="K70">
        <v>239</v>
      </c>
      <c r="L70">
        <v>17</v>
      </c>
      <c r="M70">
        <v>3</v>
      </c>
      <c r="N70">
        <v>5</v>
      </c>
      <c r="O70">
        <v>3</v>
      </c>
      <c r="P70">
        <v>27</v>
      </c>
      <c r="Q70">
        <f t="shared" si="29"/>
        <v>1.3422818791946308E-2</v>
      </c>
      <c r="R70">
        <f t="shared" si="30"/>
        <v>0.80201342281879195</v>
      </c>
      <c r="S70">
        <f t="shared" si="31"/>
        <v>5.7046979865771813E-2</v>
      </c>
      <c r="T70">
        <f t="shared" si="32"/>
        <v>1.6778523489932886E-2</v>
      </c>
      <c r="U70">
        <f t="shared" si="33"/>
        <v>1.0067114093959731E-2</v>
      </c>
      <c r="V70">
        <f t="shared" si="34"/>
        <v>9.0604026845637578E-2</v>
      </c>
      <c r="W70">
        <f t="shared" si="35"/>
        <v>0.01</v>
      </c>
      <c r="X70">
        <v>14.842159419096699</v>
      </c>
    </row>
    <row r="71" spans="1:24">
      <c r="A71">
        <v>2007</v>
      </c>
      <c r="B71" t="s">
        <v>493</v>
      </c>
      <c r="C71">
        <v>24</v>
      </c>
      <c r="D71">
        <v>1</v>
      </c>
      <c r="E71">
        <v>61</v>
      </c>
      <c r="F71">
        <v>1</v>
      </c>
      <c r="G71">
        <f t="shared" si="26"/>
        <v>1.5873015873015872E-2</v>
      </c>
      <c r="H71">
        <f t="shared" si="27"/>
        <v>0.96825396825396826</v>
      </c>
      <c r="I71">
        <f t="shared" si="28"/>
        <v>1.5873015873015872E-2</v>
      </c>
      <c r="J71">
        <v>4</v>
      </c>
      <c r="K71">
        <v>7</v>
      </c>
      <c r="L71">
        <v>8</v>
      </c>
      <c r="M71">
        <v>1</v>
      </c>
      <c r="N71">
        <v>3</v>
      </c>
      <c r="O71">
        <v>5</v>
      </c>
      <c r="P71">
        <v>36</v>
      </c>
      <c r="Q71">
        <f t="shared" si="29"/>
        <v>6.25E-2</v>
      </c>
      <c r="R71">
        <f t="shared" si="30"/>
        <v>0.109375</v>
      </c>
      <c r="S71">
        <f t="shared" si="31"/>
        <v>0.125</v>
      </c>
      <c r="T71">
        <f t="shared" si="32"/>
        <v>4.6875E-2</v>
      </c>
      <c r="U71">
        <f t="shared" si="33"/>
        <v>7.8125E-2</v>
      </c>
      <c r="V71">
        <f t="shared" si="34"/>
        <v>0.5625</v>
      </c>
      <c r="W71">
        <f t="shared" si="35"/>
        <v>1.5151515151515152E-2</v>
      </c>
      <c r="X71">
        <v>9.9559834765641693</v>
      </c>
    </row>
    <row r="72" spans="1:24">
      <c r="A72">
        <v>2007</v>
      </c>
      <c r="B72" t="s">
        <v>494</v>
      </c>
      <c r="C72">
        <v>21</v>
      </c>
      <c r="D72">
        <v>3</v>
      </c>
      <c r="E72">
        <v>42</v>
      </c>
      <c r="F72">
        <v>0</v>
      </c>
      <c r="G72">
        <f t="shared" si="26"/>
        <v>6.6666666666666666E-2</v>
      </c>
      <c r="H72">
        <f t="shared" si="27"/>
        <v>0.93333333333333335</v>
      </c>
      <c r="I72">
        <f t="shared" si="28"/>
        <v>0</v>
      </c>
      <c r="J72">
        <v>1</v>
      </c>
      <c r="K72">
        <v>15</v>
      </c>
      <c r="L72">
        <v>3</v>
      </c>
      <c r="M72">
        <v>0</v>
      </c>
      <c r="N72">
        <v>0</v>
      </c>
      <c r="O72">
        <v>1</v>
      </c>
      <c r="P72">
        <v>25</v>
      </c>
      <c r="Q72">
        <f t="shared" si="29"/>
        <v>2.2222222222222223E-2</v>
      </c>
      <c r="R72">
        <f t="shared" si="30"/>
        <v>0.33333333333333331</v>
      </c>
      <c r="S72">
        <f t="shared" si="31"/>
        <v>6.6666666666666666E-2</v>
      </c>
      <c r="T72">
        <f t="shared" si="32"/>
        <v>0</v>
      </c>
      <c r="U72">
        <f t="shared" si="33"/>
        <v>2.2222222222222223E-2</v>
      </c>
      <c r="V72">
        <f t="shared" si="34"/>
        <v>0.55555555555555558</v>
      </c>
      <c r="W72">
        <f t="shared" si="35"/>
        <v>0</v>
      </c>
      <c r="X72">
        <v>6.1233106057324802</v>
      </c>
    </row>
    <row r="73" spans="1:24">
      <c r="A73">
        <v>2007</v>
      </c>
      <c r="B73" t="s">
        <v>495</v>
      </c>
      <c r="C73">
        <v>25</v>
      </c>
      <c r="D73">
        <v>2</v>
      </c>
      <c r="E73">
        <v>310</v>
      </c>
      <c r="F73">
        <v>0</v>
      </c>
      <c r="G73">
        <f t="shared" si="26"/>
        <v>6.41025641025641E-3</v>
      </c>
      <c r="H73">
        <f t="shared" si="27"/>
        <v>0.99358974358974361</v>
      </c>
      <c r="I73">
        <f t="shared" si="28"/>
        <v>0</v>
      </c>
      <c r="J73">
        <v>0</v>
      </c>
      <c r="K73">
        <v>268</v>
      </c>
      <c r="L73">
        <v>21</v>
      </c>
      <c r="M73">
        <v>1</v>
      </c>
      <c r="N73">
        <v>3</v>
      </c>
      <c r="O73">
        <v>2</v>
      </c>
      <c r="P73">
        <v>18</v>
      </c>
      <c r="Q73">
        <f t="shared" si="29"/>
        <v>0</v>
      </c>
      <c r="R73">
        <f t="shared" si="30"/>
        <v>0.85623003194888181</v>
      </c>
      <c r="S73">
        <f t="shared" si="31"/>
        <v>6.7092651757188496E-2</v>
      </c>
      <c r="T73">
        <f t="shared" si="32"/>
        <v>9.5846645367412137E-3</v>
      </c>
      <c r="U73">
        <f t="shared" si="33"/>
        <v>6.3897763578274758E-3</v>
      </c>
      <c r="V73">
        <f t="shared" si="34"/>
        <v>5.7507987220447282E-2</v>
      </c>
      <c r="W73">
        <f t="shared" si="35"/>
        <v>3.1746031746031746E-3</v>
      </c>
      <c r="X73">
        <v>11.0034215402833</v>
      </c>
    </row>
    <row r="74" spans="1:24">
      <c r="A74">
        <v>2007</v>
      </c>
      <c r="B74" t="s">
        <v>496</v>
      </c>
      <c r="C74">
        <v>22</v>
      </c>
      <c r="D74">
        <v>2</v>
      </c>
      <c r="E74">
        <v>101</v>
      </c>
      <c r="F74">
        <v>0</v>
      </c>
      <c r="G74">
        <f t="shared" si="26"/>
        <v>1.9417475728155338E-2</v>
      </c>
      <c r="H74">
        <f t="shared" si="27"/>
        <v>0.98058252427184467</v>
      </c>
      <c r="I74">
        <f t="shared" si="28"/>
        <v>0</v>
      </c>
      <c r="J74">
        <v>2</v>
      </c>
      <c r="K74">
        <v>75</v>
      </c>
      <c r="L74">
        <v>10</v>
      </c>
      <c r="M74">
        <v>0</v>
      </c>
      <c r="N74">
        <v>2</v>
      </c>
      <c r="O74">
        <v>2</v>
      </c>
      <c r="P74">
        <v>12</v>
      </c>
      <c r="Q74">
        <f t="shared" si="29"/>
        <v>1.9417475728155338E-2</v>
      </c>
      <c r="R74">
        <f t="shared" si="30"/>
        <v>0.72815533980582525</v>
      </c>
      <c r="S74">
        <f t="shared" si="31"/>
        <v>9.7087378640776698E-2</v>
      </c>
      <c r="T74">
        <f t="shared" si="32"/>
        <v>1.9417475728155338E-2</v>
      </c>
      <c r="U74">
        <f t="shared" si="33"/>
        <v>1.9417475728155338E-2</v>
      </c>
      <c r="V74">
        <f t="shared" si="34"/>
        <v>0.11650485436893204</v>
      </c>
      <c r="W74">
        <f t="shared" si="35"/>
        <v>0</v>
      </c>
      <c r="X74">
        <v>7.3323846468096896</v>
      </c>
    </row>
    <row r="75" spans="1:24">
      <c r="A75">
        <v>2008</v>
      </c>
      <c r="B75" t="s">
        <v>497</v>
      </c>
      <c r="C75">
        <v>32</v>
      </c>
      <c r="D75">
        <v>11</v>
      </c>
      <c r="E75">
        <v>206</v>
      </c>
      <c r="F75">
        <v>0</v>
      </c>
      <c r="G75">
        <f t="shared" si="26"/>
        <v>5.0691244239631339E-2</v>
      </c>
      <c r="H75">
        <f t="shared" si="27"/>
        <v>0.94930875576036866</v>
      </c>
      <c r="I75">
        <f t="shared" si="28"/>
        <v>0</v>
      </c>
      <c r="J75">
        <v>2</v>
      </c>
      <c r="K75">
        <v>182</v>
      </c>
      <c r="L75">
        <v>15</v>
      </c>
      <c r="M75">
        <v>1</v>
      </c>
      <c r="N75">
        <v>2</v>
      </c>
      <c r="O75">
        <v>0</v>
      </c>
      <c r="P75">
        <v>16</v>
      </c>
      <c r="Q75">
        <f t="shared" si="29"/>
        <v>9.1743119266055051E-3</v>
      </c>
      <c r="R75">
        <f t="shared" si="30"/>
        <v>0.83486238532110091</v>
      </c>
      <c r="S75">
        <f t="shared" si="31"/>
        <v>6.8807339449541288E-2</v>
      </c>
      <c r="T75">
        <f t="shared" si="32"/>
        <v>9.1743119266055051E-3</v>
      </c>
      <c r="U75">
        <f t="shared" si="33"/>
        <v>0</v>
      </c>
      <c r="V75">
        <f t="shared" si="34"/>
        <v>7.3394495412844041E-2</v>
      </c>
      <c r="W75">
        <f t="shared" si="35"/>
        <v>4.5662100456621002E-3</v>
      </c>
      <c r="X75">
        <v>14.831742150110401</v>
      </c>
    </row>
    <row r="76" spans="1:24">
      <c r="A76">
        <v>2008</v>
      </c>
      <c r="B76" t="s">
        <v>498</v>
      </c>
      <c r="C76">
        <v>39</v>
      </c>
      <c r="D76">
        <v>27</v>
      </c>
      <c r="E76">
        <v>286</v>
      </c>
      <c r="F76">
        <v>0</v>
      </c>
      <c r="G76">
        <f t="shared" si="26"/>
        <v>8.6261980830670923E-2</v>
      </c>
      <c r="H76">
        <f t="shared" si="27"/>
        <v>0.91373801916932906</v>
      </c>
      <c r="I76">
        <f t="shared" si="28"/>
        <v>0</v>
      </c>
      <c r="J76">
        <v>1</v>
      </c>
      <c r="K76">
        <v>208</v>
      </c>
      <c r="L76">
        <v>52</v>
      </c>
      <c r="M76">
        <v>0</v>
      </c>
      <c r="N76">
        <v>6</v>
      </c>
      <c r="O76">
        <v>1</v>
      </c>
      <c r="P76">
        <v>46</v>
      </c>
      <c r="Q76">
        <f t="shared" si="29"/>
        <v>3.1847133757961785E-3</v>
      </c>
      <c r="R76">
        <f t="shared" si="30"/>
        <v>0.66242038216560506</v>
      </c>
      <c r="S76">
        <f t="shared" si="31"/>
        <v>0.16560509554140126</v>
      </c>
      <c r="T76">
        <f t="shared" si="32"/>
        <v>1.9108280254777069E-2</v>
      </c>
      <c r="U76">
        <f t="shared" si="33"/>
        <v>3.1847133757961785E-3</v>
      </c>
      <c r="V76">
        <f t="shared" si="34"/>
        <v>0.1464968152866242</v>
      </c>
      <c r="W76">
        <f t="shared" si="35"/>
        <v>0</v>
      </c>
      <c r="X76">
        <v>17.659931746865201</v>
      </c>
    </row>
    <row r="77" spans="1:24">
      <c r="A77">
        <v>2008</v>
      </c>
      <c r="B77" t="s">
        <v>499</v>
      </c>
      <c r="C77">
        <v>31</v>
      </c>
      <c r="D77">
        <v>15</v>
      </c>
      <c r="E77">
        <v>174</v>
      </c>
      <c r="F77">
        <v>1</v>
      </c>
      <c r="G77">
        <f t="shared" si="26"/>
        <v>7.8947368421052627E-2</v>
      </c>
      <c r="H77">
        <f t="shared" si="27"/>
        <v>0.91578947368421049</v>
      </c>
      <c r="I77">
        <f t="shared" si="28"/>
        <v>5.263157894736842E-3</v>
      </c>
      <c r="J77">
        <v>2</v>
      </c>
      <c r="K77">
        <v>123</v>
      </c>
      <c r="L77">
        <v>13</v>
      </c>
      <c r="M77">
        <v>3</v>
      </c>
      <c r="N77">
        <v>4</v>
      </c>
      <c r="O77">
        <v>1</v>
      </c>
      <c r="P77">
        <v>47</v>
      </c>
      <c r="Q77">
        <f t="shared" si="29"/>
        <v>1.0362694300518135E-2</v>
      </c>
      <c r="R77">
        <f t="shared" si="30"/>
        <v>0.63730569948186533</v>
      </c>
      <c r="S77">
        <f t="shared" si="31"/>
        <v>6.7357512953367879E-2</v>
      </c>
      <c r="T77">
        <f t="shared" si="32"/>
        <v>2.072538860103627E-2</v>
      </c>
      <c r="U77">
        <f t="shared" si="33"/>
        <v>5.1813471502590676E-3</v>
      </c>
      <c r="V77">
        <f t="shared" si="34"/>
        <v>0.24352331606217617</v>
      </c>
      <c r="W77">
        <f t="shared" si="35"/>
        <v>1.5463917525773196E-2</v>
      </c>
      <c r="X77">
        <v>14.080408705758099</v>
      </c>
    </row>
    <row r="78" spans="1:24">
      <c r="A78">
        <v>2008</v>
      </c>
      <c r="B78" t="s">
        <v>500</v>
      </c>
      <c r="C78">
        <v>18</v>
      </c>
      <c r="D78">
        <v>0</v>
      </c>
      <c r="E78">
        <v>82</v>
      </c>
      <c r="F78">
        <v>0</v>
      </c>
      <c r="G78">
        <f t="shared" si="26"/>
        <v>0</v>
      </c>
      <c r="H78">
        <f t="shared" si="27"/>
        <v>1</v>
      </c>
      <c r="I78">
        <f t="shared" si="28"/>
        <v>0</v>
      </c>
      <c r="J78">
        <v>2</v>
      </c>
      <c r="K78">
        <v>37</v>
      </c>
      <c r="L78">
        <v>2</v>
      </c>
      <c r="M78">
        <v>0</v>
      </c>
      <c r="N78">
        <v>6</v>
      </c>
      <c r="O78">
        <v>4</v>
      </c>
      <c r="P78">
        <v>31</v>
      </c>
      <c r="Q78">
        <f t="shared" si="29"/>
        <v>2.4390243902439025E-2</v>
      </c>
      <c r="R78">
        <f t="shared" si="30"/>
        <v>0.45121951219512196</v>
      </c>
      <c r="S78">
        <f t="shared" si="31"/>
        <v>2.4390243902439025E-2</v>
      </c>
      <c r="T78">
        <f t="shared" si="32"/>
        <v>7.3170731707317069E-2</v>
      </c>
      <c r="U78">
        <f t="shared" si="33"/>
        <v>4.878048780487805E-2</v>
      </c>
      <c r="V78">
        <f t="shared" si="34"/>
        <v>0.37804878048780488</v>
      </c>
      <c r="W78">
        <f t="shared" si="35"/>
        <v>0</v>
      </c>
      <c r="X78">
        <v>7.7010610116851304</v>
      </c>
    </row>
    <row r="79" spans="1:24">
      <c r="A79">
        <v>2008</v>
      </c>
      <c r="B79" t="s">
        <v>501</v>
      </c>
      <c r="C79">
        <v>18</v>
      </c>
      <c r="D79">
        <v>1</v>
      </c>
      <c r="E79">
        <v>49</v>
      </c>
      <c r="F79">
        <v>0</v>
      </c>
      <c r="G79">
        <f t="shared" si="26"/>
        <v>0.02</v>
      </c>
      <c r="H79">
        <f t="shared" si="27"/>
        <v>0.98</v>
      </c>
      <c r="I79">
        <f t="shared" si="28"/>
        <v>0</v>
      </c>
      <c r="J79">
        <v>1</v>
      </c>
      <c r="K79">
        <v>23</v>
      </c>
      <c r="L79">
        <v>6</v>
      </c>
      <c r="M79">
        <v>0</v>
      </c>
      <c r="N79">
        <v>1</v>
      </c>
      <c r="O79">
        <v>0</v>
      </c>
      <c r="P79">
        <v>19</v>
      </c>
      <c r="Q79">
        <f t="shared" si="29"/>
        <v>0.02</v>
      </c>
      <c r="R79">
        <f t="shared" si="30"/>
        <v>0.46</v>
      </c>
      <c r="S79">
        <f t="shared" si="31"/>
        <v>0.12</v>
      </c>
      <c r="T79">
        <f t="shared" si="32"/>
        <v>0.02</v>
      </c>
      <c r="U79">
        <f t="shared" si="33"/>
        <v>0</v>
      </c>
      <c r="V79">
        <f t="shared" si="34"/>
        <v>0.38</v>
      </c>
      <c r="W79">
        <f t="shared" si="35"/>
        <v>0</v>
      </c>
      <c r="X79">
        <v>7.8177223717986397</v>
      </c>
    </row>
    <row r="80" spans="1:24">
      <c r="A80">
        <v>2008</v>
      </c>
      <c r="B80" t="s">
        <v>502</v>
      </c>
      <c r="C80">
        <v>22</v>
      </c>
      <c r="D80">
        <v>4</v>
      </c>
      <c r="E80">
        <v>53</v>
      </c>
      <c r="F80">
        <v>1</v>
      </c>
      <c r="G80">
        <f t="shared" si="26"/>
        <v>6.8965517241379309E-2</v>
      </c>
      <c r="H80">
        <f t="shared" si="27"/>
        <v>0.91379310344827591</v>
      </c>
      <c r="I80">
        <f t="shared" si="28"/>
        <v>1.7241379310344827E-2</v>
      </c>
      <c r="J80">
        <v>0</v>
      </c>
      <c r="K80">
        <v>15</v>
      </c>
      <c r="L80">
        <v>21</v>
      </c>
      <c r="M80">
        <v>0</v>
      </c>
      <c r="N80">
        <v>2</v>
      </c>
      <c r="O80">
        <v>6</v>
      </c>
      <c r="P80">
        <v>14</v>
      </c>
      <c r="Q80">
        <f t="shared" si="29"/>
        <v>0</v>
      </c>
      <c r="R80">
        <f t="shared" si="30"/>
        <v>0.25862068965517243</v>
      </c>
      <c r="S80">
        <f t="shared" si="31"/>
        <v>0.36206896551724138</v>
      </c>
      <c r="T80">
        <f t="shared" si="32"/>
        <v>3.4482758620689655E-2</v>
      </c>
      <c r="U80">
        <f t="shared" si="33"/>
        <v>0.10344827586206896</v>
      </c>
      <c r="V80">
        <f t="shared" si="34"/>
        <v>0.2413793103448276</v>
      </c>
      <c r="W80">
        <f t="shared" si="35"/>
        <v>0</v>
      </c>
      <c r="X80">
        <v>8.3155986969153499</v>
      </c>
    </row>
    <row r="81" spans="1:24">
      <c r="A81">
        <v>2009</v>
      </c>
      <c r="B81" t="s">
        <v>503</v>
      </c>
      <c r="C81">
        <v>8</v>
      </c>
      <c r="D81">
        <v>0</v>
      </c>
      <c r="E81">
        <v>37</v>
      </c>
      <c r="F81">
        <v>0</v>
      </c>
      <c r="G81">
        <f t="shared" si="26"/>
        <v>0</v>
      </c>
      <c r="H81">
        <f t="shared" si="27"/>
        <v>1</v>
      </c>
      <c r="I81">
        <f t="shared" si="28"/>
        <v>0</v>
      </c>
      <c r="J81">
        <v>0</v>
      </c>
      <c r="K81">
        <v>2</v>
      </c>
      <c r="L81">
        <v>0</v>
      </c>
      <c r="M81">
        <v>1</v>
      </c>
      <c r="N81">
        <v>0</v>
      </c>
      <c r="O81">
        <v>0</v>
      </c>
      <c r="P81">
        <v>35</v>
      </c>
      <c r="Q81">
        <f t="shared" si="29"/>
        <v>0</v>
      </c>
      <c r="R81">
        <f t="shared" si="30"/>
        <v>5.2631578947368418E-2</v>
      </c>
      <c r="S81">
        <f t="shared" si="31"/>
        <v>0</v>
      </c>
      <c r="T81">
        <f t="shared" si="32"/>
        <v>0</v>
      </c>
      <c r="U81">
        <f t="shared" si="33"/>
        <v>0</v>
      </c>
      <c r="V81">
        <f t="shared" si="34"/>
        <v>0.92105263157894735</v>
      </c>
      <c r="W81">
        <f t="shared" si="35"/>
        <v>2.7027027027027029E-2</v>
      </c>
      <c r="X81">
        <v>3.7726552112050298</v>
      </c>
    </row>
    <row r="82" spans="1:24">
      <c r="A82">
        <v>2009</v>
      </c>
      <c r="B82" t="s">
        <v>504</v>
      </c>
      <c r="C82">
        <v>6</v>
      </c>
      <c r="D82">
        <v>1</v>
      </c>
      <c r="E82">
        <v>30</v>
      </c>
      <c r="F82">
        <v>0</v>
      </c>
      <c r="G82">
        <f t="shared" si="26"/>
        <v>3.2258064516129031E-2</v>
      </c>
      <c r="H82">
        <f t="shared" si="27"/>
        <v>0.967741935483871</v>
      </c>
      <c r="I82">
        <f t="shared" si="28"/>
        <v>0</v>
      </c>
      <c r="J82">
        <v>0</v>
      </c>
      <c r="K82">
        <v>29</v>
      </c>
      <c r="L82">
        <v>0</v>
      </c>
      <c r="M82">
        <v>1</v>
      </c>
      <c r="N82">
        <v>0</v>
      </c>
      <c r="O82">
        <v>0</v>
      </c>
      <c r="P82">
        <v>2</v>
      </c>
      <c r="Q82">
        <f t="shared" si="29"/>
        <v>0</v>
      </c>
      <c r="R82">
        <f t="shared" si="30"/>
        <v>0.90625</v>
      </c>
      <c r="S82">
        <f t="shared" si="31"/>
        <v>0</v>
      </c>
      <c r="T82">
        <f t="shared" si="32"/>
        <v>0</v>
      </c>
      <c r="U82">
        <f t="shared" si="33"/>
        <v>0</v>
      </c>
      <c r="V82">
        <f t="shared" si="34"/>
        <v>6.25E-2</v>
      </c>
      <c r="W82">
        <f t="shared" si="35"/>
        <v>3.2258064516129031E-2</v>
      </c>
      <c r="X82">
        <v>2.73255604859808</v>
      </c>
    </row>
    <row r="83" spans="1:24">
      <c r="A83">
        <v>2009</v>
      </c>
      <c r="B83" t="s">
        <v>505</v>
      </c>
      <c r="C83">
        <v>23</v>
      </c>
      <c r="D83">
        <v>23</v>
      </c>
      <c r="E83">
        <v>57</v>
      </c>
      <c r="F83">
        <v>0</v>
      </c>
      <c r="G83">
        <f t="shared" si="26"/>
        <v>0.28749999999999998</v>
      </c>
      <c r="H83">
        <f t="shared" si="27"/>
        <v>0.71250000000000002</v>
      </c>
      <c r="I83">
        <f t="shared" si="28"/>
        <v>0</v>
      </c>
      <c r="J83">
        <v>0</v>
      </c>
      <c r="K83">
        <v>38</v>
      </c>
      <c r="L83">
        <v>7</v>
      </c>
      <c r="M83">
        <v>1</v>
      </c>
      <c r="N83">
        <v>0</v>
      </c>
      <c r="O83">
        <v>0</v>
      </c>
      <c r="P83">
        <v>35</v>
      </c>
      <c r="Q83">
        <f t="shared" si="29"/>
        <v>0</v>
      </c>
      <c r="R83">
        <f t="shared" si="30"/>
        <v>0.46913580246913578</v>
      </c>
      <c r="S83">
        <f t="shared" si="31"/>
        <v>8.6419753086419748E-2</v>
      </c>
      <c r="T83">
        <f t="shared" si="32"/>
        <v>0</v>
      </c>
      <c r="U83">
        <f t="shared" si="33"/>
        <v>0</v>
      </c>
      <c r="V83">
        <f t="shared" si="34"/>
        <v>0.43209876543209874</v>
      </c>
      <c r="W83">
        <f t="shared" si="35"/>
        <v>1.2500000000000001E-2</v>
      </c>
      <c r="X83">
        <v>5.3974129413680698</v>
      </c>
    </row>
    <row r="84" spans="1:24">
      <c r="A84">
        <v>2009</v>
      </c>
      <c r="B84" t="s">
        <v>506</v>
      </c>
      <c r="C84">
        <v>42</v>
      </c>
      <c r="D84">
        <v>59</v>
      </c>
      <c r="E84">
        <v>292</v>
      </c>
      <c r="F84">
        <v>1</v>
      </c>
      <c r="G84">
        <f t="shared" si="26"/>
        <v>0.16761363636363635</v>
      </c>
      <c r="H84">
        <f t="shared" si="27"/>
        <v>0.82954545454545459</v>
      </c>
      <c r="I84">
        <f t="shared" si="28"/>
        <v>2.840909090909091E-3</v>
      </c>
      <c r="J84">
        <v>3</v>
      </c>
      <c r="K84">
        <v>146</v>
      </c>
      <c r="L84">
        <v>32</v>
      </c>
      <c r="M84">
        <v>0</v>
      </c>
      <c r="N84">
        <v>0</v>
      </c>
      <c r="O84">
        <v>1</v>
      </c>
      <c r="P84">
        <v>170</v>
      </c>
      <c r="Q84">
        <f t="shared" si="29"/>
        <v>8.5227272727272721E-3</v>
      </c>
      <c r="R84">
        <f t="shared" si="30"/>
        <v>0.41477272727272729</v>
      </c>
      <c r="S84">
        <f t="shared" si="31"/>
        <v>9.0909090909090912E-2</v>
      </c>
      <c r="T84">
        <f t="shared" si="32"/>
        <v>0</v>
      </c>
      <c r="U84">
        <f t="shared" si="33"/>
        <v>2.840909090909091E-3</v>
      </c>
      <c r="V84">
        <f t="shared" si="34"/>
        <v>0.48295454545454547</v>
      </c>
      <c r="W84">
        <f t="shared" si="35"/>
        <v>0</v>
      </c>
      <c r="X84">
        <v>19.3762670320897</v>
      </c>
    </row>
    <row r="85" spans="1:24">
      <c r="A85">
        <v>2009</v>
      </c>
      <c r="B85" t="s">
        <v>507</v>
      </c>
      <c r="C85">
        <v>11</v>
      </c>
      <c r="D85">
        <v>2</v>
      </c>
      <c r="E85">
        <v>27</v>
      </c>
      <c r="F85">
        <v>0</v>
      </c>
      <c r="G85">
        <f t="shared" si="26"/>
        <v>6.8965517241379309E-2</v>
      </c>
      <c r="H85">
        <f t="shared" si="27"/>
        <v>0.93103448275862066</v>
      </c>
      <c r="I85">
        <f t="shared" si="28"/>
        <v>0</v>
      </c>
      <c r="J85">
        <v>0</v>
      </c>
      <c r="K85">
        <v>15</v>
      </c>
      <c r="L85">
        <v>4</v>
      </c>
      <c r="M85">
        <v>0</v>
      </c>
      <c r="N85">
        <v>1</v>
      </c>
      <c r="O85">
        <v>0</v>
      </c>
      <c r="P85">
        <v>9</v>
      </c>
      <c r="Q85">
        <f t="shared" si="29"/>
        <v>0</v>
      </c>
      <c r="R85">
        <f t="shared" si="30"/>
        <v>0.51724137931034486</v>
      </c>
      <c r="S85">
        <f t="shared" si="31"/>
        <v>0.13793103448275862</v>
      </c>
      <c r="T85">
        <f t="shared" si="32"/>
        <v>3.4482758620689655E-2</v>
      </c>
      <c r="U85">
        <f t="shared" si="33"/>
        <v>0</v>
      </c>
      <c r="V85">
        <f t="shared" si="34"/>
        <v>0.31034482758620691</v>
      </c>
      <c r="W85">
        <f t="shared" si="35"/>
        <v>0</v>
      </c>
      <c r="X85">
        <v>5.3211157053904303</v>
      </c>
    </row>
    <row r="86" spans="1:24">
      <c r="A86">
        <v>2009</v>
      </c>
      <c r="B86" t="s">
        <v>508</v>
      </c>
      <c r="C86">
        <v>7</v>
      </c>
      <c r="D86">
        <v>3</v>
      </c>
      <c r="E86">
        <v>8</v>
      </c>
      <c r="F86">
        <v>0</v>
      </c>
      <c r="G86">
        <f t="shared" si="26"/>
        <v>0.27272727272727271</v>
      </c>
      <c r="H86">
        <f t="shared" si="27"/>
        <v>0.72727272727272729</v>
      </c>
      <c r="I86">
        <f t="shared" si="28"/>
        <v>0</v>
      </c>
      <c r="J86">
        <v>0</v>
      </c>
      <c r="K86">
        <v>6</v>
      </c>
      <c r="L86">
        <v>2</v>
      </c>
      <c r="M86">
        <v>1</v>
      </c>
      <c r="N86">
        <v>0</v>
      </c>
      <c r="O86">
        <v>0</v>
      </c>
      <c r="P86">
        <v>3</v>
      </c>
      <c r="Q86">
        <f t="shared" si="29"/>
        <v>0</v>
      </c>
      <c r="R86">
        <f t="shared" si="30"/>
        <v>0.5</v>
      </c>
      <c r="S86">
        <f t="shared" si="31"/>
        <v>0.16666666666666666</v>
      </c>
      <c r="T86">
        <f t="shared" si="32"/>
        <v>0</v>
      </c>
      <c r="U86">
        <f t="shared" si="33"/>
        <v>0</v>
      </c>
      <c r="V86">
        <f t="shared" si="34"/>
        <v>0.25</v>
      </c>
      <c r="W86">
        <f t="shared" si="35"/>
        <v>9.0909090909090912E-2</v>
      </c>
      <c r="X86">
        <v>2.7947210236275302</v>
      </c>
    </row>
    <row r="87" spans="1:24">
      <c r="A87">
        <v>2009</v>
      </c>
      <c r="B87" t="s">
        <v>509</v>
      </c>
      <c r="C87">
        <v>21</v>
      </c>
      <c r="D87">
        <v>4</v>
      </c>
      <c r="E87">
        <v>84</v>
      </c>
      <c r="F87">
        <v>0</v>
      </c>
      <c r="G87">
        <f t="shared" si="26"/>
        <v>4.5454545454545456E-2</v>
      </c>
      <c r="H87">
        <f t="shared" si="27"/>
        <v>0.95454545454545459</v>
      </c>
      <c r="I87">
        <f t="shared" si="28"/>
        <v>0</v>
      </c>
      <c r="J87">
        <v>0</v>
      </c>
      <c r="K87">
        <v>49</v>
      </c>
      <c r="L87">
        <v>23</v>
      </c>
      <c r="M87">
        <v>1</v>
      </c>
      <c r="N87">
        <v>2</v>
      </c>
      <c r="O87">
        <v>1</v>
      </c>
      <c r="P87">
        <v>13</v>
      </c>
      <c r="Q87">
        <f t="shared" si="29"/>
        <v>0</v>
      </c>
      <c r="R87">
        <f t="shared" si="30"/>
        <v>0.550561797752809</v>
      </c>
      <c r="S87">
        <f t="shared" si="31"/>
        <v>0.25842696629213485</v>
      </c>
      <c r="T87">
        <f t="shared" si="32"/>
        <v>2.247191011235955E-2</v>
      </c>
      <c r="U87">
        <f t="shared" si="33"/>
        <v>1.1235955056179775E-2</v>
      </c>
      <c r="V87">
        <f t="shared" si="34"/>
        <v>0.14606741573033707</v>
      </c>
      <c r="W87">
        <f t="shared" si="35"/>
        <v>1.1111111111111112E-2</v>
      </c>
      <c r="X87">
        <v>4.6171481574672804</v>
      </c>
    </row>
    <row r="88" spans="1:24">
      <c r="A88">
        <v>2010</v>
      </c>
      <c r="B88" t="s">
        <v>510</v>
      </c>
      <c r="C88">
        <v>23</v>
      </c>
      <c r="D88">
        <v>2</v>
      </c>
      <c r="E88">
        <v>159</v>
      </c>
      <c r="F88">
        <v>1</v>
      </c>
      <c r="G88">
        <f t="shared" si="26"/>
        <v>1.2345679012345678E-2</v>
      </c>
      <c r="H88">
        <f t="shared" si="27"/>
        <v>0.98148148148148151</v>
      </c>
      <c r="I88">
        <f t="shared" si="28"/>
        <v>6.1728395061728392E-3</v>
      </c>
      <c r="J88">
        <v>0</v>
      </c>
      <c r="K88">
        <v>23</v>
      </c>
      <c r="L88">
        <v>15</v>
      </c>
      <c r="M88">
        <v>2</v>
      </c>
      <c r="N88">
        <v>1</v>
      </c>
      <c r="O88">
        <v>0</v>
      </c>
      <c r="P88">
        <v>123</v>
      </c>
      <c r="Q88">
        <f t="shared" si="29"/>
        <v>0</v>
      </c>
      <c r="R88">
        <f t="shared" si="30"/>
        <v>0.1402439024390244</v>
      </c>
      <c r="S88">
        <f t="shared" si="31"/>
        <v>9.1463414634146339E-2</v>
      </c>
      <c r="T88">
        <f t="shared" si="32"/>
        <v>6.0975609756097563E-3</v>
      </c>
      <c r="U88">
        <f t="shared" si="33"/>
        <v>0</v>
      </c>
      <c r="V88">
        <f t="shared" si="34"/>
        <v>0.75</v>
      </c>
      <c r="W88">
        <f t="shared" si="35"/>
        <v>1.2269938650306749E-2</v>
      </c>
      <c r="X88">
        <v>9.5331006600988797</v>
      </c>
    </row>
    <row r="89" spans="1:24">
      <c r="A89">
        <v>2010</v>
      </c>
      <c r="B89" t="s">
        <v>511</v>
      </c>
      <c r="C89">
        <v>38</v>
      </c>
      <c r="D89">
        <v>25</v>
      </c>
      <c r="E89">
        <v>280</v>
      </c>
      <c r="F89">
        <v>0</v>
      </c>
      <c r="G89">
        <f t="shared" si="26"/>
        <v>8.1967213114754092E-2</v>
      </c>
      <c r="H89">
        <f t="shared" si="27"/>
        <v>0.91803278688524592</v>
      </c>
      <c r="I89">
        <f t="shared" si="28"/>
        <v>0</v>
      </c>
      <c r="J89">
        <v>0</v>
      </c>
      <c r="K89">
        <v>163</v>
      </c>
      <c r="L89">
        <v>26</v>
      </c>
      <c r="M89">
        <v>2</v>
      </c>
      <c r="N89">
        <v>2</v>
      </c>
      <c r="O89">
        <v>1</v>
      </c>
      <c r="P89">
        <v>113</v>
      </c>
      <c r="Q89">
        <f t="shared" si="29"/>
        <v>0</v>
      </c>
      <c r="R89">
        <f t="shared" si="30"/>
        <v>0.53094462540716614</v>
      </c>
      <c r="S89">
        <f t="shared" si="31"/>
        <v>8.4690553745928335E-2</v>
      </c>
      <c r="T89">
        <f t="shared" si="32"/>
        <v>6.5146579804560263E-3</v>
      </c>
      <c r="U89">
        <f t="shared" si="33"/>
        <v>3.2573289902280132E-3</v>
      </c>
      <c r="V89">
        <f t="shared" si="34"/>
        <v>0.36807817589576547</v>
      </c>
      <c r="W89">
        <f t="shared" si="35"/>
        <v>6.5146579804560263E-3</v>
      </c>
      <c r="X89">
        <v>16.190080652064299</v>
      </c>
    </row>
    <row r="90" spans="1:24">
      <c r="A90">
        <v>2010</v>
      </c>
      <c r="B90" t="s">
        <v>512</v>
      </c>
      <c r="C90">
        <v>14</v>
      </c>
      <c r="D90">
        <v>11</v>
      </c>
      <c r="E90">
        <v>19</v>
      </c>
      <c r="F90">
        <v>0</v>
      </c>
      <c r="G90">
        <f t="shared" si="26"/>
        <v>0.36666666666666664</v>
      </c>
      <c r="H90">
        <f t="shared" si="27"/>
        <v>0.6333333333333333</v>
      </c>
      <c r="I90">
        <f t="shared" si="28"/>
        <v>0</v>
      </c>
      <c r="J90">
        <v>0</v>
      </c>
      <c r="K90">
        <v>13</v>
      </c>
      <c r="L90">
        <v>6</v>
      </c>
      <c r="M90">
        <v>0</v>
      </c>
      <c r="N90">
        <v>1</v>
      </c>
      <c r="O90">
        <v>0</v>
      </c>
      <c r="P90">
        <v>10</v>
      </c>
      <c r="Q90">
        <f t="shared" si="29"/>
        <v>0</v>
      </c>
      <c r="R90">
        <f t="shared" si="30"/>
        <v>0.43333333333333335</v>
      </c>
      <c r="S90">
        <f t="shared" si="31"/>
        <v>0.2</v>
      </c>
      <c r="T90">
        <f t="shared" si="32"/>
        <v>3.3333333333333333E-2</v>
      </c>
      <c r="U90">
        <f t="shared" si="33"/>
        <v>0</v>
      </c>
      <c r="V90">
        <f t="shared" si="34"/>
        <v>0.33333333333333331</v>
      </c>
      <c r="W90">
        <f t="shared" si="35"/>
        <v>0</v>
      </c>
      <c r="X90">
        <v>6.8741836159821901</v>
      </c>
    </row>
    <row r="91" spans="1:24">
      <c r="A91">
        <v>2010</v>
      </c>
      <c r="B91" t="s">
        <v>513</v>
      </c>
      <c r="C91">
        <v>32</v>
      </c>
      <c r="D91">
        <v>5</v>
      </c>
      <c r="E91">
        <v>151</v>
      </c>
      <c r="F91">
        <v>0</v>
      </c>
      <c r="G91">
        <f t="shared" si="26"/>
        <v>3.2051282051282048E-2</v>
      </c>
      <c r="H91">
        <f t="shared" si="27"/>
        <v>0.96794871794871795</v>
      </c>
      <c r="I91">
        <f t="shared" si="28"/>
        <v>0</v>
      </c>
      <c r="J91">
        <v>0</v>
      </c>
      <c r="K91">
        <v>66</v>
      </c>
      <c r="L91">
        <v>8</v>
      </c>
      <c r="M91">
        <v>1</v>
      </c>
      <c r="N91">
        <v>0</v>
      </c>
      <c r="O91">
        <v>3</v>
      </c>
      <c r="P91">
        <v>79</v>
      </c>
      <c r="Q91">
        <f t="shared" si="29"/>
        <v>0</v>
      </c>
      <c r="R91">
        <f t="shared" si="30"/>
        <v>0.42038216560509556</v>
      </c>
      <c r="S91">
        <f t="shared" si="31"/>
        <v>5.0955414012738856E-2</v>
      </c>
      <c r="T91">
        <f t="shared" si="32"/>
        <v>0</v>
      </c>
      <c r="U91">
        <f t="shared" si="33"/>
        <v>1.9108280254777069E-2</v>
      </c>
      <c r="V91">
        <f t="shared" si="34"/>
        <v>0.50318471337579618</v>
      </c>
      <c r="W91">
        <f t="shared" si="35"/>
        <v>6.41025641025641E-3</v>
      </c>
      <c r="X91">
        <v>13.4499740491583</v>
      </c>
    </row>
    <row r="92" spans="1:24">
      <c r="A92">
        <v>2010</v>
      </c>
      <c r="B92" t="s">
        <v>514</v>
      </c>
      <c r="C92">
        <v>32</v>
      </c>
      <c r="D92">
        <v>12</v>
      </c>
      <c r="E92">
        <v>153</v>
      </c>
      <c r="F92">
        <v>0</v>
      </c>
      <c r="G92">
        <f t="shared" si="26"/>
        <v>7.2727272727272724E-2</v>
      </c>
      <c r="H92">
        <f t="shared" si="27"/>
        <v>0.92727272727272725</v>
      </c>
      <c r="I92">
        <f t="shared" si="28"/>
        <v>0</v>
      </c>
      <c r="J92">
        <v>0</v>
      </c>
      <c r="K92">
        <v>80</v>
      </c>
      <c r="L92">
        <v>18</v>
      </c>
      <c r="M92">
        <v>2</v>
      </c>
      <c r="N92">
        <v>2</v>
      </c>
      <c r="O92">
        <v>2</v>
      </c>
      <c r="P92">
        <v>63</v>
      </c>
      <c r="Q92">
        <f t="shared" si="29"/>
        <v>0</v>
      </c>
      <c r="R92">
        <f t="shared" si="30"/>
        <v>0.47904191616766467</v>
      </c>
      <c r="S92">
        <f t="shared" si="31"/>
        <v>0.10778443113772455</v>
      </c>
      <c r="T92">
        <f t="shared" si="32"/>
        <v>1.1976047904191617E-2</v>
      </c>
      <c r="U92">
        <f t="shared" si="33"/>
        <v>1.1976047904191617E-2</v>
      </c>
      <c r="V92">
        <f t="shared" si="34"/>
        <v>0.3772455089820359</v>
      </c>
      <c r="W92">
        <f t="shared" si="35"/>
        <v>1.1976047904191617E-2</v>
      </c>
      <c r="X92">
        <v>14.8325697923765</v>
      </c>
    </row>
    <row r="93" spans="1:24">
      <c r="A93">
        <v>2010</v>
      </c>
      <c r="B93" t="s">
        <v>515</v>
      </c>
      <c r="C93">
        <v>26</v>
      </c>
      <c r="D93">
        <v>36</v>
      </c>
      <c r="E93">
        <v>57</v>
      </c>
      <c r="F93">
        <v>0</v>
      </c>
      <c r="G93">
        <f t="shared" si="26"/>
        <v>0.38709677419354838</v>
      </c>
      <c r="H93">
        <f t="shared" si="27"/>
        <v>0.61290322580645162</v>
      </c>
      <c r="I93">
        <f t="shared" si="28"/>
        <v>0</v>
      </c>
      <c r="J93">
        <v>0</v>
      </c>
      <c r="K93">
        <v>16</v>
      </c>
      <c r="L93">
        <v>5</v>
      </c>
      <c r="M93">
        <v>0</v>
      </c>
      <c r="N93">
        <v>0</v>
      </c>
      <c r="O93">
        <v>4</v>
      </c>
      <c r="P93">
        <v>68</v>
      </c>
      <c r="Q93">
        <f t="shared" si="29"/>
        <v>0</v>
      </c>
      <c r="R93">
        <f t="shared" si="30"/>
        <v>0.17204301075268819</v>
      </c>
      <c r="S93">
        <f t="shared" si="31"/>
        <v>5.3763440860215055E-2</v>
      </c>
      <c r="T93">
        <f t="shared" si="32"/>
        <v>0</v>
      </c>
      <c r="U93">
        <f t="shared" si="33"/>
        <v>4.3010752688172046E-2</v>
      </c>
      <c r="V93">
        <f t="shared" si="34"/>
        <v>0.73118279569892475</v>
      </c>
      <c r="W93">
        <f t="shared" si="35"/>
        <v>0</v>
      </c>
      <c r="X93">
        <v>7.3609076999336498</v>
      </c>
    </row>
    <row r="94" spans="1:24">
      <c r="A94">
        <v>2010</v>
      </c>
      <c r="B94" t="s">
        <v>516</v>
      </c>
      <c r="C94">
        <v>26</v>
      </c>
      <c r="D94">
        <v>30</v>
      </c>
      <c r="E94">
        <v>84</v>
      </c>
      <c r="F94">
        <v>0</v>
      </c>
      <c r="G94">
        <f t="shared" si="26"/>
        <v>0.26315789473684209</v>
      </c>
      <c r="H94">
        <f t="shared" si="27"/>
        <v>0.73684210526315785</v>
      </c>
      <c r="I94">
        <f t="shared" si="28"/>
        <v>0</v>
      </c>
      <c r="J94">
        <v>1</v>
      </c>
      <c r="K94">
        <v>47</v>
      </c>
      <c r="L94">
        <v>15</v>
      </c>
      <c r="M94">
        <v>1</v>
      </c>
      <c r="N94">
        <v>2</v>
      </c>
      <c r="O94">
        <v>0</v>
      </c>
      <c r="P94">
        <v>49</v>
      </c>
      <c r="Q94">
        <f t="shared" si="29"/>
        <v>8.6956521739130436E-3</v>
      </c>
      <c r="R94">
        <f t="shared" si="30"/>
        <v>0.40869565217391307</v>
      </c>
      <c r="S94">
        <f t="shared" si="31"/>
        <v>0.13043478260869565</v>
      </c>
      <c r="T94">
        <f t="shared" si="32"/>
        <v>1.7391304347826087E-2</v>
      </c>
      <c r="U94">
        <f t="shared" si="33"/>
        <v>0</v>
      </c>
      <c r="V94">
        <f t="shared" si="34"/>
        <v>0.42608695652173911</v>
      </c>
      <c r="W94">
        <f t="shared" si="35"/>
        <v>8.6206896551724137E-3</v>
      </c>
      <c r="X94">
        <v>10.342232173115701</v>
      </c>
    </row>
    <row r="95" spans="1:24">
      <c r="A95">
        <v>2010</v>
      </c>
      <c r="B95" t="s">
        <v>517</v>
      </c>
      <c r="C95">
        <v>15</v>
      </c>
      <c r="D95">
        <v>1</v>
      </c>
      <c r="E95">
        <v>72</v>
      </c>
      <c r="F95">
        <v>0</v>
      </c>
      <c r="G95">
        <f t="shared" si="26"/>
        <v>1.3698630136986301E-2</v>
      </c>
      <c r="H95">
        <f t="shared" si="27"/>
        <v>0.98630136986301364</v>
      </c>
      <c r="I95">
        <f t="shared" si="28"/>
        <v>0</v>
      </c>
      <c r="J95">
        <v>0</v>
      </c>
      <c r="K95">
        <v>15</v>
      </c>
      <c r="L95">
        <v>3</v>
      </c>
      <c r="M95">
        <v>0</v>
      </c>
      <c r="N95">
        <v>2</v>
      </c>
      <c r="O95">
        <v>3</v>
      </c>
      <c r="P95">
        <v>50</v>
      </c>
      <c r="Q95">
        <f t="shared" si="29"/>
        <v>0</v>
      </c>
      <c r="R95">
        <f t="shared" si="30"/>
        <v>0.20547945205479451</v>
      </c>
      <c r="S95">
        <f t="shared" si="31"/>
        <v>4.1095890410958902E-2</v>
      </c>
      <c r="T95">
        <f t="shared" si="32"/>
        <v>2.7397260273972601E-2</v>
      </c>
      <c r="U95">
        <f t="shared" si="33"/>
        <v>4.1095890410958902E-2</v>
      </c>
      <c r="V95">
        <f t="shared" si="34"/>
        <v>0.68493150684931503</v>
      </c>
      <c r="W95">
        <f t="shared" si="35"/>
        <v>0</v>
      </c>
      <c r="X95">
        <v>6.3051731363022698</v>
      </c>
    </row>
    <row r="96" spans="1:24">
      <c r="A96">
        <v>2011</v>
      </c>
      <c r="B96" t="s">
        <v>518</v>
      </c>
      <c r="C96">
        <v>35</v>
      </c>
      <c r="D96">
        <v>53</v>
      </c>
      <c r="E96">
        <v>296</v>
      </c>
      <c r="F96">
        <v>1</v>
      </c>
      <c r="G96">
        <f t="shared" si="26"/>
        <v>0.15142857142857144</v>
      </c>
      <c r="H96">
        <f t="shared" si="27"/>
        <v>0.84571428571428575</v>
      </c>
      <c r="I96">
        <f t="shared" si="28"/>
        <v>2.8571428571428571E-3</v>
      </c>
      <c r="J96">
        <v>0</v>
      </c>
      <c r="K96">
        <v>127</v>
      </c>
      <c r="L96">
        <v>47</v>
      </c>
      <c r="M96">
        <v>0</v>
      </c>
      <c r="N96">
        <v>3</v>
      </c>
      <c r="O96">
        <v>6</v>
      </c>
      <c r="P96">
        <v>167</v>
      </c>
      <c r="Q96">
        <f t="shared" si="29"/>
        <v>0</v>
      </c>
      <c r="R96">
        <f t="shared" si="30"/>
        <v>0.36285714285714288</v>
      </c>
      <c r="S96">
        <f t="shared" si="31"/>
        <v>0.13428571428571429</v>
      </c>
      <c r="T96">
        <f t="shared" si="32"/>
        <v>8.5714285714285719E-3</v>
      </c>
      <c r="U96">
        <f t="shared" si="33"/>
        <v>1.7142857142857144E-2</v>
      </c>
      <c r="V96">
        <f t="shared" si="34"/>
        <v>0.47714285714285715</v>
      </c>
      <c r="W96">
        <f t="shared" si="35"/>
        <v>0</v>
      </c>
      <c r="X96">
        <v>15.466641857036301</v>
      </c>
    </row>
    <row r="97" spans="1:24">
      <c r="A97">
        <v>2011</v>
      </c>
      <c r="B97" t="s">
        <v>519</v>
      </c>
      <c r="C97">
        <v>19</v>
      </c>
      <c r="D97">
        <v>1</v>
      </c>
      <c r="E97">
        <v>108</v>
      </c>
      <c r="F97">
        <v>1</v>
      </c>
      <c r="G97">
        <f t="shared" si="26"/>
        <v>9.0909090909090905E-3</v>
      </c>
      <c r="H97">
        <f t="shared" si="27"/>
        <v>0.98181818181818181</v>
      </c>
      <c r="I97">
        <f t="shared" ref="I97:I128" si="36">F97/(D97+E97+F97)</f>
        <v>9.0909090909090905E-3</v>
      </c>
      <c r="J97">
        <v>1</v>
      </c>
      <c r="K97">
        <v>50</v>
      </c>
      <c r="L97">
        <v>6</v>
      </c>
      <c r="M97">
        <v>1</v>
      </c>
      <c r="N97">
        <v>0</v>
      </c>
      <c r="O97">
        <v>2</v>
      </c>
      <c r="P97">
        <v>51</v>
      </c>
      <c r="Q97">
        <f t="shared" si="29"/>
        <v>9.0090090090090089E-3</v>
      </c>
      <c r="R97">
        <f t="shared" si="30"/>
        <v>0.45045045045045046</v>
      </c>
      <c r="S97">
        <f t="shared" si="31"/>
        <v>5.4054054054054057E-2</v>
      </c>
      <c r="T97">
        <f t="shared" ref="T97:T128" si="37">N97/(K97+L97+M97+N97+O97+P97+J97)</f>
        <v>0</v>
      </c>
      <c r="U97">
        <f t="shared" ref="U97:U128" si="38">O97/(K97+L97+M97+N97+O97+P97+J97)</f>
        <v>1.8018018018018018E-2</v>
      </c>
      <c r="V97">
        <f t="shared" ref="V97:V128" si="39">P97/(K97+L97+M97+N97+O97+P97+J97)</f>
        <v>0.45945945945945948</v>
      </c>
      <c r="W97">
        <f t="shared" si="35"/>
        <v>9.0909090909090905E-3</v>
      </c>
      <c r="X97">
        <v>7.2585874002417503</v>
      </c>
    </row>
    <row r="98" spans="1:24">
      <c r="A98">
        <v>2011</v>
      </c>
      <c r="B98" t="s">
        <v>520</v>
      </c>
      <c r="C98">
        <v>35</v>
      </c>
      <c r="D98">
        <v>31</v>
      </c>
      <c r="E98">
        <v>733</v>
      </c>
      <c r="F98">
        <v>5</v>
      </c>
      <c r="G98">
        <f t="shared" ref="G98:G129" si="40">D98/(D98+E98+F98)</f>
        <v>4.0312093628088429E-2</v>
      </c>
      <c r="H98">
        <f t="shared" si="27"/>
        <v>0.95318595578673604</v>
      </c>
      <c r="I98">
        <f t="shared" si="36"/>
        <v>6.5019505851755524E-3</v>
      </c>
      <c r="J98">
        <v>2</v>
      </c>
      <c r="K98">
        <v>261</v>
      </c>
      <c r="L98">
        <v>25</v>
      </c>
      <c r="M98">
        <v>1</v>
      </c>
      <c r="N98">
        <v>2</v>
      </c>
      <c r="O98">
        <v>8</v>
      </c>
      <c r="P98">
        <v>471</v>
      </c>
      <c r="Q98">
        <f t="shared" si="29"/>
        <v>2.5974025974025974E-3</v>
      </c>
      <c r="R98">
        <f t="shared" si="30"/>
        <v>0.33896103896103896</v>
      </c>
      <c r="S98">
        <f t="shared" si="31"/>
        <v>3.2467532467532464E-2</v>
      </c>
      <c r="T98">
        <f t="shared" si="37"/>
        <v>2.5974025974025974E-3</v>
      </c>
      <c r="U98">
        <f t="shared" si="38"/>
        <v>1.038961038961039E-2</v>
      </c>
      <c r="V98">
        <f t="shared" si="39"/>
        <v>0.61168831168831173</v>
      </c>
      <c r="W98">
        <f t="shared" ref="W98:W129" si="41">M98/(K98+L98+N98+N98+O98+P98+J98)</f>
        <v>1.2970168612191958E-3</v>
      </c>
      <c r="X98">
        <v>14.8589499566413</v>
      </c>
    </row>
    <row r="99" spans="1:24">
      <c r="A99">
        <v>2011</v>
      </c>
      <c r="B99" t="s">
        <v>521</v>
      </c>
      <c r="C99">
        <v>19</v>
      </c>
      <c r="D99">
        <v>1</v>
      </c>
      <c r="E99">
        <v>68</v>
      </c>
      <c r="F99">
        <v>1</v>
      </c>
      <c r="G99">
        <f t="shared" si="40"/>
        <v>1.4285714285714285E-2</v>
      </c>
      <c r="H99">
        <f t="shared" si="27"/>
        <v>0.97142857142857142</v>
      </c>
      <c r="I99">
        <f t="shared" si="36"/>
        <v>1.4285714285714285E-2</v>
      </c>
      <c r="J99">
        <v>0</v>
      </c>
      <c r="K99">
        <v>33</v>
      </c>
      <c r="L99">
        <v>6</v>
      </c>
      <c r="M99">
        <v>1</v>
      </c>
      <c r="N99">
        <v>0</v>
      </c>
      <c r="O99">
        <v>1</v>
      </c>
      <c r="P99">
        <v>30</v>
      </c>
      <c r="Q99">
        <f t="shared" si="29"/>
        <v>0</v>
      </c>
      <c r="R99">
        <f t="shared" si="30"/>
        <v>0.46478873239436619</v>
      </c>
      <c r="S99">
        <f t="shared" si="31"/>
        <v>8.4507042253521125E-2</v>
      </c>
      <c r="T99">
        <f t="shared" si="37"/>
        <v>0</v>
      </c>
      <c r="U99">
        <f t="shared" si="38"/>
        <v>1.4084507042253521E-2</v>
      </c>
      <c r="V99">
        <f t="shared" si="39"/>
        <v>0.42253521126760563</v>
      </c>
      <c r="W99">
        <f t="shared" si="41"/>
        <v>1.4285714285714285E-2</v>
      </c>
      <c r="X99">
        <v>7.5650559625684997</v>
      </c>
    </row>
    <row r="100" spans="1:24">
      <c r="A100">
        <v>2011</v>
      </c>
      <c r="B100" t="s">
        <v>522</v>
      </c>
      <c r="C100">
        <v>25</v>
      </c>
      <c r="D100">
        <v>5</v>
      </c>
      <c r="E100">
        <v>329</v>
      </c>
      <c r="F100">
        <v>0</v>
      </c>
      <c r="G100">
        <f t="shared" si="40"/>
        <v>1.4970059880239521E-2</v>
      </c>
      <c r="H100">
        <f t="shared" ref="H100:H129" si="42">E100/(D100+E100+F100)</f>
        <v>0.98502994011976053</v>
      </c>
      <c r="I100">
        <f t="shared" si="36"/>
        <v>0</v>
      </c>
      <c r="J100">
        <v>0</v>
      </c>
      <c r="K100">
        <v>93</v>
      </c>
      <c r="L100">
        <v>6</v>
      </c>
      <c r="M100">
        <v>1</v>
      </c>
      <c r="N100">
        <v>2</v>
      </c>
      <c r="O100">
        <v>3</v>
      </c>
      <c r="P100">
        <v>230</v>
      </c>
      <c r="Q100">
        <f t="shared" ref="Q100:Q129" si="43">J100/(K100+L100+M100+N100+O100+P100+J100)</f>
        <v>0</v>
      </c>
      <c r="R100">
        <f t="shared" ref="R100:R129" si="44">K100/(K100+L100+M100+N100+O100+P100+J100)</f>
        <v>0.27761194029850744</v>
      </c>
      <c r="S100">
        <f t="shared" ref="S100:S129" si="45">L100/(K100+L100+M100+N100+O100+P100+J100)</f>
        <v>1.7910447761194031E-2</v>
      </c>
      <c r="T100">
        <f t="shared" si="37"/>
        <v>5.9701492537313433E-3</v>
      </c>
      <c r="U100">
        <f t="shared" si="38"/>
        <v>8.9552238805970154E-3</v>
      </c>
      <c r="V100">
        <f t="shared" si="39"/>
        <v>0.68656716417910446</v>
      </c>
      <c r="W100">
        <f t="shared" si="41"/>
        <v>2.976190476190476E-3</v>
      </c>
      <c r="X100">
        <v>11.3128624019922</v>
      </c>
    </row>
    <row r="101" spans="1:24">
      <c r="A101">
        <v>2011</v>
      </c>
      <c r="B101" t="s">
        <v>523</v>
      </c>
      <c r="C101">
        <v>22</v>
      </c>
      <c r="D101">
        <v>15</v>
      </c>
      <c r="E101">
        <v>170</v>
      </c>
      <c r="F101">
        <v>0</v>
      </c>
      <c r="G101">
        <f t="shared" si="40"/>
        <v>8.1081081081081086E-2</v>
      </c>
      <c r="H101">
        <f t="shared" si="42"/>
        <v>0.91891891891891897</v>
      </c>
      <c r="I101">
        <f t="shared" si="36"/>
        <v>0</v>
      </c>
      <c r="J101">
        <v>0</v>
      </c>
      <c r="K101">
        <v>90</v>
      </c>
      <c r="L101">
        <v>8</v>
      </c>
      <c r="M101">
        <v>1</v>
      </c>
      <c r="N101">
        <v>1</v>
      </c>
      <c r="O101">
        <v>4</v>
      </c>
      <c r="P101">
        <v>82</v>
      </c>
      <c r="Q101">
        <f t="shared" si="43"/>
        <v>0</v>
      </c>
      <c r="R101">
        <f t="shared" si="44"/>
        <v>0.4838709677419355</v>
      </c>
      <c r="S101">
        <f t="shared" si="45"/>
        <v>4.3010752688172046E-2</v>
      </c>
      <c r="T101">
        <f t="shared" si="37"/>
        <v>5.3763440860215058E-3</v>
      </c>
      <c r="U101">
        <f t="shared" si="38"/>
        <v>2.1505376344086023E-2</v>
      </c>
      <c r="V101">
        <f t="shared" si="39"/>
        <v>0.44086021505376344</v>
      </c>
      <c r="W101">
        <f t="shared" si="41"/>
        <v>5.3763440860215058E-3</v>
      </c>
      <c r="X101">
        <v>8.8650078996513706</v>
      </c>
    </row>
    <row r="102" spans="1:24">
      <c r="A102">
        <v>2012</v>
      </c>
      <c r="B102" t="s">
        <v>524</v>
      </c>
      <c r="C102">
        <v>20</v>
      </c>
      <c r="D102">
        <v>4</v>
      </c>
      <c r="E102">
        <v>97</v>
      </c>
      <c r="F102">
        <v>0</v>
      </c>
      <c r="G102">
        <f t="shared" si="40"/>
        <v>3.9603960396039604E-2</v>
      </c>
      <c r="H102">
        <f t="shared" si="42"/>
        <v>0.96039603960396036</v>
      </c>
      <c r="I102">
        <f t="shared" si="36"/>
        <v>0</v>
      </c>
      <c r="J102">
        <v>0</v>
      </c>
      <c r="K102">
        <v>19</v>
      </c>
      <c r="L102">
        <v>0</v>
      </c>
      <c r="M102">
        <v>1</v>
      </c>
      <c r="N102">
        <v>0</v>
      </c>
      <c r="O102">
        <v>3</v>
      </c>
      <c r="P102">
        <v>79</v>
      </c>
      <c r="Q102">
        <f t="shared" si="43"/>
        <v>0</v>
      </c>
      <c r="R102">
        <f t="shared" si="44"/>
        <v>0.18627450980392157</v>
      </c>
      <c r="S102">
        <f t="shared" si="45"/>
        <v>0</v>
      </c>
      <c r="T102">
        <f t="shared" si="37"/>
        <v>0</v>
      </c>
      <c r="U102">
        <f t="shared" si="38"/>
        <v>2.9411764705882353E-2</v>
      </c>
      <c r="V102">
        <f t="shared" si="39"/>
        <v>0.77450980392156865</v>
      </c>
      <c r="W102">
        <f t="shared" si="41"/>
        <v>9.9009900990099011E-3</v>
      </c>
      <c r="X102">
        <v>5.5564232104932696</v>
      </c>
    </row>
    <row r="103" spans="1:24">
      <c r="A103">
        <v>2012</v>
      </c>
      <c r="B103" t="s">
        <v>525</v>
      </c>
      <c r="C103">
        <v>22</v>
      </c>
      <c r="D103">
        <v>1</v>
      </c>
      <c r="E103">
        <v>65</v>
      </c>
      <c r="F103">
        <v>0</v>
      </c>
      <c r="G103">
        <f t="shared" si="40"/>
        <v>1.5151515151515152E-2</v>
      </c>
      <c r="H103">
        <f t="shared" si="42"/>
        <v>0.98484848484848486</v>
      </c>
      <c r="I103">
        <f t="shared" si="36"/>
        <v>0</v>
      </c>
      <c r="J103">
        <v>2</v>
      </c>
      <c r="K103">
        <v>21</v>
      </c>
      <c r="L103">
        <v>3</v>
      </c>
      <c r="M103">
        <v>0</v>
      </c>
      <c r="N103">
        <v>1</v>
      </c>
      <c r="O103">
        <v>2</v>
      </c>
      <c r="P103">
        <v>37</v>
      </c>
      <c r="Q103">
        <f t="shared" si="43"/>
        <v>3.0303030303030304E-2</v>
      </c>
      <c r="R103">
        <f t="shared" si="44"/>
        <v>0.31818181818181818</v>
      </c>
      <c r="S103">
        <f t="shared" si="45"/>
        <v>4.5454545454545456E-2</v>
      </c>
      <c r="T103">
        <f t="shared" si="37"/>
        <v>1.5151515151515152E-2</v>
      </c>
      <c r="U103">
        <f t="shared" si="38"/>
        <v>3.0303030303030304E-2</v>
      </c>
      <c r="V103">
        <f t="shared" si="39"/>
        <v>0.56060606060606055</v>
      </c>
      <c r="W103">
        <f t="shared" si="41"/>
        <v>0</v>
      </c>
      <c r="X103">
        <v>9.4707924851594001</v>
      </c>
    </row>
    <row r="104" spans="1:24">
      <c r="A104">
        <v>2012</v>
      </c>
      <c r="B104" t="s">
        <v>526</v>
      </c>
      <c r="C104">
        <v>24</v>
      </c>
      <c r="D104">
        <v>1</v>
      </c>
      <c r="E104">
        <v>252</v>
      </c>
      <c r="F104">
        <v>0</v>
      </c>
      <c r="G104">
        <f t="shared" si="40"/>
        <v>3.952569169960474E-3</v>
      </c>
      <c r="H104">
        <f t="shared" si="42"/>
        <v>0.99604743083003955</v>
      </c>
      <c r="I104">
        <f t="shared" si="36"/>
        <v>0</v>
      </c>
      <c r="J104">
        <v>0</v>
      </c>
      <c r="K104">
        <v>42</v>
      </c>
      <c r="L104">
        <v>6</v>
      </c>
      <c r="M104">
        <v>2</v>
      </c>
      <c r="N104">
        <v>0</v>
      </c>
      <c r="O104">
        <v>3</v>
      </c>
      <c r="P104">
        <v>202</v>
      </c>
      <c r="Q104">
        <f t="shared" si="43"/>
        <v>0</v>
      </c>
      <c r="R104">
        <f t="shared" si="44"/>
        <v>0.16470588235294117</v>
      </c>
      <c r="S104">
        <f t="shared" si="45"/>
        <v>2.3529411764705882E-2</v>
      </c>
      <c r="T104">
        <f t="shared" si="37"/>
        <v>0</v>
      </c>
      <c r="U104">
        <f t="shared" si="38"/>
        <v>1.1764705882352941E-2</v>
      </c>
      <c r="V104">
        <f t="shared" si="39"/>
        <v>0.792156862745098</v>
      </c>
      <c r="W104">
        <f t="shared" si="41"/>
        <v>7.9051383399209481E-3</v>
      </c>
      <c r="X104">
        <v>11.7157869245935</v>
      </c>
    </row>
    <row r="105" spans="1:24">
      <c r="A105">
        <v>2012</v>
      </c>
      <c r="B105" t="s">
        <v>527</v>
      </c>
      <c r="C105">
        <v>27</v>
      </c>
      <c r="D105">
        <v>3</v>
      </c>
      <c r="E105">
        <v>706</v>
      </c>
      <c r="F105">
        <v>0</v>
      </c>
      <c r="G105">
        <f t="shared" si="40"/>
        <v>4.2313117066290554E-3</v>
      </c>
      <c r="H105">
        <f t="shared" si="42"/>
        <v>0.99576868829337095</v>
      </c>
      <c r="I105">
        <f t="shared" si="36"/>
        <v>0</v>
      </c>
      <c r="J105">
        <v>0</v>
      </c>
      <c r="K105">
        <v>55</v>
      </c>
      <c r="L105">
        <v>9</v>
      </c>
      <c r="M105">
        <v>0</v>
      </c>
      <c r="N105">
        <v>2</v>
      </c>
      <c r="O105">
        <v>3</v>
      </c>
      <c r="P105">
        <v>640</v>
      </c>
      <c r="Q105">
        <f t="shared" si="43"/>
        <v>0</v>
      </c>
      <c r="R105">
        <f t="shared" si="44"/>
        <v>7.7574047954866013E-2</v>
      </c>
      <c r="S105">
        <f t="shared" si="45"/>
        <v>1.2693935119887164E-2</v>
      </c>
      <c r="T105">
        <f t="shared" si="37"/>
        <v>2.8208744710860366E-3</v>
      </c>
      <c r="U105">
        <f t="shared" si="38"/>
        <v>4.2313117066290554E-3</v>
      </c>
      <c r="V105">
        <f t="shared" si="39"/>
        <v>0.90267983074753178</v>
      </c>
      <c r="W105">
        <f t="shared" si="41"/>
        <v>0</v>
      </c>
      <c r="X105">
        <v>11.396495927881199</v>
      </c>
    </row>
    <row r="106" spans="1:24">
      <c r="A106">
        <v>2012</v>
      </c>
      <c r="B106" t="s">
        <v>528</v>
      </c>
      <c r="C106">
        <v>23</v>
      </c>
      <c r="D106">
        <v>1</v>
      </c>
      <c r="E106">
        <v>101</v>
      </c>
      <c r="F106">
        <v>0</v>
      </c>
      <c r="G106">
        <f t="shared" si="40"/>
        <v>9.8039215686274508E-3</v>
      </c>
      <c r="H106">
        <f t="shared" si="42"/>
        <v>0.99019607843137258</v>
      </c>
      <c r="I106">
        <f t="shared" si="36"/>
        <v>0</v>
      </c>
      <c r="J106">
        <v>0</v>
      </c>
      <c r="K106">
        <v>24</v>
      </c>
      <c r="L106">
        <v>4</v>
      </c>
      <c r="M106">
        <v>0</v>
      </c>
      <c r="N106">
        <v>0</v>
      </c>
      <c r="O106">
        <v>4</v>
      </c>
      <c r="P106">
        <v>70</v>
      </c>
      <c r="Q106">
        <f t="shared" si="43"/>
        <v>0</v>
      </c>
      <c r="R106">
        <f t="shared" si="44"/>
        <v>0.23529411764705882</v>
      </c>
      <c r="S106">
        <f t="shared" si="45"/>
        <v>3.9215686274509803E-2</v>
      </c>
      <c r="T106">
        <f t="shared" si="37"/>
        <v>0</v>
      </c>
      <c r="U106">
        <f t="shared" si="38"/>
        <v>3.9215686274509803E-2</v>
      </c>
      <c r="V106">
        <f t="shared" si="39"/>
        <v>0.68627450980392157</v>
      </c>
      <c r="W106">
        <f t="shared" si="41"/>
        <v>0</v>
      </c>
      <c r="X106">
        <v>8.0187416144336794</v>
      </c>
    </row>
    <row r="107" spans="1:24">
      <c r="A107">
        <v>2012</v>
      </c>
      <c r="B107" t="s">
        <v>529</v>
      </c>
      <c r="C107">
        <v>17</v>
      </c>
      <c r="D107">
        <v>0</v>
      </c>
      <c r="E107">
        <v>24</v>
      </c>
      <c r="F107">
        <v>1</v>
      </c>
      <c r="G107">
        <f t="shared" si="40"/>
        <v>0</v>
      </c>
      <c r="H107">
        <f t="shared" si="42"/>
        <v>0.96</v>
      </c>
      <c r="I107">
        <f t="shared" si="36"/>
        <v>0.04</v>
      </c>
      <c r="J107">
        <v>2</v>
      </c>
      <c r="K107">
        <v>10</v>
      </c>
      <c r="L107">
        <v>0</v>
      </c>
      <c r="M107">
        <v>0</v>
      </c>
      <c r="N107">
        <v>1</v>
      </c>
      <c r="O107">
        <v>1</v>
      </c>
      <c r="P107">
        <v>11</v>
      </c>
      <c r="Q107">
        <f t="shared" si="43"/>
        <v>0.08</v>
      </c>
      <c r="R107">
        <f t="shared" si="44"/>
        <v>0.4</v>
      </c>
      <c r="S107">
        <f t="shared" si="45"/>
        <v>0</v>
      </c>
      <c r="T107">
        <f t="shared" si="37"/>
        <v>0.04</v>
      </c>
      <c r="U107">
        <f t="shared" si="38"/>
        <v>0.04</v>
      </c>
      <c r="V107">
        <f t="shared" si="39"/>
        <v>0.44</v>
      </c>
      <c r="W107">
        <f t="shared" si="41"/>
        <v>0</v>
      </c>
      <c r="X107">
        <v>8.6563072009795494</v>
      </c>
    </row>
    <row r="108" spans="1:24">
      <c r="A108">
        <v>2013</v>
      </c>
      <c r="B108" t="s">
        <v>530</v>
      </c>
      <c r="C108">
        <v>24</v>
      </c>
      <c r="D108">
        <v>1</v>
      </c>
      <c r="E108">
        <v>536</v>
      </c>
      <c r="F108">
        <v>0</v>
      </c>
      <c r="G108">
        <f t="shared" si="40"/>
        <v>1.8621973929236499E-3</v>
      </c>
      <c r="H108">
        <f t="shared" si="42"/>
        <v>0.9981378026070763</v>
      </c>
      <c r="I108">
        <f t="shared" si="36"/>
        <v>0</v>
      </c>
      <c r="J108">
        <v>1</v>
      </c>
      <c r="K108">
        <v>27</v>
      </c>
      <c r="L108">
        <v>4</v>
      </c>
      <c r="M108">
        <v>1</v>
      </c>
      <c r="N108">
        <v>0</v>
      </c>
      <c r="O108">
        <v>2</v>
      </c>
      <c r="P108">
        <v>503</v>
      </c>
      <c r="Q108">
        <f t="shared" si="43"/>
        <v>1.8587360594795538E-3</v>
      </c>
      <c r="R108">
        <f t="shared" si="44"/>
        <v>5.0185873605947957E-2</v>
      </c>
      <c r="S108">
        <f t="shared" si="45"/>
        <v>7.4349442379182153E-3</v>
      </c>
      <c r="T108">
        <f t="shared" si="37"/>
        <v>0</v>
      </c>
      <c r="U108">
        <f t="shared" si="38"/>
        <v>3.7174721189591076E-3</v>
      </c>
      <c r="V108">
        <f t="shared" si="39"/>
        <v>0.93494423791821557</v>
      </c>
      <c r="W108">
        <f t="shared" si="41"/>
        <v>1.8621973929236499E-3</v>
      </c>
      <c r="X108">
        <v>11.1119743793737</v>
      </c>
    </row>
    <row r="109" spans="1:24">
      <c r="A109">
        <v>2013</v>
      </c>
      <c r="B109" t="s">
        <v>531</v>
      </c>
      <c r="C109">
        <v>24</v>
      </c>
      <c r="D109">
        <v>2</v>
      </c>
      <c r="E109">
        <v>179</v>
      </c>
      <c r="F109">
        <v>1</v>
      </c>
      <c r="G109">
        <f t="shared" si="40"/>
        <v>1.098901098901099E-2</v>
      </c>
      <c r="H109">
        <f t="shared" si="42"/>
        <v>0.98351648351648346</v>
      </c>
      <c r="I109">
        <f t="shared" si="36"/>
        <v>5.4945054945054949E-3</v>
      </c>
      <c r="J109">
        <v>0</v>
      </c>
      <c r="K109">
        <v>82</v>
      </c>
      <c r="L109">
        <v>10</v>
      </c>
      <c r="M109">
        <v>0</v>
      </c>
      <c r="N109">
        <v>1</v>
      </c>
      <c r="O109">
        <v>1</v>
      </c>
      <c r="P109">
        <v>88</v>
      </c>
      <c r="Q109">
        <f t="shared" si="43"/>
        <v>0</v>
      </c>
      <c r="R109">
        <f t="shared" si="44"/>
        <v>0.45054945054945056</v>
      </c>
      <c r="S109">
        <f t="shared" si="45"/>
        <v>5.4945054945054944E-2</v>
      </c>
      <c r="T109">
        <f t="shared" si="37"/>
        <v>5.4945054945054949E-3</v>
      </c>
      <c r="U109">
        <f t="shared" si="38"/>
        <v>5.4945054945054949E-3</v>
      </c>
      <c r="V109">
        <f t="shared" si="39"/>
        <v>0.48351648351648352</v>
      </c>
      <c r="W109">
        <f t="shared" si="41"/>
        <v>0</v>
      </c>
      <c r="X109">
        <v>10.498534992299099</v>
      </c>
    </row>
    <row r="110" spans="1:24">
      <c r="A110">
        <v>2013</v>
      </c>
      <c r="B110" t="s">
        <v>532</v>
      </c>
      <c r="C110">
        <v>26</v>
      </c>
      <c r="D110">
        <v>1</v>
      </c>
      <c r="E110">
        <v>576</v>
      </c>
      <c r="F110">
        <v>0</v>
      </c>
      <c r="G110">
        <f t="shared" si="40"/>
        <v>1.7331022530329288E-3</v>
      </c>
      <c r="H110">
        <f t="shared" si="42"/>
        <v>0.99826689774696709</v>
      </c>
      <c r="I110">
        <f t="shared" si="36"/>
        <v>0</v>
      </c>
      <c r="J110">
        <v>2</v>
      </c>
      <c r="K110">
        <v>95</v>
      </c>
      <c r="L110">
        <v>12</v>
      </c>
      <c r="M110">
        <v>0</v>
      </c>
      <c r="N110">
        <v>3</v>
      </c>
      <c r="O110">
        <v>3</v>
      </c>
      <c r="P110">
        <v>462</v>
      </c>
      <c r="Q110">
        <f t="shared" si="43"/>
        <v>3.4662045060658577E-3</v>
      </c>
      <c r="R110">
        <f t="shared" si="44"/>
        <v>0.16464471403812825</v>
      </c>
      <c r="S110">
        <f t="shared" si="45"/>
        <v>2.0797227036395149E-2</v>
      </c>
      <c r="T110">
        <f t="shared" si="37"/>
        <v>5.1993067590987872E-3</v>
      </c>
      <c r="U110">
        <f t="shared" si="38"/>
        <v>5.1993067590987872E-3</v>
      </c>
      <c r="V110">
        <f t="shared" si="39"/>
        <v>0.80069324090121319</v>
      </c>
      <c r="W110">
        <f t="shared" si="41"/>
        <v>0</v>
      </c>
      <c r="X110">
        <v>11.0044799737363</v>
      </c>
    </row>
    <row r="111" spans="1:24">
      <c r="A111">
        <v>2013</v>
      </c>
      <c r="B111" t="s">
        <v>533</v>
      </c>
      <c r="C111">
        <v>27</v>
      </c>
      <c r="D111">
        <v>2</v>
      </c>
      <c r="E111">
        <v>254</v>
      </c>
      <c r="F111">
        <v>0</v>
      </c>
      <c r="G111">
        <f t="shared" si="40"/>
        <v>7.8125E-3</v>
      </c>
      <c r="H111">
        <f t="shared" si="42"/>
        <v>0.9921875</v>
      </c>
      <c r="I111">
        <f t="shared" si="36"/>
        <v>0</v>
      </c>
      <c r="J111">
        <v>0</v>
      </c>
      <c r="K111">
        <v>42</v>
      </c>
      <c r="L111">
        <v>12</v>
      </c>
      <c r="M111">
        <v>1</v>
      </c>
      <c r="N111">
        <v>1</v>
      </c>
      <c r="O111">
        <v>10</v>
      </c>
      <c r="P111">
        <v>191</v>
      </c>
      <c r="Q111">
        <f t="shared" si="43"/>
        <v>0</v>
      </c>
      <c r="R111">
        <f t="shared" si="44"/>
        <v>0.16342412451361868</v>
      </c>
      <c r="S111">
        <f t="shared" si="45"/>
        <v>4.6692607003891051E-2</v>
      </c>
      <c r="T111">
        <f t="shared" si="37"/>
        <v>3.8910505836575876E-3</v>
      </c>
      <c r="U111">
        <f t="shared" si="38"/>
        <v>3.8910505836575876E-2</v>
      </c>
      <c r="V111">
        <f t="shared" si="39"/>
        <v>0.74319066147859925</v>
      </c>
      <c r="W111">
        <f t="shared" si="41"/>
        <v>3.8910505836575876E-3</v>
      </c>
      <c r="X111">
        <v>13.2719149612092</v>
      </c>
    </row>
    <row r="112" spans="1:24">
      <c r="A112">
        <v>2013</v>
      </c>
      <c r="B112" t="s">
        <v>534</v>
      </c>
      <c r="C112">
        <v>18</v>
      </c>
      <c r="D112">
        <v>0</v>
      </c>
      <c r="E112">
        <v>119</v>
      </c>
      <c r="F112">
        <v>0</v>
      </c>
      <c r="G112">
        <f t="shared" si="40"/>
        <v>0</v>
      </c>
      <c r="H112">
        <f t="shared" si="42"/>
        <v>1</v>
      </c>
      <c r="I112">
        <f t="shared" si="36"/>
        <v>0</v>
      </c>
      <c r="J112">
        <v>0</v>
      </c>
      <c r="K112">
        <v>36</v>
      </c>
      <c r="L112">
        <v>8</v>
      </c>
      <c r="M112">
        <v>0</v>
      </c>
      <c r="N112">
        <v>1</v>
      </c>
      <c r="O112">
        <v>1</v>
      </c>
      <c r="P112">
        <v>73</v>
      </c>
      <c r="Q112">
        <f t="shared" si="43"/>
        <v>0</v>
      </c>
      <c r="R112">
        <f t="shared" si="44"/>
        <v>0.30252100840336132</v>
      </c>
      <c r="S112">
        <f t="shared" si="45"/>
        <v>6.7226890756302518E-2</v>
      </c>
      <c r="T112">
        <f t="shared" si="37"/>
        <v>8.4033613445378148E-3</v>
      </c>
      <c r="U112">
        <f t="shared" si="38"/>
        <v>8.4033613445378148E-3</v>
      </c>
      <c r="V112">
        <f t="shared" si="39"/>
        <v>0.61344537815126055</v>
      </c>
      <c r="W112">
        <f t="shared" si="41"/>
        <v>0</v>
      </c>
      <c r="X112">
        <v>6.2055076441240899</v>
      </c>
    </row>
    <row r="113" spans="1:24">
      <c r="A113">
        <v>2013</v>
      </c>
      <c r="B113" t="s">
        <v>535</v>
      </c>
      <c r="C113">
        <v>28</v>
      </c>
      <c r="D113">
        <v>5</v>
      </c>
      <c r="E113">
        <v>395</v>
      </c>
      <c r="F113">
        <v>1</v>
      </c>
      <c r="G113">
        <f t="shared" si="40"/>
        <v>1.2468827930174564E-2</v>
      </c>
      <c r="H113">
        <f t="shared" si="42"/>
        <v>0.98503740648379057</v>
      </c>
      <c r="I113">
        <f t="shared" si="36"/>
        <v>2.4937655860349127E-3</v>
      </c>
      <c r="J113">
        <v>2</v>
      </c>
      <c r="K113">
        <v>134</v>
      </c>
      <c r="L113">
        <v>10</v>
      </c>
      <c r="M113">
        <v>0</v>
      </c>
      <c r="N113">
        <v>1</v>
      </c>
      <c r="O113">
        <v>1</v>
      </c>
      <c r="P113">
        <v>253</v>
      </c>
      <c r="Q113">
        <f t="shared" si="43"/>
        <v>4.9875311720698253E-3</v>
      </c>
      <c r="R113">
        <f t="shared" si="44"/>
        <v>0.33416458852867831</v>
      </c>
      <c r="S113">
        <f t="shared" si="45"/>
        <v>2.4937655860349128E-2</v>
      </c>
      <c r="T113">
        <f t="shared" si="37"/>
        <v>2.4937655860349127E-3</v>
      </c>
      <c r="U113">
        <f t="shared" si="38"/>
        <v>2.4937655860349127E-3</v>
      </c>
      <c r="V113">
        <f t="shared" si="39"/>
        <v>0.63092269326683292</v>
      </c>
      <c r="W113">
        <f t="shared" si="41"/>
        <v>0</v>
      </c>
      <c r="X113">
        <v>13.130037415344001</v>
      </c>
    </row>
    <row r="114" spans="1:24">
      <c r="A114">
        <v>2014</v>
      </c>
      <c r="B114" t="s">
        <v>536</v>
      </c>
      <c r="C114">
        <v>34</v>
      </c>
      <c r="D114">
        <v>12</v>
      </c>
      <c r="E114">
        <v>231</v>
      </c>
      <c r="F114">
        <v>0</v>
      </c>
      <c r="G114">
        <f t="shared" si="40"/>
        <v>4.9382716049382713E-2</v>
      </c>
      <c r="H114">
        <f t="shared" si="42"/>
        <v>0.95061728395061729</v>
      </c>
      <c r="I114">
        <f t="shared" si="36"/>
        <v>0</v>
      </c>
      <c r="J114">
        <v>0</v>
      </c>
      <c r="K114">
        <v>21</v>
      </c>
      <c r="L114">
        <v>11</v>
      </c>
      <c r="M114">
        <v>1</v>
      </c>
      <c r="N114">
        <v>1</v>
      </c>
      <c r="O114">
        <v>0</v>
      </c>
      <c r="P114">
        <v>210</v>
      </c>
      <c r="Q114">
        <f t="shared" si="43"/>
        <v>0</v>
      </c>
      <c r="R114">
        <f t="shared" si="44"/>
        <v>8.6065573770491802E-2</v>
      </c>
      <c r="S114">
        <f t="shared" si="45"/>
        <v>4.5081967213114756E-2</v>
      </c>
      <c r="T114">
        <f t="shared" si="37"/>
        <v>4.0983606557377051E-3</v>
      </c>
      <c r="U114">
        <f t="shared" si="38"/>
        <v>0</v>
      </c>
      <c r="V114">
        <f t="shared" si="39"/>
        <v>0.86065573770491799</v>
      </c>
      <c r="W114">
        <f t="shared" si="41"/>
        <v>4.0983606557377051E-3</v>
      </c>
      <c r="X114">
        <v>16.442912364552601</v>
      </c>
    </row>
    <row r="115" spans="1:24">
      <c r="A115">
        <v>2014</v>
      </c>
      <c r="B115" t="s">
        <v>537</v>
      </c>
      <c r="C115">
        <v>39</v>
      </c>
      <c r="D115">
        <v>12</v>
      </c>
      <c r="E115">
        <v>1050</v>
      </c>
      <c r="F115">
        <v>2</v>
      </c>
      <c r="G115">
        <f t="shared" si="40"/>
        <v>1.1278195488721804E-2</v>
      </c>
      <c r="H115">
        <f t="shared" si="42"/>
        <v>0.98684210526315785</v>
      </c>
      <c r="I115">
        <f t="shared" si="36"/>
        <v>1.8796992481203006E-3</v>
      </c>
      <c r="J115">
        <v>0</v>
      </c>
      <c r="K115">
        <v>88</v>
      </c>
      <c r="L115">
        <v>29</v>
      </c>
      <c r="M115">
        <v>1</v>
      </c>
      <c r="N115">
        <v>6</v>
      </c>
      <c r="O115">
        <v>3</v>
      </c>
      <c r="P115">
        <v>938</v>
      </c>
      <c r="Q115">
        <f t="shared" si="43"/>
        <v>0</v>
      </c>
      <c r="R115">
        <f t="shared" si="44"/>
        <v>8.2629107981220654E-2</v>
      </c>
      <c r="S115">
        <f t="shared" si="45"/>
        <v>2.7230046948356807E-2</v>
      </c>
      <c r="T115">
        <f t="shared" si="37"/>
        <v>5.6338028169014088E-3</v>
      </c>
      <c r="U115">
        <f t="shared" si="38"/>
        <v>2.8169014084507044E-3</v>
      </c>
      <c r="V115">
        <f t="shared" si="39"/>
        <v>0.8807511737089202</v>
      </c>
      <c r="W115">
        <f t="shared" si="41"/>
        <v>9.3457943925233649E-4</v>
      </c>
      <c r="X115">
        <v>16.126417322421698</v>
      </c>
    </row>
    <row r="116" spans="1:24">
      <c r="A116">
        <v>2014</v>
      </c>
      <c r="B116" t="s">
        <v>538</v>
      </c>
      <c r="C116">
        <v>28</v>
      </c>
      <c r="D116">
        <v>2</v>
      </c>
      <c r="E116">
        <v>288</v>
      </c>
      <c r="F116">
        <v>0</v>
      </c>
      <c r="G116">
        <f t="shared" si="40"/>
        <v>6.8965517241379309E-3</v>
      </c>
      <c r="H116">
        <f t="shared" si="42"/>
        <v>0.99310344827586206</v>
      </c>
      <c r="I116">
        <f t="shared" si="36"/>
        <v>0</v>
      </c>
      <c r="J116">
        <v>0</v>
      </c>
      <c r="K116">
        <v>95</v>
      </c>
      <c r="L116">
        <v>10</v>
      </c>
      <c r="M116">
        <v>1</v>
      </c>
      <c r="N116">
        <v>1</v>
      </c>
      <c r="O116">
        <v>1</v>
      </c>
      <c r="P116">
        <v>183</v>
      </c>
      <c r="Q116">
        <f t="shared" si="43"/>
        <v>0</v>
      </c>
      <c r="R116">
        <f t="shared" si="44"/>
        <v>0.32646048109965636</v>
      </c>
      <c r="S116">
        <f t="shared" si="45"/>
        <v>3.4364261168384883E-2</v>
      </c>
      <c r="T116">
        <f t="shared" si="37"/>
        <v>3.4364261168384879E-3</v>
      </c>
      <c r="U116">
        <f t="shared" si="38"/>
        <v>3.4364261168384879E-3</v>
      </c>
      <c r="V116">
        <f t="shared" si="39"/>
        <v>0.62886597938144329</v>
      </c>
      <c r="W116">
        <f t="shared" si="41"/>
        <v>3.4364261168384879E-3</v>
      </c>
      <c r="X116">
        <v>13.123414366959899</v>
      </c>
    </row>
    <row r="117" spans="1:24">
      <c r="A117">
        <v>2014</v>
      </c>
      <c r="B117" t="s">
        <v>539</v>
      </c>
      <c r="C117">
        <v>21</v>
      </c>
      <c r="D117">
        <v>0</v>
      </c>
      <c r="E117">
        <v>67</v>
      </c>
      <c r="F117">
        <v>0</v>
      </c>
      <c r="G117">
        <f t="shared" si="40"/>
        <v>0</v>
      </c>
      <c r="H117">
        <f t="shared" si="42"/>
        <v>1</v>
      </c>
      <c r="I117">
        <f t="shared" si="36"/>
        <v>0</v>
      </c>
      <c r="J117">
        <v>0</v>
      </c>
      <c r="K117">
        <v>29</v>
      </c>
      <c r="L117">
        <v>3</v>
      </c>
      <c r="M117">
        <v>2</v>
      </c>
      <c r="N117">
        <v>0</v>
      </c>
      <c r="O117">
        <v>3</v>
      </c>
      <c r="P117">
        <v>32</v>
      </c>
      <c r="Q117">
        <f t="shared" si="43"/>
        <v>0</v>
      </c>
      <c r="R117">
        <f t="shared" si="44"/>
        <v>0.42028985507246375</v>
      </c>
      <c r="S117">
        <f t="shared" si="45"/>
        <v>4.3478260869565216E-2</v>
      </c>
      <c r="T117">
        <f t="shared" si="37"/>
        <v>0</v>
      </c>
      <c r="U117">
        <f t="shared" si="38"/>
        <v>4.3478260869565216E-2</v>
      </c>
      <c r="V117">
        <f t="shared" si="39"/>
        <v>0.46376811594202899</v>
      </c>
      <c r="W117">
        <f t="shared" si="41"/>
        <v>2.9850746268656716E-2</v>
      </c>
      <c r="X117">
        <v>5.87732410042869</v>
      </c>
    </row>
    <row r="118" spans="1:24">
      <c r="A118">
        <v>2014</v>
      </c>
      <c r="B118" t="s">
        <v>540</v>
      </c>
      <c r="C118">
        <v>10</v>
      </c>
      <c r="D118">
        <v>0</v>
      </c>
      <c r="E118">
        <v>41</v>
      </c>
      <c r="F118">
        <v>0</v>
      </c>
      <c r="G118">
        <f t="shared" si="40"/>
        <v>0</v>
      </c>
      <c r="H118">
        <f t="shared" si="42"/>
        <v>1</v>
      </c>
      <c r="I118">
        <f t="shared" si="36"/>
        <v>0</v>
      </c>
      <c r="J118">
        <v>0</v>
      </c>
      <c r="K118">
        <v>18</v>
      </c>
      <c r="L118">
        <v>2</v>
      </c>
      <c r="M118">
        <v>0</v>
      </c>
      <c r="N118">
        <v>0</v>
      </c>
      <c r="O118">
        <v>0</v>
      </c>
      <c r="P118">
        <v>21</v>
      </c>
      <c r="Q118">
        <f t="shared" si="43"/>
        <v>0</v>
      </c>
      <c r="R118">
        <f t="shared" si="44"/>
        <v>0.43902439024390244</v>
      </c>
      <c r="S118">
        <f t="shared" si="45"/>
        <v>4.878048780487805E-2</v>
      </c>
      <c r="T118">
        <f t="shared" si="37"/>
        <v>0</v>
      </c>
      <c r="U118">
        <f t="shared" si="38"/>
        <v>0</v>
      </c>
      <c r="V118">
        <f t="shared" si="39"/>
        <v>0.51219512195121952</v>
      </c>
      <c r="W118">
        <f t="shared" si="41"/>
        <v>0</v>
      </c>
      <c r="X118">
        <v>4.43400857212806</v>
      </c>
    </row>
    <row r="119" spans="1:24">
      <c r="A119">
        <v>2014</v>
      </c>
      <c r="B119" t="s">
        <v>541</v>
      </c>
      <c r="C119">
        <v>17</v>
      </c>
      <c r="D119">
        <v>5</v>
      </c>
      <c r="E119">
        <v>46</v>
      </c>
      <c r="F119">
        <v>0</v>
      </c>
      <c r="G119">
        <f t="shared" si="40"/>
        <v>9.8039215686274508E-2</v>
      </c>
      <c r="H119">
        <f t="shared" si="42"/>
        <v>0.90196078431372551</v>
      </c>
      <c r="I119">
        <f t="shared" si="36"/>
        <v>0</v>
      </c>
      <c r="J119">
        <v>0</v>
      </c>
      <c r="K119">
        <v>13</v>
      </c>
      <c r="L119">
        <v>4</v>
      </c>
      <c r="M119">
        <v>1</v>
      </c>
      <c r="N119">
        <v>0</v>
      </c>
      <c r="O119">
        <v>1</v>
      </c>
      <c r="P119">
        <v>33</v>
      </c>
      <c r="Q119">
        <f t="shared" si="43"/>
        <v>0</v>
      </c>
      <c r="R119">
        <f t="shared" si="44"/>
        <v>0.25</v>
      </c>
      <c r="S119">
        <f t="shared" si="45"/>
        <v>7.6923076923076927E-2</v>
      </c>
      <c r="T119">
        <f t="shared" si="37"/>
        <v>0</v>
      </c>
      <c r="U119">
        <f t="shared" si="38"/>
        <v>1.9230769230769232E-2</v>
      </c>
      <c r="V119">
        <f t="shared" si="39"/>
        <v>0.63461538461538458</v>
      </c>
      <c r="W119">
        <f t="shared" si="41"/>
        <v>1.9607843137254902E-2</v>
      </c>
      <c r="X119">
        <v>6.0877505334742699</v>
      </c>
    </row>
    <row r="120" spans="1:24">
      <c r="A120">
        <v>2015</v>
      </c>
      <c r="B120" t="s">
        <v>542</v>
      </c>
      <c r="C120">
        <v>21</v>
      </c>
      <c r="D120">
        <v>0</v>
      </c>
      <c r="E120">
        <v>53</v>
      </c>
      <c r="F120">
        <v>0</v>
      </c>
      <c r="G120">
        <f t="shared" si="40"/>
        <v>0</v>
      </c>
      <c r="H120">
        <f t="shared" si="42"/>
        <v>1</v>
      </c>
      <c r="I120">
        <f t="shared" si="36"/>
        <v>0</v>
      </c>
      <c r="J120">
        <v>0</v>
      </c>
      <c r="K120">
        <v>14</v>
      </c>
      <c r="L120">
        <v>4</v>
      </c>
      <c r="M120">
        <v>2</v>
      </c>
      <c r="N120">
        <v>1</v>
      </c>
      <c r="O120">
        <v>0</v>
      </c>
      <c r="P120">
        <v>34</v>
      </c>
      <c r="Q120">
        <f t="shared" si="43"/>
        <v>0</v>
      </c>
      <c r="R120">
        <f t="shared" si="44"/>
        <v>0.25454545454545452</v>
      </c>
      <c r="S120">
        <f t="shared" si="45"/>
        <v>7.2727272727272724E-2</v>
      </c>
      <c r="T120">
        <f t="shared" si="37"/>
        <v>1.8181818181818181E-2</v>
      </c>
      <c r="U120">
        <f t="shared" si="38"/>
        <v>0</v>
      </c>
      <c r="V120">
        <f t="shared" si="39"/>
        <v>0.61818181818181817</v>
      </c>
      <c r="W120">
        <f t="shared" si="41"/>
        <v>3.7037037037037035E-2</v>
      </c>
      <c r="X120">
        <v>9.0990458731168804</v>
      </c>
    </row>
    <row r="121" spans="1:24">
      <c r="A121">
        <v>2015</v>
      </c>
      <c r="B121" t="s">
        <v>543</v>
      </c>
      <c r="C121">
        <v>37</v>
      </c>
      <c r="D121">
        <v>1</v>
      </c>
      <c r="E121">
        <v>399</v>
      </c>
      <c r="F121">
        <v>2</v>
      </c>
      <c r="G121">
        <f t="shared" si="40"/>
        <v>2.4875621890547263E-3</v>
      </c>
      <c r="H121">
        <f t="shared" si="42"/>
        <v>0.9925373134328358</v>
      </c>
      <c r="I121">
        <f t="shared" si="36"/>
        <v>4.9751243781094526E-3</v>
      </c>
      <c r="J121">
        <v>0</v>
      </c>
      <c r="K121">
        <v>94</v>
      </c>
      <c r="L121">
        <v>10</v>
      </c>
      <c r="M121">
        <v>7</v>
      </c>
      <c r="N121">
        <v>5</v>
      </c>
      <c r="O121">
        <v>0</v>
      </c>
      <c r="P121">
        <v>288</v>
      </c>
      <c r="Q121">
        <f t="shared" si="43"/>
        <v>0</v>
      </c>
      <c r="R121">
        <f t="shared" si="44"/>
        <v>0.23267326732673269</v>
      </c>
      <c r="S121">
        <f t="shared" si="45"/>
        <v>2.4752475247524754E-2</v>
      </c>
      <c r="T121">
        <f t="shared" si="37"/>
        <v>1.2376237623762377E-2</v>
      </c>
      <c r="U121">
        <f t="shared" si="38"/>
        <v>0</v>
      </c>
      <c r="V121">
        <f t="shared" si="39"/>
        <v>0.71287128712871284</v>
      </c>
      <c r="W121">
        <f t="shared" si="41"/>
        <v>1.7412935323383085E-2</v>
      </c>
      <c r="X121">
        <v>16.7027265170763</v>
      </c>
    </row>
    <row r="122" spans="1:24">
      <c r="A122">
        <v>2015</v>
      </c>
      <c r="B122" t="s">
        <v>544</v>
      </c>
      <c r="C122">
        <v>16</v>
      </c>
      <c r="D122">
        <v>2</v>
      </c>
      <c r="E122">
        <v>106</v>
      </c>
      <c r="F122">
        <v>2</v>
      </c>
      <c r="G122">
        <f t="shared" si="40"/>
        <v>1.8181818181818181E-2</v>
      </c>
      <c r="H122">
        <f t="shared" si="42"/>
        <v>0.96363636363636362</v>
      </c>
      <c r="I122">
        <f t="shared" si="36"/>
        <v>1.8181818181818181E-2</v>
      </c>
      <c r="J122">
        <v>0</v>
      </c>
      <c r="K122">
        <v>41</v>
      </c>
      <c r="L122">
        <v>3</v>
      </c>
      <c r="M122">
        <v>0</v>
      </c>
      <c r="N122">
        <v>1</v>
      </c>
      <c r="O122">
        <v>3</v>
      </c>
      <c r="P122">
        <v>62</v>
      </c>
      <c r="Q122">
        <f t="shared" si="43"/>
        <v>0</v>
      </c>
      <c r="R122">
        <f t="shared" si="44"/>
        <v>0.37272727272727274</v>
      </c>
      <c r="S122">
        <f t="shared" si="45"/>
        <v>2.7272727272727271E-2</v>
      </c>
      <c r="T122">
        <f t="shared" si="37"/>
        <v>9.0909090909090905E-3</v>
      </c>
      <c r="U122">
        <f t="shared" si="38"/>
        <v>2.7272727272727271E-2</v>
      </c>
      <c r="V122">
        <f t="shared" si="39"/>
        <v>0.5636363636363636</v>
      </c>
      <c r="W122">
        <f t="shared" si="41"/>
        <v>0</v>
      </c>
      <c r="X122">
        <v>3.9360693750614599</v>
      </c>
    </row>
    <row r="123" spans="1:24">
      <c r="A123">
        <v>2015</v>
      </c>
      <c r="B123" t="s">
        <v>545</v>
      </c>
      <c r="C123">
        <v>37</v>
      </c>
      <c r="D123">
        <v>22</v>
      </c>
      <c r="E123">
        <v>97</v>
      </c>
      <c r="F123">
        <v>9</v>
      </c>
      <c r="G123">
        <f t="shared" si="40"/>
        <v>0.171875</v>
      </c>
      <c r="H123">
        <f t="shared" si="42"/>
        <v>0.7578125</v>
      </c>
      <c r="I123">
        <f t="shared" si="36"/>
        <v>7.03125E-2</v>
      </c>
      <c r="J123">
        <v>3</v>
      </c>
      <c r="K123">
        <v>36</v>
      </c>
      <c r="L123">
        <v>11</v>
      </c>
      <c r="M123">
        <v>2</v>
      </c>
      <c r="N123">
        <v>2</v>
      </c>
      <c r="O123">
        <v>0</v>
      </c>
      <c r="P123">
        <v>76</v>
      </c>
      <c r="Q123">
        <f t="shared" si="43"/>
        <v>2.3076923076923078E-2</v>
      </c>
      <c r="R123">
        <f t="shared" si="44"/>
        <v>0.27692307692307694</v>
      </c>
      <c r="S123">
        <f t="shared" si="45"/>
        <v>8.461538461538462E-2</v>
      </c>
      <c r="T123">
        <f t="shared" si="37"/>
        <v>1.5384615384615385E-2</v>
      </c>
      <c r="U123">
        <f t="shared" si="38"/>
        <v>0</v>
      </c>
      <c r="V123">
        <f t="shared" si="39"/>
        <v>0.58461538461538465</v>
      </c>
      <c r="W123">
        <f t="shared" si="41"/>
        <v>1.5384615384615385E-2</v>
      </c>
      <c r="X123">
        <v>14.3979512499559</v>
      </c>
    </row>
    <row r="124" spans="1:24">
      <c r="A124">
        <v>2015</v>
      </c>
      <c r="B124" t="s">
        <v>546</v>
      </c>
      <c r="C124">
        <v>17</v>
      </c>
      <c r="D124">
        <v>4</v>
      </c>
      <c r="E124">
        <v>14</v>
      </c>
      <c r="F124">
        <v>3</v>
      </c>
      <c r="G124">
        <f t="shared" si="40"/>
        <v>0.19047619047619047</v>
      </c>
      <c r="H124">
        <f t="shared" si="42"/>
        <v>0.66666666666666663</v>
      </c>
      <c r="I124">
        <f t="shared" si="36"/>
        <v>0.14285714285714285</v>
      </c>
      <c r="J124">
        <v>0</v>
      </c>
      <c r="K124">
        <v>7</v>
      </c>
      <c r="L124">
        <v>8</v>
      </c>
      <c r="M124">
        <v>1</v>
      </c>
      <c r="N124">
        <v>0</v>
      </c>
      <c r="O124">
        <v>0</v>
      </c>
      <c r="P124">
        <v>6</v>
      </c>
      <c r="Q124">
        <f t="shared" si="43"/>
        <v>0</v>
      </c>
      <c r="R124">
        <f t="shared" si="44"/>
        <v>0.31818181818181818</v>
      </c>
      <c r="S124">
        <f t="shared" si="45"/>
        <v>0.36363636363636365</v>
      </c>
      <c r="T124">
        <f t="shared" si="37"/>
        <v>0</v>
      </c>
      <c r="U124">
        <f t="shared" si="38"/>
        <v>0</v>
      </c>
      <c r="V124">
        <f t="shared" si="39"/>
        <v>0.27272727272727271</v>
      </c>
      <c r="W124">
        <f t="shared" si="41"/>
        <v>4.7619047619047616E-2</v>
      </c>
      <c r="X124">
        <v>7.9350461858454198</v>
      </c>
    </row>
    <row r="125" spans="1:24">
      <c r="A125">
        <v>2015</v>
      </c>
      <c r="B125" t="s">
        <v>547</v>
      </c>
      <c r="C125">
        <v>17</v>
      </c>
      <c r="D125">
        <v>4</v>
      </c>
      <c r="E125">
        <v>39</v>
      </c>
      <c r="F125">
        <v>4</v>
      </c>
      <c r="G125">
        <f t="shared" si="40"/>
        <v>8.5106382978723402E-2</v>
      </c>
      <c r="H125">
        <f t="shared" si="42"/>
        <v>0.82978723404255317</v>
      </c>
      <c r="I125">
        <f t="shared" si="36"/>
        <v>8.5106382978723402E-2</v>
      </c>
      <c r="J125">
        <v>0</v>
      </c>
      <c r="K125">
        <v>10</v>
      </c>
      <c r="L125">
        <v>8</v>
      </c>
      <c r="M125">
        <v>1</v>
      </c>
      <c r="N125">
        <v>0</v>
      </c>
      <c r="O125">
        <v>1</v>
      </c>
      <c r="P125">
        <v>28</v>
      </c>
      <c r="Q125">
        <f t="shared" si="43"/>
        <v>0</v>
      </c>
      <c r="R125">
        <f t="shared" si="44"/>
        <v>0.20833333333333334</v>
      </c>
      <c r="S125">
        <f t="shared" si="45"/>
        <v>0.16666666666666666</v>
      </c>
      <c r="T125">
        <f t="shared" si="37"/>
        <v>0</v>
      </c>
      <c r="U125">
        <f t="shared" si="38"/>
        <v>2.0833333333333332E-2</v>
      </c>
      <c r="V125">
        <f t="shared" si="39"/>
        <v>0.58333333333333337</v>
      </c>
      <c r="W125">
        <f t="shared" si="41"/>
        <v>2.1276595744680851E-2</v>
      </c>
      <c r="X125">
        <v>6.9692427663655003</v>
      </c>
    </row>
    <row r="126" spans="1:24">
      <c r="A126">
        <v>2015</v>
      </c>
      <c r="B126" t="s">
        <v>548</v>
      </c>
      <c r="C126">
        <v>35</v>
      </c>
      <c r="D126">
        <v>2</v>
      </c>
      <c r="E126">
        <v>199</v>
      </c>
      <c r="F126">
        <v>2</v>
      </c>
      <c r="G126">
        <f t="shared" si="40"/>
        <v>9.852216748768473E-3</v>
      </c>
      <c r="H126">
        <f t="shared" si="42"/>
        <v>0.98029556650246308</v>
      </c>
      <c r="I126">
        <f t="shared" si="36"/>
        <v>9.852216748768473E-3</v>
      </c>
      <c r="J126">
        <v>3</v>
      </c>
      <c r="K126">
        <v>60</v>
      </c>
      <c r="L126">
        <v>5</v>
      </c>
      <c r="M126">
        <v>2</v>
      </c>
      <c r="N126">
        <v>0</v>
      </c>
      <c r="O126">
        <v>1</v>
      </c>
      <c r="P126">
        <v>134</v>
      </c>
      <c r="Q126">
        <f t="shared" si="43"/>
        <v>1.4634146341463415E-2</v>
      </c>
      <c r="R126">
        <f t="shared" si="44"/>
        <v>0.29268292682926828</v>
      </c>
      <c r="S126">
        <f t="shared" si="45"/>
        <v>2.4390243902439025E-2</v>
      </c>
      <c r="T126">
        <f t="shared" si="37"/>
        <v>0</v>
      </c>
      <c r="U126">
        <f t="shared" si="38"/>
        <v>4.8780487804878049E-3</v>
      </c>
      <c r="V126">
        <f t="shared" si="39"/>
        <v>0.65365853658536588</v>
      </c>
      <c r="W126">
        <f t="shared" si="41"/>
        <v>9.852216748768473E-3</v>
      </c>
      <c r="X126">
        <v>15.6983145349444</v>
      </c>
    </row>
    <row r="127" spans="1:24">
      <c r="A127">
        <v>2016</v>
      </c>
      <c r="B127" t="s">
        <v>549</v>
      </c>
      <c r="C127">
        <v>33</v>
      </c>
      <c r="D127">
        <v>13</v>
      </c>
      <c r="E127">
        <v>86</v>
      </c>
      <c r="F127">
        <v>0</v>
      </c>
      <c r="G127">
        <f t="shared" si="40"/>
        <v>0.13131313131313133</v>
      </c>
      <c r="H127">
        <f t="shared" si="42"/>
        <v>0.86868686868686873</v>
      </c>
      <c r="I127">
        <f t="shared" si="36"/>
        <v>0</v>
      </c>
      <c r="J127">
        <v>3</v>
      </c>
      <c r="K127">
        <v>55</v>
      </c>
      <c r="L127">
        <v>14</v>
      </c>
      <c r="M127">
        <v>1</v>
      </c>
      <c r="N127">
        <v>1</v>
      </c>
      <c r="O127">
        <v>4</v>
      </c>
      <c r="P127">
        <v>22</v>
      </c>
      <c r="Q127">
        <f t="shared" si="43"/>
        <v>0.03</v>
      </c>
      <c r="R127">
        <f t="shared" si="44"/>
        <v>0.55000000000000004</v>
      </c>
      <c r="S127">
        <f t="shared" si="45"/>
        <v>0.14000000000000001</v>
      </c>
      <c r="T127">
        <f t="shared" si="37"/>
        <v>0.01</v>
      </c>
      <c r="U127">
        <f t="shared" si="38"/>
        <v>0.04</v>
      </c>
      <c r="V127">
        <f t="shared" si="39"/>
        <v>0.22</v>
      </c>
      <c r="W127">
        <f t="shared" si="41"/>
        <v>0.01</v>
      </c>
      <c r="X127">
        <v>9.0110638508724108</v>
      </c>
    </row>
    <row r="128" spans="1:24">
      <c r="A128">
        <v>2016</v>
      </c>
      <c r="B128" t="s">
        <v>550</v>
      </c>
      <c r="C128">
        <v>33</v>
      </c>
      <c r="D128">
        <v>7</v>
      </c>
      <c r="E128">
        <v>82</v>
      </c>
      <c r="F128">
        <v>0</v>
      </c>
      <c r="G128">
        <f t="shared" si="40"/>
        <v>7.8651685393258425E-2</v>
      </c>
      <c r="H128">
        <f t="shared" si="42"/>
        <v>0.9213483146067416</v>
      </c>
      <c r="I128">
        <f t="shared" si="36"/>
        <v>0</v>
      </c>
      <c r="J128">
        <v>5</v>
      </c>
      <c r="K128">
        <v>48</v>
      </c>
      <c r="L128">
        <v>6</v>
      </c>
      <c r="M128">
        <v>2</v>
      </c>
      <c r="N128">
        <v>3</v>
      </c>
      <c r="O128">
        <v>1</v>
      </c>
      <c r="P128">
        <v>25</v>
      </c>
      <c r="Q128">
        <f t="shared" si="43"/>
        <v>5.5555555555555552E-2</v>
      </c>
      <c r="R128">
        <f t="shared" si="44"/>
        <v>0.53333333333333333</v>
      </c>
      <c r="S128">
        <f t="shared" si="45"/>
        <v>6.6666666666666666E-2</v>
      </c>
      <c r="T128">
        <f t="shared" si="37"/>
        <v>3.3333333333333333E-2</v>
      </c>
      <c r="U128">
        <f t="shared" si="38"/>
        <v>1.1111111111111112E-2</v>
      </c>
      <c r="V128">
        <f t="shared" si="39"/>
        <v>0.27777777777777779</v>
      </c>
      <c r="W128">
        <f t="shared" si="41"/>
        <v>2.197802197802198E-2</v>
      </c>
      <c r="X128">
        <v>14.976484344983101</v>
      </c>
    </row>
    <row r="129" spans="1:24">
      <c r="A129">
        <v>2016</v>
      </c>
      <c r="B129" t="s">
        <v>551</v>
      </c>
      <c r="C129">
        <v>24</v>
      </c>
      <c r="D129">
        <v>7</v>
      </c>
      <c r="E129">
        <v>44</v>
      </c>
      <c r="F129">
        <v>0</v>
      </c>
      <c r="G129">
        <f t="shared" si="40"/>
        <v>0.13725490196078433</v>
      </c>
      <c r="H129">
        <f t="shared" si="42"/>
        <v>0.86274509803921573</v>
      </c>
      <c r="I129">
        <f t="shared" ref="I129:I157" si="46">F129/(D129+E129+F129)</f>
        <v>0</v>
      </c>
      <c r="J129">
        <v>4</v>
      </c>
      <c r="K129">
        <v>27</v>
      </c>
      <c r="L129">
        <v>6</v>
      </c>
      <c r="M129">
        <v>1</v>
      </c>
      <c r="N129">
        <v>0</v>
      </c>
      <c r="O129">
        <v>0</v>
      </c>
      <c r="P129">
        <v>14</v>
      </c>
      <c r="Q129">
        <f t="shared" si="43"/>
        <v>7.6923076923076927E-2</v>
      </c>
      <c r="R129">
        <f t="shared" si="44"/>
        <v>0.51923076923076927</v>
      </c>
      <c r="S129">
        <f t="shared" si="45"/>
        <v>0.11538461538461539</v>
      </c>
      <c r="T129">
        <f t="shared" ref="T129:T157" si="47">N129/(K129+L129+M129+N129+O129+P129+J129)</f>
        <v>0</v>
      </c>
      <c r="U129">
        <f t="shared" ref="U129:U157" si="48">O129/(K129+L129+M129+N129+O129+P129+J129)</f>
        <v>0</v>
      </c>
      <c r="V129">
        <f t="shared" ref="V129:V157" si="49">P129/(K129+L129+M129+N129+O129+P129+J129)</f>
        <v>0.26923076923076922</v>
      </c>
      <c r="W129">
        <f t="shared" si="41"/>
        <v>1.9607843137254902E-2</v>
      </c>
      <c r="X129">
        <v>10.7488422574653</v>
      </c>
    </row>
    <row r="130" spans="1:24">
      <c r="A130">
        <v>2016</v>
      </c>
      <c r="B130" t="s">
        <v>552</v>
      </c>
      <c r="C130">
        <v>27</v>
      </c>
      <c r="D130">
        <v>0</v>
      </c>
      <c r="E130">
        <v>48</v>
      </c>
      <c r="F130">
        <v>1</v>
      </c>
      <c r="G130">
        <f t="shared" ref="G130:G147" si="50">D130/(D130+E130+F130)</f>
        <v>0</v>
      </c>
      <c r="H130">
        <f t="shared" ref="H130:H157" si="51">E130/(D130+E130+F130)</f>
        <v>0.97959183673469385</v>
      </c>
      <c r="I130">
        <f t="shared" si="46"/>
        <v>2.0408163265306121E-2</v>
      </c>
      <c r="J130">
        <v>3</v>
      </c>
      <c r="K130">
        <v>27</v>
      </c>
      <c r="L130">
        <v>3</v>
      </c>
      <c r="M130">
        <v>3</v>
      </c>
      <c r="N130">
        <v>2</v>
      </c>
      <c r="O130">
        <v>2</v>
      </c>
      <c r="P130">
        <v>12</v>
      </c>
      <c r="Q130">
        <f t="shared" ref="Q130:Q157" si="52">J130/(K130+L130+M130+N130+O130+P130+J130)</f>
        <v>5.7692307692307696E-2</v>
      </c>
      <c r="R130">
        <f t="shared" ref="R130:R157" si="53">K130/(K130+L130+M130+N130+O130+P130+J130)</f>
        <v>0.51923076923076927</v>
      </c>
      <c r="S130">
        <f t="shared" ref="S130:S157" si="54">L130/(K130+L130+M130+N130+O130+P130+J130)</f>
        <v>5.7692307692307696E-2</v>
      </c>
      <c r="T130">
        <f t="shared" si="47"/>
        <v>3.8461538461538464E-2</v>
      </c>
      <c r="U130">
        <f t="shared" si="48"/>
        <v>3.8461538461538464E-2</v>
      </c>
      <c r="V130">
        <f t="shared" si="49"/>
        <v>0.23076923076923078</v>
      </c>
      <c r="W130">
        <f t="shared" ref="W130:W157" si="55">M130/(K130+L130+N130+N130+O130+P130+J130)</f>
        <v>5.8823529411764705E-2</v>
      </c>
      <c r="X130">
        <v>11.6934789804376</v>
      </c>
    </row>
    <row r="131" spans="1:24">
      <c r="A131">
        <v>2016</v>
      </c>
      <c r="B131" t="s">
        <v>553</v>
      </c>
      <c r="C131">
        <v>24</v>
      </c>
      <c r="D131">
        <v>12</v>
      </c>
      <c r="E131">
        <v>26</v>
      </c>
      <c r="F131">
        <v>4</v>
      </c>
      <c r="G131">
        <f t="shared" si="50"/>
        <v>0.2857142857142857</v>
      </c>
      <c r="H131">
        <f t="shared" si="51"/>
        <v>0.61904761904761907</v>
      </c>
      <c r="I131">
        <f t="shared" si="46"/>
        <v>9.5238095238095233E-2</v>
      </c>
      <c r="J131">
        <v>4</v>
      </c>
      <c r="K131">
        <v>8</v>
      </c>
      <c r="L131">
        <v>9</v>
      </c>
      <c r="M131">
        <v>0</v>
      </c>
      <c r="N131">
        <v>1</v>
      </c>
      <c r="O131">
        <v>0</v>
      </c>
      <c r="P131">
        <v>20</v>
      </c>
      <c r="Q131">
        <f t="shared" si="52"/>
        <v>9.5238095238095233E-2</v>
      </c>
      <c r="R131">
        <f t="shared" si="53"/>
        <v>0.19047619047619047</v>
      </c>
      <c r="S131">
        <f t="shared" si="54"/>
        <v>0.21428571428571427</v>
      </c>
      <c r="T131">
        <f t="shared" si="47"/>
        <v>2.3809523809523808E-2</v>
      </c>
      <c r="U131">
        <f t="shared" si="48"/>
        <v>0</v>
      </c>
      <c r="V131">
        <f t="shared" si="49"/>
        <v>0.47619047619047616</v>
      </c>
      <c r="W131">
        <f t="shared" si="55"/>
        <v>0</v>
      </c>
      <c r="X131">
        <v>11.1226858359231</v>
      </c>
    </row>
    <row r="132" spans="1:24">
      <c r="A132">
        <v>2019</v>
      </c>
      <c r="B132" t="s">
        <v>554</v>
      </c>
      <c r="C132">
        <v>15</v>
      </c>
      <c r="D132">
        <v>3</v>
      </c>
      <c r="E132">
        <v>34</v>
      </c>
      <c r="F132">
        <v>0</v>
      </c>
      <c r="G132">
        <f t="shared" si="50"/>
        <v>8.1081081081081086E-2</v>
      </c>
      <c r="H132">
        <f t="shared" si="51"/>
        <v>0.91891891891891897</v>
      </c>
      <c r="I132">
        <f t="shared" si="46"/>
        <v>0</v>
      </c>
      <c r="J132">
        <v>0</v>
      </c>
      <c r="K132">
        <v>11</v>
      </c>
      <c r="L132">
        <v>4</v>
      </c>
      <c r="M132">
        <v>0</v>
      </c>
      <c r="N132">
        <v>0</v>
      </c>
      <c r="O132">
        <v>0</v>
      </c>
      <c r="P132">
        <v>22</v>
      </c>
      <c r="Q132">
        <f t="shared" si="52"/>
        <v>0</v>
      </c>
      <c r="R132">
        <f t="shared" si="53"/>
        <v>0.29729729729729731</v>
      </c>
      <c r="S132">
        <f t="shared" si="54"/>
        <v>0.10810810810810811</v>
      </c>
      <c r="T132">
        <f t="shared" si="47"/>
        <v>0</v>
      </c>
      <c r="U132">
        <f t="shared" si="48"/>
        <v>0</v>
      </c>
      <c r="V132">
        <f t="shared" si="49"/>
        <v>0.59459459459459463</v>
      </c>
      <c r="W132">
        <f t="shared" si="55"/>
        <v>0</v>
      </c>
      <c r="X132">
        <v>7.1318875816267404</v>
      </c>
    </row>
    <row r="133" spans="1:24">
      <c r="A133">
        <v>2019</v>
      </c>
      <c r="B133" t="s">
        <v>555</v>
      </c>
      <c r="C133">
        <v>25</v>
      </c>
      <c r="D133">
        <v>11</v>
      </c>
      <c r="E133">
        <v>91</v>
      </c>
      <c r="F133">
        <v>0</v>
      </c>
      <c r="G133">
        <f t="shared" si="50"/>
        <v>0.10784313725490197</v>
      </c>
      <c r="H133">
        <f t="shared" si="51"/>
        <v>0.89215686274509809</v>
      </c>
      <c r="I133">
        <f t="shared" si="46"/>
        <v>0</v>
      </c>
      <c r="J133">
        <v>0</v>
      </c>
      <c r="K133">
        <v>37</v>
      </c>
      <c r="L133">
        <v>7</v>
      </c>
      <c r="M133">
        <v>1</v>
      </c>
      <c r="N133">
        <v>1</v>
      </c>
      <c r="O133">
        <v>0</v>
      </c>
      <c r="P133">
        <v>57</v>
      </c>
      <c r="Q133">
        <f t="shared" si="52"/>
        <v>0</v>
      </c>
      <c r="R133">
        <f t="shared" si="53"/>
        <v>0.35922330097087379</v>
      </c>
      <c r="S133">
        <f t="shared" si="54"/>
        <v>6.7961165048543687E-2</v>
      </c>
      <c r="T133">
        <f t="shared" si="47"/>
        <v>9.7087378640776691E-3</v>
      </c>
      <c r="U133">
        <f t="shared" si="48"/>
        <v>0</v>
      </c>
      <c r="V133">
        <f t="shared" si="49"/>
        <v>0.55339805825242716</v>
      </c>
      <c r="W133">
        <f t="shared" si="55"/>
        <v>9.7087378640776691E-3</v>
      </c>
      <c r="X133">
        <v>8.0041287684242892</v>
      </c>
    </row>
    <row r="134" spans="1:24">
      <c r="A134">
        <v>2019</v>
      </c>
      <c r="B134" t="s">
        <v>556</v>
      </c>
      <c r="C134">
        <v>18</v>
      </c>
      <c r="D134">
        <v>7</v>
      </c>
      <c r="E134">
        <v>64</v>
      </c>
      <c r="F134">
        <v>1</v>
      </c>
      <c r="G134">
        <f t="shared" si="50"/>
        <v>9.7222222222222224E-2</v>
      </c>
      <c r="H134">
        <f t="shared" si="51"/>
        <v>0.88888888888888884</v>
      </c>
      <c r="I134">
        <f t="shared" si="46"/>
        <v>1.3888888888888888E-2</v>
      </c>
      <c r="J134">
        <v>0</v>
      </c>
      <c r="K134">
        <v>52</v>
      </c>
      <c r="L134">
        <v>1</v>
      </c>
      <c r="M134">
        <v>0</v>
      </c>
      <c r="N134">
        <v>1</v>
      </c>
      <c r="O134">
        <v>0</v>
      </c>
      <c r="P134">
        <v>18</v>
      </c>
      <c r="Q134">
        <f t="shared" si="52"/>
        <v>0</v>
      </c>
      <c r="R134">
        <f t="shared" si="53"/>
        <v>0.72222222222222221</v>
      </c>
      <c r="S134">
        <f t="shared" si="54"/>
        <v>1.3888888888888888E-2</v>
      </c>
      <c r="T134">
        <f t="shared" si="47"/>
        <v>1.3888888888888888E-2</v>
      </c>
      <c r="U134">
        <f t="shared" si="48"/>
        <v>0</v>
      </c>
      <c r="V134">
        <f t="shared" si="49"/>
        <v>0.25</v>
      </c>
      <c r="W134">
        <f t="shared" si="55"/>
        <v>0</v>
      </c>
      <c r="X134">
        <v>7.5365944323215901</v>
      </c>
    </row>
    <row r="135" spans="1:24">
      <c r="A135">
        <v>2022</v>
      </c>
      <c r="B135" t="s">
        <v>557</v>
      </c>
      <c r="C135">
        <v>22</v>
      </c>
      <c r="D135">
        <v>1</v>
      </c>
      <c r="E135">
        <v>33</v>
      </c>
      <c r="F135">
        <v>1</v>
      </c>
      <c r="G135">
        <f t="shared" si="50"/>
        <v>2.8571428571428571E-2</v>
      </c>
      <c r="H135">
        <f t="shared" si="51"/>
        <v>0.94285714285714284</v>
      </c>
      <c r="I135">
        <f t="shared" si="46"/>
        <v>2.8571428571428571E-2</v>
      </c>
      <c r="J135">
        <v>0</v>
      </c>
      <c r="K135">
        <v>17</v>
      </c>
      <c r="L135">
        <v>5</v>
      </c>
      <c r="M135">
        <v>2</v>
      </c>
      <c r="N135">
        <v>1</v>
      </c>
      <c r="O135">
        <v>0</v>
      </c>
      <c r="P135">
        <v>12</v>
      </c>
      <c r="Q135">
        <f t="shared" si="52"/>
        <v>0</v>
      </c>
      <c r="R135">
        <f t="shared" si="53"/>
        <v>0.45945945945945948</v>
      </c>
      <c r="S135">
        <f t="shared" si="54"/>
        <v>0.13513513513513514</v>
      </c>
      <c r="T135">
        <f t="shared" si="47"/>
        <v>2.7027027027027029E-2</v>
      </c>
      <c r="U135">
        <f t="shared" si="48"/>
        <v>0</v>
      </c>
      <c r="V135">
        <f t="shared" si="49"/>
        <v>0.32432432432432434</v>
      </c>
      <c r="W135">
        <f t="shared" si="55"/>
        <v>5.5555555555555552E-2</v>
      </c>
      <c r="X135">
        <v>9.7181405598381208</v>
      </c>
    </row>
    <row r="136" spans="1:24">
      <c r="A136">
        <v>2022</v>
      </c>
      <c r="B136" t="s">
        <v>558</v>
      </c>
      <c r="C136">
        <v>14</v>
      </c>
      <c r="D136">
        <v>2</v>
      </c>
      <c r="E136">
        <v>64</v>
      </c>
      <c r="F136">
        <v>0</v>
      </c>
      <c r="G136">
        <f t="shared" si="50"/>
        <v>3.0303030303030304E-2</v>
      </c>
      <c r="H136">
        <f t="shared" si="51"/>
        <v>0.96969696969696972</v>
      </c>
      <c r="I136">
        <f t="shared" si="46"/>
        <v>0</v>
      </c>
      <c r="J136">
        <v>0</v>
      </c>
      <c r="K136">
        <v>32</v>
      </c>
      <c r="L136">
        <v>16</v>
      </c>
      <c r="M136">
        <v>1</v>
      </c>
      <c r="N136">
        <v>1</v>
      </c>
      <c r="O136">
        <v>0</v>
      </c>
      <c r="P136">
        <v>17</v>
      </c>
      <c r="Q136">
        <f t="shared" si="52"/>
        <v>0</v>
      </c>
      <c r="R136">
        <f t="shared" si="53"/>
        <v>0.47761194029850745</v>
      </c>
      <c r="S136">
        <f t="shared" si="54"/>
        <v>0.23880597014925373</v>
      </c>
      <c r="T136">
        <f t="shared" si="47"/>
        <v>1.4925373134328358E-2</v>
      </c>
      <c r="U136">
        <f t="shared" si="48"/>
        <v>0</v>
      </c>
      <c r="V136">
        <f t="shared" si="49"/>
        <v>0.2537313432835821</v>
      </c>
      <c r="W136">
        <f t="shared" si="55"/>
        <v>1.4925373134328358E-2</v>
      </c>
      <c r="X136">
        <v>5.9319497297256003</v>
      </c>
    </row>
    <row r="137" spans="1:24">
      <c r="A137">
        <v>2022</v>
      </c>
      <c r="B137" t="s">
        <v>559</v>
      </c>
      <c r="C137">
        <v>17</v>
      </c>
      <c r="D137">
        <v>4</v>
      </c>
      <c r="E137">
        <v>27</v>
      </c>
      <c r="F137">
        <v>0</v>
      </c>
      <c r="G137">
        <f t="shared" si="50"/>
        <v>0.12903225806451613</v>
      </c>
      <c r="H137">
        <f t="shared" si="51"/>
        <v>0.87096774193548387</v>
      </c>
      <c r="I137">
        <f t="shared" si="46"/>
        <v>0</v>
      </c>
      <c r="J137">
        <v>0</v>
      </c>
      <c r="K137">
        <v>13</v>
      </c>
      <c r="L137">
        <v>8</v>
      </c>
      <c r="M137">
        <v>1</v>
      </c>
      <c r="N137">
        <v>0</v>
      </c>
      <c r="O137">
        <v>0</v>
      </c>
      <c r="P137">
        <v>10</v>
      </c>
      <c r="Q137">
        <f t="shared" si="52"/>
        <v>0</v>
      </c>
      <c r="R137">
        <f t="shared" si="53"/>
        <v>0.40625</v>
      </c>
      <c r="S137">
        <f t="shared" si="54"/>
        <v>0.25</v>
      </c>
      <c r="T137">
        <f t="shared" si="47"/>
        <v>0</v>
      </c>
      <c r="U137">
        <f t="shared" si="48"/>
        <v>0</v>
      </c>
      <c r="V137">
        <f t="shared" si="49"/>
        <v>0.3125</v>
      </c>
      <c r="W137">
        <f t="shared" si="55"/>
        <v>3.2258064516129031E-2</v>
      </c>
      <c r="X137">
        <v>8.2404859112552398</v>
      </c>
    </row>
    <row r="138" spans="1:24">
      <c r="A138">
        <v>2022</v>
      </c>
      <c r="B138" t="s">
        <v>560</v>
      </c>
      <c r="C138">
        <v>14</v>
      </c>
      <c r="D138">
        <v>1</v>
      </c>
      <c r="E138">
        <v>22</v>
      </c>
      <c r="F138">
        <v>0</v>
      </c>
      <c r="G138">
        <f t="shared" si="50"/>
        <v>4.3478260869565216E-2</v>
      </c>
      <c r="H138">
        <f t="shared" si="51"/>
        <v>0.95652173913043481</v>
      </c>
      <c r="I138">
        <f t="shared" si="46"/>
        <v>0</v>
      </c>
      <c r="J138">
        <v>0</v>
      </c>
      <c r="K138">
        <v>11</v>
      </c>
      <c r="L138">
        <v>4</v>
      </c>
      <c r="M138">
        <v>1</v>
      </c>
      <c r="N138">
        <v>0</v>
      </c>
      <c r="O138">
        <v>0</v>
      </c>
      <c r="P138">
        <v>8</v>
      </c>
      <c r="Q138">
        <f t="shared" si="52"/>
        <v>0</v>
      </c>
      <c r="R138">
        <f t="shared" si="53"/>
        <v>0.45833333333333331</v>
      </c>
      <c r="S138">
        <f t="shared" si="54"/>
        <v>0.16666666666666666</v>
      </c>
      <c r="T138">
        <f t="shared" si="47"/>
        <v>0</v>
      </c>
      <c r="U138">
        <f t="shared" si="48"/>
        <v>0</v>
      </c>
      <c r="V138">
        <f t="shared" si="49"/>
        <v>0.33333333333333331</v>
      </c>
      <c r="W138">
        <f t="shared" si="55"/>
        <v>4.3478260869565216E-2</v>
      </c>
      <c r="X138">
        <v>6.5945029111406699</v>
      </c>
    </row>
    <row r="139" spans="1:24">
      <c r="A139">
        <v>2022</v>
      </c>
      <c r="B139" t="s">
        <v>561</v>
      </c>
      <c r="C139">
        <v>23</v>
      </c>
      <c r="D139">
        <v>4</v>
      </c>
      <c r="E139">
        <v>59</v>
      </c>
      <c r="F139">
        <v>0</v>
      </c>
      <c r="G139">
        <f t="shared" si="50"/>
        <v>6.3492063492063489E-2</v>
      </c>
      <c r="H139">
        <f t="shared" si="51"/>
        <v>0.93650793650793651</v>
      </c>
      <c r="I139">
        <f t="shared" si="46"/>
        <v>0</v>
      </c>
      <c r="J139">
        <v>1</v>
      </c>
      <c r="K139">
        <v>32</v>
      </c>
      <c r="L139">
        <v>13</v>
      </c>
      <c r="M139">
        <v>1</v>
      </c>
      <c r="N139">
        <v>0</v>
      </c>
      <c r="O139">
        <v>1</v>
      </c>
      <c r="P139">
        <v>16</v>
      </c>
      <c r="Q139">
        <f t="shared" si="52"/>
        <v>1.5625E-2</v>
      </c>
      <c r="R139">
        <f t="shared" si="53"/>
        <v>0.5</v>
      </c>
      <c r="S139">
        <f t="shared" si="54"/>
        <v>0.203125</v>
      </c>
      <c r="T139">
        <f t="shared" si="47"/>
        <v>0</v>
      </c>
      <c r="U139">
        <f t="shared" si="48"/>
        <v>1.5625E-2</v>
      </c>
      <c r="V139">
        <f t="shared" si="49"/>
        <v>0.25</v>
      </c>
      <c r="W139">
        <f t="shared" si="55"/>
        <v>1.5873015873015872E-2</v>
      </c>
      <c r="X139">
        <v>9.4959148241214795</v>
      </c>
    </row>
    <row r="140" spans="1:24">
      <c r="A140">
        <v>2024</v>
      </c>
      <c r="B140" t="s">
        <v>562</v>
      </c>
      <c r="C140">
        <v>25</v>
      </c>
      <c r="D140">
        <v>2</v>
      </c>
      <c r="E140">
        <v>51</v>
      </c>
      <c r="F140">
        <v>3</v>
      </c>
      <c r="G140">
        <f t="shared" si="50"/>
        <v>3.5714285714285712E-2</v>
      </c>
      <c r="H140">
        <f t="shared" si="51"/>
        <v>0.9107142857142857</v>
      </c>
      <c r="I140">
        <f t="shared" si="46"/>
        <v>5.3571428571428568E-2</v>
      </c>
      <c r="J140">
        <v>0</v>
      </c>
      <c r="K140">
        <v>22</v>
      </c>
      <c r="L140">
        <v>12</v>
      </c>
      <c r="M140">
        <v>0</v>
      </c>
      <c r="N140">
        <v>2</v>
      </c>
      <c r="O140">
        <v>1</v>
      </c>
      <c r="P140">
        <v>19</v>
      </c>
      <c r="Q140">
        <f t="shared" si="52"/>
        <v>0</v>
      </c>
      <c r="R140">
        <f t="shared" si="53"/>
        <v>0.39285714285714285</v>
      </c>
      <c r="S140">
        <f t="shared" si="54"/>
        <v>0.21428571428571427</v>
      </c>
      <c r="T140">
        <f t="shared" si="47"/>
        <v>3.5714285714285712E-2</v>
      </c>
      <c r="U140">
        <f t="shared" si="48"/>
        <v>1.7857142857142856E-2</v>
      </c>
      <c r="V140">
        <f t="shared" si="49"/>
        <v>0.3392857142857143</v>
      </c>
      <c r="W140">
        <f t="shared" si="55"/>
        <v>0</v>
      </c>
      <c r="X140">
        <v>10.907518660335301</v>
      </c>
    </row>
    <row r="141" spans="1:24">
      <c r="A141">
        <v>2024</v>
      </c>
      <c r="B141" t="s">
        <v>563</v>
      </c>
      <c r="C141">
        <v>16</v>
      </c>
      <c r="D141">
        <v>1</v>
      </c>
      <c r="E141">
        <v>46</v>
      </c>
      <c r="F141">
        <v>0</v>
      </c>
      <c r="G141">
        <f t="shared" si="50"/>
        <v>2.1276595744680851E-2</v>
      </c>
      <c r="H141">
        <f t="shared" si="51"/>
        <v>0.97872340425531912</v>
      </c>
      <c r="I141">
        <f t="shared" si="46"/>
        <v>0</v>
      </c>
      <c r="J141">
        <v>0</v>
      </c>
      <c r="K141">
        <v>17</v>
      </c>
      <c r="L141">
        <v>4</v>
      </c>
      <c r="M141">
        <v>0</v>
      </c>
      <c r="N141">
        <v>0</v>
      </c>
      <c r="O141">
        <v>0</v>
      </c>
      <c r="P141">
        <v>26</v>
      </c>
      <c r="Q141">
        <f t="shared" si="52"/>
        <v>0</v>
      </c>
      <c r="R141">
        <f t="shared" si="53"/>
        <v>0.36170212765957449</v>
      </c>
      <c r="S141">
        <f t="shared" si="54"/>
        <v>8.5106382978723402E-2</v>
      </c>
      <c r="T141">
        <f t="shared" si="47"/>
        <v>0</v>
      </c>
      <c r="U141">
        <f t="shared" si="48"/>
        <v>0</v>
      </c>
      <c r="V141">
        <f t="shared" si="49"/>
        <v>0.55319148936170215</v>
      </c>
      <c r="W141">
        <f t="shared" si="55"/>
        <v>0</v>
      </c>
      <c r="X141">
        <v>7.6395249662678699</v>
      </c>
    </row>
    <row r="142" spans="1:24">
      <c r="A142">
        <v>2024</v>
      </c>
      <c r="B142" t="s">
        <v>564</v>
      </c>
      <c r="C142">
        <v>15</v>
      </c>
      <c r="D142">
        <v>0</v>
      </c>
      <c r="E142">
        <v>68</v>
      </c>
      <c r="F142">
        <v>2</v>
      </c>
      <c r="G142">
        <f t="shared" si="50"/>
        <v>0</v>
      </c>
      <c r="H142">
        <f t="shared" si="51"/>
        <v>0.97142857142857142</v>
      </c>
      <c r="I142">
        <f t="shared" si="46"/>
        <v>2.8571428571428571E-2</v>
      </c>
      <c r="J142">
        <v>0</v>
      </c>
      <c r="K142">
        <v>38</v>
      </c>
      <c r="L142">
        <v>1</v>
      </c>
      <c r="M142">
        <v>1</v>
      </c>
      <c r="N142">
        <v>2</v>
      </c>
      <c r="O142">
        <v>0</v>
      </c>
      <c r="P142">
        <v>28</v>
      </c>
      <c r="Q142">
        <f t="shared" si="52"/>
        <v>0</v>
      </c>
      <c r="R142">
        <f t="shared" si="53"/>
        <v>0.54285714285714282</v>
      </c>
      <c r="S142">
        <f t="shared" si="54"/>
        <v>1.4285714285714285E-2</v>
      </c>
      <c r="T142">
        <f t="shared" si="47"/>
        <v>2.8571428571428571E-2</v>
      </c>
      <c r="U142">
        <f t="shared" si="48"/>
        <v>0</v>
      </c>
      <c r="V142">
        <f t="shared" si="49"/>
        <v>0.4</v>
      </c>
      <c r="W142">
        <f t="shared" si="55"/>
        <v>1.4084507042253521E-2</v>
      </c>
      <c r="X142">
        <v>6.5432941734873697</v>
      </c>
    </row>
    <row r="143" spans="1:24">
      <c r="A143">
        <v>2024</v>
      </c>
      <c r="B143" t="s">
        <v>565</v>
      </c>
      <c r="C143">
        <v>21</v>
      </c>
      <c r="D143">
        <v>12</v>
      </c>
      <c r="E143">
        <v>85</v>
      </c>
      <c r="F143">
        <v>0</v>
      </c>
      <c r="G143">
        <f t="shared" si="50"/>
        <v>0.12371134020618557</v>
      </c>
      <c r="H143">
        <f t="shared" si="51"/>
        <v>0.87628865979381443</v>
      </c>
      <c r="I143">
        <f t="shared" si="46"/>
        <v>0</v>
      </c>
      <c r="J143">
        <v>0</v>
      </c>
      <c r="K143">
        <v>33</v>
      </c>
      <c r="L143">
        <v>5</v>
      </c>
      <c r="M143">
        <v>1</v>
      </c>
      <c r="N143">
        <v>0</v>
      </c>
      <c r="O143">
        <v>1</v>
      </c>
      <c r="P143">
        <v>58</v>
      </c>
      <c r="Q143">
        <f t="shared" si="52"/>
        <v>0</v>
      </c>
      <c r="R143">
        <f t="shared" si="53"/>
        <v>0.33673469387755101</v>
      </c>
      <c r="S143">
        <f t="shared" si="54"/>
        <v>5.1020408163265307E-2</v>
      </c>
      <c r="T143">
        <f t="shared" si="47"/>
        <v>0</v>
      </c>
      <c r="U143">
        <f t="shared" si="48"/>
        <v>1.020408163265306E-2</v>
      </c>
      <c r="V143">
        <f t="shared" si="49"/>
        <v>0.59183673469387754</v>
      </c>
      <c r="W143">
        <f t="shared" si="55"/>
        <v>1.0309278350515464E-2</v>
      </c>
      <c r="X143">
        <v>4.3895428752761401</v>
      </c>
    </row>
    <row r="144" spans="1:24">
      <c r="A144">
        <v>2024</v>
      </c>
      <c r="B144" t="s">
        <v>566</v>
      </c>
      <c r="C144">
        <v>23</v>
      </c>
      <c r="D144">
        <v>2</v>
      </c>
      <c r="E144">
        <v>57</v>
      </c>
      <c r="F144">
        <v>0</v>
      </c>
      <c r="G144">
        <f t="shared" si="50"/>
        <v>3.3898305084745763E-2</v>
      </c>
      <c r="H144">
        <f t="shared" si="51"/>
        <v>0.96610169491525422</v>
      </c>
      <c r="I144">
        <f t="shared" si="46"/>
        <v>0</v>
      </c>
      <c r="J144">
        <v>0</v>
      </c>
      <c r="K144">
        <v>23</v>
      </c>
      <c r="L144">
        <v>3</v>
      </c>
      <c r="M144">
        <v>0</v>
      </c>
      <c r="N144">
        <v>0</v>
      </c>
      <c r="O144">
        <v>1</v>
      </c>
      <c r="P144">
        <v>32</v>
      </c>
      <c r="Q144">
        <f t="shared" si="52"/>
        <v>0</v>
      </c>
      <c r="R144">
        <f t="shared" si="53"/>
        <v>0.38983050847457629</v>
      </c>
      <c r="S144">
        <f t="shared" si="54"/>
        <v>5.0847457627118647E-2</v>
      </c>
      <c r="T144">
        <f t="shared" si="47"/>
        <v>0</v>
      </c>
      <c r="U144">
        <f t="shared" si="48"/>
        <v>1.6949152542372881E-2</v>
      </c>
      <c r="V144">
        <f t="shared" si="49"/>
        <v>0.5423728813559322</v>
      </c>
      <c r="W144">
        <f t="shared" si="55"/>
        <v>0</v>
      </c>
      <c r="X144">
        <v>9.6406957818282208</v>
      </c>
    </row>
    <row r="145" spans="1:24">
      <c r="A145">
        <v>2024</v>
      </c>
      <c r="B145" t="s">
        <v>567</v>
      </c>
      <c r="C145">
        <v>34</v>
      </c>
      <c r="D145">
        <v>4</v>
      </c>
      <c r="E145">
        <v>182</v>
      </c>
      <c r="F145">
        <v>6</v>
      </c>
      <c r="G145">
        <f t="shared" si="50"/>
        <v>2.0833333333333332E-2</v>
      </c>
      <c r="H145">
        <f t="shared" si="51"/>
        <v>0.94791666666666663</v>
      </c>
      <c r="I145">
        <f t="shared" si="46"/>
        <v>3.125E-2</v>
      </c>
      <c r="J145">
        <v>1</v>
      </c>
      <c r="K145">
        <v>89</v>
      </c>
      <c r="L145">
        <v>9</v>
      </c>
      <c r="M145">
        <v>1</v>
      </c>
      <c r="N145">
        <v>1</v>
      </c>
      <c r="O145">
        <v>2</v>
      </c>
      <c r="P145">
        <v>90</v>
      </c>
      <c r="Q145">
        <f t="shared" si="52"/>
        <v>5.1813471502590676E-3</v>
      </c>
      <c r="R145">
        <f t="shared" si="53"/>
        <v>0.46113989637305697</v>
      </c>
      <c r="S145">
        <f t="shared" si="54"/>
        <v>4.6632124352331605E-2</v>
      </c>
      <c r="T145">
        <f t="shared" si="47"/>
        <v>5.1813471502590676E-3</v>
      </c>
      <c r="U145">
        <f t="shared" si="48"/>
        <v>1.0362694300518135E-2</v>
      </c>
      <c r="V145">
        <f t="shared" si="49"/>
        <v>0.46632124352331605</v>
      </c>
      <c r="W145">
        <f t="shared" si="55"/>
        <v>5.1813471502590676E-3</v>
      </c>
      <c r="X145">
        <v>15.450611082643199</v>
      </c>
    </row>
    <row r="146" spans="1:24">
      <c r="A146">
        <v>2024</v>
      </c>
      <c r="B146" t="s">
        <v>568</v>
      </c>
      <c r="C146">
        <v>26</v>
      </c>
      <c r="D146">
        <v>4</v>
      </c>
      <c r="E146">
        <v>73</v>
      </c>
      <c r="F146">
        <v>3</v>
      </c>
      <c r="G146">
        <f t="shared" si="50"/>
        <v>0.05</v>
      </c>
      <c r="H146">
        <f t="shared" si="51"/>
        <v>0.91249999999999998</v>
      </c>
      <c r="I146">
        <f t="shared" si="46"/>
        <v>3.7499999999999999E-2</v>
      </c>
      <c r="J146">
        <v>0</v>
      </c>
      <c r="K146">
        <v>15</v>
      </c>
      <c r="L146">
        <v>9</v>
      </c>
      <c r="M146">
        <v>0</v>
      </c>
      <c r="N146">
        <v>0</v>
      </c>
      <c r="O146">
        <v>0</v>
      </c>
      <c r="P146">
        <v>56</v>
      </c>
      <c r="Q146">
        <f t="shared" si="52"/>
        <v>0</v>
      </c>
      <c r="R146">
        <f t="shared" si="53"/>
        <v>0.1875</v>
      </c>
      <c r="S146">
        <f t="shared" si="54"/>
        <v>0.1125</v>
      </c>
      <c r="T146">
        <f t="shared" si="47"/>
        <v>0</v>
      </c>
      <c r="U146">
        <f t="shared" si="48"/>
        <v>0</v>
      </c>
      <c r="V146">
        <f t="shared" si="49"/>
        <v>0.7</v>
      </c>
      <c r="W146">
        <f t="shared" si="55"/>
        <v>0</v>
      </c>
      <c r="X146">
        <v>8.87943936546929</v>
      </c>
    </row>
    <row r="147" spans="1:24">
      <c r="A147">
        <v>2024</v>
      </c>
      <c r="B147" t="s">
        <v>569</v>
      </c>
      <c r="C147">
        <v>24</v>
      </c>
      <c r="D147">
        <v>4</v>
      </c>
      <c r="E147">
        <v>212</v>
      </c>
      <c r="F147">
        <v>3</v>
      </c>
      <c r="G147">
        <f t="shared" si="50"/>
        <v>1.8264840182648401E-2</v>
      </c>
      <c r="H147">
        <f t="shared" si="51"/>
        <v>0.96803652968036524</v>
      </c>
      <c r="I147">
        <f t="shared" si="46"/>
        <v>1.3698630136986301E-2</v>
      </c>
      <c r="J147">
        <v>0</v>
      </c>
      <c r="K147">
        <v>54</v>
      </c>
      <c r="L147">
        <v>5</v>
      </c>
      <c r="M147">
        <v>0</v>
      </c>
      <c r="N147">
        <v>2</v>
      </c>
      <c r="O147">
        <v>1</v>
      </c>
      <c r="P147">
        <v>157</v>
      </c>
      <c r="Q147">
        <f t="shared" si="52"/>
        <v>0</v>
      </c>
      <c r="R147">
        <f t="shared" si="53"/>
        <v>0.24657534246575341</v>
      </c>
      <c r="S147">
        <f t="shared" si="54"/>
        <v>2.2831050228310501E-2</v>
      </c>
      <c r="T147">
        <f t="shared" si="47"/>
        <v>9.1324200913242004E-3</v>
      </c>
      <c r="U147">
        <f t="shared" si="48"/>
        <v>4.5662100456621002E-3</v>
      </c>
      <c r="V147">
        <f t="shared" si="49"/>
        <v>0.71689497716894979</v>
      </c>
      <c r="W147">
        <f t="shared" si="55"/>
        <v>0</v>
      </c>
      <c r="X147">
        <v>10.553418989706801</v>
      </c>
    </row>
    <row r="148" spans="1:24">
      <c r="A148">
        <v>2024</v>
      </c>
      <c r="B148" t="s">
        <v>570</v>
      </c>
      <c r="C148">
        <v>31</v>
      </c>
      <c r="D148">
        <v>21</v>
      </c>
      <c r="E148">
        <v>173</v>
      </c>
      <c r="F148">
        <v>0</v>
      </c>
      <c r="G148">
        <f t="shared" ref="G148:G157" si="56">D148/(D148+E148+F148)</f>
        <v>0.10824742268041238</v>
      </c>
      <c r="H148">
        <f t="shared" si="51"/>
        <v>0.89175257731958768</v>
      </c>
      <c r="I148">
        <f t="shared" si="46"/>
        <v>0</v>
      </c>
      <c r="J148">
        <v>0</v>
      </c>
      <c r="K148">
        <v>50</v>
      </c>
      <c r="L148">
        <v>16</v>
      </c>
      <c r="M148">
        <v>1</v>
      </c>
      <c r="N148">
        <v>1</v>
      </c>
      <c r="O148">
        <v>0</v>
      </c>
      <c r="P148">
        <v>127</v>
      </c>
      <c r="Q148">
        <f t="shared" si="52"/>
        <v>0</v>
      </c>
      <c r="R148">
        <f t="shared" si="53"/>
        <v>0.25641025641025639</v>
      </c>
      <c r="S148">
        <f t="shared" si="54"/>
        <v>8.2051282051282051E-2</v>
      </c>
      <c r="T148">
        <f t="shared" si="47"/>
        <v>5.1282051282051282E-3</v>
      </c>
      <c r="U148">
        <f t="shared" si="48"/>
        <v>0</v>
      </c>
      <c r="V148">
        <f t="shared" si="49"/>
        <v>0.6512820512820513</v>
      </c>
      <c r="W148">
        <f t="shared" si="55"/>
        <v>5.1282051282051282E-3</v>
      </c>
      <c r="X148">
        <v>12.574996458058299</v>
      </c>
    </row>
    <row r="149" spans="1:24">
      <c r="A149">
        <v>2025</v>
      </c>
      <c r="B149" t="s">
        <v>571</v>
      </c>
      <c r="C149">
        <v>10</v>
      </c>
      <c r="D149">
        <v>4</v>
      </c>
      <c r="E149">
        <v>13</v>
      </c>
      <c r="F149">
        <v>0</v>
      </c>
      <c r="G149">
        <f t="shared" si="56"/>
        <v>0.23529411764705882</v>
      </c>
      <c r="H149">
        <f t="shared" si="51"/>
        <v>0.76470588235294112</v>
      </c>
      <c r="I149">
        <f t="shared" si="46"/>
        <v>0</v>
      </c>
      <c r="J149">
        <v>0</v>
      </c>
      <c r="K149">
        <v>8</v>
      </c>
      <c r="L149">
        <v>3</v>
      </c>
      <c r="M149">
        <v>0</v>
      </c>
      <c r="N149">
        <v>0</v>
      </c>
      <c r="O149">
        <v>0</v>
      </c>
      <c r="P149">
        <v>6</v>
      </c>
      <c r="Q149">
        <f t="shared" si="52"/>
        <v>0</v>
      </c>
      <c r="R149">
        <f t="shared" si="53"/>
        <v>0.47058823529411764</v>
      </c>
      <c r="S149">
        <f t="shared" si="54"/>
        <v>0.17647058823529413</v>
      </c>
      <c r="T149">
        <f t="shared" si="47"/>
        <v>0</v>
      </c>
      <c r="U149">
        <f t="shared" si="48"/>
        <v>0</v>
      </c>
      <c r="V149">
        <f t="shared" si="49"/>
        <v>0.35294117647058826</v>
      </c>
      <c r="W149">
        <f t="shared" si="55"/>
        <v>0</v>
      </c>
    </row>
    <row r="150" spans="1:24">
      <c r="A150">
        <v>2025</v>
      </c>
      <c r="B150" t="s">
        <v>572</v>
      </c>
      <c r="C150">
        <v>37</v>
      </c>
      <c r="D150">
        <v>17</v>
      </c>
      <c r="E150">
        <v>329</v>
      </c>
      <c r="F150">
        <v>0</v>
      </c>
      <c r="G150">
        <f t="shared" si="56"/>
        <v>4.9132947976878616E-2</v>
      </c>
      <c r="H150">
        <f t="shared" si="51"/>
        <v>0.95086705202312138</v>
      </c>
      <c r="I150">
        <f t="shared" si="46"/>
        <v>0</v>
      </c>
      <c r="J150">
        <v>0</v>
      </c>
      <c r="K150">
        <v>14</v>
      </c>
      <c r="L150">
        <v>14</v>
      </c>
      <c r="M150">
        <v>1</v>
      </c>
      <c r="N150">
        <v>1</v>
      </c>
      <c r="O150">
        <v>2</v>
      </c>
      <c r="P150">
        <v>315</v>
      </c>
      <c r="Q150">
        <f t="shared" si="52"/>
        <v>0</v>
      </c>
      <c r="R150">
        <f t="shared" si="53"/>
        <v>4.0345821325648415E-2</v>
      </c>
      <c r="S150">
        <f t="shared" si="54"/>
        <v>4.0345821325648415E-2</v>
      </c>
      <c r="T150">
        <f t="shared" si="47"/>
        <v>2.881844380403458E-3</v>
      </c>
      <c r="U150">
        <f t="shared" si="48"/>
        <v>5.763688760806916E-3</v>
      </c>
      <c r="V150">
        <f t="shared" si="49"/>
        <v>0.90778097982708938</v>
      </c>
      <c r="W150">
        <f t="shared" si="55"/>
        <v>2.881844380403458E-3</v>
      </c>
    </row>
    <row r="151" spans="1:24">
      <c r="A151">
        <v>2025</v>
      </c>
      <c r="B151" t="s">
        <v>573</v>
      </c>
      <c r="C151">
        <v>24</v>
      </c>
      <c r="D151">
        <v>4</v>
      </c>
      <c r="E151">
        <v>58</v>
      </c>
      <c r="F151">
        <v>0</v>
      </c>
      <c r="G151">
        <f t="shared" si="56"/>
        <v>6.4516129032258063E-2</v>
      </c>
      <c r="H151">
        <f t="shared" si="51"/>
        <v>0.93548387096774188</v>
      </c>
      <c r="I151">
        <f t="shared" si="46"/>
        <v>0</v>
      </c>
      <c r="J151">
        <v>0</v>
      </c>
      <c r="K151">
        <v>5</v>
      </c>
      <c r="L151">
        <v>5</v>
      </c>
      <c r="M151">
        <v>2</v>
      </c>
      <c r="N151">
        <v>2</v>
      </c>
      <c r="O151">
        <v>0</v>
      </c>
      <c r="P151">
        <v>50</v>
      </c>
      <c r="Q151">
        <f t="shared" si="52"/>
        <v>0</v>
      </c>
      <c r="R151">
        <f t="shared" si="53"/>
        <v>7.8125E-2</v>
      </c>
      <c r="S151">
        <f t="shared" si="54"/>
        <v>7.8125E-2</v>
      </c>
      <c r="T151">
        <f t="shared" si="47"/>
        <v>3.125E-2</v>
      </c>
      <c r="U151">
        <f t="shared" si="48"/>
        <v>0</v>
      </c>
      <c r="V151">
        <f t="shared" si="49"/>
        <v>0.78125</v>
      </c>
      <c r="W151">
        <f t="shared" si="55"/>
        <v>3.125E-2</v>
      </c>
    </row>
    <row r="152" spans="1:24">
      <c r="A152">
        <v>2025</v>
      </c>
      <c r="B152" t="s">
        <v>574</v>
      </c>
      <c r="C152">
        <v>18</v>
      </c>
      <c r="D152">
        <v>4</v>
      </c>
      <c r="E152">
        <v>72</v>
      </c>
      <c r="F152">
        <v>0</v>
      </c>
      <c r="G152">
        <f t="shared" si="56"/>
        <v>5.2631578947368418E-2</v>
      </c>
      <c r="H152">
        <f t="shared" si="51"/>
        <v>0.94736842105263153</v>
      </c>
      <c r="I152">
        <f t="shared" si="46"/>
        <v>0</v>
      </c>
      <c r="J152">
        <v>0</v>
      </c>
      <c r="K152">
        <v>45</v>
      </c>
      <c r="L152">
        <v>7</v>
      </c>
      <c r="M152">
        <v>1</v>
      </c>
      <c r="N152">
        <v>0</v>
      </c>
      <c r="O152">
        <v>0</v>
      </c>
      <c r="P152">
        <v>24</v>
      </c>
      <c r="Q152">
        <f t="shared" si="52"/>
        <v>0</v>
      </c>
      <c r="R152">
        <f t="shared" si="53"/>
        <v>0.58441558441558439</v>
      </c>
      <c r="S152">
        <f t="shared" si="54"/>
        <v>9.0909090909090912E-2</v>
      </c>
      <c r="T152">
        <f t="shared" si="47"/>
        <v>0</v>
      </c>
      <c r="U152">
        <f t="shared" si="48"/>
        <v>0</v>
      </c>
      <c r="V152">
        <f t="shared" si="49"/>
        <v>0.31168831168831168</v>
      </c>
      <c r="W152">
        <f t="shared" si="55"/>
        <v>1.3157894736842105E-2</v>
      </c>
    </row>
    <row r="153" spans="1:24">
      <c r="A153">
        <v>2025</v>
      </c>
      <c r="B153" t="s">
        <v>575</v>
      </c>
      <c r="C153">
        <v>27</v>
      </c>
      <c r="D153">
        <v>17</v>
      </c>
      <c r="E153">
        <v>305</v>
      </c>
      <c r="F153">
        <v>1</v>
      </c>
      <c r="G153">
        <f t="shared" si="56"/>
        <v>5.2631578947368418E-2</v>
      </c>
      <c r="H153">
        <f t="shared" si="51"/>
        <v>0.94427244582043346</v>
      </c>
      <c r="I153">
        <f t="shared" si="46"/>
        <v>3.0959752321981426E-3</v>
      </c>
      <c r="J153">
        <v>1</v>
      </c>
      <c r="K153">
        <v>195</v>
      </c>
      <c r="L153">
        <v>10</v>
      </c>
      <c r="M153">
        <v>2</v>
      </c>
      <c r="N153">
        <v>1</v>
      </c>
      <c r="O153">
        <v>2</v>
      </c>
      <c r="P153">
        <v>114</v>
      </c>
      <c r="Q153">
        <f t="shared" si="52"/>
        <v>3.0769230769230769E-3</v>
      </c>
      <c r="R153">
        <f t="shared" si="53"/>
        <v>0.6</v>
      </c>
      <c r="S153">
        <f t="shared" si="54"/>
        <v>3.0769230769230771E-2</v>
      </c>
      <c r="T153">
        <f t="shared" si="47"/>
        <v>3.0769230769230769E-3</v>
      </c>
      <c r="U153">
        <f t="shared" si="48"/>
        <v>6.1538461538461538E-3</v>
      </c>
      <c r="V153">
        <f t="shared" si="49"/>
        <v>0.35076923076923078</v>
      </c>
      <c r="W153">
        <f t="shared" si="55"/>
        <v>6.1728395061728392E-3</v>
      </c>
    </row>
    <row r="154" spans="1:24">
      <c r="A154">
        <v>2025</v>
      </c>
      <c r="B154" t="s">
        <v>576</v>
      </c>
      <c r="C154">
        <v>13</v>
      </c>
      <c r="D154">
        <v>1</v>
      </c>
      <c r="E154">
        <v>64</v>
      </c>
      <c r="F154">
        <v>0</v>
      </c>
      <c r="G154">
        <f t="shared" si="56"/>
        <v>1.5384615384615385E-2</v>
      </c>
      <c r="H154">
        <f t="shared" si="51"/>
        <v>0.98461538461538467</v>
      </c>
      <c r="I154">
        <f t="shared" si="46"/>
        <v>0</v>
      </c>
      <c r="J154">
        <v>0</v>
      </c>
      <c r="K154">
        <v>40</v>
      </c>
      <c r="L154">
        <v>1</v>
      </c>
      <c r="M154">
        <v>0</v>
      </c>
      <c r="N154">
        <v>0</v>
      </c>
      <c r="O154">
        <v>0</v>
      </c>
      <c r="P154">
        <v>24</v>
      </c>
      <c r="Q154">
        <f t="shared" si="52"/>
        <v>0</v>
      </c>
      <c r="R154">
        <f t="shared" si="53"/>
        <v>0.61538461538461542</v>
      </c>
      <c r="S154">
        <f t="shared" si="54"/>
        <v>1.5384615384615385E-2</v>
      </c>
      <c r="T154">
        <f t="shared" si="47"/>
        <v>0</v>
      </c>
      <c r="U154">
        <f t="shared" si="48"/>
        <v>0</v>
      </c>
      <c r="V154">
        <f t="shared" si="49"/>
        <v>0.36923076923076925</v>
      </c>
      <c r="W154">
        <f t="shared" si="55"/>
        <v>0</v>
      </c>
    </row>
    <row r="155" spans="1:24">
      <c r="A155">
        <v>2025</v>
      </c>
      <c r="B155" t="s">
        <v>577</v>
      </c>
      <c r="C155">
        <v>23</v>
      </c>
      <c r="D155">
        <v>3</v>
      </c>
      <c r="E155">
        <v>134</v>
      </c>
      <c r="F155">
        <v>0</v>
      </c>
      <c r="G155">
        <f t="shared" si="56"/>
        <v>2.1897810218978103E-2</v>
      </c>
      <c r="H155">
        <f t="shared" si="51"/>
        <v>0.97810218978102192</v>
      </c>
      <c r="I155">
        <f t="shared" si="46"/>
        <v>0</v>
      </c>
      <c r="J155">
        <v>2</v>
      </c>
      <c r="K155">
        <v>49</v>
      </c>
      <c r="L155">
        <v>5</v>
      </c>
      <c r="M155">
        <v>0</v>
      </c>
      <c r="N155">
        <v>0</v>
      </c>
      <c r="O155">
        <v>1</v>
      </c>
      <c r="P155">
        <v>80</v>
      </c>
      <c r="Q155">
        <f t="shared" si="52"/>
        <v>1.4598540145985401E-2</v>
      </c>
      <c r="R155">
        <f t="shared" si="53"/>
        <v>0.35766423357664234</v>
      </c>
      <c r="S155">
        <f t="shared" si="54"/>
        <v>3.6496350364963501E-2</v>
      </c>
      <c r="T155">
        <f t="shared" si="47"/>
        <v>0</v>
      </c>
      <c r="U155">
        <f t="shared" si="48"/>
        <v>7.2992700729927005E-3</v>
      </c>
      <c r="V155">
        <f t="shared" si="49"/>
        <v>0.58394160583941601</v>
      </c>
      <c r="W155">
        <f t="shared" si="55"/>
        <v>0</v>
      </c>
    </row>
    <row r="156" spans="1:24">
      <c r="A156">
        <v>2025</v>
      </c>
      <c r="B156" t="s">
        <v>578</v>
      </c>
      <c r="C156">
        <v>30</v>
      </c>
      <c r="D156">
        <v>20</v>
      </c>
      <c r="E156">
        <v>196</v>
      </c>
      <c r="F156">
        <v>0</v>
      </c>
      <c r="G156">
        <f t="shared" si="56"/>
        <v>9.2592592592592587E-2</v>
      </c>
      <c r="H156">
        <f t="shared" si="51"/>
        <v>0.90740740740740744</v>
      </c>
      <c r="I156">
        <f t="shared" si="46"/>
        <v>0</v>
      </c>
      <c r="J156">
        <v>0</v>
      </c>
      <c r="K156">
        <v>152</v>
      </c>
      <c r="L156">
        <v>8</v>
      </c>
      <c r="M156">
        <v>1</v>
      </c>
      <c r="N156">
        <v>0</v>
      </c>
      <c r="O156">
        <v>0</v>
      </c>
      <c r="P156">
        <v>56</v>
      </c>
      <c r="Q156">
        <f t="shared" si="52"/>
        <v>0</v>
      </c>
      <c r="R156">
        <f t="shared" si="53"/>
        <v>0.70046082949308752</v>
      </c>
      <c r="S156">
        <f t="shared" si="54"/>
        <v>3.6866359447004608E-2</v>
      </c>
      <c r="T156">
        <f t="shared" si="47"/>
        <v>0</v>
      </c>
      <c r="U156">
        <f t="shared" si="48"/>
        <v>0</v>
      </c>
      <c r="V156">
        <f t="shared" si="49"/>
        <v>0.25806451612903225</v>
      </c>
      <c r="W156">
        <f t="shared" si="55"/>
        <v>4.6296296296296294E-3</v>
      </c>
    </row>
    <row r="157" spans="1:24">
      <c r="A157">
        <v>2025</v>
      </c>
      <c r="B157" t="s">
        <v>579</v>
      </c>
      <c r="C157">
        <v>49</v>
      </c>
      <c r="D157">
        <v>29</v>
      </c>
      <c r="E157">
        <v>1536</v>
      </c>
      <c r="F157">
        <v>2</v>
      </c>
      <c r="G157">
        <f t="shared" si="56"/>
        <v>1.8506700701978303E-2</v>
      </c>
      <c r="H157">
        <f t="shared" si="51"/>
        <v>0.98021697511167838</v>
      </c>
      <c r="I157">
        <f t="shared" si="46"/>
        <v>1.2763241863433313E-3</v>
      </c>
      <c r="J157">
        <v>1</v>
      </c>
      <c r="K157">
        <v>983</v>
      </c>
      <c r="L157">
        <v>33</v>
      </c>
      <c r="M157">
        <v>3</v>
      </c>
      <c r="N157">
        <v>3</v>
      </c>
      <c r="O157">
        <v>1</v>
      </c>
      <c r="P157">
        <v>546</v>
      </c>
      <c r="Q157">
        <f t="shared" si="52"/>
        <v>6.3694267515923564E-4</v>
      </c>
      <c r="R157">
        <f t="shared" si="53"/>
        <v>0.62611464968152863</v>
      </c>
      <c r="S157">
        <f t="shared" si="54"/>
        <v>2.1019108280254776E-2</v>
      </c>
      <c r="T157">
        <f t="shared" si="47"/>
        <v>1.910828025477707E-3</v>
      </c>
      <c r="U157">
        <f t="shared" si="48"/>
        <v>6.3694267515923564E-4</v>
      </c>
      <c r="V157">
        <f t="shared" si="49"/>
        <v>0.34777070063694265</v>
      </c>
      <c r="W157">
        <f t="shared" si="55"/>
        <v>1.910828025477707E-3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53" zoomScale="85" zoomScaleNormal="85" workbookViewId="0">
      <selection activeCell="S5" sqref="S5"/>
    </sheetView>
  </sheetViews>
  <sheetFormatPr defaultRowHeight="14.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8"/>
  <sheetViews>
    <sheetView topLeftCell="A124" workbookViewId="0">
      <selection activeCell="C160" sqref="C160"/>
    </sheetView>
  </sheetViews>
  <sheetFormatPr defaultColWidth="9" defaultRowHeight="14.4"/>
  <sheetData>
    <row r="1" spans="1:2">
      <c r="A1" t="s">
        <v>597</v>
      </c>
      <c r="B1" t="s">
        <v>581</v>
      </c>
    </row>
    <row r="2" spans="1:2">
      <c r="A2">
        <v>1995</v>
      </c>
      <c r="B2" t="s">
        <v>423</v>
      </c>
    </row>
    <row r="3" spans="1:2">
      <c r="A3">
        <v>1995</v>
      </c>
      <c r="B3" t="s">
        <v>424</v>
      </c>
    </row>
    <row r="4" spans="1:2">
      <c r="A4">
        <v>1995</v>
      </c>
      <c r="B4" t="s">
        <v>425</v>
      </c>
    </row>
    <row r="5" spans="1:2">
      <c r="A5">
        <v>1995</v>
      </c>
      <c r="B5" t="s">
        <v>426</v>
      </c>
    </row>
    <row r="6" spans="1:2">
      <c r="A6">
        <v>1995</v>
      </c>
      <c r="B6" t="s">
        <v>427</v>
      </c>
    </row>
    <row r="7" spans="1:2">
      <c r="A7">
        <v>1995</v>
      </c>
      <c r="B7" t="s">
        <v>428</v>
      </c>
    </row>
    <row r="8" spans="1:2">
      <c r="A8">
        <v>1996</v>
      </c>
      <c r="B8" t="s">
        <v>429</v>
      </c>
    </row>
    <row r="9" spans="1:2">
      <c r="A9">
        <v>1996</v>
      </c>
      <c r="B9" t="s">
        <v>430</v>
      </c>
    </row>
    <row r="10" spans="1:2">
      <c r="A10">
        <v>1996</v>
      </c>
      <c r="B10" t="s">
        <v>431</v>
      </c>
    </row>
    <row r="11" spans="1:2">
      <c r="A11">
        <v>1996</v>
      </c>
      <c r="B11" t="s">
        <v>432</v>
      </c>
    </row>
    <row r="12" spans="1:2">
      <c r="A12">
        <v>1996</v>
      </c>
      <c r="B12" t="s">
        <v>433</v>
      </c>
    </row>
    <row r="13" spans="1:2">
      <c r="A13">
        <v>1997</v>
      </c>
      <c r="B13" t="s">
        <v>434</v>
      </c>
    </row>
    <row r="14" spans="1:2">
      <c r="A14">
        <v>1997</v>
      </c>
      <c r="B14" t="s">
        <v>435</v>
      </c>
    </row>
    <row r="15" spans="1:2">
      <c r="A15">
        <v>1997</v>
      </c>
      <c r="B15" t="s">
        <v>436</v>
      </c>
    </row>
    <row r="16" spans="1:2">
      <c r="A16">
        <v>1997</v>
      </c>
      <c r="B16" t="s">
        <v>437</v>
      </c>
    </row>
    <row r="17" spans="1:2">
      <c r="A17">
        <v>1997</v>
      </c>
      <c r="B17" t="s">
        <v>438</v>
      </c>
    </row>
    <row r="18" spans="1:2">
      <c r="A18">
        <v>1998</v>
      </c>
      <c r="B18" t="s">
        <v>439</v>
      </c>
    </row>
    <row r="19" spans="1:2">
      <c r="A19">
        <v>1998</v>
      </c>
      <c r="B19" t="s">
        <v>440</v>
      </c>
    </row>
    <row r="20" spans="1:2">
      <c r="A20">
        <v>1998</v>
      </c>
      <c r="B20" t="s">
        <v>441</v>
      </c>
    </row>
    <row r="21" spans="1:2">
      <c r="A21">
        <v>1998</v>
      </c>
      <c r="B21" t="s">
        <v>442</v>
      </c>
    </row>
    <row r="22" spans="1:2">
      <c r="A22">
        <v>1998</v>
      </c>
      <c r="B22" t="s">
        <v>443</v>
      </c>
    </row>
    <row r="23" spans="1:2">
      <c r="A23">
        <v>1999</v>
      </c>
      <c r="B23" t="s">
        <v>444</v>
      </c>
    </row>
    <row r="24" spans="1:2">
      <c r="A24">
        <v>1999</v>
      </c>
      <c r="B24" t="s">
        <v>445</v>
      </c>
    </row>
    <row r="25" spans="1:2">
      <c r="A25">
        <v>1999</v>
      </c>
      <c r="B25" t="s">
        <v>446</v>
      </c>
    </row>
    <row r="26" spans="1:2">
      <c r="A26">
        <v>1999</v>
      </c>
      <c r="B26" t="s">
        <v>447</v>
      </c>
    </row>
    <row r="27" spans="1:2">
      <c r="A27">
        <v>1999</v>
      </c>
      <c r="B27" t="s">
        <v>448</v>
      </c>
    </row>
    <row r="28" spans="1:2">
      <c r="A28">
        <v>1999</v>
      </c>
      <c r="B28" t="s">
        <v>449</v>
      </c>
    </row>
    <row r="29" spans="1:2">
      <c r="A29">
        <v>1999</v>
      </c>
      <c r="B29" t="s">
        <v>450</v>
      </c>
    </row>
    <row r="30" spans="1:2">
      <c r="A30">
        <v>1999</v>
      </c>
      <c r="B30" t="s">
        <v>451</v>
      </c>
    </row>
    <row r="31" spans="1:2">
      <c r="A31">
        <v>1999</v>
      </c>
      <c r="B31" t="s">
        <v>452</v>
      </c>
    </row>
    <row r="32" spans="1:2">
      <c r="A32">
        <v>1999</v>
      </c>
      <c r="B32" t="s">
        <v>453</v>
      </c>
    </row>
    <row r="33" spans="1:2">
      <c r="A33">
        <v>2000</v>
      </c>
      <c r="B33" t="s">
        <v>454</v>
      </c>
    </row>
    <row r="34" spans="1:2">
      <c r="A34">
        <v>2000</v>
      </c>
      <c r="B34" t="s">
        <v>455</v>
      </c>
    </row>
    <row r="35" spans="1:2">
      <c r="A35">
        <v>2000</v>
      </c>
      <c r="B35" t="s">
        <v>456</v>
      </c>
    </row>
    <row r="36" spans="1:2">
      <c r="A36">
        <v>2000</v>
      </c>
      <c r="B36" t="s">
        <v>457</v>
      </c>
    </row>
    <row r="37" spans="1:2">
      <c r="A37">
        <v>2000</v>
      </c>
      <c r="B37" t="s">
        <v>458</v>
      </c>
    </row>
    <row r="38" spans="1:2">
      <c r="A38">
        <v>2000</v>
      </c>
      <c r="B38" t="s">
        <v>459</v>
      </c>
    </row>
    <row r="39" spans="1:2">
      <c r="A39">
        <v>2001</v>
      </c>
      <c r="B39" t="s">
        <v>460</v>
      </c>
    </row>
    <row r="40" spans="1:2">
      <c r="A40">
        <v>2001</v>
      </c>
      <c r="B40" t="s">
        <v>461</v>
      </c>
    </row>
    <row r="41" spans="1:2">
      <c r="A41">
        <v>2001</v>
      </c>
      <c r="B41" t="s">
        <v>462</v>
      </c>
    </row>
    <row r="42" spans="1:2">
      <c r="A42">
        <v>2001</v>
      </c>
      <c r="B42" t="s">
        <v>463</v>
      </c>
    </row>
    <row r="43" spans="1:2">
      <c r="A43">
        <v>2001</v>
      </c>
      <c r="B43" t="s">
        <v>464</v>
      </c>
    </row>
    <row r="44" spans="1:2">
      <c r="A44">
        <v>2001</v>
      </c>
      <c r="B44" t="s">
        <v>465</v>
      </c>
    </row>
    <row r="45" spans="1:2">
      <c r="A45">
        <v>2002</v>
      </c>
      <c r="B45" t="s">
        <v>466</v>
      </c>
    </row>
    <row r="46" spans="1:2">
      <c r="A46">
        <v>2002</v>
      </c>
      <c r="B46" t="s">
        <v>467</v>
      </c>
    </row>
    <row r="47" spans="1:2">
      <c r="A47">
        <v>2002</v>
      </c>
      <c r="B47" t="s">
        <v>468</v>
      </c>
    </row>
    <row r="48" spans="1:2">
      <c r="A48">
        <v>2002</v>
      </c>
      <c r="B48" t="s">
        <v>469</v>
      </c>
    </row>
    <row r="49" spans="1:2">
      <c r="A49">
        <v>2002</v>
      </c>
      <c r="B49" t="s">
        <v>470</v>
      </c>
    </row>
    <row r="50" spans="1:2">
      <c r="A50">
        <v>2002</v>
      </c>
      <c r="B50" t="s">
        <v>471</v>
      </c>
    </row>
    <row r="51" spans="1:2">
      <c r="A51">
        <v>2003</v>
      </c>
      <c r="B51" t="s">
        <v>472</v>
      </c>
    </row>
    <row r="52" spans="1:2">
      <c r="A52">
        <v>2003</v>
      </c>
      <c r="B52" t="s">
        <v>473</v>
      </c>
    </row>
    <row r="53" spans="1:2">
      <c r="A53">
        <v>2003</v>
      </c>
      <c r="B53" t="s">
        <v>474</v>
      </c>
    </row>
    <row r="54" spans="1:2">
      <c r="A54">
        <v>2003</v>
      </c>
      <c r="B54" t="s">
        <v>475</v>
      </c>
    </row>
    <row r="55" spans="1:2">
      <c r="A55">
        <v>2003</v>
      </c>
      <c r="B55" t="s">
        <v>476</v>
      </c>
    </row>
    <row r="56" spans="1:2">
      <c r="A56">
        <v>2003</v>
      </c>
      <c r="B56" t="s">
        <v>477</v>
      </c>
    </row>
    <row r="57" spans="1:2">
      <c r="A57">
        <v>2004</v>
      </c>
      <c r="B57" t="s">
        <v>478</v>
      </c>
    </row>
    <row r="58" spans="1:2">
      <c r="A58">
        <v>2004</v>
      </c>
      <c r="B58" t="s">
        <v>479</v>
      </c>
    </row>
    <row r="59" spans="1:2">
      <c r="A59">
        <v>2004</v>
      </c>
      <c r="B59" t="s">
        <v>480</v>
      </c>
    </row>
    <row r="60" spans="1:2">
      <c r="A60">
        <v>2004</v>
      </c>
      <c r="B60" t="s">
        <v>481</v>
      </c>
    </row>
    <row r="61" spans="1:2">
      <c r="A61">
        <v>2004</v>
      </c>
      <c r="B61" t="s">
        <v>482</v>
      </c>
    </row>
    <row r="62" spans="1:2">
      <c r="A62">
        <v>2004</v>
      </c>
      <c r="B62" t="s">
        <v>483</v>
      </c>
    </row>
    <row r="63" spans="1:2">
      <c r="A63">
        <v>2005</v>
      </c>
      <c r="B63" t="s">
        <v>484</v>
      </c>
    </row>
    <row r="64" spans="1:2">
      <c r="A64">
        <v>2005</v>
      </c>
      <c r="B64" t="s">
        <v>485</v>
      </c>
    </row>
    <row r="65" spans="1:2">
      <c r="A65">
        <v>2005</v>
      </c>
      <c r="B65" t="s">
        <v>486</v>
      </c>
    </row>
    <row r="66" spans="1:2">
      <c r="A66">
        <v>2005</v>
      </c>
      <c r="B66" t="s">
        <v>487</v>
      </c>
    </row>
    <row r="67" spans="1:2">
      <c r="A67">
        <v>2005</v>
      </c>
      <c r="B67" t="s">
        <v>488</v>
      </c>
    </row>
    <row r="68" spans="1:2">
      <c r="A68">
        <v>2005</v>
      </c>
      <c r="B68" t="s">
        <v>489</v>
      </c>
    </row>
    <row r="69" spans="1:2">
      <c r="A69">
        <v>2007</v>
      </c>
      <c r="B69" t="s">
        <v>490</v>
      </c>
    </row>
    <row r="70" spans="1:2">
      <c r="A70">
        <v>2007</v>
      </c>
      <c r="B70" t="s">
        <v>491</v>
      </c>
    </row>
    <row r="71" spans="1:2">
      <c r="A71">
        <v>2007</v>
      </c>
      <c r="B71" t="s">
        <v>492</v>
      </c>
    </row>
    <row r="72" spans="1:2">
      <c r="A72">
        <v>2007</v>
      </c>
      <c r="B72" t="s">
        <v>493</v>
      </c>
    </row>
    <row r="73" spans="1:2">
      <c r="A73">
        <v>2007</v>
      </c>
      <c r="B73" t="s">
        <v>494</v>
      </c>
    </row>
    <row r="74" spans="1:2">
      <c r="A74">
        <v>2007</v>
      </c>
      <c r="B74" t="s">
        <v>495</v>
      </c>
    </row>
    <row r="75" spans="1:2">
      <c r="A75">
        <v>2007</v>
      </c>
      <c r="B75" t="s">
        <v>496</v>
      </c>
    </row>
    <row r="76" spans="1:2">
      <c r="A76">
        <v>2008</v>
      </c>
      <c r="B76" t="s">
        <v>497</v>
      </c>
    </row>
    <row r="77" spans="1:2">
      <c r="A77">
        <v>2008</v>
      </c>
      <c r="B77" t="s">
        <v>498</v>
      </c>
    </row>
    <row r="78" spans="1:2">
      <c r="A78">
        <v>2008</v>
      </c>
      <c r="B78" t="s">
        <v>499</v>
      </c>
    </row>
    <row r="79" spans="1:2">
      <c r="A79">
        <v>2008</v>
      </c>
      <c r="B79" t="s">
        <v>500</v>
      </c>
    </row>
    <row r="80" spans="1:2">
      <c r="A80">
        <v>2008</v>
      </c>
      <c r="B80" t="s">
        <v>501</v>
      </c>
    </row>
    <row r="81" spans="1:2">
      <c r="A81">
        <v>2008</v>
      </c>
      <c r="B81" t="s">
        <v>502</v>
      </c>
    </row>
    <row r="82" spans="1:2">
      <c r="A82">
        <v>2009</v>
      </c>
      <c r="B82" t="s">
        <v>503</v>
      </c>
    </row>
    <row r="83" spans="1:2">
      <c r="A83">
        <v>2009</v>
      </c>
      <c r="B83" t="s">
        <v>504</v>
      </c>
    </row>
    <row r="84" spans="1:2">
      <c r="A84">
        <v>2009</v>
      </c>
      <c r="B84" t="s">
        <v>505</v>
      </c>
    </row>
    <row r="85" spans="1:2">
      <c r="A85">
        <v>2009</v>
      </c>
      <c r="B85" t="s">
        <v>506</v>
      </c>
    </row>
    <row r="86" spans="1:2">
      <c r="A86">
        <v>2009</v>
      </c>
      <c r="B86" t="s">
        <v>507</v>
      </c>
    </row>
    <row r="87" spans="1:2">
      <c r="A87">
        <v>2009</v>
      </c>
      <c r="B87" t="s">
        <v>508</v>
      </c>
    </row>
    <row r="88" spans="1:2">
      <c r="A88">
        <v>2009</v>
      </c>
      <c r="B88" t="s">
        <v>509</v>
      </c>
    </row>
    <row r="89" spans="1:2">
      <c r="A89">
        <v>2010</v>
      </c>
      <c r="B89" t="s">
        <v>510</v>
      </c>
    </row>
    <row r="90" spans="1:2">
      <c r="A90">
        <v>2010</v>
      </c>
      <c r="B90" t="s">
        <v>511</v>
      </c>
    </row>
    <row r="91" spans="1:2">
      <c r="A91">
        <v>2010</v>
      </c>
      <c r="B91" t="s">
        <v>512</v>
      </c>
    </row>
    <row r="92" spans="1:2">
      <c r="A92">
        <v>2010</v>
      </c>
      <c r="B92" t="s">
        <v>513</v>
      </c>
    </row>
    <row r="93" spans="1:2">
      <c r="A93">
        <v>2010</v>
      </c>
      <c r="B93" t="s">
        <v>514</v>
      </c>
    </row>
    <row r="94" spans="1:2">
      <c r="A94">
        <v>2010</v>
      </c>
      <c r="B94" t="s">
        <v>515</v>
      </c>
    </row>
    <row r="95" spans="1:2">
      <c r="A95">
        <v>2010</v>
      </c>
      <c r="B95" t="s">
        <v>516</v>
      </c>
    </row>
    <row r="96" spans="1:2">
      <c r="A96">
        <v>2010</v>
      </c>
      <c r="B96" t="s">
        <v>517</v>
      </c>
    </row>
    <row r="97" spans="1:2">
      <c r="A97">
        <v>2011</v>
      </c>
      <c r="B97" t="s">
        <v>518</v>
      </c>
    </row>
    <row r="98" spans="1:2">
      <c r="A98">
        <v>2011</v>
      </c>
      <c r="B98" t="s">
        <v>519</v>
      </c>
    </row>
    <row r="99" spans="1:2">
      <c r="A99">
        <v>2011</v>
      </c>
      <c r="B99" t="s">
        <v>520</v>
      </c>
    </row>
    <row r="100" spans="1:2">
      <c r="A100">
        <v>2011</v>
      </c>
      <c r="B100" t="s">
        <v>521</v>
      </c>
    </row>
    <row r="101" spans="1:2">
      <c r="A101">
        <v>2011</v>
      </c>
      <c r="B101" t="s">
        <v>522</v>
      </c>
    </row>
    <row r="102" spans="1:2">
      <c r="A102">
        <v>2011</v>
      </c>
      <c r="B102" t="s">
        <v>523</v>
      </c>
    </row>
    <row r="103" spans="1:2">
      <c r="A103">
        <v>2012</v>
      </c>
      <c r="B103" t="s">
        <v>524</v>
      </c>
    </row>
    <row r="104" spans="1:2">
      <c r="A104">
        <v>2012</v>
      </c>
      <c r="B104" t="s">
        <v>525</v>
      </c>
    </row>
    <row r="105" spans="1:2">
      <c r="A105">
        <v>2012</v>
      </c>
      <c r="B105" t="s">
        <v>526</v>
      </c>
    </row>
    <row r="106" spans="1:2">
      <c r="A106">
        <v>2012</v>
      </c>
      <c r="B106" t="s">
        <v>527</v>
      </c>
    </row>
    <row r="107" spans="1:2">
      <c r="A107">
        <v>2012</v>
      </c>
      <c r="B107" t="s">
        <v>528</v>
      </c>
    </row>
    <row r="108" spans="1:2">
      <c r="A108">
        <v>2012</v>
      </c>
      <c r="B108" t="s">
        <v>529</v>
      </c>
    </row>
    <row r="109" spans="1:2">
      <c r="A109">
        <v>2013</v>
      </c>
      <c r="B109" t="s">
        <v>530</v>
      </c>
    </row>
    <row r="110" spans="1:2">
      <c r="A110">
        <v>2013</v>
      </c>
      <c r="B110" t="s">
        <v>531</v>
      </c>
    </row>
    <row r="111" spans="1:2">
      <c r="A111">
        <v>2013</v>
      </c>
      <c r="B111" t="s">
        <v>532</v>
      </c>
    </row>
    <row r="112" spans="1:2">
      <c r="A112">
        <v>2013</v>
      </c>
      <c r="B112" t="s">
        <v>533</v>
      </c>
    </row>
    <row r="113" spans="1:2">
      <c r="A113">
        <v>2013</v>
      </c>
      <c r="B113" t="s">
        <v>534</v>
      </c>
    </row>
    <row r="114" spans="1:2">
      <c r="A114">
        <v>2013</v>
      </c>
      <c r="B114" t="s">
        <v>535</v>
      </c>
    </row>
    <row r="115" spans="1:2">
      <c r="A115">
        <v>2014</v>
      </c>
      <c r="B115" t="s">
        <v>536</v>
      </c>
    </row>
    <row r="116" spans="1:2">
      <c r="A116">
        <v>2014</v>
      </c>
      <c r="B116" t="s">
        <v>537</v>
      </c>
    </row>
    <row r="117" spans="1:2">
      <c r="A117">
        <v>2014</v>
      </c>
      <c r="B117" t="s">
        <v>538</v>
      </c>
    </row>
    <row r="118" spans="1:2">
      <c r="A118">
        <v>2014</v>
      </c>
      <c r="B118" t="s">
        <v>539</v>
      </c>
    </row>
    <row r="119" spans="1:2">
      <c r="A119">
        <v>2014</v>
      </c>
      <c r="B119" t="s">
        <v>540</v>
      </c>
    </row>
    <row r="120" spans="1:2">
      <c r="A120">
        <v>2014</v>
      </c>
      <c r="B120" t="s">
        <v>541</v>
      </c>
    </row>
    <row r="121" spans="1:2">
      <c r="A121">
        <v>2015</v>
      </c>
      <c r="B121" t="s">
        <v>542</v>
      </c>
    </row>
    <row r="122" spans="1:2">
      <c r="A122">
        <v>2015</v>
      </c>
      <c r="B122" t="s">
        <v>543</v>
      </c>
    </row>
    <row r="123" spans="1:2">
      <c r="A123">
        <v>2015</v>
      </c>
      <c r="B123" t="s">
        <v>544</v>
      </c>
    </row>
    <row r="124" spans="1:2">
      <c r="A124">
        <v>2015</v>
      </c>
      <c r="B124" t="s">
        <v>545</v>
      </c>
    </row>
    <row r="125" spans="1:2">
      <c r="A125">
        <v>2015</v>
      </c>
      <c r="B125" t="s">
        <v>546</v>
      </c>
    </row>
    <row r="126" spans="1:2">
      <c r="A126">
        <v>2015</v>
      </c>
      <c r="B126" t="s">
        <v>547</v>
      </c>
    </row>
    <row r="127" spans="1:2">
      <c r="A127">
        <v>2015</v>
      </c>
      <c r="B127" t="s">
        <v>548</v>
      </c>
    </row>
    <row r="128" spans="1:2">
      <c r="A128">
        <v>2016</v>
      </c>
      <c r="B128" t="s">
        <v>549</v>
      </c>
    </row>
    <row r="129" spans="1:2">
      <c r="A129">
        <v>2016</v>
      </c>
      <c r="B129" t="s">
        <v>550</v>
      </c>
    </row>
    <row r="130" spans="1:2">
      <c r="A130">
        <v>2016</v>
      </c>
      <c r="B130" t="s">
        <v>551</v>
      </c>
    </row>
    <row r="131" spans="1:2">
      <c r="A131">
        <v>2016</v>
      </c>
      <c r="B131" t="s">
        <v>552</v>
      </c>
    </row>
    <row r="132" spans="1:2">
      <c r="A132">
        <v>2016</v>
      </c>
      <c r="B132" t="s">
        <v>553</v>
      </c>
    </row>
    <row r="133" spans="1:2">
      <c r="A133">
        <v>2019</v>
      </c>
      <c r="B133" t="s">
        <v>554</v>
      </c>
    </row>
    <row r="134" spans="1:2">
      <c r="A134">
        <v>2019</v>
      </c>
      <c r="B134" t="s">
        <v>555</v>
      </c>
    </row>
    <row r="135" spans="1:2">
      <c r="A135">
        <v>2019</v>
      </c>
      <c r="B135" t="s">
        <v>556</v>
      </c>
    </row>
    <row r="136" spans="1:2">
      <c r="A136">
        <v>2022</v>
      </c>
      <c r="B136" t="s">
        <v>557</v>
      </c>
    </row>
    <row r="137" spans="1:2">
      <c r="A137">
        <v>2022</v>
      </c>
      <c r="B137" t="s">
        <v>558</v>
      </c>
    </row>
    <row r="138" spans="1:2">
      <c r="A138">
        <v>2022</v>
      </c>
      <c r="B138" t="s">
        <v>559</v>
      </c>
    </row>
    <row r="139" spans="1:2">
      <c r="A139">
        <v>2022</v>
      </c>
      <c r="B139" t="s">
        <v>560</v>
      </c>
    </row>
    <row r="140" spans="1:2">
      <c r="A140">
        <v>2022</v>
      </c>
      <c r="B140" t="s">
        <v>561</v>
      </c>
    </row>
    <row r="141" spans="1:2">
      <c r="A141">
        <v>2024</v>
      </c>
      <c r="B141" t="s">
        <v>562</v>
      </c>
    </row>
    <row r="142" spans="1:2">
      <c r="A142">
        <v>2024</v>
      </c>
      <c r="B142" t="s">
        <v>563</v>
      </c>
    </row>
    <row r="143" spans="1:2">
      <c r="A143">
        <v>2024</v>
      </c>
      <c r="B143" t="s">
        <v>564</v>
      </c>
    </row>
    <row r="144" spans="1:2">
      <c r="A144">
        <v>2024</v>
      </c>
      <c r="B144" t="s">
        <v>565</v>
      </c>
    </row>
    <row r="145" spans="1:2">
      <c r="A145">
        <v>2024</v>
      </c>
      <c r="B145" t="s">
        <v>566</v>
      </c>
    </row>
    <row r="146" spans="1:2">
      <c r="A146">
        <v>2024</v>
      </c>
      <c r="B146" t="s">
        <v>567</v>
      </c>
    </row>
    <row r="147" spans="1:2">
      <c r="A147">
        <v>2024</v>
      </c>
      <c r="B147" t="s">
        <v>568</v>
      </c>
    </row>
    <row r="148" spans="1:2">
      <c r="A148">
        <v>2024</v>
      </c>
      <c r="B148" t="s">
        <v>569</v>
      </c>
    </row>
    <row r="149" spans="1:2">
      <c r="A149">
        <v>2024</v>
      </c>
      <c r="B149" t="s">
        <v>570</v>
      </c>
    </row>
    <row r="150" spans="1:2">
      <c r="A150">
        <v>2025</v>
      </c>
      <c r="B150" t="s">
        <v>571</v>
      </c>
    </row>
    <row r="151" spans="1:2">
      <c r="A151">
        <v>2025</v>
      </c>
      <c r="B151" t="s">
        <v>572</v>
      </c>
    </row>
    <row r="152" spans="1:2">
      <c r="A152">
        <v>2025</v>
      </c>
      <c r="B152" t="s">
        <v>573</v>
      </c>
    </row>
    <row r="153" spans="1:2">
      <c r="A153">
        <v>2025</v>
      </c>
      <c r="B153" t="s">
        <v>574</v>
      </c>
    </row>
    <row r="154" spans="1:2">
      <c r="A154">
        <v>2025</v>
      </c>
      <c r="B154" t="s">
        <v>575</v>
      </c>
    </row>
    <row r="155" spans="1:2">
      <c r="A155">
        <v>2025</v>
      </c>
      <c r="B155" t="s">
        <v>576</v>
      </c>
    </row>
    <row r="156" spans="1:2">
      <c r="A156">
        <v>2025</v>
      </c>
      <c r="B156" t="s">
        <v>577</v>
      </c>
    </row>
    <row r="157" spans="1:2">
      <c r="A157">
        <v>2025</v>
      </c>
      <c r="B157" t="s">
        <v>578</v>
      </c>
    </row>
    <row r="158" spans="1:2">
      <c r="A158">
        <v>2025</v>
      </c>
      <c r="B158" t="s">
        <v>579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F9" sqref="F9"/>
    </sheetView>
  </sheetViews>
  <sheetFormatPr defaultColWidth="9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93033-643A-4C24-9936-84DD863220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west_sound_1995_2025_mean</vt:lpstr>
      <vt:lpstr>Динамика</vt:lpstr>
      <vt:lpstr>west_sound_1995_2025_cleaned</vt:lpstr>
      <vt:lpstr>характеристика проб</vt:lpstr>
      <vt:lpstr>Лист2</vt:lpstr>
      <vt:lpstr>Stations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 Khaitov</cp:lastModifiedBy>
  <dcterms:created xsi:type="dcterms:W3CDTF">2025-01-28T17:58:00Z</dcterms:created>
  <dcterms:modified xsi:type="dcterms:W3CDTF">2025-12-23T15:18:52Z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662517B48B724987A27C927DE5F67DC1_12</vt:lpwstr>
  </property>
</Properties>
</file>