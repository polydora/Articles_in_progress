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Методика" sheetId="2" r:id="rId1"/>
    <sheet name="2025" sheetId="1" r:id="rId2"/>
  </sheets>
  <calcPr calcId="162913"/>
</workbook>
</file>

<file path=xl/calcChain.xml><?xml version="1.0" encoding="utf-8"?>
<calcChain xmlns="http://schemas.openxmlformats.org/spreadsheetml/2006/main">
  <c r="O106" i="1" l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5" i="1"/>
  <c r="O4" i="1"/>
  <c r="O3" i="1"/>
  <c r="E123" i="1"/>
  <c r="G123" i="1"/>
  <c r="H123" i="1"/>
  <c r="I123" i="1"/>
  <c r="J123" i="1"/>
  <c r="K123" i="1"/>
  <c r="L123" i="1"/>
  <c r="M123" i="1"/>
  <c r="N123" i="1"/>
  <c r="D123" i="1"/>
  <c r="F109" i="1"/>
  <c r="F112" i="1"/>
  <c r="F114" i="1"/>
  <c r="F113" i="1"/>
  <c r="F119" i="1"/>
  <c r="F121" i="1"/>
  <c r="F120" i="1"/>
  <c r="F117" i="1"/>
  <c r="F118" i="1"/>
  <c r="F115" i="1"/>
  <c r="F108" i="1"/>
  <c r="F107" i="1"/>
  <c r="F111" i="1"/>
  <c r="F110" i="1"/>
  <c r="F116" i="1"/>
  <c r="F122" i="1"/>
</calcChain>
</file>

<file path=xl/sharedStrings.xml><?xml version="1.0" encoding="utf-8"?>
<sst xmlns="http://schemas.openxmlformats.org/spreadsheetml/2006/main" count="28" uniqueCount="28">
  <si>
    <t>координаты</t>
  </si>
  <si>
    <t>категории мусора</t>
  </si>
  <si>
    <t>№ участка</t>
  </si>
  <si>
    <t>N (67)</t>
  </si>
  <si>
    <t>E(32)</t>
  </si>
  <si>
    <t>Пластиковые предметы</t>
  </si>
  <si>
    <t>Пластиковые бутылки</t>
  </si>
  <si>
    <t>Стеклянные бут.,стекло</t>
  </si>
  <si>
    <t>Полиэтилен и целофан</t>
  </si>
  <si>
    <t>Покрышки, резин. пр.</t>
  </si>
  <si>
    <t>Бумага</t>
  </si>
  <si>
    <t>Металлическе предметы</t>
  </si>
  <si>
    <t>Консервные банки</t>
  </si>
  <si>
    <t>Предметы одежды</t>
  </si>
  <si>
    <t>Пенопласт</t>
  </si>
  <si>
    <t>Прочее</t>
  </si>
  <si>
    <t>всего</t>
  </si>
  <si>
    <t xml:space="preserve">Методика </t>
  </si>
  <si>
    <t xml:space="preserve">Первый участок начинался у кордона в зоне дровоколки. </t>
  </si>
  <si>
    <t xml:space="preserve">Первичные и обработаные данные переданы  в КГПЗ </t>
  </si>
  <si>
    <r>
      <rPr>
        <b/>
        <sz val="12"/>
        <rFont val="Times New Roman"/>
        <family val="1"/>
        <charset val="204"/>
      </rPr>
      <t>Образовательное учреждение:</t>
    </r>
    <r>
      <rPr>
        <sz val="12"/>
        <rFont val="Times New Roman"/>
        <family val="1"/>
        <charset val="204"/>
      </rPr>
      <t xml:space="preserve"> Муниципальное автономное учреждение дополнительного образования детско-юношеский центр "Ровесник" им. С.А. Крыловой</t>
    </r>
  </si>
  <si>
    <r>
      <rPr>
        <b/>
        <sz val="12"/>
        <rFont val="Times New Roman"/>
        <family val="1"/>
        <charset val="204"/>
      </rPr>
      <t>Руководитель:</t>
    </r>
    <r>
      <rPr>
        <sz val="12"/>
        <rFont val="Times New Roman"/>
        <family val="1"/>
        <charset val="204"/>
      </rPr>
      <t xml:space="preserve"> Мацеева Любовь Александровна, 89522911441</t>
    </r>
  </si>
  <si>
    <r>
      <t>Тема:</t>
    </r>
    <r>
      <rPr>
        <sz val="12"/>
        <rFont val="Times New Roman"/>
        <family val="1"/>
        <charset val="204"/>
      </rPr>
      <t xml:space="preserve"> Распределение мусора по периметру о. Ряшков в 2025 году</t>
    </r>
  </si>
  <si>
    <r>
      <t xml:space="preserve">ФИО учётчика: </t>
    </r>
    <r>
      <rPr>
        <sz val="12"/>
        <rFont val="Times New Roman"/>
        <family val="1"/>
        <charset val="204"/>
      </rPr>
      <t xml:space="preserve"> Куликова Ульяна Александровна</t>
    </r>
  </si>
  <si>
    <t xml:space="preserve">Учет мусора проводился в зоне штормовых выбросов на участках длиной 100 м. по координатам 2024 года. </t>
  </si>
  <si>
    <t>ВСЕГО</t>
  </si>
  <si>
    <r>
      <t xml:space="preserve">Первичные выводы: </t>
    </r>
    <r>
      <rPr>
        <sz val="11"/>
        <color theme="1"/>
        <rFont val="Times New Roman"/>
        <family val="1"/>
        <charset val="204"/>
      </rPr>
      <t>В 2025 году всего учтено 527 едениц  мусора, что  в 2 раза превышает количество 2024 года. В 2024 году на полиэтилен приходилось 50% мысора, в 2025 году - 62%. На платиковые бутылки в 2024 году -7,6%, в 2025 -4,5%. По всем остальным категориям мусора различия не значительны.</t>
    </r>
  </si>
  <si>
    <t>Учитывались единицы мусора по категориям, указанным в таблице, вне зависимости от размера.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</si>
</sst>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textRotation="90"/>
    </xf>
    <xf numFmtId="0" fontId="1" fillId="0" borderId="1" xfId="0" applyFont="1" applyBorder="1" applyAlignment="1">
      <alignment textRotation="90" wrapText="1"/>
    </xf>
    <xf numFmtId="0" fontId="1" fillId="0" borderId="1" xfId="0" applyFont="1" applyBorder="1" applyAlignment="1">
      <alignment horizontal="right" textRotation="90" wrapText="1"/>
    </xf>
    <xf numFmtId="0" fontId="2" fillId="0" borderId="1" xfId="0" applyFont="1" applyBorder="1" applyAlignment="1">
      <alignment horizontal="center"/>
    </xf>
    <xf numFmtId="0" fontId="1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0" fontId="3" fillId="0" borderId="0" xfId="0" applyFont="1"/>
    <xf numFmtId="0" fontId="1" fillId="0" borderId="0" xfId="0" applyFont="1"/>
    <xf numFmtId="0" fontId="4" fillId="0" borderId="1" xfId="0" applyFont="1" applyBorder="1"/>
    <xf numFmtId="1" fontId="4" fillId="0" borderId="1" xfId="0" applyNumberFormat="1" applyFont="1" applyBorder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tabSelected="1" workbookViewId="0">
      <selection activeCell="S8" sqref="S8"/>
    </sheetView>
  </sheetViews>
  <sheetFormatPr defaultRowHeight="15" x14ac:dyDescent="0.25"/>
  <sheetData>
    <row r="1" spans="1:16" ht="15.75" x14ac:dyDescent="0.25">
      <c r="A1" s="16" t="s">
        <v>22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6" ht="15.75" x14ac:dyDescent="0.25">
      <c r="A2" s="16" t="s">
        <v>23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6" ht="15.75" x14ac:dyDescent="0.25">
      <c r="A3" s="16" t="s">
        <v>20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6" ht="15.75" x14ac:dyDescent="0.25">
      <c r="A4" s="16" t="s">
        <v>21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spans="1:16" ht="15.75" x14ac:dyDescent="0.25">
      <c r="A5" s="21" t="s">
        <v>17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16" ht="15.75" x14ac:dyDescent="0.25">
      <c r="A6" s="17" t="s">
        <v>24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</row>
    <row r="7" spans="1:16" ht="15.75" x14ac:dyDescent="0.25">
      <c r="A7" s="17" t="s">
        <v>18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6" ht="15.75" x14ac:dyDescent="0.25">
      <c r="A8" s="17" t="s">
        <v>27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</row>
    <row r="9" spans="1:16" ht="15.75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</row>
    <row r="10" spans="1:16" ht="15.75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</row>
    <row r="11" spans="1:16" ht="15.75" x14ac:dyDescent="0.25">
      <c r="A11" s="17" t="s">
        <v>19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4" spans="1:16" x14ac:dyDescent="0.25">
      <c r="A14" s="22" t="s">
        <v>26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1:16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</row>
    <row r="16" spans="1:16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</row>
    <row r="17" spans="1:16" x14ac:dyDescent="0.2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1:16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</row>
    <row r="19" spans="1:16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</row>
    <row r="20" spans="1:16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1:16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</row>
  </sheetData>
  <mergeCells count="2">
    <mergeCell ref="A5:L5"/>
    <mergeCell ref="A14:P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3"/>
  <sheetViews>
    <sheetView zoomScaleNormal="100" workbookViewId="0">
      <selection activeCell="T6" sqref="T6"/>
    </sheetView>
  </sheetViews>
  <sheetFormatPr defaultRowHeight="15" x14ac:dyDescent="0.25"/>
  <sheetData>
    <row r="1" spans="1:15" ht="15.75" x14ac:dyDescent="0.25">
      <c r="A1" s="1"/>
      <c r="B1" s="23" t="s">
        <v>0</v>
      </c>
      <c r="C1" s="23"/>
      <c r="D1" s="23" t="s">
        <v>1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128.25" x14ac:dyDescent="0.25">
      <c r="A2" s="2" t="s">
        <v>2</v>
      </c>
      <c r="B2" s="3" t="s">
        <v>3</v>
      </c>
      <c r="C2" s="3" t="s">
        <v>4</v>
      </c>
      <c r="D2" s="4" t="s">
        <v>5</v>
      </c>
      <c r="E2" s="4" t="s">
        <v>6</v>
      </c>
      <c r="F2" s="5" t="s">
        <v>7</v>
      </c>
      <c r="G2" s="6" t="s">
        <v>8</v>
      </c>
      <c r="H2" s="5" t="s">
        <v>9</v>
      </c>
      <c r="I2" s="5" t="s">
        <v>10</v>
      </c>
      <c r="J2" s="5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</row>
    <row r="3" spans="1:15" ht="15.75" x14ac:dyDescent="0.25">
      <c r="A3" s="1">
        <v>1</v>
      </c>
      <c r="B3" s="7">
        <v>0.443</v>
      </c>
      <c r="C3" s="7">
        <v>34.642000000000003</v>
      </c>
      <c r="D3" s="14">
        <v>1</v>
      </c>
      <c r="E3" s="14">
        <v>0</v>
      </c>
      <c r="F3" s="14">
        <v>0</v>
      </c>
      <c r="G3" s="14">
        <v>1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5">
        <f>SUM(D3:N3)</f>
        <v>2</v>
      </c>
    </row>
    <row r="4" spans="1:15" ht="15.75" x14ac:dyDescent="0.25">
      <c r="A4" s="1">
        <v>2</v>
      </c>
      <c r="B4" s="7">
        <v>0.42899999999999999</v>
      </c>
      <c r="C4" s="7">
        <v>34.728000000000002</v>
      </c>
      <c r="D4" s="14">
        <v>0</v>
      </c>
      <c r="E4" s="14">
        <v>0</v>
      </c>
      <c r="F4" s="14">
        <v>0</v>
      </c>
      <c r="G4" s="14">
        <v>1</v>
      </c>
      <c r="H4" s="14">
        <v>1</v>
      </c>
      <c r="I4" s="14">
        <v>0</v>
      </c>
      <c r="J4" s="14">
        <v>0</v>
      </c>
      <c r="K4" s="14">
        <v>0</v>
      </c>
      <c r="L4" s="14">
        <v>1</v>
      </c>
      <c r="M4" s="14">
        <v>0</v>
      </c>
      <c r="N4" s="14">
        <v>0</v>
      </c>
      <c r="O4" s="15">
        <f>SUM(D4:N4)</f>
        <v>3</v>
      </c>
    </row>
    <row r="5" spans="1:15" ht="15.75" x14ac:dyDescent="0.25">
      <c r="A5" s="8">
        <v>3</v>
      </c>
      <c r="B5" s="9">
        <v>0.46800000000000003</v>
      </c>
      <c r="C5" s="9">
        <v>34.814999999999998</v>
      </c>
      <c r="D5" s="14">
        <v>4</v>
      </c>
      <c r="E5" s="14">
        <v>0</v>
      </c>
      <c r="F5" s="14">
        <v>0</v>
      </c>
      <c r="G5" s="14">
        <v>26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1</v>
      </c>
      <c r="O5" s="15">
        <f>SUM(D5:N5)</f>
        <v>31</v>
      </c>
    </row>
    <row r="6" spans="1:15" ht="15.75" x14ac:dyDescent="0.25">
      <c r="A6" s="8">
        <v>4</v>
      </c>
      <c r="B6" s="9">
        <v>0.49</v>
      </c>
      <c r="C6" s="9">
        <v>34.881</v>
      </c>
      <c r="D6" s="14">
        <v>0</v>
      </c>
      <c r="E6" s="14">
        <v>0</v>
      </c>
      <c r="F6" s="14">
        <v>0</v>
      </c>
      <c r="G6" s="14">
        <v>5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5">
        <f t="shared" ref="O6:O69" si="0">SUM(D6:N6)</f>
        <v>5</v>
      </c>
    </row>
    <row r="7" spans="1:15" ht="15.75" x14ac:dyDescent="0.25">
      <c r="A7" s="8">
        <v>5</v>
      </c>
      <c r="B7" s="9">
        <v>0.51300000000000001</v>
      </c>
      <c r="C7" s="9">
        <v>34.985999999999997</v>
      </c>
      <c r="D7" s="14">
        <v>0</v>
      </c>
      <c r="E7" s="14">
        <v>0</v>
      </c>
      <c r="F7" s="14">
        <v>0</v>
      </c>
      <c r="G7" s="14">
        <v>3</v>
      </c>
      <c r="H7" s="14">
        <v>1</v>
      </c>
      <c r="I7" s="14">
        <v>1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5">
        <f t="shared" si="0"/>
        <v>5</v>
      </c>
    </row>
    <row r="8" spans="1:15" ht="15.75" x14ac:dyDescent="0.25">
      <c r="A8" s="8">
        <v>6</v>
      </c>
      <c r="B8" s="9">
        <v>0.5</v>
      </c>
      <c r="C8" s="9">
        <v>35.078000000000003</v>
      </c>
      <c r="D8" s="14">
        <v>1</v>
      </c>
      <c r="E8" s="14">
        <v>0</v>
      </c>
      <c r="F8" s="14">
        <v>0</v>
      </c>
      <c r="G8" s="14">
        <v>2</v>
      </c>
      <c r="H8" s="14">
        <v>0</v>
      </c>
      <c r="I8" s="14">
        <v>1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5">
        <f t="shared" si="0"/>
        <v>4</v>
      </c>
    </row>
    <row r="9" spans="1:15" ht="15.75" x14ac:dyDescent="0.25">
      <c r="A9" s="8">
        <v>7</v>
      </c>
      <c r="B9" s="9">
        <v>0.46500000000000002</v>
      </c>
      <c r="C9" s="9">
        <v>35.151000000000003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1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5">
        <f t="shared" si="0"/>
        <v>1</v>
      </c>
    </row>
    <row r="10" spans="1:15" ht="15.75" x14ac:dyDescent="0.25">
      <c r="A10" s="8">
        <v>8</v>
      </c>
      <c r="B10" s="9">
        <v>0.48799999999999999</v>
      </c>
      <c r="C10" s="9">
        <v>35.256</v>
      </c>
      <c r="D10" s="14">
        <v>0</v>
      </c>
      <c r="E10" s="14">
        <v>0</v>
      </c>
      <c r="F10" s="14">
        <v>0</v>
      </c>
      <c r="G10" s="14">
        <v>1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5">
        <f t="shared" si="0"/>
        <v>1</v>
      </c>
    </row>
    <row r="11" spans="1:15" ht="15.75" x14ac:dyDescent="0.25">
      <c r="A11" s="8">
        <v>9</v>
      </c>
      <c r="B11" s="9">
        <v>0.52300000000000002</v>
      </c>
      <c r="C11" s="9">
        <v>35.290999999999997</v>
      </c>
      <c r="D11" s="14">
        <v>1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5">
        <f t="shared" si="0"/>
        <v>1</v>
      </c>
    </row>
    <row r="12" spans="1:15" ht="15.75" x14ac:dyDescent="0.25">
      <c r="A12" s="8">
        <v>10</v>
      </c>
      <c r="B12" s="9">
        <v>0.57699999999999996</v>
      </c>
      <c r="C12" s="9">
        <v>35.299999999999997</v>
      </c>
      <c r="D12" s="14">
        <v>1</v>
      </c>
      <c r="E12" s="14">
        <v>0</v>
      </c>
      <c r="F12" s="14">
        <v>0</v>
      </c>
      <c r="G12" s="14">
        <v>3</v>
      </c>
      <c r="H12" s="14">
        <v>1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5">
        <f t="shared" si="0"/>
        <v>5</v>
      </c>
    </row>
    <row r="13" spans="1:15" ht="15.75" x14ac:dyDescent="0.25">
      <c r="A13" s="8">
        <v>11</v>
      </c>
      <c r="B13" s="9">
        <v>0.61499999999999999</v>
      </c>
      <c r="C13" s="9">
        <v>35.295000000000002</v>
      </c>
      <c r="D13" s="14">
        <v>0</v>
      </c>
      <c r="E13" s="14">
        <v>0</v>
      </c>
      <c r="F13" s="14">
        <v>0</v>
      </c>
      <c r="G13" s="14">
        <v>1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1</v>
      </c>
      <c r="N13" s="14">
        <v>0</v>
      </c>
      <c r="O13" s="15">
        <f t="shared" si="0"/>
        <v>2</v>
      </c>
    </row>
    <row r="14" spans="1:15" ht="15.75" x14ac:dyDescent="0.25">
      <c r="A14" s="8">
        <v>12</v>
      </c>
      <c r="B14" s="9">
        <v>0.64</v>
      </c>
      <c r="C14" s="9">
        <v>35.302999999999997</v>
      </c>
      <c r="D14" s="14">
        <v>1</v>
      </c>
      <c r="E14" s="14">
        <v>1</v>
      </c>
      <c r="F14" s="14">
        <v>1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5">
        <f t="shared" si="0"/>
        <v>3</v>
      </c>
    </row>
    <row r="15" spans="1:15" ht="15.75" x14ac:dyDescent="0.25">
      <c r="A15" s="8">
        <v>13</v>
      </c>
      <c r="B15" s="9">
        <v>0.67200000000000004</v>
      </c>
      <c r="C15" s="9">
        <v>35.270000000000003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5">
        <f t="shared" si="0"/>
        <v>0</v>
      </c>
    </row>
    <row r="16" spans="1:15" ht="15.75" x14ac:dyDescent="0.25">
      <c r="A16" s="8">
        <v>14</v>
      </c>
      <c r="B16" s="9">
        <v>0.7</v>
      </c>
      <c r="C16" s="9">
        <v>35.222000000000001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5">
        <f t="shared" si="0"/>
        <v>0</v>
      </c>
    </row>
    <row r="17" spans="1:15" ht="15.75" x14ac:dyDescent="0.25">
      <c r="A17" s="8">
        <v>15</v>
      </c>
      <c r="B17" s="9">
        <v>0.74099999999999999</v>
      </c>
      <c r="C17" s="9">
        <v>35.192999999999998</v>
      </c>
      <c r="D17" s="14">
        <v>0</v>
      </c>
      <c r="E17" s="14">
        <v>0</v>
      </c>
      <c r="F17" s="14">
        <v>0</v>
      </c>
      <c r="G17" s="14">
        <v>1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5">
        <f t="shared" si="0"/>
        <v>1</v>
      </c>
    </row>
    <row r="18" spans="1:15" ht="15.75" x14ac:dyDescent="0.25">
      <c r="A18" s="8">
        <v>16</v>
      </c>
      <c r="B18" s="9">
        <v>0.77100000000000002</v>
      </c>
      <c r="C18" s="9">
        <v>35.125999999999998</v>
      </c>
      <c r="D18" s="14">
        <v>3</v>
      </c>
      <c r="E18" s="14">
        <v>0</v>
      </c>
      <c r="F18" s="14">
        <v>0</v>
      </c>
      <c r="G18" s="14">
        <v>9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5">
        <f t="shared" si="0"/>
        <v>12</v>
      </c>
    </row>
    <row r="19" spans="1:15" ht="15.75" x14ac:dyDescent="0.25">
      <c r="A19" s="8">
        <v>17</v>
      </c>
      <c r="B19" s="9">
        <v>0.82099999999999995</v>
      </c>
      <c r="C19" s="9">
        <v>35.087000000000003</v>
      </c>
      <c r="D19" s="14">
        <v>1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5">
        <f t="shared" si="0"/>
        <v>1</v>
      </c>
    </row>
    <row r="20" spans="1:15" ht="15.75" x14ac:dyDescent="0.25">
      <c r="A20" s="8">
        <v>18</v>
      </c>
      <c r="B20" s="9">
        <v>0.86599999999999999</v>
      </c>
      <c r="C20" s="9">
        <v>35.061999999999998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5">
        <f t="shared" si="0"/>
        <v>0</v>
      </c>
    </row>
    <row r="21" spans="1:15" ht="15.75" x14ac:dyDescent="0.25">
      <c r="A21" s="8">
        <v>19</v>
      </c>
      <c r="B21" s="9">
        <v>0.88800000000000001</v>
      </c>
      <c r="C21" s="9">
        <v>35.034999999999997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5">
        <f t="shared" si="0"/>
        <v>0</v>
      </c>
    </row>
    <row r="22" spans="1:15" ht="15.75" x14ac:dyDescent="0.25">
      <c r="A22" s="8">
        <v>20</v>
      </c>
      <c r="B22" s="9">
        <v>0.93300000000000005</v>
      </c>
      <c r="C22" s="9">
        <v>34.966000000000001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5">
        <f t="shared" si="0"/>
        <v>0</v>
      </c>
    </row>
    <row r="23" spans="1:15" ht="15.75" x14ac:dyDescent="0.25">
      <c r="A23" s="8">
        <v>21</v>
      </c>
      <c r="B23" s="9">
        <v>0.96099999999999997</v>
      </c>
      <c r="C23" s="9">
        <v>34.841999999999999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5">
        <f t="shared" si="0"/>
        <v>0</v>
      </c>
    </row>
    <row r="24" spans="1:15" ht="15.75" x14ac:dyDescent="0.25">
      <c r="A24" s="8">
        <v>22</v>
      </c>
      <c r="B24" s="9">
        <v>0.98199999999999998</v>
      </c>
      <c r="C24" s="9">
        <v>34.765999999999998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5">
        <f t="shared" si="0"/>
        <v>0</v>
      </c>
    </row>
    <row r="25" spans="1:15" ht="15.75" x14ac:dyDescent="0.25">
      <c r="A25" s="10">
        <v>23</v>
      </c>
      <c r="B25" s="11">
        <v>1.02</v>
      </c>
      <c r="C25" s="11">
        <v>34.686999999999998</v>
      </c>
      <c r="D25" s="14">
        <v>0</v>
      </c>
      <c r="E25" s="14">
        <v>0</v>
      </c>
      <c r="F25" s="14">
        <v>0</v>
      </c>
      <c r="G25" s="14">
        <v>0</v>
      </c>
      <c r="H25" s="14">
        <v>2</v>
      </c>
      <c r="I25" s="14">
        <v>1</v>
      </c>
      <c r="J25" s="14">
        <v>0</v>
      </c>
      <c r="K25" s="14">
        <v>0</v>
      </c>
      <c r="L25" s="14">
        <v>1</v>
      </c>
      <c r="M25" s="14">
        <v>1</v>
      </c>
      <c r="N25" s="14">
        <v>0</v>
      </c>
      <c r="O25" s="15">
        <f t="shared" si="0"/>
        <v>5</v>
      </c>
    </row>
    <row r="26" spans="1:15" ht="15.75" x14ac:dyDescent="0.25">
      <c r="A26" s="8">
        <v>24</v>
      </c>
      <c r="B26" s="9">
        <v>1.0840000000000001</v>
      </c>
      <c r="C26" s="9">
        <v>34.664999999999999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5">
        <f t="shared" si="0"/>
        <v>0</v>
      </c>
    </row>
    <row r="27" spans="1:15" ht="15.75" x14ac:dyDescent="0.25">
      <c r="A27" s="8">
        <v>25</v>
      </c>
      <c r="B27" s="9">
        <v>1.1459999999999999</v>
      </c>
      <c r="C27" s="9">
        <v>34.587000000000003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5">
        <f t="shared" si="0"/>
        <v>0</v>
      </c>
    </row>
    <row r="28" spans="1:15" ht="15.75" x14ac:dyDescent="0.25">
      <c r="A28" s="8">
        <v>26</v>
      </c>
      <c r="B28" s="9">
        <v>1.161</v>
      </c>
      <c r="C28" s="9">
        <v>34.491999999999997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5">
        <f t="shared" si="0"/>
        <v>0</v>
      </c>
    </row>
    <row r="29" spans="1:15" ht="15.75" x14ac:dyDescent="0.25">
      <c r="A29" s="8">
        <v>27</v>
      </c>
      <c r="B29" s="9">
        <v>1.169</v>
      </c>
      <c r="C29" s="9">
        <v>34.399000000000001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5">
        <f t="shared" si="0"/>
        <v>0</v>
      </c>
    </row>
    <row r="30" spans="1:15" ht="15.75" x14ac:dyDescent="0.25">
      <c r="A30" s="8">
        <v>28</v>
      </c>
      <c r="B30" s="9">
        <v>1.1870000000000001</v>
      </c>
      <c r="C30" s="9">
        <v>34.22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5">
        <f t="shared" si="0"/>
        <v>0</v>
      </c>
    </row>
    <row r="31" spans="1:15" ht="15.75" x14ac:dyDescent="0.25">
      <c r="A31" s="8">
        <v>29</v>
      </c>
      <c r="B31" s="9">
        <v>1.2250000000000001</v>
      </c>
      <c r="C31" s="9">
        <v>34.162999999999997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5">
        <f t="shared" si="0"/>
        <v>0</v>
      </c>
    </row>
    <row r="32" spans="1:15" ht="15.75" x14ac:dyDescent="0.25">
      <c r="A32" s="8">
        <v>30</v>
      </c>
      <c r="B32" s="9">
        <v>1.2869999999999999</v>
      </c>
      <c r="C32" s="9">
        <v>34.098999999999997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5">
        <f t="shared" si="0"/>
        <v>0</v>
      </c>
    </row>
    <row r="33" spans="1:15" ht="15.75" x14ac:dyDescent="0.25">
      <c r="A33" s="8">
        <v>31</v>
      </c>
      <c r="B33" s="9">
        <v>1.3129999999999999</v>
      </c>
      <c r="C33" s="9">
        <v>34.08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5">
        <f t="shared" si="0"/>
        <v>0</v>
      </c>
    </row>
    <row r="34" spans="1:15" ht="15.75" x14ac:dyDescent="0.25">
      <c r="A34" s="8">
        <v>32</v>
      </c>
      <c r="B34" s="9">
        <v>1.389</v>
      </c>
      <c r="C34" s="9">
        <v>34.063000000000002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5">
        <f t="shared" si="0"/>
        <v>1</v>
      </c>
    </row>
    <row r="35" spans="1:15" ht="15.75" x14ac:dyDescent="0.25">
      <c r="A35" s="8">
        <v>33</v>
      </c>
      <c r="B35" s="9">
        <v>1.45</v>
      </c>
      <c r="C35" s="9">
        <v>34.000999999999998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5">
        <f t="shared" si="0"/>
        <v>0</v>
      </c>
    </row>
    <row r="36" spans="1:15" ht="15.75" x14ac:dyDescent="0.25">
      <c r="A36" s="8">
        <v>34</v>
      </c>
      <c r="B36" s="9">
        <v>1.4830000000000001</v>
      </c>
      <c r="C36" s="9">
        <v>33.997999999999998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5">
        <f t="shared" si="0"/>
        <v>0</v>
      </c>
    </row>
    <row r="37" spans="1:15" ht="15.75" x14ac:dyDescent="0.25">
      <c r="A37" s="8">
        <v>35</v>
      </c>
      <c r="B37" s="9">
        <v>1.5069999999999999</v>
      </c>
      <c r="C37" s="9">
        <v>33.953000000000003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5">
        <f t="shared" si="0"/>
        <v>0</v>
      </c>
    </row>
    <row r="38" spans="1:15" ht="15.75" x14ac:dyDescent="0.25">
      <c r="A38" s="8">
        <v>36</v>
      </c>
      <c r="B38" s="9">
        <v>1.54</v>
      </c>
      <c r="C38" s="9">
        <v>33.860999999999997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5">
        <f t="shared" si="0"/>
        <v>0</v>
      </c>
    </row>
    <row r="39" spans="1:15" ht="15.75" x14ac:dyDescent="0.25">
      <c r="A39" s="8">
        <v>37</v>
      </c>
      <c r="B39" s="9">
        <v>1.573</v>
      </c>
      <c r="C39" s="9">
        <v>33.750999999999998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5">
        <f t="shared" si="0"/>
        <v>0</v>
      </c>
    </row>
    <row r="40" spans="1:15" ht="15.75" x14ac:dyDescent="0.25">
      <c r="A40" s="8">
        <v>38</v>
      </c>
      <c r="B40" s="9">
        <v>1.609</v>
      </c>
      <c r="C40" s="9">
        <v>33.652000000000001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5">
        <f t="shared" si="0"/>
        <v>0</v>
      </c>
    </row>
    <row r="41" spans="1:15" ht="15.75" x14ac:dyDescent="0.25">
      <c r="A41" s="8">
        <v>39</v>
      </c>
      <c r="B41" s="9">
        <v>1.647</v>
      </c>
      <c r="C41" s="9">
        <v>33.665999999999997</v>
      </c>
      <c r="D41" s="14">
        <v>0</v>
      </c>
      <c r="E41" s="14">
        <v>0</v>
      </c>
      <c r="F41" s="14">
        <v>0</v>
      </c>
      <c r="G41" s="14">
        <v>3</v>
      </c>
      <c r="H41" s="14">
        <v>0</v>
      </c>
      <c r="I41" s="14">
        <v>1</v>
      </c>
      <c r="J41" s="14">
        <v>1</v>
      </c>
      <c r="K41" s="14">
        <v>0</v>
      </c>
      <c r="L41" s="14">
        <v>0</v>
      </c>
      <c r="M41" s="14">
        <v>0</v>
      </c>
      <c r="N41" s="14">
        <v>0</v>
      </c>
      <c r="O41" s="15">
        <f t="shared" si="0"/>
        <v>5</v>
      </c>
    </row>
    <row r="42" spans="1:15" ht="15.75" x14ac:dyDescent="0.25">
      <c r="A42" s="8">
        <v>40</v>
      </c>
      <c r="B42" s="9">
        <v>1.675</v>
      </c>
      <c r="C42" s="9">
        <v>33.482999999999997</v>
      </c>
      <c r="D42" s="14">
        <v>3</v>
      </c>
      <c r="E42" s="14">
        <v>0</v>
      </c>
      <c r="F42" s="14">
        <v>0</v>
      </c>
      <c r="G42" s="14">
        <v>8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5">
        <f t="shared" si="0"/>
        <v>11</v>
      </c>
    </row>
    <row r="43" spans="1:15" ht="15.75" x14ac:dyDescent="0.25">
      <c r="A43" s="8">
        <v>41</v>
      </c>
      <c r="B43" s="9">
        <v>1.7110000000000001</v>
      </c>
      <c r="C43" s="9">
        <v>33.405999999999999</v>
      </c>
      <c r="D43" s="14">
        <v>0</v>
      </c>
      <c r="E43" s="14">
        <v>0</v>
      </c>
      <c r="F43" s="14">
        <v>0</v>
      </c>
      <c r="G43" s="14">
        <v>1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5">
        <f t="shared" si="0"/>
        <v>1</v>
      </c>
    </row>
    <row r="44" spans="1:15" ht="15.75" x14ac:dyDescent="0.25">
      <c r="A44" s="8">
        <v>42</v>
      </c>
      <c r="B44" s="9">
        <v>1.752</v>
      </c>
      <c r="C44" s="9">
        <v>33.350999999999999</v>
      </c>
      <c r="D44" s="14">
        <v>6</v>
      </c>
      <c r="E44" s="14">
        <v>0</v>
      </c>
      <c r="F44" s="14">
        <v>0</v>
      </c>
      <c r="G44" s="14">
        <v>1</v>
      </c>
      <c r="H44" s="14">
        <v>1</v>
      </c>
      <c r="I44" s="14">
        <v>0</v>
      </c>
      <c r="J44" s="14">
        <v>0</v>
      </c>
      <c r="K44" s="14">
        <v>0</v>
      </c>
      <c r="L44" s="14">
        <v>1</v>
      </c>
      <c r="M44" s="14">
        <v>1</v>
      </c>
      <c r="N44" s="14">
        <v>0</v>
      </c>
      <c r="O44" s="15">
        <f t="shared" si="0"/>
        <v>10</v>
      </c>
    </row>
    <row r="45" spans="1:15" ht="15.75" x14ac:dyDescent="0.25">
      <c r="A45" s="8">
        <v>43</v>
      </c>
      <c r="B45" s="9">
        <v>1.786</v>
      </c>
      <c r="C45" s="9">
        <v>33.29</v>
      </c>
      <c r="D45" s="14">
        <v>0</v>
      </c>
      <c r="E45" s="14">
        <v>0</v>
      </c>
      <c r="F45" s="14">
        <v>1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1</v>
      </c>
      <c r="N45" s="14">
        <v>0</v>
      </c>
      <c r="O45" s="15">
        <f t="shared" si="0"/>
        <v>2</v>
      </c>
    </row>
    <row r="46" spans="1:15" ht="15.75" x14ac:dyDescent="0.25">
      <c r="A46" s="8">
        <v>44</v>
      </c>
      <c r="B46" s="9">
        <v>1.819</v>
      </c>
      <c r="C46" s="9">
        <v>33.192</v>
      </c>
      <c r="D46" s="14">
        <v>0</v>
      </c>
      <c r="E46" s="14">
        <v>0</v>
      </c>
      <c r="F46" s="14">
        <v>1</v>
      </c>
      <c r="G46" s="14">
        <v>4</v>
      </c>
      <c r="H46" s="14">
        <v>0</v>
      </c>
      <c r="I46" s="14">
        <v>1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5">
        <f t="shared" si="0"/>
        <v>6</v>
      </c>
    </row>
    <row r="47" spans="1:15" ht="15.75" x14ac:dyDescent="0.25">
      <c r="A47" s="8">
        <v>45</v>
      </c>
      <c r="B47" s="9">
        <v>1.8560000000000001</v>
      </c>
      <c r="C47" s="9">
        <v>33.094999999999999</v>
      </c>
      <c r="D47" s="14">
        <v>0</v>
      </c>
      <c r="E47" s="14">
        <v>0</v>
      </c>
      <c r="F47" s="14">
        <v>0</v>
      </c>
      <c r="G47" s="14">
        <v>1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5">
        <f t="shared" si="0"/>
        <v>1</v>
      </c>
    </row>
    <row r="48" spans="1:15" ht="15.75" x14ac:dyDescent="0.25">
      <c r="A48" s="8">
        <v>46</v>
      </c>
      <c r="B48" s="9">
        <v>1.889</v>
      </c>
      <c r="C48" s="9">
        <v>32.911000000000001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5">
        <f t="shared" si="0"/>
        <v>0</v>
      </c>
    </row>
    <row r="49" spans="1:15" ht="15.75" x14ac:dyDescent="0.25">
      <c r="A49" s="8">
        <v>47</v>
      </c>
      <c r="B49" s="9">
        <v>1.917</v>
      </c>
      <c r="C49" s="9">
        <v>32.789000000000001</v>
      </c>
      <c r="D49" s="14">
        <v>1</v>
      </c>
      <c r="E49" s="14">
        <v>0</v>
      </c>
      <c r="F49" s="14">
        <v>1</v>
      </c>
      <c r="G49" s="14">
        <v>0</v>
      </c>
      <c r="H49" s="14">
        <v>1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5">
        <f t="shared" si="0"/>
        <v>3</v>
      </c>
    </row>
    <row r="50" spans="1:15" ht="15.75" x14ac:dyDescent="0.25">
      <c r="A50" s="8">
        <v>48</v>
      </c>
      <c r="B50" s="9">
        <v>1.917</v>
      </c>
      <c r="C50" s="9">
        <v>32.701000000000001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5">
        <f t="shared" si="0"/>
        <v>0</v>
      </c>
    </row>
    <row r="51" spans="1:15" ht="15.75" x14ac:dyDescent="0.25">
      <c r="A51" s="8">
        <v>49</v>
      </c>
      <c r="B51" s="9">
        <v>1.903</v>
      </c>
      <c r="C51" s="9">
        <v>32.597000000000001</v>
      </c>
      <c r="D51" s="14">
        <v>3</v>
      </c>
      <c r="E51" s="14">
        <v>3</v>
      </c>
      <c r="F51" s="14">
        <v>1</v>
      </c>
      <c r="G51" s="14">
        <v>7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1</v>
      </c>
      <c r="O51" s="15">
        <f t="shared" si="0"/>
        <v>15</v>
      </c>
    </row>
    <row r="52" spans="1:15" ht="15.75" x14ac:dyDescent="0.25">
      <c r="A52" s="8">
        <v>50</v>
      </c>
      <c r="B52" s="9">
        <v>1.8620000000000001</v>
      </c>
      <c r="C52" s="9">
        <v>32.482999999999997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5">
        <f t="shared" si="0"/>
        <v>0</v>
      </c>
    </row>
    <row r="53" spans="1:15" ht="15.75" x14ac:dyDescent="0.25">
      <c r="A53" s="8">
        <v>51</v>
      </c>
      <c r="B53" s="9">
        <v>1.845</v>
      </c>
      <c r="C53" s="9">
        <v>32.396000000000001</v>
      </c>
      <c r="D53" s="14">
        <v>1</v>
      </c>
      <c r="E53" s="14">
        <v>0</v>
      </c>
      <c r="F53" s="14">
        <v>0</v>
      </c>
      <c r="G53" s="14">
        <v>4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5">
        <f t="shared" si="0"/>
        <v>5</v>
      </c>
    </row>
    <row r="54" spans="1:15" ht="15.75" x14ac:dyDescent="0.25">
      <c r="A54" s="8">
        <v>52</v>
      </c>
      <c r="B54" s="9">
        <v>1.796</v>
      </c>
      <c r="C54" s="9">
        <v>32.417000000000002</v>
      </c>
      <c r="D54" s="14">
        <v>0</v>
      </c>
      <c r="E54" s="14">
        <v>1</v>
      </c>
      <c r="F54" s="14">
        <v>0</v>
      </c>
      <c r="G54" s="14">
        <v>7</v>
      </c>
      <c r="H54" s="14">
        <v>1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5">
        <f t="shared" si="0"/>
        <v>9</v>
      </c>
    </row>
    <row r="55" spans="1:15" ht="15.75" x14ac:dyDescent="0.25">
      <c r="A55" s="8">
        <v>53</v>
      </c>
      <c r="B55" s="9">
        <v>1.7450000000000001</v>
      </c>
      <c r="C55" s="9">
        <v>32.423000000000002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5">
        <f t="shared" si="0"/>
        <v>0</v>
      </c>
    </row>
    <row r="56" spans="1:15" ht="15.75" x14ac:dyDescent="0.25">
      <c r="A56" s="8">
        <v>54</v>
      </c>
      <c r="B56" s="9">
        <v>1.198</v>
      </c>
      <c r="C56" s="9">
        <v>32.424999999999997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5">
        <f t="shared" si="0"/>
        <v>0</v>
      </c>
    </row>
    <row r="57" spans="1:15" ht="15.75" x14ac:dyDescent="0.25">
      <c r="A57" s="8">
        <v>55</v>
      </c>
      <c r="B57" s="9">
        <v>1.6579999999999999</v>
      </c>
      <c r="C57" s="9">
        <v>32.463000000000001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5">
        <f t="shared" si="0"/>
        <v>0</v>
      </c>
    </row>
    <row r="58" spans="1:15" ht="15.75" x14ac:dyDescent="0.25">
      <c r="A58" s="8">
        <v>56</v>
      </c>
      <c r="B58" s="9">
        <v>1.6279999999999999</v>
      </c>
      <c r="C58" s="9">
        <v>32.491999999999997</v>
      </c>
      <c r="D58" s="14">
        <v>0</v>
      </c>
      <c r="E58" s="14">
        <v>0</v>
      </c>
      <c r="F58" s="14">
        <v>0</v>
      </c>
      <c r="G58" s="14">
        <v>1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5">
        <f t="shared" si="0"/>
        <v>1</v>
      </c>
    </row>
    <row r="59" spans="1:15" ht="15.75" x14ac:dyDescent="0.25">
      <c r="A59" s="8">
        <v>57</v>
      </c>
      <c r="B59" s="9">
        <v>1.583</v>
      </c>
      <c r="C59" s="9">
        <v>32.514000000000003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5">
        <f t="shared" si="0"/>
        <v>0</v>
      </c>
    </row>
    <row r="60" spans="1:15" ht="15.75" x14ac:dyDescent="0.25">
      <c r="A60" s="8">
        <v>58</v>
      </c>
      <c r="B60" s="9">
        <v>1.534</v>
      </c>
      <c r="C60" s="9">
        <v>32.521999999999998</v>
      </c>
      <c r="D60" s="14">
        <v>0</v>
      </c>
      <c r="E60" s="14">
        <v>0</v>
      </c>
      <c r="F60" s="14">
        <v>0</v>
      </c>
      <c r="G60" s="14">
        <v>1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5">
        <f t="shared" si="0"/>
        <v>1</v>
      </c>
    </row>
    <row r="61" spans="1:15" ht="15.75" x14ac:dyDescent="0.25">
      <c r="A61" s="8">
        <v>59</v>
      </c>
      <c r="B61" s="9">
        <v>1.464</v>
      </c>
      <c r="C61" s="9">
        <v>32.543999999999997</v>
      </c>
      <c r="D61" s="14">
        <v>6</v>
      </c>
      <c r="E61" s="14">
        <v>0</v>
      </c>
      <c r="F61" s="14">
        <v>0</v>
      </c>
      <c r="G61" s="14">
        <v>50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5">
        <f t="shared" si="0"/>
        <v>56</v>
      </c>
    </row>
    <row r="62" spans="1:15" ht="15.75" x14ac:dyDescent="0.25">
      <c r="A62" s="8">
        <v>60</v>
      </c>
      <c r="B62" s="9">
        <v>1.4410000000000001</v>
      </c>
      <c r="C62" s="9">
        <v>32.582999999999998</v>
      </c>
      <c r="D62" s="14">
        <v>2</v>
      </c>
      <c r="E62" s="14">
        <v>0</v>
      </c>
      <c r="F62" s="14">
        <v>0</v>
      </c>
      <c r="G62" s="14">
        <v>7</v>
      </c>
      <c r="H62" s="14">
        <v>1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5">
        <f t="shared" si="0"/>
        <v>10</v>
      </c>
    </row>
    <row r="63" spans="1:15" ht="15.75" x14ac:dyDescent="0.25">
      <c r="A63" s="8">
        <v>61</v>
      </c>
      <c r="B63" s="12">
        <v>1.466</v>
      </c>
      <c r="C63" s="12">
        <v>32.494</v>
      </c>
      <c r="D63" s="14">
        <v>1</v>
      </c>
      <c r="E63" s="14">
        <v>0</v>
      </c>
      <c r="F63" s="14">
        <v>1</v>
      </c>
      <c r="G63" s="14">
        <v>1</v>
      </c>
      <c r="H63" s="14">
        <v>2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5">
        <f t="shared" si="0"/>
        <v>5</v>
      </c>
    </row>
    <row r="64" spans="1:15" ht="15.75" x14ac:dyDescent="0.25">
      <c r="A64" s="8">
        <v>62</v>
      </c>
      <c r="B64" s="12">
        <v>1.4950000000000001</v>
      </c>
      <c r="C64" s="12">
        <v>32.378</v>
      </c>
      <c r="D64" s="14">
        <v>1</v>
      </c>
      <c r="E64" s="14">
        <v>0</v>
      </c>
      <c r="F64" s="14">
        <v>0</v>
      </c>
      <c r="G64" s="14">
        <v>2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5">
        <f t="shared" si="0"/>
        <v>3</v>
      </c>
    </row>
    <row r="65" spans="1:15" ht="15.75" x14ac:dyDescent="0.25">
      <c r="A65" s="8">
        <v>63</v>
      </c>
      <c r="B65" s="12">
        <v>1.532</v>
      </c>
      <c r="C65" s="12">
        <v>32.31</v>
      </c>
      <c r="D65" s="14">
        <v>0</v>
      </c>
      <c r="E65" s="14">
        <v>0</v>
      </c>
      <c r="F65" s="14">
        <v>0</v>
      </c>
      <c r="G65" s="14">
        <v>1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5">
        <f t="shared" si="0"/>
        <v>1</v>
      </c>
    </row>
    <row r="66" spans="1:15" ht="15.75" x14ac:dyDescent="0.25">
      <c r="A66" s="8">
        <v>64</v>
      </c>
      <c r="B66" s="12">
        <v>1.579</v>
      </c>
      <c r="C66" s="12">
        <v>32.250999999999998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5">
        <f t="shared" si="0"/>
        <v>0</v>
      </c>
    </row>
    <row r="67" spans="1:15" ht="15.75" x14ac:dyDescent="0.25">
      <c r="A67" s="8">
        <v>65</v>
      </c>
      <c r="B67" s="12">
        <v>1.62</v>
      </c>
      <c r="C67" s="12">
        <v>32.185000000000002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5">
        <f t="shared" si="0"/>
        <v>0</v>
      </c>
    </row>
    <row r="68" spans="1:15" ht="15.75" x14ac:dyDescent="0.25">
      <c r="A68" s="8">
        <v>66</v>
      </c>
      <c r="B68" s="12">
        <v>1.645</v>
      </c>
      <c r="C68" s="12">
        <v>32.058999999999997</v>
      </c>
      <c r="D68" s="14">
        <v>1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5">
        <f t="shared" si="0"/>
        <v>1</v>
      </c>
    </row>
    <row r="69" spans="1:15" ht="15.75" x14ac:dyDescent="0.25">
      <c r="A69" s="8">
        <v>67</v>
      </c>
      <c r="B69" s="12">
        <v>1.68</v>
      </c>
      <c r="C69" s="12">
        <v>31.968</v>
      </c>
      <c r="D69" s="14">
        <v>1</v>
      </c>
      <c r="E69" s="14">
        <v>0</v>
      </c>
      <c r="F69" s="14">
        <v>0</v>
      </c>
      <c r="G69" s="14">
        <v>15</v>
      </c>
      <c r="H69" s="14">
        <v>0</v>
      </c>
      <c r="I69" s="14">
        <v>0</v>
      </c>
      <c r="J69" s="14">
        <v>0</v>
      </c>
      <c r="K69" s="14">
        <v>1</v>
      </c>
      <c r="L69" s="14">
        <v>1</v>
      </c>
      <c r="M69" s="14">
        <v>0</v>
      </c>
      <c r="N69" s="14">
        <v>0</v>
      </c>
      <c r="O69" s="15">
        <f t="shared" si="0"/>
        <v>18</v>
      </c>
    </row>
    <row r="70" spans="1:15" ht="15.75" x14ac:dyDescent="0.25">
      <c r="A70" s="8">
        <v>68</v>
      </c>
      <c r="B70" s="12">
        <v>1.696</v>
      </c>
      <c r="C70" s="12">
        <v>31.843</v>
      </c>
      <c r="D70" s="14">
        <v>0</v>
      </c>
      <c r="E70" s="14">
        <v>0</v>
      </c>
      <c r="F70" s="14">
        <v>0</v>
      </c>
      <c r="G70" s="14">
        <v>2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5">
        <f t="shared" ref="O70:O105" si="1">SUM(D70:N70)</f>
        <v>2</v>
      </c>
    </row>
    <row r="71" spans="1:15" ht="15.75" x14ac:dyDescent="0.25">
      <c r="A71" s="8">
        <v>69</v>
      </c>
      <c r="B71" s="12">
        <v>1.65</v>
      </c>
      <c r="C71" s="12">
        <v>31.800999999999998</v>
      </c>
      <c r="D71" s="14">
        <v>1</v>
      </c>
      <c r="E71" s="14">
        <v>0</v>
      </c>
      <c r="F71" s="14">
        <v>0</v>
      </c>
      <c r="G71" s="14">
        <v>8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5">
        <f t="shared" si="1"/>
        <v>9</v>
      </c>
    </row>
    <row r="72" spans="1:15" ht="15.75" x14ac:dyDescent="0.25">
      <c r="A72" s="8">
        <v>70</v>
      </c>
      <c r="B72" s="12">
        <v>1.619</v>
      </c>
      <c r="C72" s="12">
        <v>31.815999999999999</v>
      </c>
      <c r="D72" s="14">
        <v>1</v>
      </c>
      <c r="E72" s="14">
        <v>0</v>
      </c>
      <c r="F72" s="14">
        <v>0</v>
      </c>
      <c r="G72" s="14">
        <v>9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5">
        <f t="shared" si="1"/>
        <v>10</v>
      </c>
    </row>
    <row r="73" spans="1:15" ht="15.75" x14ac:dyDescent="0.25">
      <c r="A73" s="8">
        <v>71</v>
      </c>
      <c r="B73" s="12">
        <v>1.5660000000000001</v>
      </c>
      <c r="C73" s="12">
        <v>31.831</v>
      </c>
      <c r="D73" s="14">
        <v>1</v>
      </c>
      <c r="E73" s="14">
        <v>0</v>
      </c>
      <c r="F73" s="14">
        <v>1</v>
      </c>
      <c r="G73" s="14">
        <v>5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5">
        <f t="shared" si="1"/>
        <v>7</v>
      </c>
    </row>
    <row r="74" spans="1:15" ht="15.75" x14ac:dyDescent="0.25">
      <c r="A74" s="8">
        <v>72</v>
      </c>
      <c r="B74" s="12">
        <v>1.5149999999999999</v>
      </c>
      <c r="C74" s="12">
        <v>31.812999999999999</v>
      </c>
      <c r="D74" s="14">
        <v>6</v>
      </c>
      <c r="E74" s="14">
        <v>6</v>
      </c>
      <c r="F74" s="14">
        <v>1</v>
      </c>
      <c r="G74" s="14">
        <v>12</v>
      </c>
      <c r="H74" s="14">
        <v>0</v>
      </c>
      <c r="I74" s="14">
        <v>1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5">
        <f t="shared" si="1"/>
        <v>26</v>
      </c>
    </row>
    <row r="75" spans="1:15" ht="15.75" x14ac:dyDescent="0.25">
      <c r="A75" s="8">
        <v>73</v>
      </c>
      <c r="B75" s="12">
        <v>1.4630000000000001</v>
      </c>
      <c r="C75" s="12">
        <v>31.808</v>
      </c>
      <c r="D75" s="14">
        <v>1</v>
      </c>
      <c r="E75" s="14">
        <v>0</v>
      </c>
      <c r="F75" s="14">
        <v>0</v>
      </c>
      <c r="G75" s="14">
        <v>7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5">
        <f t="shared" si="1"/>
        <v>8</v>
      </c>
    </row>
    <row r="76" spans="1:15" ht="15.75" x14ac:dyDescent="0.25">
      <c r="A76" s="10">
        <v>74</v>
      </c>
      <c r="B76" s="13">
        <v>1.4179999999999999</v>
      </c>
      <c r="C76" s="13">
        <v>31.792000000000002</v>
      </c>
      <c r="D76" s="14">
        <v>0</v>
      </c>
      <c r="E76" s="14">
        <v>1</v>
      </c>
      <c r="F76" s="14">
        <v>0</v>
      </c>
      <c r="G76" s="14">
        <v>2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5">
        <f t="shared" si="1"/>
        <v>3</v>
      </c>
    </row>
    <row r="77" spans="1:15" ht="15.75" x14ac:dyDescent="0.25">
      <c r="A77" s="8">
        <v>75</v>
      </c>
      <c r="B77" s="12">
        <v>1.363</v>
      </c>
      <c r="C77" s="12">
        <v>31.773</v>
      </c>
      <c r="D77" s="14">
        <v>1</v>
      </c>
      <c r="E77" s="14">
        <v>2</v>
      </c>
      <c r="F77" s="14">
        <v>0</v>
      </c>
      <c r="G77" s="14">
        <v>6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1</v>
      </c>
      <c r="O77" s="15">
        <f t="shared" si="1"/>
        <v>10</v>
      </c>
    </row>
    <row r="78" spans="1:15" ht="15.75" x14ac:dyDescent="0.25">
      <c r="A78" s="10">
        <v>76</v>
      </c>
      <c r="B78" s="13">
        <v>1.319</v>
      </c>
      <c r="C78" s="13">
        <v>31.809000000000001</v>
      </c>
      <c r="D78" s="14">
        <v>3</v>
      </c>
      <c r="E78" s="14">
        <v>0</v>
      </c>
      <c r="F78" s="14">
        <v>0</v>
      </c>
      <c r="G78" s="14">
        <v>5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5">
        <f t="shared" si="1"/>
        <v>8</v>
      </c>
    </row>
    <row r="79" spans="1:15" ht="15.75" x14ac:dyDescent="0.25">
      <c r="A79" s="10">
        <v>77</v>
      </c>
      <c r="B79" s="13">
        <v>1.2849999999999999</v>
      </c>
      <c r="C79" s="13">
        <v>31.782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5">
        <f t="shared" si="1"/>
        <v>0</v>
      </c>
    </row>
    <row r="80" spans="1:15" ht="15.75" x14ac:dyDescent="0.25">
      <c r="A80" s="10">
        <v>78</v>
      </c>
      <c r="B80" s="13">
        <v>1.2410000000000001</v>
      </c>
      <c r="C80" s="13">
        <v>31.814</v>
      </c>
      <c r="D80" s="14">
        <v>2</v>
      </c>
      <c r="E80" s="14">
        <v>0</v>
      </c>
      <c r="F80" s="14">
        <v>0</v>
      </c>
      <c r="G80" s="14">
        <v>3</v>
      </c>
      <c r="H80" s="14">
        <v>0</v>
      </c>
      <c r="I80" s="14">
        <v>0</v>
      </c>
      <c r="J80" s="14">
        <v>1</v>
      </c>
      <c r="K80" s="14">
        <v>0</v>
      </c>
      <c r="L80" s="14">
        <v>0</v>
      </c>
      <c r="M80" s="14">
        <v>1</v>
      </c>
      <c r="N80" s="14">
        <v>0</v>
      </c>
      <c r="O80" s="15">
        <f t="shared" si="1"/>
        <v>7</v>
      </c>
    </row>
    <row r="81" spans="1:15" ht="15.75" x14ac:dyDescent="0.25">
      <c r="A81" s="8">
        <v>79</v>
      </c>
      <c r="B81" s="12">
        <v>1.1950000000000001</v>
      </c>
      <c r="C81" s="12">
        <v>31.867999999999999</v>
      </c>
      <c r="D81" s="14">
        <v>1</v>
      </c>
      <c r="E81" s="14">
        <v>1</v>
      </c>
      <c r="F81" s="14">
        <v>0</v>
      </c>
      <c r="G81" s="14">
        <v>1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5">
        <f t="shared" si="1"/>
        <v>3</v>
      </c>
    </row>
    <row r="82" spans="1:15" ht="15.75" x14ac:dyDescent="0.25">
      <c r="A82" s="8">
        <v>80</v>
      </c>
      <c r="B82" s="12">
        <v>1.1379999999999999</v>
      </c>
      <c r="C82" s="12">
        <v>31.943000000000001</v>
      </c>
      <c r="D82" s="14">
        <v>1</v>
      </c>
      <c r="E82" s="14">
        <v>1</v>
      </c>
      <c r="F82" s="14">
        <v>0</v>
      </c>
      <c r="G82" s="14">
        <v>4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5">
        <f t="shared" si="1"/>
        <v>6</v>
      </c>
    </row>
    <row r="83" spans="1:15" ht="15.75" x14ac:dyDescent="0.25">
      <c r="A83" s="8">
        <v>81</v>
      </c>
      <c r="B83" s="12">
        <v>1.0720000000000001</v>
      </c>
      <c r="C83" s="12">
        <v>32.085999999999999</v>
      </c>
      <c r="D83" s="14">
        <v>0</v>
      </c>
      <c r="E83" s="14">
        <v>1</v>
      </c>
      <c r="F83" s="14">
        <v>0</v>
      </c>
      <c r="G83" s="14">
        <v>6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5">
        <f t="shared" si="1"/>
        <v>7</v>
      </c>
    </row>
    <row r="84" spans="1:15" ht="15.75" x14ac:dyDescent="0.25">
      <c r="A84" s="8">
        <v>82</v>
      </c>
      <c r="B84" s="12">
        <v>1.0309999999999999</v>
      </c>
      <c r="C84" s="12">
        <v>32.11</v>
      </c>
      <c r="D84" s="14">
        <v>1</v>
      </c>
      <c r="E84" s="14">
        <v>0</v>
      </c>
      <c r="F84" s="14">
        <v>0</v>
      </c>
      <c r="G84" s="14">
        <v>9</v>
      </c>
      <c r="H84" s="14">
        <v>0</v>
      </c>
      <c r="I84" s="14">
        <v>1</v>
      </c>
      <c r="J84" s="14">
        <v>3</v>
      </c>
      <c r="K84" s="14">
        <v>0</v>
      </c>
      <c r="L84" s="14">
        <v>0</v>
      </c>
      <c r="M84" s="14">
        <v>0</v>
      </c>
      <c r="N84" s="14">
        <v>0</v>
      </c>
      <c r="O84" s="15">
        <f t="shared" si="1"/>
        <v>14</v>
      </c>
    </row>
    <row r="85" spans="1:15" ht="15.75" x14ac:dyDescent="0.25">
      <c r="A85" s="8">
        <v>83</v>
      </c>
      <c r="B85" s="12">
        <v>0.99299999999999999</v>
      </c>
      <c r="C85" s="12">
        <v>32.183</v>
      </c>
      <c r="D85" s="14">
        <v>0</v>
      </c>
      <c r="E85" s="14">
        <v>0</v>
      </c>
      <c r="F85" s="14">
        <v>0</v>
      </c>
      <c r="G85" s="14">
        <v>2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5">
        <f t="shared" si="1"/>
        <v>2</v>
      </c>
    </row>
    <row r="86" spans="1:15" ht="15.75" x14ac:dyDescent="0.25">
      <c r="A86" s="8">
        <v>84</v>
      </c>
      <c r="B86" s="12">
        <v>0.95199999999999996</v>
      </c>
      <c r="C86" s="12">
        <v>32.271999999999998</v>
      </c>
      <c r="D86" s="14">
        <v>1</v>
      </c>
      <c r="E86" s="14">
        <v>2</v>
      </c>
      <c r="F86" s="14">
        <v>0</v>
      </c>
      <c r="G86" s="14">
        <v>1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5">
        <f t="shared" si="1"/>
        <v>4</v>
      </c>
    </row>
    <row r="87" spans="1:15" ht="15.75" x14ac:dyDescent="0.25">
      <c r="A87" s="8">
        <v>85</v>
      </c>
      <c r="B87" s="12">
        <v>0.90600000000000003</v>
      </c>
      <c r="C87" s="12">
        <v>32.326999999999998</v>
      </c>
      <c r="D87" s="14">
        <v>0</v>
      </c>
      <c r="E87" s="14">
        <v>0</v>
      </c>
      <c r="F87" s="14">
        <v>0</v>
      </c>
      <c r="G87" s="14">
        <v>2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5">
        <f t="shared" si="1"/>
        <v>2</v>
      </c>
    </row>
    <row r="88" spans="1:15" ht="15.75" x14ac:dyDescent="0.25">
      <c r="A88" s="8">
        <v>86</v>
      </c>
      <c r="B88" s="12">
        <v>0.86099999999999999</v>
      </c>
      <c r="C88" s="12">
        <v>32.390999999999998</v>
      </c>
      <c r="D88" s="14">
        <v>2</v>
      </c>
      <c r="E88" s="14">
        <v>1</v>
      </c>
      <c r="F88" s="14">
        <v>0</v>
      </c>
      <c r="G88" s="14">
        <v>5</v>
      </c>
      <c r="H88" s="14">
        <v>0</v>
      </c>
      <c r="I88" s="14">
        <v>0</v>
      </c>
      <c r="J88" s="14">
        <v>1</v>
      </c>
      <c r="K88" s="14">
        <v>0</v>
      </c>
      <c r="L88" s="14">
        <v>0</v>
      </c>
      <c r="M88" s="14">
        <v>0</v>
      </c>
      <c r="N88" s="14">
        <v>0</v>
      </c>
      <c r="O88" s="15">
        <f t="shared" si="1"/>
        <v>9</v>
      </c>
    </row>
    <row r="89" spans="1:15" ht="15.75" x14ac:dyDescent="0.25">
      <c r="A89" s="8">
        <v>87</v>
      </c>
      <c r="B89" s="12">
        <v>0.82199999999999995</v>
      </c>
      <c r="C89" s="12">
        <v>32.463999999999999</v>
      </c>
      <c r="D89" s="14">
        <v>1</v>
      </c>
      <c r="E89" s="14">
        <v>0</v>
      </c>
      <c r="F89" s="14">
        <v>0</v>
      </c>
      <c r="G89" s="14">
        <v>4</v>
      </c>
      <c r="H89" s="14">
        <v>1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5">
        <f t="shared" si="1"/>
        <v>6</v>
      </c>
    </row>
    <row r="90" spans="1:15" ht="15.75" x14ac:dyDescent="0.25">
      <c r="A90" s="10">
        <v>88</v>
      </c>
      <c r="B90" s="13">
        <v>0.78600000000000003</v>
      </c>
      <c r="C90" s="13">
        <v>32.569000000000003</v>
      </c>
      <c r="D90" s="14">
        <v>1</v>
      </c>
      <c r="E90" s="14">
        <v>0</v>
      </c>
      <c r="F90" s="14">
        <v>0</v>
      </c>
      <c r="G90" s="14">
        <v>8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5">
        <f t="shared" si="1"/>
        <v>9</v>
      </c>
    </row>
    <row r="91" spans="1:15" ht="15.75" x14ac:dyDescent="0.25">
      <c r="A91" s="8">
        <v>89</v>
      </c>
      <c r="B91" s="12">
        <v>0.748</v>
      </c>
      <c r="C91" s="12">
        <v>32.661000000000001</v>
      </c>
      <c r="D91" s="14">
        <v>0</v>
      </c>
      <c r="E91" s="14">
        <v>0</v>
      </c>
      <c r="F91" s="14">
        <v>0</v>
      </c>
      <c r="G91" s="14">
        <v>2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5">
        <f t="shared" si="1"/>
        <v>2</v>
      </c>
    </row>
    <row r="92" spans="1:15" ht="15.75" x14ac:dyDescent="0.25">
      <c r="A92" s="8">
        <v>90</v>
      </c>
      <c r="B92" s="12">
        <v>0.71299999999999997</v>
      </c>
      <c r="C92" s="12">
        <v>32.762</v>
      </c>
      <c r="D92" s="14">
        <v>1</v>
      </c>
      <c r="E92" s="14">
        <v>0</v>
      </c>
      <c r="F92" s="14">
        <v>0</v>
      </c>
      <c r="G92" s="14">
        <v>5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5">
        <f t="shared" si="1"/>
        <v>6</v>
      </c>
    </row>
    <row r="93" spans="1:15" ht="15.75" x14ac:dyDescent="0.25">
      <c r="A93" s="8">
        <v>91</v>
      </c>
      <c r="B93" s="12">
        <v>0.67600000000000005</v>
      </c>
      <c r="C93" s="12">
        <v>32.853999999999999</v>
      </c>
      <c r="D93" s="14">
        <v>0</v>
      </c>
      <c r="E93" s="14">
        <v>1</v>
      </c>
      <c r="F93" s="14">
        <v>0</v>
      </c>
      <c r="G93" s="14">
        <v>3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5">
        <f t="shared" si="1"/>
        <v>4</v>
      </c>
    </row>
    <row r="94" spans="1:15" ht="15.75" x14ac:dyDescent="0.25">
      <c r="A94" s="8">
        <v>92</v>
      </c>
      <c r="B94" s="12">
        <v>0.63600000000000001</v>
      </c>
      <c r="C94" s="12">
        <v>32.923999999999999</v>
      </c>
      <c r="D94" s="14">
        <v>0</v>
      </c>
      <c r="E94" s="14">
        <v>0</v>
      </c>
      <c r="F94" s="14">
        <v>0</v>
      </c>
      <c r="G94" s="14">
        <v>2</v>
      </c>
      <c r="H94" s="14">
        <v>0</v>
      </c>
      <c r="I94" s="14">
        <v>0</v>
      </c>
      <c r="J94" s="14">
        <v>0</v>
      </c>
      <c r="K94" s="14">
        <v>1</v>
      </c>
      <c r="L94" s="14">
        <v>1</v>
      </c>
      <c r="M94" s="14">
        <v>1</v>
      </c>
      <c r="N94" s="14">
        <v>0</v>
      </c>
      <c r="O94" s="15">
        <f t="shared" si="1"/>
        <v>5</v>
      </c>
    </row>
    <row r="95" spans="1:15" ht="15.75" x14ac:dyDescent="0.25">
      <c r="A95" s="8">
        <v>93</v>
      </c>
      <c r="B95" s="12">
        <v>0.57999999999999996</v>
      </c>
      <c r="C95" s="12">
        <v>33.067999999999998</v>
      </c>
      <c r="D95" s="14">
        <v>1</v>
      </c>
      <c r="E95" s="14">
        <v>0</v>
      </c>
      <c r="F95" s="14">
        <v>0</v>
      </c>
      <c r="G95" s="14">
        <v>3</v>
      </c>
      <c r="H95" s="14">
        <v>1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5">
        <f t="shared" si="1"/>
        <v>5</v>
      </c>
    </row>
    <row r="96" spans="1:15" ht="15.75" x14ac:dyDescent="0.25">
      <c r="A96" s="8">
        <v>94</v>
      </c>
      <c r="B96" s="12">
        <v>0.53</v>
      </c>
      <c r="C96" s="12">
        <v>33.212000000000003</v>
      </c>
      <c r="D96" s="14">
        <v>2</v>
      </c>
      <c r="E96" s="14">
        <v>0</v>
      </c>
      <c r="F96" s="14">
        <v>0</v>
      </c>
      <c r="G96" s="14">
        <v>2</v>
      </c>
      <c r="H96" s="14">
        <v>2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5">
        <f t="shared" si="1"/>
        <v>6</v>
      </c>
    </row>
    <row r="97" spans="1:15" ht="15.75" x14ac:dyDescent="0.25">
      <c r="A97" s="8">
        <v>95</v>
      </c>
      <c r="B97" s="12">
        <v>0.497</v>
      </c>
      <c r="C97" s="12">
        <v>33.314999999999998</v>
      </c>
      <c r="D97" s="14">
        <v>0</v>
      </c>
      <c r="E97" s="14">
        <v>0</v>
      </c>
      <c r="F97" s="14">
        <v>0</v>
      </c>
      <c r="G97" s="14">
        <v>10</v>
      </c>
      <c r="H97" s="14">
        <v>1</v>
      </c>
      <c r="I97" s="14">
        <v>0</v>
      </c>
      <c r="J97" s="14">
        <v>0</v>
      </c>
      <c r="K97" s="14">
        <v>0</v>
      </c>
      <c r="L97" s="14">
        <v>0</v>
      </c>
      <c r="M97" s="14">
        <v>1</v>
      </c>
      <c r="N97" s="14">
        <v>0</v>
      </c>
      <c r="O97" s="15">
        <f t="shared" si="1"/>
        <v>12</v>
      </c>
    </row>
    <row r="98" spans="1:15" ht="15.75" x14ac:dyDescent="0.25">
      <c r="A98" s="8">
        <v>96</v>
      </c>
      <c r="B98" s="12">
        <v>0.45900000000000002</v>
      </c>
      <c r="C98" s="12">
        <v>33.383000000000003</v>
      </c>
      <c r="D98" s="14">
        <v>1</v>
      </c>
      <c r="E98" s="14">
        <v>1</v>
      </c>
      <c r="F98" s="14">
        <v>0</v>
      </c>
      <c r="G98" s="14">
        <v>12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5">
        <f t="shared" si="1"/>
        <v>14</v>
      </c>
    </row>
    <row r="99" spans="1:15" ht="15.75" x14ac:dyDescent="0.25">
      <c r="A99" s="8">
        <v>97</v>
      </c>
      <c r="B99" s="12">
        <v>0.42299999999999999</v>
      </c>
      <c r="C99" s="12">
        <v>33.473999999999997</v>
      </c>
      <c r="D99" s="14">
        <v>1</v>
      </c>
      <c r="E99" s="14">
        <v>1</v>
      </c>
      <c r="F99" s="14">
        <v>0</v>
      </c>
      <c r="G99" s="14">
        <v>3</v>
      </c>
      <c r="H99" s="14">
        <v>0</v>
      </c>
      <c r="I99" s="14">
        <v>0</v>
      </c>
      <c r="J99" s="14">
        <v>1</v>
      </c>
      <c r="K99" s="14">
        <v>0</v>
      </c>
      <c r="L99" s="14">
        <v>0</v>
      </c>
      <c r="M99" s="14">
        <v>0</v>
      </c>
      <c r="N99" s="14">
        <v>1</v>
      </c>
      <c r="O99" s="15">
        <f t="shared" si="1"/>
        <v>7</v>
      </c>
    </row>
    <row r="100" spans="1:15" ht="15.75" x14ac:dyDescent="0.25">
      <c r="A100" s="8">
        <v>98</v>
      </c>
      <c r="B100" s="12">
        <v>0.38800000000000001</v>
      </c>
      <c r="C100" s="12">
        <v>33.533999999999999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1</v>
      </c>
      <c r="M100" s="14">
        <v>0</v>
      </c>
      <c r="N100" s="14">
        <v>0</v>
      </c>
      <c r="O100" s="15">
        <f t="shared" si="1"/>
        <v>1</v>
      </c>
    </row>
    <row r="101" spans="1:15" ht="15.75" x14ac:dyDescent="0.25">
      <c r="A101" s="8">
        <v>99</v>
      </c>
      <c r="B101" s="12">
        <v>0.36499999999999999</v>
      </c>
      <c r="C101" s="12">
        <v>33.613999999999997</v>
      </c>
      <c r="D101" s="14">
        <v>0</v>
      </c>
      <c r="E101" s="14">
        <v>0</v>
      </c>
      <c r="F101" s="14">
        <v>0</v>
      </c>
      <c r="G101" s="14">
        <v>1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5">
        <f t="shared" si="1"/>
        <v>1</v>
      </c>
    </row>
    <row r="102" spans="1:15" ht="15.75" x14ac:dyDescent="0.25">
      <c r="A102" s="8">
        <v>100</v>
      </c>
      <c r="B102" s="12">
        <v>0.32800000000000001</v>
      </c>
      <c r="C102" s="12">
        <v>33.695</v>
      </c>
      <c r="D102" s="14">
        <v>2</v>
      </c>
      <c r="E102" s="14">
        <v>0</v>
      </c>
      <c r="F102" s="14">
        <v>0</v>
      </c>
      <c r="G102" s="14">
        <v>8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5">
        <f t="shared" si="1"/>
        <v>10</v>
      </c>
    </row>
    <row r="103" spans="1:15" ht="15.75" x14ac:dyDescent="0.25">
      <c r="A103" s="8">
        <v>101</v>
      </c>
      <c r="B103" s="12">
        <v>0.29199999999999998</v>
      </c>
      <c r="C103" s="12">
        <v>33.820999999999998</v>
      </c>
      <c r="D103" s="14">
        <v>0</v>
      </c>
      <c r="E103" s="14">
        <v>0</v>
      </c>
      <c r="F103" s="14">
        <v>0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5">
        <f t="shared" si="1"/>
        <v>0</v>
      </c>
    </row>
    <row r="104" spans="1:15" ht="15.75" x14ac:dyDescent="0.25">
      <c r="A104" s="8">
        <v>102</v>
      </c>
      <c r="B104" s="12">
        <v>0.253</v>
      </c>
      <c r="C104" s="12">
        <v>33.896000000000001</v>
      </c>
      <c r="D104" s="14">
        <v>0</v>
      </c>
      <c r="E104" s="14">
        <v>0</v>
      </c>
      <c r="F104" s="14">
        <v>0</v>
      </c>
      <c r="G104" s="14">
        <v>1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5">
        <f t="shared" si="1"/>
        <v>1</v>
      </c>
    </row>
    <row r="105" spans="1:15" ht="15.75" x14ac:dyDescent="0.25">
      <c r="A105" s="8">
        <v>103</v>
      </c>
      <c r="B105" s="12">
        <v>0.92300000000000004</v>
      </c>
      <c r="C105" s="12">
        <v>34.023000000000003</v>
      </c>
      <c r="D105" s="14">
        <v>3</v>
      </c>
      <c r="E105" s="14">
        <v>1</v>
      </c>
      <c r="F105" s="14">
        <v>1</v>
      </c>
      <c r="G105" s="14">
        <v>5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5">
        <f t="shared" si="1"/>
        <v>10</v>
      </c>
    </row>
    <row r="106" spans="1:15" ht="15.75" x14ac:dyDescent="0.25">
      <c r="A106" s="8">
        <v>104</v>
      </c>
      <c r="B106" s="12">
        <v>0.255</v>
      </c>
      <c r="C106" s="12">
        <v>34.093000000000004</v>
      </c>
      <c r="D106" s="14">
        <v>2</v>
      </c>
      <c r="E106" s="14">
        <v>0</v>
      </c>
      <c r="F106" s="14">
        <v>0</v>
      </c>
      <c r="G106" s="14">
        <v>2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1</v>
      </c>
      <c r="N106" s="14">
        <v>0</v>
      </c>
      <c r="O106" s="15">
        <f>SUM(D106:N106)</f>
        <v>5</v>
      </c>
    </row>
    <row r="107" spans="1:15" ht="15.75" x14ac:dyDescent="0.25">
      <c r="A107" s="8">
        <v>105</v>
      </c>
      <c r="B107" s="12">
        <v>0.23699999999999999</v>
      </c>
      <c r="C107" s="12">
        <v>34.216000000000001</v>
      </c>
      <c r="D107" s="14">
        <v>1</v>
      </c>
      <c r="E107" s="14">
        <v>0</v>
      </c>
      <c r="F107" s="14">
        <f ca="1">+F107:F111</f>
        <v>0</v>
      </c>
      <c r="G107" s="14">
        <v>2</v>
      </c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5">
        <v>3</v>
      </c>
    </row>
    <row r="108" spans="1:15" ht="15.75" x14ac:dyDescent="0.25">
      <c r="A108" s="8">
        <v>106</v>
      </c>
      <c r="B108" s="12">
        <v>0.217</v>
      </c>
      <c r="C108" s="12">
        <v>34.329000000000001</v>
      </c>
      <c r="D108" s="14">
        <v>1</v>
      </c>
      <c r="E108" s="14">
        <v>0</v>
      </c>
      <c r="F108" s="14">
        <f t="shared" ref="F108:F122" ca="1" si="2">+F108:F112</f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5">
        <v>1</v>
      </c>
    </row>
    <row r="109" spans="1:15" ht="15.75" x14ac:dyDescent="0.25">
      <c r="A109" s="8">
        <v>107</v>
      </c>
      <c r="B109" s="12">
        <v>0.224</v>
      </c>
      <c r="C109" s="12">
        <v>34.406999999999996</v>
      </c>
      <c r="D109" s="14">
        <v>0</v>
      </c>
      <c r="E109" s="14">
        <v>0</v>
      </c>
      <c r="F109" s="14">
        <f t="shared" ca="1" si="2"/>
        <v>0</v>
      </c>
      <c r="G109" s="14">
        <v>1</v>
      </c>
      <c r="H109" s="14">
        <v>0</v>
      </c>
      <c r="I109" s="14">
        <v>0</v>
      </c>
      <c r="J109" s="14">
        <v>1</v>
      </c>
      <c r="K109" s="14">
        <v>1</v>
      </c>
      <c r="L109" s="14">
        <v>0</v>
      </c>
      <c r="M109" s="14">
        <v>0</v>
      </c>
      <c r="N109" s="14">
        <v>0</v>
      </c>
      <c r="O109" s="15">
        <v>3</v>
      </c>
    </row>
    <row r="110" spans="1:15" ht="15.75" x14ac:dyDescent="0.25">
      <c r="A110" s="8">
        <v>108</v>
      </c>
      <c r="B110" s="12">
        <v>0.23400000000000001</v>
      </c>
      <c r="C110" s="12">
        <v>34.466999999999999</v>
      </c>
      <c r="D110" s="14">
        <v>0</v>
      </c>
      <c r="E110" s="14">
        <v>0</v>
      </c>
      <c r="F110" s="14">
        <f t="shared" ca="1" si="2"/>
        <v>0</v>
      </c>
      <c r="G110" s="14">
        <v>11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5">
        <v>11</v>
      </c>
    </row>
    <row r="111" spans="1:15" ht="15.75" x14ac:dyDescent="0.25">
      <c r="A111" s="8">
        <v>109</v>
      </c>
      <c r="B111" s="12">
        <v>0.28199999999999997</v>
      </c>
      <c r="C111" s="12">
        <v>34.442999999999998</v>
      </c>
      <c r="D111" s="14">
        <v>0</v>
      </c>
      <c r="E111" s="14">
        <v>0</v>
      </c>
      <c r="F111" s="14">
        <f t="shared" ca="1" si="2"/>
        <v>0</v>
      </c>
      <c r="G111" s="14">
        <v>11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5">
        <v>11</v>
      </c>
    </row>
    <row r="112" spans="1:15" ht="15.75" x14ac:dyDescent="0.25">
      <c r="A112" s="8">
        <v>110</v>
      </c>
      <c r="B112" s="12">
        <v>0.315</v>
      </c>
      <c r="C112" s="12">
        <v>34.375</v>
      </c>
      <c r="D112" s="14">
        <v>0</v>
      </c>
      <c r="E112" s="14">
        <v>0</v>
      </c>
      <c r="F112" s="14">
        <f t="shared" ca="1" si="2"/>
        <v>0</v>
      </c>
      <c r="G112" s="14">
        <v>3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5">
        <v>3</v>
      </c>
    </row>
    <row r="113" spans="1:15" ht="15.75" x14ac:dyDescent="0.25">
      <c r="A113" s="8">
        <v>111</v>
      </c>
      <c r="B113" s="12">
        <v>0.38900000000000001</v>
      </c>
      <c r="C113" s="12">
        <v>34.207999999999998</v>
      </c>
      <c r="D113" s="14">
        <v>0</v>
      </c>
      <c r="E113" s="14">
        <v>0</v>
      </c>
      <c r="F113" s="14">
        <f t="shared" ca="1" si="2"/>
        <v>0</v>
      </c>
      <c r="G113" s="14">
        <v>5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14">
        <v>0</v>
      </c>
      <c r="O113" s="15">
        <v>5</v>
      </c>
    </row>
    <row r="114" spans="1:15" ht="15.75" x14ac:dyDescent="0.25">
      <c r="A114" s="8">
        <v>112</v>
      </c>
      <c r="B114" s="12">
        <v>0.47199999999999998</v>
      </c>
      <c r="C114" s="12">
        <v>34.186</v>
      </c>
      <c r="D114" s="14">
        <v>0</v>
      </c>
      <c r="E114" s="14">
        <v>0</v>
      </c>
      <c r="F114" s="14">
        <f t="shared" ca="1" si="2"/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5">
        <v>0</v>
      </c>
    </row>
    <row r="115" spans="1:15" ht="15.75" x14ac:dyDescent="0.25">
      <c r="A115" s="8">
        <v>113</v>
      </c>
      <c r="B115" s="12">
        <v>0.504</v>
      </c>
      <c r="C115" s="12">
        <v>34.134</v>
      </c>
      <c r="D115" s="14">
        <v>0</v>
      </c>
      <c r="E115" s="14">
        <v>0</v>
      </c>
      <c r="F115" s="14">
        <f t="shared" ca="1" si="2"/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14">
        <v>0</v>
      </c>
      <c r="O115" s="15">
        <v>0</v>
      </c>
    </row>
    <row r="116" spans="1:15" ht="15.75" x14ac:dyDescent="0.25">
      <c r="A116" s="8">
        <v>114</v>
      </c>
      <c r="B116" s="12">
        <v>0.55400000000000005</v>
      </c>
      <c r="C116" s="12">
        <v>34.133000000000003</v>
      </c>
      <c r="D116" s="14">
        <v>0</v>
      </c>
      <c r="E116" s="14">
        <v>0</v>
      </c>
      <c r="F116" s="14">
        <f t="shared" ca="1" si="2"/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5">
        <v>0</v>
      </c>
    </row>
    <row r="117" spans="1:15" ht="15.75" x14ac:dyDescent="0.25">
      <c r="A117" s="8">
        <v>115</v>
      </c>
      <c r="B117" s="12">
        <v>0.57199999999999995</v>
      </c>
      <c r="C117" s="12">
        <v>34.223999999999997</v>
      </c>
      <c r="D117" s="14">
        <v>0</v>
      </c>
      <c r="E117" s="14">
        <v>0</v>
      </c>
      <c r="F117" s="14">
        <f t="shared" ca="1" si="2"/>
        <v>0</v>
      </c>
      <c r="G117" s="14">
        <v>0</v>
      </c>
      <c r="H117" s="14">
        <v>0</v>
      </c>
      <c r="I117" s="14">
        <v>0</v>
      </c>
      <c r="J117" s="14">
        <v>0</v>
      </c>
      <c r="K117" s="14">
        <v>0</v>
      </c>
      <c r="L117" s="14">
        <v>0</v>
      </c>
      <c r="M117" s="14">
        <v>0</v>
      </c>
      <c r="N117" s="14">
        <v>0</v>
      </c>
      <c r="O117" s="15">
        <v>0</v>
      </c>
    </row>
    <row r="118" spans="1:15" ht="15.75" x14ac:dyDescent="0.25">
      <c r="A118" s="8">
        <v>116</v>
      </c>
      <c r="B118" s="12">
        <v>0.56799999999999995</v>
      </c>
      <c r="C118" s="12">
        <v>34.286999999999999</v>
      </c>
      <c r="D118" s="14">
        <v>0</v>
      </c>
      <c r="E118" s="14">
        <v>0</v>
      </c>
      <c r="F118" s="14">
        <f t="shared" ca="1" si="2"/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5">
        <v>0</v>
      </c>
    </row>
    <row r="119" spans="1:15" ht="15.75" x14ac:dyDescent="0.25">
      <c r="A119" s="8">
        <v>117</v>
      </c>
      <c r="B119" s="12">
        <v>0.55900000000000005</v>
      </c>
      <c r="C119" s="12">
        <v>34.345999999999997</v>
      </c>
      <c r="D119" s="14">
        <v>0</v>
      </c>
      <c r="E119" s="14">
        <v>0</v>
      </c>
      <c r="F119" s="14">
        <f t="shared" ca="1" si="2"/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5">
        <v>0</v>
      </c>
    </row>
    <row r="120" spans="1:15" ht="15.75" x14ac:dyDescent="0.25">
      <c r="A120" s="8">
        <v>118</v>
      </c>
      <c r="B120" s="12">
        <v>0.53100000000000003</v>
      </c>
      <c r="C120" s="12">
        <v>34.468000000000004</v>
      </c>
      <c r="D120" s="14">
        <v>0</v>
      </c>
      <c r="E120" s="14">
        <v>0</v>
      </c>
      <c r="F120" s="14">
        <f t="shared" ca="1" si="2"/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5">
        <v>0</v>
      </c>
    </row>
    <row r="121" spans="1:15" ht="15.75" x14ac:dyDescent="0.25">
      <c r="A121" s="1">
        <v>119</v>
      </c>
      <c r="B121" s="3">
        <v>0.51</v>
      </c>
      <c r="C121" s="3">
        <v>34.536000000000001</v>
      </c>
      <c r="D121" s="14">
        <v>0</v>
      </c>
      <c r="E121" s="14">
        <v>0</v>
      </c>
      <c r="F121" s="14">
        <f t="shared" ca="1" si="2"/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5">
        <v>0</v>
      </c>
    </row>
    <row r="122" spans="1:15" ht="15.75" x14ac:dyDescent="0.25">
      <c r="A122" s="1">
        <v>120</v>
      </c>
      <c r="B122" s="3">
        <v>0.48299999999999998</v>
      </c>
      <c r="C122" s="3">
        <v>34.56</v>
      </c>
      <c r="D122" s="14">
        <v>0</v>
      </c>
      <c r="E122" s="14">
        <v>0</v>
      </c>
      <c r="F122" s="14">
        <f t="shared" ca="1" si="2"/>
        <v>0</v>
      </c>
      <c r="G122" s="14">
        <v>2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5">
        <v>2</v>
      </c>
    </row>
    <row r="123" spans="1:15" x14ac:dyDescent="0.25">
      <c r="C123" s="20" t="s">
        <v>25</v>
      </c>
      <c r="D123" s="18">
        <f>SUM(D3:D122)</f>
        <v>78</v>
      </c>
      <c r="E123" s="18">
        <f t="shared" ref="E123:N123" si="3">SUM(E3:E122)</f>
        <v>24</v>
      </c>
      <c r="F123" s="18">
        <v>9</v>
      </c>
      <c r="G123" s="18">
        <f t="shared" si="3"/>
        <v>362</v>
      </c>
      <c r="H123" s="18">
        <f t="shared" si="3"/>
        <v>17</v>
      </c>
      <c r="I123" s="18">
        <f t="shared" si="3"/>
        <v>8</v>
      </c>
      <c r="J123" s="18">
        <f t="shared" si="3"/>
        <v>8</v>
      </c>
      <c r="K123" s="18">
        <f t="shared" si="3"/>
        <v>3</v>
      </c>
      <c r="L123" s="18">
        <f t="shared" si="3"/>
        <v>6</v>
      </c>
      <c r="M123" s="18">
        <f t="shared" si="3"/>
        <v>8</v>
      </c>
      <c r="N123" s="18">
        <f t="shared" si="3"/>
        <v>4</v>
      </c>
      <c r="O123" s="19">
        <v>527</v>
      </c>
    </row>
  </sheetData>
  <mergeCells count="2">
    <mergeCell ref="B1:C1"/>
    <mergeCell ref="D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Методика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2025-06-21T17:10:15Z</dcterms:modified>
</cp:coreProperties>
</file>