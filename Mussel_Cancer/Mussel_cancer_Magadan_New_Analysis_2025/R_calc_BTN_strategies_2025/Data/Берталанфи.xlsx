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ers\User\Desktop\статьи в работе\РАК Магадан\Магадан экология\рост 2023\"/>
    </mc:Choice>
  </mc:AlternateContent>
  <bookViews>
    <workbookView xWindow="0" yWindow="0" windowWidth="28800" windowHeight="11835"/>
  </bookViews>
  <sheets>
    <sheet name="шаблон" sheetId="1" r:id="rId1"/>
  </sheets>
  <definedNames>
    <definedName name="solver_adj" localSheetId="0" hidden="1">шаблон!$C$24:$C$26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шаблон!$C$28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4" i="1" l="1"/>
  <c r="D6" i="1"/>
  <c r="D7" i="1"/>
  <c r="D8" i="1"/>
  <c r="C34" i="1" l="1"/>
  <c r="D5" i="1" l="1"/>
  <c r="H34" i="1"/>
  <c r="G34" i="1"/>
  <c r="F34" i="1"/>
  <c r="I34" i="1"/>
  <c r="C29" i="1"/>
  <c r="C28" i="1" l="1"/>
  <c r="C30" i="1" s="1"/>
  <c r="C32" i="1" s="1"/>
  <c r="J34" i="1" s="1"/>
</calcChain>
</file>

<file path=xl/sharedStrings.xml><?xml version="1.0" encoding="utf-8"?>
<sst xmlns="http://schemas.openxmlformats.org/spreadsheetml/2006/main" count="12" uniqueCount="12">
  <si>
    <t>возраст</t>
  </si>
  <si>
    <t>длина</t>
  </si>
  <si>
    <t>L</t>
  </si>
  <si>
    <t>k</t>
  </si>
  <si>
    <t>t</t>
  </si>
  <si>
    <t>длина по уравнению</t>
  </si>
  <si>
    <t>SS ост</t>
  </si>
  <si>
    <t>R2</t>
  </si>
  <si>
    <t>SS общая</t>
  </si>
  <si>
    <t>SS объясн</t>
  </si>
  <si>
    <t>стартовые значения коэффициентов</t>
  </si>
  <si>
    <t>OGP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</si>
</sst>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Fill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шаблон!$B$3:$B$19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шаблон!$C$3:$C$19</c:f>
              <c:numCache>
                <c:formatCode>General</c:formatCode>
                <c:ptCount val="17"/>
                <c:pt idx="1">
                  <c:v>4.8529411764705879</c:v>
                </c:pt>
                <c:pt idx="2">
                  <c:v>7.6555555555555532</c:v>
                </c:pt>
                <c:pt idx="3">
                  <c:v>13.005555555555556</c:v>
                </c:pt>
                <c:pt idx="4">
                  <c:v>19.411111111111108</c:v>
                </c:pt>
                <c:pt idx="5">
                  <c:v>26.905555555555551</c:v>
                </c:pt>
                <c:pt idx="6">
                  <c:v>33.494444444444447</c:v>
                </c:pt>
                <c:pt idx="7">
                  <c:v>38.577777777777783</c:v>
                </c:pt>
                <c:pt idx="8">
                  <c:v>41.658823529411769</c:v>
                </c:pt>
                <c:pt idx="9">
                  <c:v>43.954545454545453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шаблон!$B$3:$B$19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шаблон!$D$3:$D$19</c:f>
              <c:numCache>
                <c:formatCode>General</c:formatCode>
                <c:ptCount val="17"/>
                <c:pt idx="1">
                  <c:v>2.6672234544508253</c:v>
                </c:pt>
                <c:pt idx="2">
                  <c:v>9.0302549013629427</c:v>
                </c:pt>
                <c:pt idx="3">
                  <c:v>15.092483089346732</c:v>
                </c:pt>
                <c:pt idx="4">
                  <c:v>20.868128064513385</c:v>
                </c:pt>
                <c:pt idx="5">
                  <c:v>26.370737640525075</c:v>
                </c:pt>
                <c:pt idx="6">
                  <c:v>31.613219177427712</c:v>
                </c:pt>
                <c:pt idx="7">
                  <c:v>36.607869858184415</c:v>
                </c:pt>
                <c:pt idx="8">
                  <c:v>41.36640553392894</c:v>
                </c:pt>
                <c:pt idx="9">
                  <c:v>45.899988205600955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581648"/>
        <c:axId val="288583216"/>
      </c:scatterChart>
      <c:valAx>
        <c:axId val="28858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8583216"/>
        <c:crosses val="autoZero"/>
        <c:crossBetween val="midCat"/>
      </c:valAx>
      <c:valAx>
        <c:axId val="28858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858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0</xdr:row>
      <xdr:rowOff>100012</xdr:rowOff>
    </xdr:from>
    <xdr:to>
      <xdr:col>16</xdr:col>
      <xdr:colOff>523875</xdr:colOff>
      <xdr:row>14</xdr:row>
      <xdr:rowOff>166687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4"/>
  <sheetViews>
    <sheetView tabSelected="1" workbookViewId="0">
      <selection activeCell="F11" sqref="F11"/>
    </sheetView>
  </sheetViews>
  <sheetFormatPr defaultRowHeight="15" x14ac:dyDescent="0.25"/>
  <sheetData>
    <row r="2" spans="2:4" x14ac:dyDescent="0.25">
      <c r="B2" t="s">
        <v>0</v>
      </c>
      <c r="C2" t="s">
        <v>1</v>
      </c>
      <c r="D2" t="s">
        <v>5</v>
      </c>
    </row>
    <row r="3" spans="2:4" x14ac:dyDescent="0.25">
      <c r="B3">
        <v>1</v>
      </c>
    </row>
    <row r="4" spans="2:4" x14ac:dyDescent="0.25">
      <c r="B4">
        <v>2</v>
      </c>
      <c r="C4">
        <v>4.8529411764705879</v>
      </c>
      <c r="D4" s="2">
        <f>$C$24*(1-EXP(-$C$25*(B4-$C$26)))</f>
        <v>2.6672234544508253</v>
      </c>
    </row>
    <row r="5" spans="2:4" x14ac:dyDescent="0.25">
      <c r="B5">
        <v>3</v>
      </c>
      <c r="C5">
        <v>7.6555555555555532</v>
      </c>
      <c r="D5" s="2">
        <f>$C$24*(1-EXP(-$C$25*(B5-$C$26)))</f>
        <v>9.0302549013629427</v>
      </c>
    </row>
    <row r="6" spans="2:4" x14ac:dyDescent="0.25">
      <c r="B6">
        <v>4</v>
      </c>
      <c r="C6">
        <v>13.005555555555556</v>
      </c>
      <c r="D6" s="2">
        <f t="shared" ref="D6:D12" si="0">$C$24*(1-EXP(-$C$25*(B6-$C$26)))</f>
        <v>15.092483089346732</v>
      </c>
    </row>
    <row r="7" spans="2:4" x14ac:dyDescent="0.25">
      <c r="B7">
        <v>5</v>
      </c>
      <c r="C7">
        <v>19.411111111111108</v>
      </c>
      <c r="D7" s="2">
        <f t="shared" si="0"/>
        <v>20.868128064513385</v>
      </c>
    </row>
    <row r="8" spans="2:4" x14ac:dyDescent="0.25">
      <c r="B8">
        <v>6</v>
      </c>
      <c r="C8">
        <v>26.905555555555551</v>
      </c>
      <c r="D8" s="2">
        <f t="shared" si="0"/>
        <v>26.370737640525075</v>
      </c>
    </row>
    <row r="9" spans="2:4" x14ac:dyDescent="0.25">
      <c r="B9">
        <v>7</v>
      </c>
      <c r="C9">
        <v>33.494444444444447</v>
      </c>
      <c r="D9" s="2">
        <f t="shared" si="0"/>
        <v>31.613219177427712</v>
      </c>
    </row>
    <row r="10" spans="2:4" x14ac:dyDescent="0.25">
      <c r="B10">
        <v>8</v>
      </c>
      <c r="C10">
        <v>38.577777777777783</v>
      </c>
      <c r="D10" s="2">
        <f t="shared" si="0"/>
        <v>36.607869858184415</v>
      </c>
    </row>
    <row r="11" spans="2:4" x14ac:dyDescent="0.25">
      <c r="B11">
        <v>9</v>
      </c>
      <c r="C11">
        <v>41.658823529411769</v>
      </c>
      <c r="D11" s="2">
        <f t="shared" si="0"/>
        <v>41.36640553392894</v>
      </c>
    </row>
    <row r="12" spans="2:4" x14ac:dyDescent="0.25">
      <c r="B12">
        <v>10</v>
      </c>
      <c r="C12">
        <v>43.954545454545453</v>
      </c>
      <c r="D12" s="2">
        <f t="shared" si="0"/>
        <v>45.899988205600955</v>
      </c>
    </row>
    <row r="13" spans="2:4" x14ac:dyDescent="0.25">
      <c r="B13">
        <v>11</v>
      </c>
      <c r="D13" s="2"/>
    </row>
    <row r="14" spans="2:4" x14ac:dyDescent="0.25">
      <c r="B14">
        <v>12</v>
      </c>
      <c r="D14" s="2"/>
    </row>
    <row r="15" spans="2:4" x14ac:dyDescent="0.25">
      <c r="B15">
        <v>13</v>
      </c>
      <c r="C15" s="1"/>
    </row>
    <row r="16" spans="2:4" x14ac:dyDescent="0.25">
      <c r="B16">
        <v>14</v>
      </c>
      <c r="C16" s="1"/>
    </row>
    <row r="17" spans="2:19" x14ac:dyDescent="0.25">
      <c r="B17">
        <v>15</v>
      </c>
    </row>
    <row r="18" spans="2:19" x14ac:dyDescent="0.25">
      <c r="B18">
        <v>16</v>
      </c>
    </row>
    <row r="19" spans="2:19" x14ac:dyDescent="0.25">
      <c r="B19">
        <v>17</v>
      </c>
    </row>
    <row r="20" spans="2:19" x14ac:dyDescent="0.25">
      <c r="K20">
        <v>4.8529411764705879</v>
      </c>
      <c r="L20">
        <v>7.6555555555555532</v>
      </c>
      <c r="M20">
        <v>13.005555555555556</v>
      </c>
      <c r="N20">
        <v>19.411111111111108</v>
      </c>
      <c r="O20">
        <v>26.905555555555551</v>
      </c>
      <c r="P20">
        <v>33.494444444444447</v>
      </c>
      <c r="Q20">
        <v>38.577777777777783</v>
      </c>
      <c r="R20">
        <v>41.658823529411769</v>
      </c>
      <c r="S20">
        <v>43.954545454545453</v>
      </c>
    </row>
    <row r="23" spans="2:19" x14ac:dyDescent="0.25">
      <c r="E23" t="s">
        <v>10</v>
      </c>
    </row>
    <row r="24" spans="2:19" x14ac:dyDescent="0.25">
      <c r="B24" t="s">
        <v>2</v>
      </c>
      <c r="C24" s="3">
        <v>137.26739148002579</v>
      </c>
      <c r="E24">
        <v>90</v>
      </c>
    </row>
    <row r="25" spans="2:19" x14ac:dyDescent="0.25">
      <c r="B25" t="s">
        <v>3</v>
      </c>
      <c r="C25" s="3">
        <v>4.842748610353699E-2</v>
      </c>
      <c r="E25">
        <v>0.1</v>
      </c>
    </row>
    <row r="26" spans="2:19" x14ac:dyDescent="0.25">
      <c r="B26" t="s">
        <v>4</v>
      </c>
      <c r="C26" s="3">
        <v>1.5948143858297368</v>
      </c>
      <c r="E26">
        <v>0</v>
      </c>
    </row>
    <row r="28" spans="2:19" x14ac:dyDescent="0.25">
      <c r="B28" t="s">
        <v>6</v>
      </c>
      <c r="C28" s="5">
        <f>SUMXMY2(C4:C14,D4:D14)</f>
        <v>24.721156886404895</v>
      </c>
    </row>
    <row r="29" spans="2:19" x14ac:dyDescent="0.25">
      <c r="B29" t="s">
        <v>8</v>
      </c>
      <c r="C29">
        <f>DEVSQ(C4:C14)</f>
        <v>1776.5037417003211</v>
      </c>
    </row>
    <row r="30" spans="2:19" x14ac:dyDescent="0.25">
      <c r="B30" t="s">
        <v>9</v>
      </c>
      <c r="C30">
        <f>C29-C28</f>
        <v>1751.7825848139162</v>
      </c>
    </row>
    <row r="32" spans="2:19" x14ac:dyDescent="0.25">
      <c r="B32" t="s">
        <v>7</v>
      </c>
      <c r="C32" s="4">
        <f>C30/C29</f>
        <v>0.98608437668544169</v>
      </c>
    </row>
    <row r="34" spans="2:10" x14ac:dyDescent="0.25">
      <c r="B34" t="s">
        <v>11</v>
      </c>
      <c r="C34" s="6">
        <f>LOG(C24*C25)</f>
        <v>0.82265930594966996</v>
      </c>
      <c r="F34" s="3">
        <f>C24</f>
        <v>137.26739148002579</v>
      </c>
      <c r="G34" s="3">
        <f>C25</f>
        <v>4.842748610353699E-2</v>
      </c>
      <c r="H34" s="3">
        <f>C26</f>
        <v>1.5948143858297368</v>
      </c>
      <c r="I34" s="6">
        <f>C34</f>
        <v>0.82265930594966996</v>
      </c>
      <c r="J34" s="4">
        <f>C32</f>
        <v>0.98608437668544169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st008527</dc:creator>
  <cp:lastModifiedBy>User</cp:lastModifiedBy>
  <dcterms:created xsi:type="dcterms:W3CDTF">2021-02-11T11:28:38Z</dcterms:created>
  <dcterms:modified xsi:type="dcterms:W3CDTF">2026-06-23T14:34:32Z</dcterms:modified>
</cp:coreProperties>
</file>