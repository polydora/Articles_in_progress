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324"/>
  </bookViews>
  <sheets>
    <sheet name="Магадан 21-23" sheetId="1" r:id="rId1"/>
    <sheet name="skazina 23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<sst xmlns="http://schemas.openxmlformats.org/spreadsheetml/2006/main" count="111" uniqueCount="57">
  <si>
    <t>btn1</t>
  </si>
  <si>
    <t>btn21</t>
  </si>
  <si>
    <t>btn22</t>
  </si>
  <si>
    <t>btn1-21</t>
  </si>
  <si>
    <t>btn21-21</t>
  </si>
  <si>
    <t>btn22-21</t>
  </si>
  <si>
    <t>btn1-23</t>
  </si>
  <si>
    <t>btn21-23</t>
  </si>
  <si>
    <t>btn22-23</t>
  </si>
  <si>
    <t>NA</t>
  </si>
  <si>
    <t>3 ?</t>
  </si>
  <si>
    <t>подчеркнуто что цитометрировалось во владивостоке</t>
  </si>
  <si>
    <t>срзнач</t>
  </si>
  <si>
    <t>2021_аутлаеры</t>
  </si>
  <si>
    <t>Marchekan's stones</t>
  </si>
  <si>
    <t>MAR</t>
  </si>
  <si>
    <t>SPb</t>
  </si>
  <si>
    <t>BTN2.2</t>
  </si>
  <si>
    <t>3?</t>
  </si>
  <si>
    <t>Veselaya Inlet</t>
  </si>
  <si>
    <t>VES</t>
  </si>
  <si>
    <t>Mag</t>
  </si>
  <si>
    <t>BTN2.1</t>
  </si>
  <si>
    <t>Stones near the Nuklya Cape</t>
  </si>
  <si>
    <t>NUK-II</t>
  </si>
  <si>
    <t>BTN1</t>
  </si>
  <si>
    <t>2023_аутлаеры</t>
  </si>
  <si>
    <t>Ola Lagoon</t>
  </si>
  <si>
    <t>OLA</t>
  </si>
  <si>
    <t>C10</t>
  </si>
  <si>
    <t>BTN1_Am</t>
  </si>
  <si>
    <t>J149</t>
  </si>
  <si>
    <t>COI-2</t>
  </si>
  <si>
    <t>COI-12</t>
  </si>
  <si>
    <t>BTN2</t>
  </si>
  <si>
    <t>J161*</t>
  </si>
  <si>
    <t>COI-1</t>
  </si>
  <si>
    <t>COI-5</t>
  </si>
  <si>
    <t>J226</t>
  </si>
  <si>
    <t>COI-10</t>
  </si>
  <si>
    <t>J54*</t>
  </si>
  <si>
    <t>COI-3</t>
  </si>
  <si>
    <t>J111*</t>
  </si>
  <si>
    <t>COI-4</t>
  </si>
  <si>
    <t>J181*</t>
  </si>
  <si>
    <t>COI-6</t>
  </si>
  <si>
    <t>M1-105*</t>
  </si>
  <si>
    <t>M1-111</t>
  </si>
  <si>
    <t>COI-13</t>
  </si>
  <si>
    <t>M1-3</t>
  </si>
  <si>
    <t>COI-11</t>
  </si>
  <si>
    <t>M1-136</t>
  </si>
  <si>
    <t>M1-162*</t>
  </si>
  <si>
    <t>COI-8</t>
  </si>
  <si>
    <t>M1-42</t>
  </si>
  <si>
    <t>M1-25</t>
  </si>
  <si>
    <t>COI-U1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</si>
</sst>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6">
    <font>
      <sz val="11"/>
      <color theme="1"/>
      <name val="Calibri"/>
      <charset val="204"/>
      <scheme val="minor"/>
    </font>
    <font>
      <b/>
      <sz val="11"/>
      <color theme="1"/>
      <name val="Calibri"/>
      <charset val="204"/>
      <scheme val="minor"/>
    </font>
    <font>
      <sz val="11"/>
      <color rgb="FFFF0000"/>
      <name val="Calibri"/>
      <charset val="204"/>
      <scheme val="minor"/>
    </font>
    <font>
      <b/>
      <u/>
      <sz val="11"/>
      <color theme="1"/>
      <name val="Calibri"/>
      <charset val="204"/>
      <scheme val="minor"/>
    </font>
    <font>
      <b/>
      <sz val="11"/>
      <color rgb="FFFF0000"/>
      <name val="Calibri"/>
      <charset val="204"/>
      <scheme val="minor"/>
    </font>
    <font>
      <sz val="11"/>
      <name val="Calibri"/>
      <charset val="20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1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15" applyNumberFormat="0" applyAlignment="0" applyProtection="0">
      <alignment vertical="center"/>
    </xf>
    <xf numFmtId="0" fontId="16" fillId="5" borderId="16" applyNumberFormat="0" applyAlignment="0" applyProtection="0">
      <alignment vertical="center"/>
    </xf>
    <xf numFmtId="0" fontId="17" fillId="5" borderId="15" applyNumberFormat="0" applyAlignment="0" applyProtection="0">
      <alignment vertical="center"/>
    </xf>
    <xf numFmtId="0" fontId="18" fillId="6" borderId="17" applyNumberFormat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2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2" fillId="2" borderId="4" xfId="0" applyFont="1" applyFill="1" applyBorder="1"/>
    <xf numFmtId="0" fontId="2" fillId="2" borderId="0" xfId="0" applyFont="1" applyFill="1" applyBorder="1"/>
    <xf numFmtId="0" fontId="3" fillId="0" borderId="0" xfId="0" applyFont="1" applyBorder="1"/>
    <xf numFmtId="0" fontId="0" fillId="2" borderId="0" xfId="0" applyFill="1"/>
    <xf numFmtId="0" fontId="1" fillId="0" borderId="0" xfId="0" applyFont="1" applyBorder="1"/>
    <xf numFmtId="0" fontId="1" fillId="0" borderId="5" xfId="0" applyFont="1" applyBorder="1"/>
    <xf numFmtId="0" fontId="4" fillId="2" borderId="0" xfId="0" applyFont="1" applyFill="1"/>
    <xf numFmtId="0" fontId="3" fillId="0" borderId="4" xfId="0" applyFont="1" applyBorder="1"/>
    <xf numFmtId="0" fontId="2" fillId="2" borderId="0" xfId="0" applyFont="1" applyFill="1"/>
    <xf numFmtId="0" fontId="5" fillId="0" borderId="4" xfId="0" applyFont="1" applyBorder="1"/>
    <xf numFmtId="0" fontId="1" fillId="0" borderId="0" xfId="0" applyFon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26</xdr:col>
      <xdr:colOff>0</xdr:colOff>
      <xdr:row>1</xdr:row>
      <xdr:rowOff>0</xdr:rowOff>
    </xdr:from>
    <xdr:to>
      <xdr:col>53</xdr:col>
      <xdr:colOff>416990</xdr:colOff>
      <xdr:row>49</xdr:row>
      <xdr:rowOff>151237</xdr:rowOff>
    </xdr:to>
    <xdr:pic>
      <xdr:nvPicPr>
        <xdr:cNvPr id="2" name="Рисунок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047720" y="182880"/>
          <a:ext cx="17081500" cy="89388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45"/>
  <sheetViews>
    <sheetView tabSelected="1" topLeftCell="A18" workbookViewId="0">
      <selection activeCell="O40" sqref="O40"/>
    </sheetView>
  </sheetViews>
  <sheetFormatPr defaultColWidth="9" defaultRowHeight="14.4"/>
  <sheetData>
    <row r="1" spans="1:25">
      <c r="A1">
        <v>21</v>
      </c>
      <c r="H1">
        <v>23</v>
      </c>
      <c r="O1" s="1">
        <v>21</v>
      </c>
      <c r="P1" s="2"/>
      <c r="Q1" s="2"/>
      <c r="R1" s="2"/>
      <c r="S1" s="2"/>
      <c r="T1" s="2"/>
      <c r="U1" s="2">
        <v>23</v>
      </c>
      <c r="V1" s="2"/>
      <c r="W1" s="2"/>
      <c r="X1" s="2"/>
      <c r="Y1" s="3"/>
    </row>
    <row r="2" spans="1:25">
      <c r="A2" t="s">
        <v>0</v>
      </c>
      <c r="C2" t="s">
        <v>1</v>
      </c>
      <c r="E2" t="s">
        <v>2</v>
      </c>
      <c r="H2" t="s">
        <v>0</v>
      </c>
      <c r="J2" t="s">
        <v>1</v>
      </c>
      <c r="L2" t="s">
        <v>2</v>
      </c>
      <c r="O2" s="4" t="s">
        <v>3</v>
      </c>
      <c r="P2" s="5"/>
      <c r="Q2" s="5" t="s">
        <v>4</v>
      </c>
      <c r="R2" s="5"/>
      <c r="S2" s="5" t="s">
        <v>5</v>
      </c>
      <c r="T2" s="5"/>
      <c r="U2" s="5" t="s">
        <v>6</v>
      </c>
      <c r="V2" s="5"/>
      <c r="W2" s="5" t="s">
        <v>7</v>
      </c>
      <c r="X2" s="5"/>
      <c r="Y2" s="6" t="s">
        <v>8</v>
      </c>
    </row>
    <row r="3" spans="1:25">
      <c r="A3" t="s">
        <v>9</v>
      </c>
      <c r="C3" t="s">
        <v>9</v>
      </c>
      <c r="E3">
        <v>4.5</v>
      </c>
      <c r="H3">
        <v>4.2</v>
      </c>
      <c r="J3">
        <v>5.3</v>
      </c>
      <c r="L3">
        <v>5.4</v>
      </c>
      <c r="O3" s="13">
        <v>3.2</v>
      </c>
      <c r="P3" s="5"/>
      <c r="Q3" s="14">
        <v>3.6</v>
      </c>
      <c r="R3" s="5"/>
      <c r="S3" s="14">
        <v>3.6</v>
      </c>
      <c r="T3" s="5"/>
      <c r="U3" s="5">
        <v>3.8</v>
      </c>
      <c r="V3" s="5"/>
      <c r="W3" s="5">
        <v>4.5</v>
      </c>
      <c r="X3" s="5"/>
      <c r="Y3" s="6">
        <v>4.8</v>
      </c>
    </row>
    <row r="4" spans="1:25">
      <c r="A4" t="s">
        <v>9</v>
      </c>
      <c r="C4" t="s">
        <v>9</v>
      </c>
      <c r="E4">
        <v>4.5</v>
      </c>
      <c r="H4">
        <v>3.8</v>
      </c>
      <c r="J4">
        <v>5.7</v>
      </c>
      <c r="L4">
        <v>4.9</v>
      </c>
      <c r="O4" s="4">
        <v>3.6</v>
      </c>
      <c r="P4" s="5"/>
      <c r="Q4" s="15">
        <v>4.5</v>
      </c>
      <c r="R4" s="5"/>
      <c r="S4" s="5">
        <v>4.4</v>
      </c>
      <c r="T4" s="5"/>
      <c r="U4" s="5">
        <v>3.8</v>
      </c>
      <c r="V4" s="5"/>
      <c r="W4" s="5">
        <v>4.7</v>
      </c>
      <c r="X4" s="5"/>
      <c r="Y4" s="6">
        <v>4.9</v>
      </c>
    </row>
    <row r="5" spans="1:25">
      <c r="A5" t="s">
        <v>9</v>
      </c>
      <c r="C5">
        <v>4.9</v>
      </c>
      <c r="E5">
        <v>4.4</v>
      </c>
      <c r="H5">
        <v>3.8</v>
      </c>
      <c r="J5">
        <v>5.6</v>
      </c>
      <c r="L5">
        <v>5.3</v>
      </c>
      <c r="O5" s="4">
        <v>3.7</v>
      </c>
      <c r="P5" s="5"/>
      <c r="Q5" s="5">
        <v>4.6</v>
      </c>
      <c r="R5" s="5"/>
      <c r="S5" s="15">
        <v>4.5</v>
      </c>
      <c r="T5" s="5"/>
      <c r="U5" s="5">
        <v>3.9</v>
      </c>
      <c r="V5" s="5"/>
      <c r="W5" s="5">
        <v>4.8</v>
      </c>
      <c r="X5" s="5"/>
      <c r="Y5" s="6">
        <v>4.9</v>
      </c>
    </row>
    <row r="6" spans="1:25">
      <c r="A6" t="s">
        <v>9</v>
      </c>
      <c r="C6" t="s">
        <v>9</v>
      </c>
      <c r="E6" s="16">
        <v>3.6</v>
      </c>
      <c r="H6">
        <v>4</v>
      </c>
      <c r="J6">
        <v>5</v>
      </c>
      <c r="L6">
        <v>5.2</v>
      </c>
      <c r="O6" s="4">
        <v>3.7</v>
      </c>
      <c r="P6" s="5"/>
      <c r="Q6" s="5">
        <v>4.6</v>
      </c>
      <c r="R6" s="5"/>
      <c r="S6" s="15">
        <v>4.5</v>
      </c>
      <c r="T6" s="5"/>
      <c r="U6" s="5">
        <v>4</v>
      </c>
      <c r="V6" s="5"/>
      <c r="W6" s="5">
        <v>4.9</v>
      </c>
      <c r="X6" s="5"/>
      <c r="Y6" s="6">
        <v>4.9</v>
      </c>
    </row>
    <row r="7" spans="1:25">
      <c r="A7">
        <v>3.8</v>
      </c>
      <c r="C7">
        <v>4.5</v>
      </c>
      <c r="E7" t="s">
        <v>9</v>
      </c>
      <c r="H7">
        <v>4.1</v>
      </c>
      <c r="J7" t="s">
        <v>9</v>
      </c>
      <c r="L7" t="s">
        <v>9</v>
      </c>
      <c r="O7" s="4">
        <v>3.8</v>
      </c>
      <c r="P7" s="5"/>
      <c r="Q7" s="15">
        <v>4.7</v>
      </c>
      <c r="R7" s="5"/>
      <c r="S7" s="5">
        <v>4.7</v>
      </c>
      <c r="T7" s="5"/>
      <c r="U7" s="5">
        <v>4</v>
      </c>
      <c r="V7" s="5"/>
      <c r="W7" s="17">
        <v>5</v>
      </c>
      <c r="X7" s="5"/>
      <c r="Y7" s="18">
        <v>5</v>
      </c>
    </row>
    <row r="8" spans="1:25">
      <c r="A8">
        <v>3.6</v>
      </c>
      <c r="C8">
        <v>4.6</v>
      </c>
      <c r="E8">
        <v>4.7</v>
      </c>
      <c r="H8">
        <v>4.1</v>
      </c>
      <c r="J8">
        <v>4.8</v>
      </c>
      <c r="L8">
        <v>5.3</v>
      </c>
      <c r="O8" s="4">
        <v>3.8</v>
      </c>
      <c r="P8" s="5"/>
      <c r="Q8" s="5">
        <v>4.8</v>
      </c>
      <c r="R8" s="5"/>
      <c r="S8" s="15">
        <v>4.7</v>
      </c>
      <c r="T8" s="5"/>
      <c r="U8" s="5">
        <v>4</v>
      </c>
      <c r="V8" s="5"/>
      <c r="W8" s="17">
        <v>5.1</v>
      </c>
      <c r="X8" s="5"/>
      <c r="Y8" s="18">
        <v>5</v>
      </c>
    </row>
    <row r="9" spans="1:25">
      <c r="A9" t="s">
        <v>9</v>
      </c>
      <c r="C9">
        <v>4.8</v>
      </c>
      <c r="E9">
        <v>4.7</v>
      </c>
      <c r="H9" s="19">
        <v>5</v>
      </c>
      <c r="J9">
        <v>6</v>
      </c>
      <c r="L9">
        <v>5.1</v>
      </c>
      <c r="O9" s="4">
        <v>3.9</v>
      </c>
      <c r="P9" s="5"/>
      <c r="Q9" s="5">
        <v>4.8</v>
      </c>
      <c r="R9" s="5"/>
      <c r="T9" s="5"/>
      <c r="U9" s="5">
        <v>4</v>
      </c>
      <c r="V9" s="5"/>
      <c r="W9" s="17">
        <v>5.2</v>
      </c>
      <c r="X9" s="5"/>
      <c r="Y9" s="18">
        <v>5.1</v>
      </c>
    </row>
    <row r="10" spans="1:25">
      <c r="A10">
        <v>3.9</v>
      </c>
      <c r="C10" t="s">
        <v>9</v>
      </c>
      <c r="H10" t="s">
        <v>9</v>
      </c>
      <c r="J10">
        <v>5.2</v>
      </c>
      <c r="L10">
        <v>4.8</v>
      </c>
      <c r="O10" s="20">
        <v>3.9</v>
      </c>
      <c r="P10" s="5"/>
      <c r="Q10" s="15">
        <v>4.9</v>
      </c>
      <c r="R10" s="5"/>
      <c r="S10" s="5"/>
      <c r="T10" s="5"/>
      <c r="U10" s="5">
        <v>4</v>
      </c>
      <c r="V10" s="5"/>
      <c r="W10" s="17">
        <v>5.3</v>
      </c>
      <c r="X10" s="5"/>
      <c r="Y10" s="18">
        <v>5.2</v>
      </c>
    </row>
    <row r="11" spans="1:25">
      <c r="A11" s="21">
        <v>3.2</v>
      </c>
      <c r="C11">
        <v>4.8</v>
      </c>
      <c r="H11">
        <v>4</v>
      </c>
      <c r="J11">
        <v>4.9</v>
      </c>
      <c r="L11">
        <v>5.3</v>
      </c>
      <c r="O11" s="4">
        <v>4</v>
      </c>
      <c r="P11" s="5"/>
      <c r="Q11" s="5"/>
      <c r="R11" s="5"/>
      <c r="S11" s="5"/>
      <c r="T11" s="5"/>
      <c r="U11" s="5">
        <v>4</v>
      </c>
      <c r="V11" s="5"/>
      <c r="W11" s="17">
        <v>5.4</v>
      </c>
      <c r="X11" s="5"/>
      <c r="Y11" s="18">
        <v>5.2</v>
      </c>
    </row>
    <row r="12" spans="1:25">
      <c r="A12" s="21" t="s">
        <v>10</v>
      </c>
      <c r="C12" s="16">
        <v>3.6</v>
      </c>
      <c r="H12">
        <v>4</v>
      </c>
      <c r="J12">
        <v>4.7</v>
      </c>
      <c r="L12" t="s">
        <v>9</v>
      </c>
      <c r="O12" s="4">
        <v>4</v>
      </c>
      <c r="P12" s="5"/>
      <c r="Q12" s="5"/>
      <c r="R12" s="5"/>
      <c r="S12" s="5"/>
      <c r="T12" s="5"/>
      <c r="U12" s="5">
        <v>4</v>
      </c>
      <c r="V12" s="5"/>
      <c r="W12" s="17">
        <v>5.4</v>
      </c>
      <c r="X12" s="5"/>
      <c r="Y12" s="18">
        <v>5.3</v>
      </c>
    </row>
    <row r="13" spans="1:25">
      <c r="A13" t="s">
        <v>9</v>
      </c>
      <c r="C13">
        <v>4.6</v>
      </c>
      <c r="H13">
        <v>4</v>
      </c>
      <c r="J13">
        <v>5.8</v>
      </c>
      <c r="L13">
        <v>5</v>
      </c>
      <c r="O13" s="20">
        <v>4.1</v>
      </c>
      <c r="P13" s="5"/>
      <c r="Q13" s="5"/>
      <c r="R13" s="5"/>
      <c r="S13" s="5"/>
      <c r="T13" s="5"/>
      <c r="U13" s="5">
        <v>4</v>
      </c>
      <c r="V13" s="5"/>
      <c r="W13" s="17">
        <v>5.4</v>
      </c>
      <c r="X13" s="5"/>
      <c r="Y13" s="18">
        <v>5.3</v>
      </c>
    </row>
    <row r="14" spans="1:25">
      <c r="A14">
        <v>4.1</v>
      </c>
      <c r="C14" t="s">
        <v>9</v>
      </c>
      <c r="H14">
        <v>4</v>
      </c>
      <c r="J14">
        <v>4.5</v>
      </c>
      <c r="L14">
        <v>5.2</v>
      </c>
      <c r="O14" s="4">
        <v>4.1</v>
      </c>
      <c r="P14" s="5"/>
      <c r="Q14" s="5"/>
      <c r="R14" s="5"/>
      <c r="S14" s="5"/>
      <c r="T14" s="5"/>
      <c r="U14" s="5">
        <v>4</v>
      </c>
      <c r="V14" s="5"/>
      <c r="W14" s="17">
        <v>5.5</v>
      </c>
      <c r="X14" s="5"/>
      <c r="Y14" s="18">
        <v>5.3</v>
      </c>
    </row>
    <row r="15" spans="1:25">
      <c r="A15">
        <v>4.5</v>
      </c>
      <c r="C15">
        <v>4.7</v>
      </c>
      <c r="H15" t="s">
        <v>9</v>
      </c>
      <c r="J15">
        <v>5.5</v>
      </c>
      <c r="L15">
        <v>5.4</v>
      </c>
      <c r="O15" s="4">
        <v>4.1</v>
      </c>
      <c r="P15" s="5"/>
      <c r="Q15" s="5"/>
      <c r="R15" s="5"/>
      <c r="S15" s="5"/>
      <c r="T15" s="5"/>
      <c r="U15" s="5">
        <v>4.1</v>
      </c>
      <c r="V15" s="5"/>
      <c r="W15" s="17">
        <v>5.5</v>
      </c>
      <c r="X15" s="5"/>
      <c r="Y15" s="18">
        <v>5.3</v>
      </c>
    </row>
    <row r="16" spans="1:25">
      <c r="A16">
        <v>4.1</v>
      </c>
      <c r="H16" t="s">
        <v>9</v>
      </c>
      <c r="J16">
        <v>5.4</v>
      </c>
      <c r="L16">
        <v>5.3</v>
      </c>
      <c r="O16" s="4">
        <v>4.1</v>
      </c>
      <c r="P16" s="5"/>
      <c r="Q16" s="5"/>
      <c r="R16" s="5"/>
      <c r="S16" s="5"/>
      <c r="T16" s="5"/>
      <c r="U16" s="5">
        <v>4.1</v>
      </c>
      <c r="V16" s="5"/>
      <c r="W16" s="17">
        <v>5.6</v>
      </c>
      <c r="X16" s="5"/>
      <c r="Y16" s="18">
        <v>5.4</v>
      </c>
    </row>
    <row r="17" spans="1:25">
      <c r="A17">
        <v>4.3</v>
      </c>
      <c r="H17">
        <v>4.1</v>
      </c>
      <c r="J17">
        <v>5.8</v>
      </c>
      <c r="L17">
        <v>4.9</v>
      </c>
      <c r="O17" s="4">
        <v>4.1</v>
      </c>
      <c r="P17" s="5"/>
      <c r="Q17" s="5"/>
      <c r="R17" s="5"/>
      <c r="S17" s="5"/>
      <c r="T17" s="5"/>
      <c r="U17" s="5">
        <v>4.1</v>
      </c>
      <c r="V17" s="5"/>
      <c r="W17" s="17">
        <v>5.6</v>
      </c>
      <c r="X17" s="5"/>
      <c r="Y17" s="18">
        <v>5.4</v>
      </c>
    </row>
    <row r="18" spans="1:25">
      <c r="A18" t="s">
        <v>9</v>
      </c>
      <c r="H18">
        <v>4.1</v>
      </c>
      <c r="J18">
        <v>5.5</v>
      </c>
      <c r="L18">
        <v>4.9</v>
      </c>
      <c r="O18" s="4">
        <v>4.1</v>
      </c>
      <c r="P18" s="5"/>
      <c r="Q18" s="5"/>
      <c r="R18" s="5"/>
      <c r="S18" s="5"/>
      <c r="T18" s="5"/>
      <c r="U18" s="5">
        <v>4.1</v>
      </c>
      <c r="V18" s="5"/>
      <c r="W18" s="17">
        <v>5.7</v>
      </c>
      <c r="X18" s="5"/>
      <c r="Y18" s="18">
        <v>5.6</v>
      </c>
    </row>
    <row r="19" spans="1:25">
      <c r="A19">
        <v>3.8</v>
      </c>
      <c r="H19" t="s">
        <v>9</v>
      </c>
      <c r="J19">
        <v>5.4</v>
      </c>
      <c r="L19">
        <v>5</v>
      </c>
      <c r="O19" s="22">
        <v>4.1</v>
      </c>
      <c r="P19" s="5"/>
      <c r="Q19" s="5"/>
      <c r="R19" s="5"/>
      <c r="S19" s="5"/>
      <c r="T19" s="5"/>
      <c r="U19" s="5">
        <v>4.1</v>
      </c>
      <c r="V19" s="5"/>
      <c r="W19" s="17">
        <v>5.8</v>
      </c>
      <c r="X19" s="5"/>
      <c r="Y19" s="6"/>
    </row>
    <row r="20" spans="1:25">
      <c r="A20">
        <v>4</v>
      </c>
      <c r="H20">
        <v>4</v>
      </c>
      <c r="J20">
        <v>5.4</v>
      </c>
      <c r="L20">
        <v>5.6</v>
      </c>
      <c r="O20" s="20">
        <v>4.3</v>
      </c>
      <c r="P20" s="5"/>
      <c r="Q20" s="5"/>
      <c r="R20" s="5"/>
      <c r="S20" s="5"/>
      <c r="T20" s="5"/>
      <c r="U20" s="5">
        <v>4.1</v>
      </c>
      <c r="V20" s="5"/>
      <c r="W20" s="17">
        <v>5.8</v>
      </c>
      <c r="X20" s="5"/>
      <c r="Y20" s="6"/>
    </row>
    <row r="21" spans="1:25">
      <c r="A21">
        <v>4.3</v>
      </c>
      <c r="H21">
        <v>4.3</v>
      </c>
      <c r="J21">
        <v>5.9</v>
      </c>
      <c r="O21" s="4">
        <v>4.3</v>
      </c>
      <c r="P21" s="5"/>
      <c r="Q21" s="5"/>
      <c r="R21" s="5"/>
      <c r="S21" s="5"/>
      <c r="T21" s="5"/>
      <c r="U21" s="5">
        <v>4.2</v>
      </c>
      <c r="V21" s="5"/>
      <c r="W21" s="17">
        <v>5.9</v>
      </c>
      <c r="X21" s="5"/>
      <c r="Y21" s="6"/>
    </row>
    <row r="22" spans="1:25">
      <c r="A22">
        <v>4.1</v>
      </c>
      <c r="H22">
        <v>4.2</v>
      </c>
      <c r="J22">
        <v>5.1</v>
      </c>
      <c r="O22" s="4">
        <v>4.5</v>
      </c>
      <c r="P22" s="5"/>
      <c r="Q22" s="5"/>
      <c r="R22" s="5"/>
      <c r="S22" s="5"/>
      <c r="T22" s="5"/>
      <c r="U22" s="5">
        <v>4.2</v>
      </c>
      <c r="V22" s="5"/>
      <c r="W22" s="17">
        <v>6</v>
      </c>
      <c r="X22" s="5"/>
      <c r="Y22" s="6"/>
    </row>
    <row r="23" spans="1:25">
      <c r="A23">
        <v>4</v>
      </c>
      <c r="H23">
        <v>4</v>
      </c>
      <c r="J23">
        <v>5.6</v>
      </c>
      <c r="O23" s="4"/>
      <c r="P23" s="5"/>
      <c r="Q23" s="5"/>
      <c r="R23" s="5"/>
      <c r="S23" s="5"/>
      <c r="T23" s="5"/>
      <c r="U23" s="5">
        <v>4.2</v>
      </c>
      <c r="V23" s="5"/>
      <c r="W23" s="5"/>
      <c r="X23" s="5"/>
      <c r="Y23" s="6"/>
    </row>
    <row r="24" spans="1:25">
      <c r="A24">
        <v>4.1</v>
      </c>
      <c r="H24">
        <v>4.2</v>
      </c>
      <c r="O24" s="4"/>
      <c r="P24" s="5"/>
      <c r="Q24" s="5"/>
      <c r="R24" s="5"/>
      <c r="S24" s="5"/>
      <c r="T24" s="5"/>
      <c r="U24" s="5">
        <v>4.2</v>
      </c>
      <c r="V24" s="5"/>
      <c r="W24" s="5"/>
      <c r="X24" s="5"/>
      <c r="Y24" s="6"/>
    </row>
    <row r="25" spans="1:25">
      <c r="A25">
        <v>4.1</v>
      </c>
      <c r="H25">
        <v>4</v>
      </c>
      <c r="O25" s="4"/>
      <c r="P25" s="5"/>
      <c r="Q25" s="5"/>
      <c r="R25" s="5"/>
      <c r="S25" s="5"/>
      <c r="T25" s="5"/>
      <c r="U25" s="5">
        <v>4.3</v>
      </c>
      <c r="V25" s="5"/>
      <c r="W25" s="5"/>
      <c r="X25" s="5"/>
      <c r="Y25" s="6"/>
    </row>
    <row r="26" spans="1:25">
      <c r="A26">
        <v>4.1</v>
      </c>
      <c r="H26">
        <v>4.1</v>
      </c>
      <c r="O26" s="4"/>
      <c r="P26" s="5"/>
      <c r="Q26" s="5"/>
      <c r="R26" s="5"/>
      <c r="S26" s="5"/>
      <c r="T26" s="5"/>
      <c r="U26" s="5">
        <v>4.3</v>
      </c>
      <c r="V26" s="5"/>
      <c r="W26" s="5"/>
      <c r="X26" s="5"/>
      <c r="Y26" s="6"/>
    </row>
    <row r="27" spans="1:25">
      <c r="A27">
        <v>3.7</v>
      </c>
      <c r="H27" t="s">
        <v>9</v>
      </c>
      <c r="O27" s="4"/>
      <c r="P27" s="5"/>
      <c r="Q27" s="5"/>
      <c r="R27" s="5"/>
      <c r="S27" s="5"/>
      <c r="T27" s="5"/>
      <c r="U27" s="5">
        <v>4.3</v>
      </c>
      <c r="V27" s="5"/>
      <c r="W27" s="5"/>
      <c r="X27" s="5"/>
      <c r="Y27" s="6"/>
    </row>
    <row r="28" spans="1:25">
      <c r="A28" t="s">
        <v>9</v>
      </c>
      <c r="H28">
        <v>4.2</v>
      </c>
      <c r="O28" s="4"/>
      <c r="P28" s="5"/>
      <c r="Q28" s="5"/>
      <c r="R28" s="5"/>
      <c r="S28" s="5"/>
      <c r="T28" s="5"/>
      <c r="U28" s="14">
        <v>4.8</v>
      </c>
      <c r="V28" s="5"/>
      <c r="W28" s="5"/>
      <c r="X28" s="5"/>
      <c r="Y28" s="6"/>
    </row>
    <row r="29" spans="1:25">
      <c r="A29">
        <v>3.9</v>
      </c>
      <c r="H29">
        <v>4.3</v>
      </c>
      <c r="O29" s="4"/>
      <c r="P29" s="5"/>
      <c r="Q29" s="5"/>
      <c r="R29" s="5"/>
      <c r="S29" s="5"/>
      <c r="T29" s="5"/>
      <c r="U29" s="14">
        <v>5</v>
      </c>
      <c r="V29" s="5"/>
      <c r="W29" s="5"/>
      <c r="X29" s="5"/>
      <c r="Y29" s="6"/>
    </row>
    <row r="30" spans="1:25">
      <c r="A30">
        <v>3.7</v>
      </c>
      <c r="H30">
        <v>4.8</v>
      </c>
      <c r="O30" s="4"/>
      <c r="P30" s="5"/>
      <c r="Q30" s="5"/>
      <c r="R30" s="5"/>
      <c r="S30" s="5"/>
      <c r="T30" s="5"/>
      <c r="U30" s="5"/>
      <c r="V30" s="5"/>
      <c r="W30" s="5"/>
      <c r="X30" s="5"/>
      <c r="Y30" s="6"/>
    </row>
    <row r="31" spans="1:25">
      <c r="H31">
        <v>3.9</v>
      </c>
      <c r="O31" s="4"/>
      <c r="P31" s="5"/>
      <c r="Q31" s="5"/>
      <c r="R31" s="5"/>
      <c r="S31" s="5"/>
      <c r="T31" s="5"/>
      <c r="U31" s="5"/>
      <c r="V31" s="5"/>
      <c r="W31" s="5"/>
      <c r="X31" s="5"/>
      <c r="Y31" s="6"/>
    </row>
    <row r="32" spans="1:25">
      <c r="H32">
        <v>4.1</v>
      </c>
      <c r="O32" s="4" t="s">
        <v>11</v>
      </c>
      <c r="P32" s="5"/>
      <c r="Q32" s="5"/>
      <c r="R32" s="5"/>
      <c r="S32" s="5"/>
      <c r="T32" s="5"/>
      <c r="U32" s="5"/>
      <c r="V32" s="5"/>
      <c r="W32" s="5"/>
      <c r="X32" s="5"/>
      <c r="Y32" s="6"/>
    </row>
    <row r="33" spans="1:25">
      <c r="H33">
        <v>4.3</v>
      </c>
      <c r="O33" s="4"/>
      <c r="P33" s="5"/>
      <c r="Q33" s="5"/>
      <c r="R33" s="5"/>
      <c r="S33" s="5"/>
      <c r="T33" s="5"/>
      <c r="U33" s="5"/>
      <c r="V33" s="5"/>
      <c r="W33" s="5"/>
      <c r="X33" s="5"/>
      <c r="Y33" s="6"/>
    </row>
    <row r="34" ht="15.15" spans="1:25">
      <c r="H34">
        <v>4</v>
      </c>
      <c r="O34" s="7"/>
      <c r="P34" s="8"/>
      <c r="Q34" s="8"/>
      <c r="R34" s="8"/>
      <c r="S34" s="8"/>
      <c r="T34" s="8"/>
      <c r="U34" s="8"/>
      <c r="V34" s="8"/>
      <c r="W34" s="8"/>
      <c r="X34" s="8"/>
      <c r="Y34" s="9"/>
    </row>
    <row r="35" spans="1:25">
      <c r="N35" t="s">
        <v>12</v>
      </c>
      <c r="O35">
        <f>AVERAGE(O3:O34)</f>
        <v>3.97</v>
      </c>
      <c r="Q35">
        <f>AVERAGE(Q3:Q34)</f>
        <v>4.5625</v>
      </c>
      <c r="S35">
        <f>AVERAGE(S3:S34)</f>
        <v>4.4</v>
      </c>
      <c r="U35">
        <f>AVERAGE(U3:U34)</f>
        <v>4.13333333333333</v>
      </c>
      <c r="W35">
        <f>AVERAGE(W3:W34)</f>
        <v>5.355</v>
      </c>
      <c r="Y35">
        <f>AVERAGE(Y3:Y34)</f>
        <v>5.1625</v>
      </c>
    </row>
    <row r="37" spans="1:25">
      <c r="O37" t="s">
        <v>13</v>
      </c>
    </row>
    <row r="38" spans="1:25">
      <c r="O38" s="23" t="s">
        <v>14</v>
      </c>
      <c r="P38" s="23" t="s">
        <v>15</v>
      </c>
      <c r="Q38" s="23" t="s">
        <v>16</v>
      </c>
      <c r="R38" s="23">
        <v>78</v>
      </c>
      <c r="S38" s="23">
        <v>3.6</v>
      </c>
      <c r="T38" s="17" t="s">
        <v>17</v>
      </c>
    </row>
    <row r="39" spans="1:25">
      <c r="A39" t="s">
        <v>18</v>
      </c>
      <c r="O39" s="23" t="s">
        <v>19</v>
      </c>
      <c r="P39" s="23" t="s">
        <v>20</v>
      </c>
      <c r="Q39" s="23" t="s">
        <v>21</v>
      </c>
      <c r="R39" s="23">
        <v>64</v>
      </c>
      <c r="S39" s="23">
        <v>3.6</v>
      </c>
      <c r="T39" s="17" t="s">
        <v>22</v>
      </c>
    </row>
    <row r="40" spans="1:25">
      <c r="A40">
        <f>MIN(A3:A38)</f>
        <v>3.2</v>
      </c>
      <c r="C40">
        <f>MIN(C3:C38)</f>
        <v>3.6</v>
      </c>
      <c r="E40">
        <f>MIN(E3:E38)</f>
        <v>3.6</v>
      </c>
      <c r="H40">
        <f>MIN(H3:H38)</f>
        <v>3.8</v>
      </c>
      <c r="J40">
        <f>MIN(J3:J38)</f>
        <v>4.5</v>
      </c>
      <c r="L40">
        <f>MIN(L3:L38)</f>
        <v>4.8</v>
      </c>
      <c r="O40" s="23" t="s">
        <v>23</v>
      </c>
      <c r="P40" s="23" t="s">
        <v>24</v>
      </c>
      <c r="Q40" s="23" t="s">
        <v>21</v>
      </c>
      <c r="R40" s="23">
        <v>24</v>
      </c>
      <c r="S40" s="23">
        <v>3.2</v>
      </c>
      <c r="T40" s="23" t="s">
        <v>25</v>
      </c>
    </row>
    <row r="41" spans="1:25">
      <c r="A41">
        <f>MAX(A4:A39)</f>
        <v>4.5</v>
      </c>
      <c r="C41">
        <f>MAX(C4:C39)</f>
        <v>4.9</v>
      </c>
      <c r="E41">
        <f>MAX(E4:E39)</f>
        <v>4.7</v>
      </c>
      <c r="H41">
        <f>MAX(H4:H39)</f>
        <v>5</v>
      </c>
      <c r="J41">
        <f>MAX(J4:J39)</f>
        <v>6</v>
      </c>
      <c r="L41">
        <f>MAX(L4:L39)</f>
        <v>5.6</v>
      </c>
    </row>
    <row r="42" spans="1:25">
      <c r="O42" s="23" t="s">
        <v>26</v>
      </c>
    </row>
    <row r="43" spans="1:25">
      <c r="A43">
        <f>AVERAGE(A3:A30)</f>
        <v>3.96315789473684</v>
      </c>
      <c r="C43">
        <f>AVERAGE(C3:C30)</f>
        <v>4.5625</v>
      </c>
      <c r="E43">
        <f>AVERAGE(E3:E30)</f>
        <v>4.4</v>
      </c>
    </row>
    <row r="44" spans="1:25">
      <c r="O44" t="s">
        <v>27</v>
      </c>
      <c r="P44" t="s">
        <v>28</v>
      </c>
      <c r="Q44" t="s">
        <v>29</v>
      </c>
      <c r="R44">
        <v>62</v>
      </c>
      <c r="S44">
        <v>5</v>
      </c>
      <c r="T44" t="s">
        <v>25</v>
      </c>
    </row>
    <row r="45" spans="1:25">
      <c r="O45" t="s">
        <v>19</v>
      </c>
      <c r="P45" t="s">
        <v>20</v>
      </c>
      <c r="Q45">
        <v>80</v>
      </c>
      <c r="R45">
        <v>71</v>
      </c>
      <c r="S45">
        <v>4.8</v>
      </c>
      <c r="T45" t="s">
        <v>30</v>
      </c>
    </row>
  </sheetData>
  <sortState ref="S3:S8">
    <sortCondition ref="S3"/>
  </sortState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workbookViewId="0">
      <selection activeCell="A1" sqref="$A1:$XFD1048576"/>
    </sheetView>
  </sheetViews>
  <sheetFormatPr defaultColWidth="9" defaultRowHeight="14.4" outlineLevelCol="6"/>
  <sheetData>
    <row r="1" spans="1:7">
      <c r="A1" s="1" t="s">
        <v>31</v>
      </c>
      <c r="B1" s="2">
        <v>4.3</v>
      </c>
      <c r="C1" s="2">
        <v>94</v>
      </c>
      <c r="D1" s="2" t="s">
        <v>32</v>
      </c>
      <c r="E1" s="2" t="s">
        <v>33</v>
      </c>
      <c r="F1" s="3" t="s">
        <v>34</v>
      </c>
    </row>
    <row r="2" spans="1:7">
      <c r="A2" s="4" t="s">
        <v>35</v>
      </c>
      <c r="B2" s="5">
        <v>4.5</v>
      </c>
      <c r="C2" s="5">
        <v>91</v>
      </c>
      <c r="D2" s="5" t="s">
        <v>36</v>
      </c>
      <c r="E2" s="5" t="s">
        <v>37</v>
      </c>
      <c r="F2" s="6" t="s">
        <v>34</v>
      </c>
    </row>
    <row r="3" spans="1:7">
      <c r="A3" s="4" t="s">
        <v>38</v>
      </c>
      <c r="B3" s="5">
        <v>4.6</v>
      </c>
      <c r="C3" s="5">
        <v>93</v>
      </c>
      <c r="D3" s="5" t="s">
        <v>32</v>
      </c>
      <c r="E3" s="5" t="s">
        <v>39</v>
      </c>
      <c r="F3" s="6" t="s">
        <v>34</v>
      </c>
    </row>
    <row r="4" spans="1:7">
      <c r="A4" s="4" t="s">
        <v>40</v>
      </c>
      <c r="B4" s="5">
        <v>4.8</v>
      </c>
      <c r="C4" s="5">
        <v>44</v>
      </c>
      <c r="D4" s="5" t="s">
        <v>36</v>
      </c>
      <c r="E4" s="5" t="s">
        <v>41</v>
      </c>
      <c r="F4" s="6" t="s">
        <v>34</v>
      </c>
    </row>
    <row r="5" spans="1:7">
      <c r="A5" s="4" t="s">
        <v>42</v>
      </c>
      <c r="B5" s="5">
        <v>4.9</v>
      </c>
      <c r="C5" s="5">
        <v>26</v>
      </c>
      <c r="D5" s="5" t="s">
        <v>32</v>
      </c>
      <c r="E5" s="5" t="s">
        <v>43</v>
      </c>
      <c r="F5" s="6" t="s">
        <v>34</v>
      </c>
    </row>
    <row r="6" ht="15.15" spans="1:7">
      <c r="A6" s="7" t="s">
        <v>44</v>
      </c>
      <c r="B6" s="8">
        <v>4.7</v>
      </c>
      <c r="C6" s="8">
        <v>80</v>
      </c>
      <c r="D6" s="8" t="s">
        <v>32</v>
      </c>
      <c r="E6" s="8" t="s">
        <v>45</v>
      </c>
      <c r="F6" s="9" t="s">
        <v>34</v>
      </c>
    </row>
    <row r="7" spans="1:7">
      <c r="A7" s="1" t="s">
        <v>46</v>
      </c>
      <c r="B7" s="2">
        <v>5.3</v>
      </c>
      <c r="C7" s="2">
        <v>94</v>
      </c>
      <c r="D7" s="2" t="s">
        <v>32</v>
      </c>
      <c r="E7" s="2" t="s">
        <v>33</v>
      </c>
      <c r="F7" s="3" t="s">
        <v>34</v>
      </c>
    </row>
    <row r="8" spans="1:7">
      <c r="A8" s="4" t="s">
        <v>47</v>
      </c>
      <c r="B8" s="5">
        <v>4.8</v>
      </c>
      <c r="C8" s="5">
        <v>94</v>
      </c>
      <c r="D8" s="5" t="s">
        <v>32</v>
      </c>
      <c r="E8" s="5" t="s">
        <v>48</v>
      </c>
      <c r="F8" s="6" t="s">
        <v>34</v>
      </c>
    </row>
    <row r="9" spans="1:7">
      <c r="A9" s="4" t="s">
        <v>49</v>
      </c>
      <c r="B9" s="5">
        <v>5.8</v>
      </c>
      <c r="C9" s="5">
        <v>24</v>
      </c>
      <c r="D9" s="5" t="s">
        <v>32</v>
      </c>
      <c r="E9" s="5" t="s">
        <v>50</v>
      </c>
      <c r="F9" s="6" t="s">
        <v>34</v>
      </c>
    </row>
    <row r="10" spans="1:7">
      <c r="A10" s="4" t="s">
        <v>51</v>
      </c>
      <c r="B10" s="5">
        <v>5.5</v>
      </c>
      <c r="C10" s="5">
        <v>97</v>
      </c>
      <c r="D10" s="5" t="s">
        <v>36</v>
      </c>
      <c r="E10" s="5" t="s">
        <v>50</v>
      </c>
      <c r="F10" s="6" t="s">
        <v>34</v>
      </c>
    </row>
    <row r="11" spans="1:7">
      <c r="A11" s="4" t="s">
        <v>52</v>
      </c>
      <c r="B11" s="5">
        <v>5.5</v>
      </c>
      <c r="C11" s="5">
        <v>57</v>
      </c>
      <c r="D11" s="5" t="s">
        <v>36</v>
      </c>
      <c r="E11" s="5" t="s">
        <v>53</v>
      </c>
      <c r="F11" s="6" t="s">
        <v>34</v>
      </c>
    </row>
    <row r="12" ht="15.15" spans="1:7">
      <c r="A12" s="7" t="s">
        <v>54</v>
      </c>
      <c r="B12" s="8">
        <v>5.8</v>
      </c>
      <c r="C12" s="8">
        <v>15</v>
      </c>
      <c r="D12" s="8" t="s">
        <v>36</v>
      </c>
      <c r="E12" s="8" t="s">
        <v>33</v>
      </c>
      <c r="F12" s="9" t="s">
        <v>34</v>
      </c>
    </row>
    <row r="13" ht="15.15" spans="1:7">
      <c r="A13" s="10" t="s">
        <v>55</v>
      </c>
      <c r="B13" s="11">
        <v>4.5</v>
      </c>
      <c r="C13" s="11">
        <v>20</v>
      </c>
      <c r="D13" s="11" t="s">
        <v>56</v>
      </c>
      <c r="E13" s="11" t="s">
        <v>50</v>
      </c>
      <c r="F13" s="12" t="s">
        <v>25</v>
      </c>
    </row>
    <row r="14" spans="1:7">
      <c r="A14" s="5"/>
      <c r="B14" s="5"/>
      <c r="C14" s="5"/>
      <c r="D14" s="5"/>
      <c r="E14" s="5"/>
      <c r="F14" s="5"/>
      <c r="G14" s="5"/>
    </row>
    <row r="15" spans="1:7">
      <c r="A15" s="5"/>
      <c r="B15" s="5"/>
      <c r="C15" s="5"/>
      <c r="D15" s="5"/>
      <c r="E15" s="5"/>
      <c r="F15" s="5"/>
      <c r="G15" s="5"/>
    </row>
    <row r="16" spans="1:7">
      <c r="A16" s="5"/>
      <c r="B16" s="5"/>
      <c r="C16" s="5"/>
      <c r="D16" s="5"/>
      <c r="E16" s="5"/>
      <c r="F16" s="5"/>
      <c r="G16" s="5"/>
    </row>
    <row r="17" spans="1:7">
      <c r="A17" s="5"/>
      <c r="B17" s="5"/>
      <c r="C17" s="5"/>
      <c r="D17" s="5"/>
      <c r="E17" s="5"/>
      <c r="F17" s="5"/>
      <c r="G17" s="5"/>
    </row>
    <row r="18" spans="1:7">
      <c r="A18" s="5"/>
      <c r="B18" s="5"/>
      <c r="C18" s="5"/>
      <c r="D18" s="5"/>
      <c r="E18" s="5"/>
      <c r="F18" s="5"/>
      <c r="G18" s="5"/>
    </row>
    <row r="19" spans="1:7">
      <c r="A19" s="5"/>
      <c r="B19" s="5"/>
      <c r="C19" s="5"/>
      <c r="D19" s="5"/>
      <c r="E19" s="5"/>
      <c r="F19" s="5"/>
      <c r="G19" s="5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Магадан 21-23</vt:lpstr>
      <vt:lpstr>skazina 23a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Стрелков Петр Петрович</dc:creator>
  <cp:lastModifiedBy>WPS_1775125980</cp:lastModifiedBy>
  <dcterms:created xsi:type="dcterms:W3CDTF">2026-05-15T10:07:00Z</dcterms:created>
  <dcterms:modified xsi:type="dcterms:W3CDTF">2026-05-15T13:55:14Z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5F95BFA221AF47AEB4E6C5A36A86ADF4_12</vt:lpwstr>
  </property>
  <property fmtid="{D5CDD505-2E9C-101B-9397-08002B2CF9AE}" pid="3" name="KSOProductBuildVer">
    <vt:lpwstr>1049-12.1.0.26372</vt:lpwstr>
  </property>
  <property fmtid="{D5CDD505-2E9C-101B-9397-08002B2CF9AE}" pid="4" name="CalculationRule">
    <vt:i4>0</vt:i4>
  </property>
</Properties>
</file>