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weibel_results" sheetId="1" r:id="rId1"/>
    <sheet name="Magadan23_collection" sheetId="2" r:id="rId2"/>
  </sheets>
  <definedNames>
    <definedName name="_xlnm._FilterDatabase" localSheetId="0" hidden="1">weibel_results!$A$1:$U$50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<sst xmlns="http://schemas.openxmlformats.org/spreadsheetml/2006/main" count="1447" uniqueCount="456">
  <si>
    <t>Set</t>
  </si>
  <si>
    <t>ID</t>
  </si>
  <si>
    <t>ID_ENG</t>
  </si>
  <si>
    <t>BTN_class</t>
  </si>
  <si>
    <t>BTN_class_1_or_2</t>
  </si>
  <si>
    <t>Aneuploidy_rate</t>
  </si>
  <si>
    <t>Sex</t>
  </si>
  <si>
    <t>Sex_2</t>
  </si>
  <si>
    <t>Selector</t>
  </si>
  <si>
    <t>Discription</t>
  </si>
  <si>
    <t>connective tissue + DN (grid points) 40x</t>
  </si>
  <si>
    <t>gonadal tissue (grid points) 40x</t>
  </si>
  <si>
    <t>количество полей 40x</t>
  </si>
  <si>
    <t>размер поля (пикс) 40x</t>
  </si>
  <si>
    <t>размер поля (мкм) 40x</t>
  </si>
  <si>
    <t>Tishue_grid</t>
  </si>
  <si>
    <t>Gonad_grid</t>
  </si>
  <si>
    <t>Fields_number</t>
  </si>
  <si>
    <t>Filld_size_pix</t>
  </si>
  <si>
    <t>Firld_size_mkm</t>
  </si>
  <si>
    <t>Gonad_prop</t>
  </si>
  <si>
    <t>Магадан_2023</t>
  </si>
  <si>
    <t>ЖЕМ_Б29</t>
  </si>
  <si>
    <t>JEM_B29</t>
  </si>
  <si>
    <t>BTN2.1</t>
  </si>
  <si>
    <t>BTN2</t>
  </si>
  <si>
    <t>м</t>
  </si>
  <si>
    <t>в соед. ткани много неопластических клеток, ацинусы маленькие, видны сперматиды, зона сперматоцитов совсем узкая</t>
  </si>
  <si>
    <t>4000x2997</t>
  </si>
  <si>
    <t>355.26x266.19</t>
  </si>
  <si>
    <t>710.52x532.38</t>
  </si>
  <si>
    <t>ЖЕМ_А28</t>
  </si>
  <si>
    <t>JEM_A28</t>
  </si>
  <si>
    <t>BTN1</t>
  </si>
  <si>
    <t>неопластических клеток совсем немного в соед. ткани, в ацинусах преобладает зона спермиев, в большинстве ацинусов спермии лежат разреженно, сперматоциты только в отдельных скоплениях</t>
  </si>
  <si>
    <t>УМ_Б4</t>
  </si>
  <si>
    <t>UM_B4</t>
  </si>
  <si>
    <t>ж</t>
  </si>
  <si>
    <t xml:space="preserve">в соед.ткани есть отдельные скопления неопластических клеток, редкие ацинусы совсем маленькие, в них оогонии и маленькие превителогенные ооциты, </t>
  </si>
  <si>
    <t>360.88x270.4</t>
  </si>
  <si>
    <t>ТИХ_А22</t>
  </si>
  <si>
    <t>TIH_A22</t>
  </si>
  <si>
    <t>В соед.ткани есть небольшие скопления неопластических клеток, ацинусы "пустые", до 5 шт ооцитов на срез, пространство между ооцитами заполнено стромой, ооциты растущие, видны оогонии, есть единичные маленькие превителогенные ооциты</t>
  </si>
  <si>
    <t>СВ_В18</t>
  </si>
  <si>
    <t>SV_V18</t>
  </si>
  <si>
    <t>x3 (ж?)</t>
  </si>
  <si>
    <t>В мантии преобладает соединительная ткань (везикулярные клетки в основном), неопластические клетки распределены диффузно, но есть и скопления. Малочисленные ацинусы пустые, в них есть гониальные клетки (больше похожи на оогонии), в некоторых ацинусах присутствуют гранулоциты.Интересно, что скопления гониев сильно ассиметричны - расположены ближе к внутренней стороне мантии.</t>
  </si>
  <si>
    <t>СВ_В7</t>
  </si>
  <si>
    <t>SV_V7</t>
  </si>
  <si>
    <t>В соед.ткани много неопластических клеток. Есть и эозинофилы. Много везикулярных клеток. Ацинусы пустые (как посленерестовые), сперматоцитов не видно, есть только очень узкая зона сперматид и пустота внутри.</t>
  </si>
  <si>
    <t>ОН_Б7</t>
  </si>
  <si>
    <t>ON_B7</t>
  </si>
  <si>
    <t>В мантии преобладает соединительная ткань (очень много везикулярных клеток), неопластические клетки распределены диффузно. Ацинусы очень маленькие, в них только оогонии и единичные ооциты.</t>
  </si>
  <si>
    <t>ОЛА_В10</t>
  </si>
  <si>
    <t>OLA_V10</t>
  </si>
  <si>
    <t>В мантии преобладает соединительная ткань (в основном адипогранулярные клетки, между которыми есть небольшие скопления неопластических базофилов), ацинусы очень маленькие, в них есть немного сперматогониев и иногда совсем немного сперматид. В мантии есть лакуны с базофилами.</t>
  </si>
  <si>
    <t>ОЛА_Б30</t>
  </si>
  <si>
    <t>OLA_B30</t>
  </si>
  <si>
    <t>В мантии преобладает соединительная ткань (в основном адипогранулярные клетки), ацинусы очень маленькие, в них есть немного сперматогониев и иногда совсем немного сперматид. В мантии есть большие скопления неопластических клеток.</t>
  </si>
  <si>
    <t>ОЛА_Б27</t>
  </si>
  <si>
    <t>OLA_B27</t>
  </si>
  <si>
    <t>В мантии преобладает соединительная ткань (в основном адипогранулярные клетки), ацинусы  маленькие, в них есть немного сперматогониев, сперматоцитов и иногда совсем немного сперматид. В мантии совсем немного неопластических клеток.</t>
  </si>
  <si>
    <t>МАР2_Б28</t>
  </si>
  <si>
    <t>MAR-II_B28</t>
  </si>
  <si>
    <t>BTN2.2</t>
  </si>
  <si>
    <t>МАМ_А24</t>
  </si>
  <si>
    <t>MAM_A24</t>
  </si>
  <si>
    <t>no</t>
  </si>
  <si>
    <t>Соединительной ткани между ацинусами очень мало (адипогранулярные клетки). Ацинусы плотно наполнены ооцитами разного размера (вителогенными).</t>
  </si>
  <si>
    <t>КАР_А32</t>
  </si>
  <si>
    <t>KAR_A32</t>
  </si>
  <si>
    <t>Соединительной ткани между ацинусами мало. В соед.ткани есть совсем немного эозинофилов и неопластических базофилов. В ацинусах преобладает зона сперматид и сперматозоидов.</t>
  </si>
  <si>
    <t>КАР_А22</t>
  </si>
  <si>
    <t>KAR_A22</t>
  </si>
  <si>
    <t>В мантии преобладает соединительная ткань, очень много неопластических базофилов, распределенных диффузно. Ацинусы полупустые (похожи на посленерестовые), в них немного сперматозоидов, в просвете некоторых ацинусов есть гранулоциты.</t>
  </si>
  <si>
    <t>ХОЛ_Д19</t>
  </si>
  <si>
    <t>HOL_D19</t>
  </si>
  <si>
    <t>В соед.ткани есть совсем немного неопластических базофилов. Преобладают адипогранулярные клетки, есть скопления мелких везикулярных клеток. В ацинусах ооциты (вителогенные) разного размера лежат не плотно, есть немного превителогенных ооцитов.</t>
  </si>
  <si>
    <t>ХОЛ_Д8</t>
  </si>
  <si>
    <t>HOL_D8</t>
  </si>
  <si>
    <t>В соед.ткани мантии преобладают адипогранулярные клетки, есть скопления везикулярных клеток, встречаются эозинофилы. В ацинусах преобладает зона сперматид и сперматозоидов (клетки лежат плотно), но и зона сперматоцитов заметная.</t>
  </si>
  <si>
    <t>МАР2_Б16</t>
  </si>
  <si>
    <t>MAR-II_B16</t>
  </si>
  <si>
    <t>в соед.ткани преобладают адипогранулярные клетки, неопластических базофилов совсем немного (небольшие очаги), ацинусы очень маленькие, в них видны оогонии и маленькие превителогенные ооциты.</t>
  </si>
  <si>
    <t>КАР_В30</t>
  </si>
  <si>
    <t>KAR_V30</t>
  </si>
  <si>
    <t>Соединительной ткани почти нет, ацинусы заполнены в основном зрелыми и растущими ооцитами, превителогенных ооцитов мало</t>
  </si>
  <si>
    <t>КАР_Б21</t>
  </si>
  <si>
    <t>KAR_B21</t>
  </si>
  <si>
    <t>Соединительной ткани почти нет, ацинусы плотно заполнены спермиями, сперматоцитов и сперматид зона очень узкой полоской</t>
  </si>
  <si>
    <t>КАР_Б4</t>
  </si>
  <si>
    <t>KAR_B4</t>
  </si>
  <si>
    <t>Соединительной ткани почти нет, ацинусы заполнены в основном зрелыми и растущими ооцитами</t>
  </si>
  <si>
    <t>КАР_Б3</t>
  </si>
  <si>
    <t>KAR_B3</t>
  </si>
  <si>
    <t>В соед.ткани очень много неопластических базофилов, за ними даже не видно границ адипогранулярных клеток, везикулярных клеток нет, в ацинусах небольшое количество зрелых ооцитов</t>
  </si>
  <si>
    <t>КАР_А19</t>
  </si>
  <si>
    <t>KAR_A19</t>
  </si>
  <si>
    <t>В соед.ткани очень много неопластических базофилов, они расположены между адипогранулярных клеток, везикулярных клеток нет, в ацинусах зрелые ооциты</t>
  </si>
  <si>
    <t>ЖЕМ_В24</t>
  </si>
  <si>
    <t>JEM_V24</t>
  </si>
  <si>
    <t>Соединительной ткани почти нет, ацинусы плотно заполнены спермиями,  зона сперматоцитов и сперматид очень узкой полоской</t>
  </si>
  <si>
    <t>ЖЕМ_А1</t>
  </si>
  <si>
    <t>JEM_A1</t>
  </si>
  <si>
    <t>В соед.ткани совсем немного неопластических базофилов, они расположены между адипогранулярных клеток, везикулярных клеток нет, в ацинусах зрелые ооциты</t>
  </si>
  <si>
    <t>ХОЛ_В2</t>
  </si>
  <si>
    <t>HOL_V2</t>
  </si>
  <si>
    <t>В соединительной ткани есть скопления неопластических базофилов, ацинусы очень маленькие, с трудом можно различить оогонии, пол был определен по единственному ооциту буквально</t>
  </si>
  <si>
    <t>ОЛА_Б31</t>
  </si>
  <si>
    <t>OLA_B31</t>
  </si>
  <si>
    <t>В соед.ткани очень редко встречаются неопластические базофилы, в ацинусах сперматиды и сперсатоциты примерно поровну</t>
  </si>
  <si>
    <t>СВ_В17</t>
  </si>
  <si>
    <t>SV_V17</t>
  </si>
  <si>
    <t>В ацинусах в основном маленькие превителогенные ооциты</t>
  </si>
  <si>
    <t>СВ_В23</t>
  </si>
  <si>
    <t>SV_V23</t>
  </si>
  <si>
    <t>В ацинусах зона сперматоцитов чуть менбше зоны спермиенв, стадия созревания</t>
  </si>
  <si>
    <t>ТИХ_А18</t>
  </si>
  <si>
    <t>TIH_A18</t>
  </si>
  <si>
    <t>В соед.ткани есть небольшое количество базофилов!!! и эозинофилов, ацинусы зрелые, заполнены спермиями, сперматоцитов практически не видною</t>
  </si>
  <si>
    <t>ТИХ_А24</t>
  </si>
  <si>
    <t>TIH_A24</t>
  </si>
  <si>
    <t>DN</t>
  </si>
  <si>
    <t>В соед.ткани очень большое количество базофилов!!! В ацинусах преобладают сперматиды</t>
  </si>
  <si>
    <t>УМ_Б6</t>
  </si>
  <si>
    <t>UM_B6</t>
  </si>
  <si>
    <t>В соед.ткани есть немного мелких базофилов, довольно много диффузно расположенных эозинофилов, в ацинусах в основном зрелые ооциты, немного превителогенных</t>
  </si>
  <si>
    <t>УМ_Б19</t>
  </si>
  <si>
    <t>UM_B19</t>
  </si>
  <si>
    <t>В соед.ткани есть немного эозинофилов, в ацинусах в основном зрелые ооциты, немного превителогенных</t>
  </si>
  <si>
    <t>НЮК_В23</t>
  </si>
  <si>
    <t>NUK_V23</t>
  </si>
  <si>
    <t>ацинусы в стадии роста, в них в основном сперматоциты и сперматогонии</t>
  </si>
  <si>
    <t>ОЛА_Б23</t>
  </si>
  <si>
    <t>OLA_B23</t>
  </si>
  <si>
    <t>с</t>
  </si>
  <si>
    <t>есть скопления базофилов!!! в пищеварительной железе, ацинусы маленькие с превителогенными маленькими ооцитами</t>
  </si>
  <si>
    <t>КАР_А6</t>
  </si>
  <si>
    <t>KAR_A6</t>
  </si>
  <si>
    <t>в ацинусах зрелые ооциты, в соединительной ткани единичные неопластические базофилы</t>
  </si>
  <si>
    <t>КАР_В20</t>
  </si>
  <si>
    <t>KAR_V20</t>
  </si>
  <si>
    <t>Неопластические клетки в соединительной ткани встречаются очень редко, но есть скопления гранулярных гемоцитов, ацинусы небольшие, в них есть и сперматоциты и спермии</t>
  </si>
  <si>
    <t>МАР2_В4</t>
  </si>
  <si>
    <t>MAR-II_V4</t>
  </si>
  <si>
    <t>x3</t>
  </si>
  <si>
    <t>В соединительной ткани очень много неопластических базофилов, они находятся между адипогранулярных клеток, а также образуют скопления, относительно много эозинофильных везикулярных клеток, ацинусы плохо различимы, пол определить невозможно</t>
  </si>
  <si>
    <t>МАР2_В30</t>
  </si>
  <si>
    <t>MAR-II_V30</t>
  </si>
  <si>
    <t>В соединительной ткани очень много неопластических базофилов, они находятся между адипогранулярных клеток, а также образуют скопления, есть зоны, в которых адипогранулярные клетки неразличимы (структура соединительной ткани разрушена), ацинусы плохо различимы, пол определить невозможно</t>
  </si>
  <si>
    <t>ОЛА_Б24</t>
  </si>
  <si>
    <t>OLA_B24</t>
  </si>
  <si>
    <t>В соединительной ткани есть скопления неопластических базофилов, в ацинусах только есть только немного оогониев, пол был определен единичным разрушающимся ооцитам, в мантии есть пустоты (лакуны)</t>
  </si>
  <si>
    <t>ОН_Б2</t>
  </si>
  <si>
    <t>ON_B2</t>
  </si>
  <si>
    <t>Неопластические базофилы образуют небольшие скопления в лакунах в мантии; в ацинусах небольшое количество зрелых ооцитов, есть ацинусы с деградирующими ооцитами; в соединительной ткани относительно много везикулярных клеток</t>
  </si>
  <si>
    <t>ОН_Б4</t>
  </si>
  <si>
    <t>ON_B4</t>
  </si>
  <si>
    <t>Неопластические базофилы образуют небольшие скопления в лакунах в мантии; ацинусы плохо различимы, пол определен по нескольким спермиям</t>
  </si>
  <si>
    <t>СВ_А20</t>
  </si>
  <si>
    <t>SV_A20</t>
  </si>
  <si>
    <t>Неопластических базофилов очень много в мантии (сильно больше чем адипогранулярных), они образуют как плотные скопления, так и находятся в пустотах-лакунах; ацинусы трудно различимы, в них очень редко можно увидеть гониальные клетки, в просвете ацинусов видны гранулярные клетки (то ли гемоциты, то ли вспомогательные клетки, может быть клетки Сертоли), пол определить невозможно</t>
  </si>
  <si>
    <t>СВ_Б15</t>
  </si>
  <si>
    <t>SV_B15</t>
  </si>
  <si>
    <t>Неопластические базофилы образуют небольшие скопления в лакунах в мантии; в соединительной ткани относительно много везикулярных клеток; ацинусы трудно различимы, пол определить не возможно (больше похоже на самца)</t>
  </si>
  <si>
    <t>ТИХ_Б10</t>
  </si>
  <si>
    <t>TIH_B10</t>
  </si>
  <si>
    <t>Неопластических базофилов в мантии совсем немного, ацинусы зрелые (преобладают спермии и сперматиды), в соединительной ткани очень много везикулярных клеток</t>
  </si>
  <si>
    <t>ВЕС_23</t>
  </si>
  <si>
    <t>VES_23</t>
  </si>
  <si>
    <t>Неопластических базофилов в мантии очень мало (единичные клетки), соединительная ткань вокруг ацинусов состоит практически только из адипогранулярных клеток; интересно, что в разных зонах мантии ацинусы в различной степени зрелости: есть и готовые к вымету и находящиеся на стадии размножения сперматоцитов.</t>
  </si>
  <si>
    <t>ВЕС_39</t>
  </si>
  <si>
    <t>VES_39</t>
  </si>
  <si>
    <t>Неопластических базофилов очень много в мантии, они образуют как плотные скопления, так и находятся в пустотах-лакунах; много везикулярных клеток; ацинусы трудно различимы, в них даже нет гониальных клеток, в просвете ацинусов пустое пространство, иногда видны гранулярные гемоциты, пол невозможно определить</t>
  </si>
  <si>
    <t>ВЕС_51</t>
  </si>
  <si>
    <t>VES_51</t>
  </si>
  <si>
    <t>Неопластических базофилов немного в мантии, небольшие скопления между адипогранулярных клеток; много везикулярных клеток; ацинусы трудно различимы, в них даже нет гониальных клеток, в просвете ацинусов пустое пространство, иногда видны гранулярные гемоциты, пол невозможно определить</t>
  </si>
  <si>
    <t>ВЕС_144</t>
  </si>
  <si>
    <t>VES_144</t>
  </si>
  <si>
    <t>Неопластических базофилов нет мантии, ацинусы заполнены сперматоцитами и немного спермиями, на срезах лишь небольшой фрагмент гонад</t>
  </si>
  <si>
    <t>ВЕС_148</t>
  </si>
  <si>
    <t>VES_148</t>
  </si>
  <si>
    <t>Мантия сплошь заполнена неопластическими базофилами, даже адипогранулярных клеток практически не видно, ацинусы плохо различимы, сплющены, в ацинусах присутствуют в небольшом количестве гранулоциты и совсем немного сперматид и спермиев</t>
  </si>
  <si>
    <t>BTN_1_or_2</t>
  </si>
  <si>
    <t>BTN</t>
  </si>
  <si>
    <t>есть признаки неоплазии</t>
  </si>
  <si>
    <t>Aneuploidy_n</t>
  </si>
  <si>
    <t>Коментарий Фроловой</t>
  </si>
  <si>
    <t>примечание</t>
  </si>
  <si>
    <t>sex</t>
  </si>
  <si>
    <t>пол</t>
  </si>
  <si>
    <t>снята гистология</t>
  </si>
  <si>
    <t>КАР_В28</t>
  </si>
  <si>
    <t>KAR_V28</t>
  </si>
  <si>
    <t>NA</t>
  </si>
  <si>
    <t>?</t>
  </si>
  <si>
    <t>нет стекла</t>
  </si>
  <si>
    <t>не снят, нет препарата</t>
  </si>
  <si>
    <t>ЖЕМ_В21</t>
  </si>
  <si>
    <t>JEM_V21</t>
  </si>
  <si>
    <t>нет срезов</t>
  </si>
  <si>
    <t>нет препарата</t>
  </si>
  <si>
    <t>ВЕС_81</t>
  </si>
  <si>
    <t>VES_81</t>
  </si>
  <si>
    <t>BTN2.2/BTN1 ?</t>
  </si>
  <si>
    <t>yes</t>
  </si>
  <si>
    <t>П.ж. - в соед. Ткани немного базоф. Клеток (как №1), но но есть крупные скопления эозинофилов в соед. Ткани между трубочками и протоками, а также в просвете трубочек. Мантия – небольшие скопления эозинофилов. Жабры – в некоторых участках скопления базофильных клеток как в №1.</t>
  </si>
  <si>
    <t>крупные базофилы, много эозинофилов, скопления в разных местах</t>
  </si>
  <si>
    <t>ТИХ_В14</t>
  </si>
  <si>
    <t>TIH_V14</t>
  </si>
  <si>
    <t>BTN2.1/BTN1 ?</t>
  </si>
  <si>
    <t>В п.ж., жабрах, мантии не очень много базоф.кл.</t>
  </si>
  <si>
    <t>Ошибка: два стекла №44 разного пола, скорее всего №44.1 повтор для №43 (промеры TIH_V14(wrong)), №44.2 – правильное стекло (промеры TIH_V14)</t>
  </si>
  <si>
    <t>44.1 – самка, базофилов немного, митозы редко, клетки крупные, цитоплазмы много; 44.2 – самец, базофилы крупные, митозов мало, цитоплазмы много, ядра круглые; скорее всего 44.1 на самом деле 43</t>
  </si>
  <si>
    <t>ЖЕМ_А4</t>
  </si>
  <si>
    <t>JEM_A4</t>
  </si>
  <si>
    <t>BTN1/BTN2.1 ?</t>
  </si>
  <si>
    <t>П.ж., жабры, мантия – очень плотно соединительная ткань заполнена базофильными клетками (№1), среди них немало эозинофильных клеток.</t>
  </si>
  <si>
    <t>хз (ж?)</t>
  </si>
  <si>
    <t>хз</t>
  </si>
  <si>
    <t>крупные базофилы, но немного, много цитоплазмы у базофилов, базофилы часто не круглые, а каплевидные, есть скопления эозинофилов</t>
  </si>
  <si>
    <t>~норма</t>
  </si>
  <si>
    <t>базофилов скорее некрупных  мало, митозов нет</t>
  </si>
  <si>
    <t>BTN1-F</t>
  </si>
  <si>
    <t>посчитано</t>
  </si>
  <si>
    <t>П.ж. - небольшие скопления базоф клеток (как в №1), жабры и мантия в норме</t>
  </si>
  <si>
    <t>скорее крупные базофилы</t>
  </si>
  <si>
    <t>П.ж., жабры, мантия – тоже самое</t>
  </si>
  <si>
    <t>базофилов не много, они скорее некрупные, митозов мало</t>
  </si>
  <si>
    <t>То же самое, но в меньшей степени</t>
  </si>
  <si>
    <t>рак с гаметами</t>
  </si>
  <si>
    <t>скорее мелкие базофилы без цитоплазмы</t>
  </si>
  <si>
    <t>не слишком много скорее крупных (разных) базофилов, часто гексагональных, митозов немного, цитоплазмы много, ядра неправильной формы</t>
  </si>
  <si>
    <t>довольно много баз.кл. В соед. Ткани п.ж., жабрах, мантии</t>
  </si>
  <si>
    <t>базофилы скорее некрупные, цитоплазмы неочень много, много эозинофилов среди базофилов, встречаются предположительно ювенилы (ядра крупнее эозинофильных)</t>
  </si>
  <si>
    <t>То же самое</t>
  </si>
  <si>
    <t>неверный масштаб снимков</t>
  </si>
  <si>
    <t>базофилов мало, митозов нет</t>
  </si>
  <si>
    <t>BTN1-M</t>
  </si>
  <si>
    <t>В мантии и жабрах в соед. Ткани большое количество эозинофильных клеток. В п.ж. немного базофильных и эозинофильных клеток.</t>
  </si>
  <si>
    <t>есть немного скорее мелких базофилов, митозы очень редко</t>
  </si>
  <si>
    <t>Норма?</t>
  </si>
  <si>
    <t>очень мало базофилов (эозинофилов и то больше) в редких очагах в мантии, базофилы крупные, с большим объемом цитоплазмы, есть митозы. Базофилы есть в протоках гонад среди сперматозоидов.</t>
  </si>
  <si>
    <t>П.ж., жабры, мантия – норма</t>
  </si>
  <si>
    <t>почти норма, есть скопления эозинофилов (в основном в жабрах), базофилы редко попадаются</t>
  </si>
  <si>
    <t>П.ж., жабры. Норма, но в жабрах "вздутия" как в №7</t>
  </si>
  <si>
    <t>Есть немного базофилов</t>
  </si>
  <si>
    <t>посчитано, но на срезах слишком маленький кусочек мантии</t>
  </si>
  <si>
    <t>Норма, п.ж., жабры (необычные "вздутия" на некоторых участках нитей), мантия</t>
  </si>
  <si>
    <t>снять еще</t>
  </si>
  <si>
    <t>норма. Базофилы (очень мало) с мелкими ядрами</t>
  </si>
  <si>
    <t>П.ж., жабры, мантия – скопления базоф. кл. (как в №1) и немного эозиноф., хороший препарат</t>
  </si>
  <si>
    <t>крупные базофилы в жабрах</t>
  </si>
  <si>
    <t>не очень много в п.ж., жабрах, мантии</t>
  </si>
  <si>
    <t>скорее некрупные (примерно как в 46) базофилы, в цитоплазме есть светлые вакуоли, митозы редко, в мышцах тоже есть базофилы</t>
  </si>
  <si>
    <t>Жабры, мантия как и №1, нет срезов п.ж.</t>
  </si>
  <si>
    <t>то же самое, но менее плотно располагаются клетки</t>
  </si>
  <si>
    <t xml:space="preserve">базофилы скорее некрупные </t>
  </si>
  <si>
    <t>очень много баз.кл. В жабрах, мантии, немного в п.ж., оч.много в мышце</t>
  </si>
  <si>
    <t>скорее некрупные базофилы, митозы редко, базофилы есть в мышцах</t>
  </si>
  <si>
    <t>К23_8</t>
  </si>
  <si>
    <t>K23_8</t>
  </si>
  <si>
    <t>п.ж. - небольшое количество в соед.ткани, базоф.клетки с  круглым, плотным, крупным ядром. Небольшой участокм мантии с плотными скоплениями д.быть эозиноф.клеток. Жабры  - немного базоф.клеток с плотным крупным ядром и эозинофильных кл. 2. П.ж., жабры то же самое, и есть округлые образования, выпуклые из эпителия с плотнорасположенными непонятными клетками. Мантия – эоз. И базоф.клетки образуют скопления и врозь</t>
  </si>
  <si>
    <t>72.1 - немного мелких базофилов, есть митозы; 72.2 – немного мелких базофилов, видимо в гонадах ацинусы пустые</t>
  </si>
  <si>
    <t>BTN1-x3</t>
  </si>
  <si>
    <t>Много мелких базофилов, бывают двухядерные, митозы единично (очень редко). Эозинофилов очень мало</t>
  </si>
  <si>
    <t>ОН_Б30</t>
  </si>
  <si>
    <t>ON_B30</t>
  </si>
  <si>
    <t>п.ж. нет на срезах, небольшой участок мантии забит базоф.клетками.  В жабрах очень много базоф. Клеток</t>
  </si>
  <si>
    <t>много скорее мелких базофилов, есть митозы</t>
  </si>
  <si>
    <t>---</t>
  </si>
  <si>
    <t>ТИХ_А10</t>
  </si>
  <si>
    <t>TIH_A10</t>
  </si>
  <si>
    <t>П.ж. - соед. Ткань между трубочками заполнена базофильными клетками (как в №1), эозинофилы тоже есть. Жабры – в основании много базофилов. Мантия – заполнена базофилами и эозинофилами.</t>
  </si>
  <si>
    <t>мелкие базофилы, есть митозы</t>
  </si>
  <si>
    <t>ТИХ_В5</t>
  </si>
  <si>
    <t>TIH_V5</t>
  </si>
  <si>
    <t>Препарат плохой, особенножабры</t>
  </si>
  <si>
    <t>базофилы скорее некрупные,  паразиты? Митозов нет, эозинофилов очень мало</t>
  </si>
  <si>
    <t>ОЛА_Б11</t>
  </si>
  <si>
    <t>OLA_B11</t>
  </si>
  <si>
    <t>В мантии много базоф.клеток, но еще больше эозинофильных, которые образуют плотные скопления (похоже на синцитий). В жабрах очень много базоф.кл. В п.ж. немного базоф.клеток (маленький участок)</t>
  </si>
  <si>
    <t>супер рак</t>
  </si>
  <si>
    <t>много мелких базофилов, митозов нет, практически нет эозинофилов</t>
  </si>
  <si>
    <t>ЖЕМ_В23</t>
  </si>
  <si>
    <t>JEM_V23</t>
  </si>
  <si>
    <t>скорее всего самка, много некрупных базофилов (мало цитоплазмы), митозы очень редкие</t>
  </si>
  <si>
    <t>ВЕС_80</t>
  </si>
  <si>
    <t>VES_80</t>
  </si>
  <si>
    <t>BTN1_Am</t>
  </si>
  <si>
    <t>Есть только жабры. В сохранившихся участках жабер плотные скопления базофильных клеток в соед. Ткани. Как в №1</t>
  </si>
  <si>
    <t>ошибка: не те файлы (51)?</t>
  </si>
  <si>
    <t>мелкие базофилы в жабрах,</t>
  </si>
  <si>
    <t>ТИХ_А21</t>
  </si>
  <si>
    <t>TIH_A21</t>
  </si>
  <si>
    <t>П.ж., жабры, мантия, ротовая лопасть – как №1, но в меньшей степени</t>
  </si>
  <si>
    <t>крупные базофилы даже в мышцах, гонад нет</t>
  </si>
  <si>
    <t>П.ж., жабры, мантия – то же самое. В мантии меньше.</t>
  </si>
  <si>
    <t>базофилов не много, они скорее некрупные, митозы единичные</t>
  </si>
  <si>
    <t>BTN2-F</t>
  </si>
  <si>
    <t>П.ж., жабры, мантия – в соед. Ткани содержатся базофильные клетки, но не "гипер"</t>
  </si>
  <si>
    <t>много (или нет?) базофилов, много митозов (меньше чем в 38), базофилы скорее крупные, цитоплазмы мало, базофилы неравномерно распределены, есть и скопления плотные</t>
  </si>
  <si>
    <t>Плохо сохранен материал. П.ж., жабры, небольшой участок мантии. В мантии небольшие скопления эозинофилов, по видимому, была норма</t>
  </si>
  <si>
    <t>переснять и перемерить</t>
  </si>
  <si>
    <t>норма? Паразиты? (голубые базофильные нити) грибы?, единичные базофилы</t>
  </si>
  <si>
    <t>посчитано, но плохой препарат</t>
  </si>
  <si>
    <t>Жабры, мантия – то же самое, п.ж. нет на срезах</t>
  </si>
  <si>
    <t>базофилы скорее крупные, митозов нет</t>
  </si>
  <si>
    <t>п.ж. - забита базоф.кл, сравнительно много митозов. Жабры и мантия – очень много базоф.клеток.</t>
  </si>
  <si>
    <t>много скорее крупных базофилов, есть митозы</t>
  </si>
  <si>
    <t>Жабры и мантия, в которых больше скопления эозинофилов и менее базофильных клеток как №1</t>
  </si>
  <si>
    <t>много эозинофилов, крупные базофилы, есть митозы много</t>
  </si>
  <si>
    <t>То же самое, на этих препаратах есть митозы</t>
  </si>
  <si>
    <t>много скорее некрупных базофилов (мало цитоплазмы), есть митозы, встретилась двухядерная клетка</t>
  </si>
  <si>
    <t xml:space="preserve">П.ж., жабры и мантия забиты баз.клетками </t>
  </si>
  <si>
    <t>умерла от рака</t>
  </si>
  <si>
    <t>много скорее некрупных базофилов, цитоплазмы мало, есть митозы</t>
  </si>
  <si>
    <t>п.ж. с большим скоплением базоф. кл. На некоторых участках соед.ткани плотно ими забита. В жабрах – базофильные и эозиноф.клетки (много). Мантия – без скоплений, по краю скопления баз.клеток</t>
  </si>
  <si>
    <t>рак с кр кл ранняя стадия</t>
  </si>
  <si>
    <t>не очень много скорее некрупных базофилов (но есть и крупные), с относительно большим объемом цитоплазмы, базофилы локализованы очень неравномрно</t>
  </si>
  <si>
    <t>BTN2-M</t>
  </si>
  <si>
    <t>Мантия – в соед.ткани базоф.кл. С круглым крупным ядром, есть скопления из эозиноф.клеток. Вэтих скоплениях клетки располагаются плотно друг к другу, ядра в них разной величины, в наиболее крупных ядрах видно ядрышко и хроматиновые глыбки. Встречаются митозы в соед. Ткани. Жабры – то же самое. П.ж. - забита этими клетками, больше эозинофильных.</t>
  </si>
  <si>
    <t>мелкие базофилы (немного), много эозинофилов, есть митозы (редко)</t>
  </si>
  <si>
    <t>В п.ж., жабрах, мантии очень много эозинофильных и базофильных клеток.</t>
  </si>
  <si>
    <t>много скорее мелких базофилов, есть скопления эозинофилов, есть митозы</t>
  </si>
  <si>
    <t>Мантия заполнена базоф. И эоз.клетками. Сравнительно много митозов. Жабры – то же, что и мантия. Также и п.ж.</t>
  </si>
  <si>
    <t>много базофилов (разные), скорее крупные, много цитоплазмы, много митозов</t>
  </si>
  <si>
    <t>К23_43</t>
  </si>
  <si>
    <t>K23_43</t>
  </si>
  <si>
    <t>П.ж., жабры, мантия. В соед тканимного базоф.клеток (но не столько как у у забитых этими клетками особей)</t>
  </si>
  <si>
    <t>П.ж. - крупные базофилы, много цитоплазмы, базофилов не много, митозы единичные. Мантия – крупные базофилы, митозы редко. Жабры – базофилы крупные, цитоплазмы много. (з стекла было)</t>
  </si>
  <si>
    <t>BTN2-x3</t>
  </si>
  <si>
    <t>К23_49</t>
  </si>
  <si>
    <t>K23_49</t>
  </si>
  <si>
    <t>Может быть самка?  Базофилов немного, митозов нет, базофилы не очень крупные, базофилы часто неправильной формы, плохо видна граница ядра</t>
  </si>
  <si>
    <t>много крупных базофилов, митозы очень редкие</t>
  </si>
  <si>
    <t>МАР2_В21</t>
  </si>
  <si>
    <t>MAR-II_V21</t>
  </si>
  <si>
    <t>П.ж., жабры, мантия – забиты базоф. Клетками</t>
  </si>
  <si>
    <t>много скорее некрупных базофилов (мало цитоплазмы), много митозов. Может быть самка?</t>
  </si>
  <si>
    <t>СВ_В3</t>
  </si>
  <si>
    <t>SV_V3</t>
  </si>
  <si>
    <t>хороший препарат, в п.ж., жабрах, мантии (небольшой участок) соед.ткань плотно забита базоф.клетками, можно рассмотреть структуру ядер, встречаются митозы. Всоед. Ткани мантии много эозинофилов</t>
  </si>
  <si>
    <t>много крупных базофилов, цитоплазмы много, есть много митозов</t>
  </si>
  <si>
    <t>ХОЛ_Г24</t>
  </si>
  <si>
    <t>HOL_G24</t>
  </si>
  <si>
    <t>П.ж. - мощное заполнение базофилами и эозинофилами. Мантия и жабры тоже заполнены этими клетками.</t>
  </si>
  <si>
    <t>крупные базофилы, есть митозы</t>
  </si>
  <si>
    <t>ПОРТ_А30</t>
  </si>
  <si>
    <t>PORT_A30</t>
  </si>
  <si>
    <t>П.ж. - есть скопления базофильных клеток, как №1 с примесью эозинофильных. В жабрах и мантии тоже.</t>
  </si>
  <si>
    <t>крупные базофилы, есть митозы, единичные двуядерные</t>
  </si>
  <si>
    <t>ОН_А20</t>
  </si>
  <si>
    <t>ON_A20</t>
  </si>
  <si>
    <t>П.ж. - между трубочками заполнена базоф. Клетками (№1), Ж. И мантии – нет.</t>
  </si>
  <si>
    <t>крупные базофилы между ацинусами</t>
  </si>
  <si>
    <t>П.ж., жабры и мантия забиты баз.клетками с разными ядрами: плотными плотными крупными и с хорошо видимой структурой. Встречаются эозинофилы (немного), встречаются митозы</t>
  </si>
  <si>
    <t>очень много базофилов (скорее некрупных), но есть и отдельные крупные (разные размеры), эозинофилов практически нет</t>
  </si>
  <si>
    <t>МАМ_А4</t>
  </si>
  <si>
    <t>MAM_A4</t>
  </si>
  <si>
    <t>32.1. В п.ж., мантии и жабрах мощные, плотные скопления базофильных клеток. (№1)</t>
  </si>
  <si>
    <t>могут быть перепутаны – 32</t>
  </si>
  <si>
    <t>очень много крупных базофилов, есть митозы</t>
  </si>
  <si>
    <t>хороший препарат, можно рассмотреть морфологию разных клеток с плотным и менее плотным ядром и др. Виды клеток. В мантии, жабрах много, но значительно реже расположены базофильные клетки (в №1 они заполняют всю соед. Ткань), в п.ж. их нет.</t>
  </si>
  <si>
    <t>Скорее круплые базофилы (цитоплазма выражена), есть митозы, двуядерные?</t>
  </si>
  <si>
    <t>ХОЛ_В21</t>
  </si>
  <si>
    <t>HOL_V21</t>
  </si>
  <si>
    <t>П.ж. забита базоф.кл. И эозиноф. В жабрах и мантии тоже очень много</t>
  </si>
  <si>
    <t>крупные базофилы, цитоплазмы много, есть митозы, в скопленях клетки гексагональные, есть скопления эозинофилов</t>
  </si>
  <si>
    <t>ОЛА_Б19</t>
  </si>
  <si>
    <t>OLA_B19</t>
  </si>
  <si>
    <t>П.ж., жабры, мантия, хороший препарат – можно рассмотреть морфологию</t>
  </si>
  <si>
    <t>рак с пузырями</t>
  </si>
  <si>
    <t>разные базофилы, есть многоядерные много, есть сегментоядерные – апоптоз?, есть фагоцитоз, нет митозов, участки инфильтрации эозинофилами, странные многоядерные штуки (фагоцитоз?)</t>
  </si>
  <si>
    <t>НЮК_В31</t>
  </si>
  <si>
    <t>NUK_V31</t>
  </si>
  <si>
    <t>В п.ж. есть базоф. Клетки, но не так много как в №33. Мантии и жабер нет.</t>
  </si>
  <si>
    <t>базофилов немного, крупные базофилы, есть митозы, нет гонад</t>
  </si>
  <si>
    <t>П.ж., жабры, мантия сильно забиты базоф. Клетками, как в №1</t>
  </si>
  <si>
    <t>крупные базофилы, есть митозы, единичные двуядерные, странные выпячивания цитоплазмы базофилов</t>
  </si>
  <si>
    <t>В п.ж., жабрах и мантии очень! Плотно заполнена соед. Ткань базофил. кл. (№1), среди них видны эозинофилы</t>
  </si>
  <si>
    <t>хз (м?)</t>
  </si>
  <si>
    <t>крупные базофилы, есть митозы, есть выпячивания цитоплазмы у базо- и эозинофилов</t>
  </si>
  <si>
    <t>ВЕС_2</t>
  </si>
  <si>
    <t>VES_2</t>
  </si>
  <si>
    <t>Норма. Материал плохо зафиксирован. П.ж., жабры, мантия.</t>
  </si>
  <si>
    <t>Мало базофилов, митозы есть, пузыри</t>
  </si>
  <si>
    <t>на срезах слишком маленький кусочек мантии</t>
  </si>
  <si>
    <t>ОЛА_Б22</t>
  </si>
  <si>
    <t>OLA_B22</t>
  </si>
  <si>
    <t>П.ж. - норма, жабер и мантии нет</t>
  </si>
  <si>
    <t>пж: есть эозинофилы, редко базофилы, прозрачные пузыри – паразиты? Есть двухъядерные гемоциты</t>
  </si>
  <si>
    <t>ВЕС_9</t>
  </si>
  <si>
    <t>VES_9</t>
  </si>
  <si>
    <t>на срезах есть жабры, То же, что и №1</t>
  </si>
  <si>
    <t>Не 59</t>
  </si>
  <si>
    <t>Скорее круплые базофилы</t>
  </si>
  <si>
    <t>ХОЛ_Г21</t>
  </si>
  <si>
    <t>HOL_G21</t>
  </si>
  <si>
    <t>П.ж., жабры, мантия, ротовая лопасть "забиты" темными базофильными клетками с круглым и овальным ядром. Ядро очень плотное, структура ядра не видна. Цитоплазмы немного. Между этими клетками находятся эозинофильные (слабо окрашены эозином) с мелким круглым ядром.</t>
  </si>
  <si>
    <t>Норма. П.ж.,мантия и жабры.</t>
  </si>
  <si>
    <t>норма, только скопления эозинофилов</t>
  </si>
  <si>
    <t>noBTN-F</t>
  </si>
  <si>
    <t>unknown</t>
  </si>
  <si>
    <t>П.ж. - в просветах желудка, некоторых трубочек, к – ка, протоках – скопления базофильных клеток (№1) и реже эозинофильных. Жабры, мантия – норма</t>
  </si>
  <si>
    <t>базофилы скорее мелкие в основном в плотных скоплениях, полунорма?</t>
  </si>
  <si>
    <t>посчитано, базофилы в скоплениях внутри трубочек пвж, ацинусы маленькие, с превителогенными ооцитами</t>
  </si>
  <si>
    <t>П.ж. в норме. В мантии немного базоф кл., а в жабрах значительное количество.</t>
  </si>
  <si>
    <t>норма? В жабрах много мелких базофилов, которые больше похожи на ювенилов с мелким ядром</t>
  </si>
  <si>
    <t>П.ж., мантия – норма. Вжабрах очень много эозиноф.клеток с мелкими ядрами.</t>
  </si>
  <si>
    <t>скорее всего норма, много эозинофилов в жабрах и много мелких базофилов с мелкими ядрами (скорее всего это ювенилы), п.ж. и гонады – норма</t>
  </si>
  <si>
    <t>П.ж., жабры, мантия – норма.</t>
  </si>
  <si>
    <t>Норма. Не снят</t>
  </si>
  <si>
    <t>Мантия – норма. п.ж. и жабер нет на срезах.</t>
  </si>
  <si>
    <t>Гермафродит?</t>
  </si>
  <si>
    <t>Норма. не снят. Не гермафродит</t>
  </si>
  <si>
    <t>1.п.ж. - норма, в мантии и жабрах, по моему больше, чем обычно эозиноф.клеток. 2. есть только мантия, в которой скопления эозиноф.клеток</t>
  </si>
  <si>
    <t>Норма. Есть только маленькие базофилы с маленьким ядром (ювенилы?) Гонады – базофилов нет, но есть скопления эозинофилов, много ооцитов разного размера, в т.ч. маленьких.</t>
  </si>
  <si>
    <t>Мантия с большим скоплением эоз. И базофильных клеток</t>
  </si>
  <si>
    <t>noBTN-M</t>
  </si>
  <si>
    <t>посчитано, на срезах сильная неоплазия</t>
  </si>
  <si>
    <t>П.ж., жабры, мантия – норма, немного скоплений эозинофилов между мужскими ацинусами.</t>
  </si>
  <si>
    <t>норма, только эозинофилы</t>
  </si>
  <si>
    <t>32.2, п.ж., мантия, жабры – норма</t>
  </si>
  <si>
    <t>мало базофилов, митозов нет, (между ацинусами гонад)</t>
  </si>
  <si>
    <t>ОЛА_А25</t>
  </si>
  <si>
    <t>OLA_A25</t>
  </si>
  <si>
    <t>рак круг кл агрегировались</t>
  </si>
  <si>
    <t>скорее всего норма, есть только мелкие базофилы с мелкими ядрами (скорее всего ювенильные)</t>
  </si>
  <si>
    <t>гонад мало на срезах</t>
  </si>
  <si>
    <t>слабый рак, засер спермиями</t>
  </si>
  <si>
    <t>Норма, немного эозинофилов и возможно ювенилов</t>
  </si>
  <si>
    <t>То же самое, кроме жабер?</t>
  </si>
  <si>
    <t>норма, эозинофилы и ювенилы немного</t>
  </si>
  <si>
    <t>то же самое</t>
  </si>
  <si>
    <t>В п.ж. единичные базоф.клетки, но вокруг желудка – скопления.</t>
  </si>
  <si>
    <t>круг кл в мантии но не в гонадах</t>
  </si>
  <si>
    <t>Почему-то мало снимков, скорее норма, базофилы часто двуядерные. Крупные клетки в мантии – скорее всего сперматоциты первого порядка, в ацинусах сперматозоидов очень мало, но зона сперматоцитов очень большая. Кроме того, попадаются 2х и 3х ядерные клетки. Может быть нарушение гаметогенеза? Или гонадный рак (но нет митозов)</t>
  </si>
  <si>
    <t>ВЕС_32</t>
  </si>
  <si>
    <t>VES_32</t>
  </si>
  <si>
    <t>strange</t>
  </si>
  <si>
    <t>Плохо сохранен материал, особенно п.ж, Похоже норма.</t>
  </si>
  <si>
    <t>плохой препарат, норма? Есть участок с мелкими базофилами паразиты?</t>
  </si>
  <si>
    <t>ВЕС_72</t>
  </si>
  <si>
    <t>VES_72</t>
  </si>
  <si>
    <t>?no</t>
  </si>
  <si>
    <t>По-моему, не профиксирован материал испорчен. Но видно, что так же как и №1, "забит" клетками с круглым плотным ядром</t>
  </si>
  <si>
    <t>Плохой препарат. Очень много скорее некрупных базофилов, митозы неразличимы (двуядерные?) Хроматин не различим совсем</t>
  </si>
  <si>
    <t>ВЕС_150</t>
  </si>
  <si>
    <t>VES_150</t>
  </si>
  <si>
    <t>П.ж., небольшой участок жабер – как и №1</t>
  </si>
  <si>
    <t>много мелких базофилов, пузыри единичные</t>
  </si>
  <si>
    <t>ВЕС_16</t>
  </si>
  <si>
    <t>VES_16</t>
  </si>
  <si>
    <t>Материал испорчен, скорее всего была норма.</t>
  </si>
  <si>
    <t>плохой препарат, не снят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</si>
</sst>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32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11"/>
      <color rgb="FFC00000"/>
      <name val="Calibri"/>
      <charset val="134"/>
    </font>
    <font>
      <sz val="10"/>
      <color rgb="FFC00000"/>
      <name val="Arial"/>
      <charset val="134"/>
    </font>
    <font>
      <sz val="11"/>
      <name val="Calibri"/>
      <charset val="204"/>
    </font>
    <font>
      <sz val="10"/>
      <color rgb="FFC9211E"/>
      <name val="Arial"/>
      <charset val="134"/>
    </font>
    <font>
      <sz val="10"/>
      <color rgb="FFFF8000"/>
      <name val="Arial"/>
      <charset val="134"/>
    </font>
    <font>
      <sz val="11"/>
      <color theme="1"/>
      <name val="Calibri"/>
      <charset val="204"/>
    </font>
    <font>
      <b/>
      <sz val="11"/>
      <color rgb="FFC00000"/>
      <name val="Calibri"/>
      <charset val="134"/>
    </font>
    <font>
      <sz val="11"/>
      <name val="Calibri"/>
      <charset val="204"/>
      <scheme val="minor"/>
    </font>
    <font>
      <sz val="11"/>
      <color theme="1"/>
      <name val="Calibri"/>
      <charset val="204"/>
      <scheme val="minor"/>
    </font>
    <font>
      <b/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rgb="FFFEF2CB"/>
      </patternFill>
    </fill>
    <fill>
      <patternFill patternType="solid">
        <fgColor theme="9"/>
        <bgColor rgb="FF6AA84F"/>
      </patternFill>
    </fill>
    <fill>
      <patternFill patternType="solid">
        <fgColor theme="9"/>
        <bgColor rgb="FFFCE5CD"/>
      </patternFill>
    </fill>
    <fill>
      <patternFill patternType="solid">
        <fgColor theme="9"/>
        <bgColor rgb="FF92D050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FCE5CD"/>
        <bgColor rgb="FFFCE5CD"/>
      </patternFill>
    </fill>
    <fill>
      <patternFill patternType="solid">
        <fgColor theme="9"/>
        <bgColor rgb="FFF6B26B"/>
      </patternFill>
    </fill>
    <fill>
      <patternFill patternType="solid">
        <fgColor rgb="FF92D050"/>
        <bgColor rgb="FFFFFF00"/>
      </patternFill>
    </fill>
    <fill>
      <patternFill patternType="solid">
        <fgColor rgb="FFFFC6C6"/>
        <bgColor rgb="FFFFC6C6"/>
      </patternFill>
    </fill>
    <fill>
      <patternFill patternType="solid">
        <fgColor rgb="FFC5D3FF"/>
        <bgColor rgb="FFC5D3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F4B083"/>
        <bgColor rgb="FFF4B083"/>
      </patternFill>
    </fill>
    <fill>
      <patternFill patternType="solid">
        <fgColor rgb="FFA3DBFF"/>
        <bgColor rgb="FFA3DBFF"/>
      </patternFill>
    </fill>
    <fill>
      <patternFill patternType="solid">
        <fgColor rgb="FFA5A5A5"/>
        <bgColor rgb="FFA5A5A5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  <fill>
      <patternFill patternType="solid">
        <fgColor rgb="FFDC3939"/>
        <bgColor rgb="FFDC3939"/>
      </patternFill>
    </fill>
    <fill>
      <patternFill patternType="solid">
        <fgColor rgb="FF227ACB"/>
        <bgColor rgb="FF227ACB"/>
      </patternFill>
    </fill>
    <fill>
      <patternFill patternType="solid">
        <fgColor rgb="FFFFD7D7"/>
        <bgColor rgb="FFFFD7D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7" borderId="1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28" borderId="14" applyNumberFormat="0" applyAlignment="0" applyProtection="0">
      <alignment vertical="center"/>
    </xf>
    <xf numFmtId="0" fontId="22" fillId="29" borderId="15" applyNumberFormat="0" applyAlignment="0" applyProtection="0">
      <alignment vertical="center"/>
    </xf>
    <xf numFmtId="0" fontId="23" fillId="29" borderId="14" applyNumberFormat="0" applyAlignment="0" applyProtection="0">
      <alignment vertical="center"/>
    </xf>
    <xf numFmtId="0" fontId="24" fillId="30" borderId="16" applyNumberFormat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1" fillId="48" borderId="0" applyNumberFormat="0" applyBorder="0" applyAlignment="0" applyProtection="0">
      <alignment vertical="center"/>
    </xf>
    <xf numFmtId="0" fontId="30" fillId="49" borderId="0" applyNumberFormat="0" applyBorder="0" applyAlignment="0" applyProtection="0">
      <alignment vertical="center"/>
    </xf>
    <xf numFmtId="0" fontId="30" fillId="50" borderId="0" applyNumberFormat="0" applyBorder="0" applyAlignment="0" applyProtection="0">
      <alignment vertical="center"/>
    </xf>
    <xf numFmtId="0" fontId="31" fillId="51" borderId="0" applyNumberFormat="0" applyBorder="0" applyAlignment="0" applyProtection="0">
      <alignment vertical="center"/>
    </xf>
    <xf numFmtId="0" fontId="31" fillId="52" borderId="0" applyNumberFormat="0" applyBorder="0" applyAlignment="0" applyProtection="0">
      <alignment vertical="center"/>
    </xf>
    <xf numFmtId="0" fontId="30" fillId="53" borderId="0" applyNumberFormat="0" applyBorder="0" applyAlignment="0" applyProtection="0">
      <alignment vertical="center"/>
    </xf>
    <xf numFmtId="0" fontId="30" fillId="54" borderId="0" applyNumberFormat="0" applyBorder="0" applyAlignment="0" applyProtection="0">
      <alignment vertical="center"/>
    </xf>
    <xf numFmtId="0" fontId="31" fillId="55" borderId="0" applyNumberFormat="0" applyBorder="0" applyAlignment="0" applyProtection="0">
      <alignment vertical="center"/>
    </xf>
    <xf numFmtId="0" fontId="31" fillId="56" borderId="0" applyNumberFormat="0" applyBorder="0" applyAlignment="0" applyProtection="0">
      <alignment vertical="center"/>
    </xf>
    <xf numFmtId="0" fontId="30" fillId="57" borderId="0" applyNumberFormat="0" applyBorder="0" applyAlignment="0" applyProtection="0">
      <alignment vertical="center"/>
    </xf>
  </cellStyleXfs>
  <cellXfs count="102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0" borderId="2" xfId="0" applyFont="1" applyBorder="1"/>
    <xf numFmtId="0" fontId="2" fillId="0" borderId="2" xfId="0" applyFont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0" borderId="5" xfId="0" applyFont="1" applyBorder="1"/>
    <xf numFmtId="0" fontId="2" fillId="0" borderId="5" xfId="0" applyFont="1" applyBorder="1" applyAlignment="1">
      <alignment wrapText="1"/>
    </xf>
    <xf numFmtId="0" fontId="1" fillId="4" borderId="1" xfId="0" applyFont="1" applyFill="1" applyBorder="1"/>
    <xf numFmtId="0" fontId="1" fillId="5" borderId="3" xfId="0" applyFont="1" applyFill="1" applyBorder="1"/>
    <xf numFmtId="0" fontId="1" fillId="6" borderId="3" xfId="0" applyFont="1" applyFill="1" applyBorder="1"/>
    <xf numFmtId="0" fontId="1" fillId="7" borderId="3" xfId="0" applyFont="1" applyFill="1" applyBorder="1"/>
    <xf numFmtId="0" fontId="1" fillId="8" borderId="3" xfId="0" applyFont="1" applyFill="1" applyBorder="1"/>
    <xf numFmtId="0" fontId="1" fillId="2" borderId="3" xfId="0" applyFont="1" applyFill="1" applyBorder="1"/>
    <xf numFmtId="0" fontId="1" fillId="7" borderId="4" xfId="0" applyFont="1" applyFill="1" applyBorder="1"/>
    <xf numFmtId="0" fontId="3" fillId="0" borderId="0" xfId="0" applyFont="1"/>
    <xf numFmtId="0" fontId="4" fillId="0" borderId="0" xfId="0" applyFont="1" applyAlignment="1">
      <alignment wrapText="1"/>
    </xf>
    <xf numFmtId="0" fontId="1" fillId="9" borderId="1" xfId="0" applyFont="1" applyFill="1" applyBorder="1"/>
    <xf numFmtId="0" fontId="1" fillId="10" borderId="3" xfId="0" applyFont="1" applyFill="1" applyBorder="1"/>
    <xf numFmtId="0" fontId="1" fillId="0" borderId="3" xfId="0" applyFont="1" applyBorder="1"/>
    <xf numFmtId="0" fontId="1" fillId="0" borderId="4" xfId="0" applyFont="1" applyBorder="1"/>
    <xf numFmtId="0" fontId="5" fillId="3" borderId="1" xfId="0" applyFont="1" applyFill="1" applyBorder="1"/>
    <xf numFmtId="0" fontId="5" fillId="11" borderId="3" xfId="0" applyFont="1" applyFill="1" applyBorder="1"/>
    <xf numFmtId="0" fontId="5" fillId="8" borderId="3" xfId="0" applyFont="1" applyFill="1" applyBorder="1"/>
    <xf numFmtId="0" fontId="5" fillId="3" borderId="3" xfId="0" applyFont="1" applyFill="1" applyBorder="1"/>
    <xf numFmtId="0" fontId="1" fillId="12" borderId="1" xfId="0" applyFont="1" applyFill="1" applyBorder="1"/>
    <xf numFmtId="0" fontId="1" fillId="9" borderId="3" xfId="0" applyFont="1" applyFill="1" applyBorder="1"/>
    <xf numFmtId="0" fontId="1" fillId="9" borderId="4" xfId="0" applyFont="1" applyFill="1" applyBorder="1"/>
    <xf numFmtId="0" fontId="4" fillId="0" borderId="0" xfId="0" applyFont="1"/>
    <xf numFmtId="0" fontId="1" fillId="6" borderId="1" xfId="0" applyFont="1" applyFill="1" applyBorder="1"/>
    <xf numFmtId="0" fontId="6" fillId="0" borderId="0" xfId="0" applyFont="1" applyAlignment="1">
      <alignment wrapText="1"/>
    </xf>
    <xf numFmtId="0" fontId="1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1" fillId="0" borderId="2" xfId="0" applyFont="1" applyBorder="1" applyAlignment="1">
      <alignment wrapText="1"/>
    </xf>
    <xf numFmtId="0" fontId="1" fillId="13" borderId="6" xfId="0" applyFont="1" applyFill="1" applyBorder="1"/>
    <xf numFmtId="0" fontId="1" fillId="13" borderId="7" xfId="0" applyFont="1" applyFill="1" applyBorder="1"/>
    <xf numFmtId="0" fontId="1" fillId="0" borderId="5" xfId="0" applyFont="1" applyBorder="1" applyAlignment="1">
      <alignment wrapText="1"/>
    </xf>
    <xf numFmtId="0" fontId="1" fillId="13" borderId="8" xfId="0" applyFont="1" applyFill="1" applyBorder="1"/>
    <xf numFmtId="0" fontId="1" fillId="14" borderId="6" xfId="0" applyFont="1" applyFill="1" applyBorder="1"/>
    <xf numFmtId="0" fontId="1" fillId="14" borderId="7" xfId="0" applyFont="1" applyFill="1" applyBorder="1"/>
    <xf numFmtId="0" fontId="8" fillId="15" borderId="0" xfId="0" applyFont="1" applyFill="1"/>
    <xf numFmtId="0" fontId="1" fillId="16" borderId="0" xfId="0" applyFont="1" applyFill="1" applyBorder="1" applyAlignment="1">
      <alignment wrapText="1"/>
    </xf>
    <xf numFmtId="0" fontId="5" fillId="0" borderId="0" xfId="0" applyFont="1"/>
    <xf numFmtId="0" fontId="1" fillId="14" borderId="8" xfId="0" applyFont="1" applyFill="1" applyBorder="1"/>
    <xf numFmtId="0" fontId="3" fillId="0" borderId="0" xfId="0" applyFont="1" applyAlignment="1">
      <alignment wrapText="1"/>
    </xf>
    <xf numFmtId="0" fontId="3" fillId="17" borderId="0" xfId="0" applyFont="1" applyFill="1" applyBorder="1"/>
    <xf numFmtId="0" fontId="1" fillId="17" borderId="6" xfId="0" applyFont="1" applyFill="1" applyBorder="1"/>
    <xf numFmtId="0" fontId="1" fillId="17" borderId="7" xfId="0" applyFont="1" applyFill="1" applyBorder="1"/>
    <xf numFmtId="0" fontId="8" fillId="15" borderId="0" xfId="0" applyFont="1" applyFill="1" applyBorder="1"/>
    <xf numFmtId="0" fontId="1" fillId="17" borderId="8" xfId="0" applyFont="1" applyFill="1" applyBorder="1"/>
    <xf numFmtId="0" fontId="1" fillId="18" borderId="6" xfId="0" applyFont="1" applyFill="1" applyBorder="1" applyAlignment="1">
      <alignment wrapText="1"/>
    </xf>
    <xf numFmtId="0" fontId="1" fillId="18" borderId="7" xfId="0" applyFont="1" applyFill="1" applyBorder="1" applyAlignment="1">
      <alignment wrapText="1"/>
    </xf>
    <xf numFmtId="0" fontId="1" fillId="18" borderId="8" xfId="0" applyFont="1" applyFill="1" applyBorder="1" applyAlignment="1">
      <alignment wrapText="1"/>
    </xf>
    <xf numFmtId="0" fontId="1" fillId="19" borderId="6" xfId="0" applyFont="1" applyFill="1" applyBorder="1" applyAlignment="1">
      <alignment wrapText="1"/>
    </xf>
    <xf numFmtId="0" fontId="1" fillId="19" borderId="7" xfId="0" applyFont="1" applyFill="1" applyBorder="1" applyAlignment="1">
      <alignment wrapText="1"/>
    </xf>
    <xf numFmtId="0" fontId="1" fillId="19" borderId="8" xfId="0" applyFont="1" applyFill="1" applyBorder="1" applyAlignment="1">
      <alignment wrapText="1"/>
    </xf>
    <xf numFmtId="0" fontId="3" fillId="20" borderId="0" xfId="0" applyFont="1" applyFill="1" applyBorder="1"/>
    <xf numFmtId="0" fontId="1" fillId="20" borderId="6" xfId="0" applyFont="1" applyFill="1" applyBorder="1"/>
    <xf numFmtId="0" fontId="1" fillId="20" borderId="7" xfId="0" applyFont="1" applyFill="1" applyBorder="1"/>
    <xf numFmtId="0" fontId="1" fillId="15" borderId="0" xfId="0" applyFont="1" applyFill="1"/>
    <xf numFmtId="0" fontId="1" fillId="20" borderId="8" xfId="0" applyFont="1" applyFill="1" applyBorder="1"/>
    <xf numFmtId="0" fontId="1" fillId="21" borderId="1" xfId="0" applyFont="1" applyFill="1" applyBorder="1"/>
    <xf numFmtId="0" fontId="2" fillId="0" borderId="2" xfId="0" applyFont="1" applyBorder="1"/>
    <xf numFmtId="0" fontId="1" fillId="22" borderId="3" xfId="0" applyFont="1" applyFill="1" applyBorder="1"/>
    <xf numFmtId="0" fontId="9" fillId="0" borderId="0" xfId="0" applyFont="1"/>
    <xf numFmtId="0" fontId="1" fillId="21" borderId="3" xfId="0" applyFont="1" applyFill="1" applyBorder="1"/>
    <xf numFmtId="0" fontId="1" fillId="21" borderId="4" xfId="0" applyFont="1" applyFill="1" applyBorder="1"/>
    <xf numFmtId="0" fontId="2" fillId="0" borderId="5" xfId="0" applyFont="1" applyBorder="1"/>
    <xf numFmtId="0" fontId="1" fillId="22" borderId="1" xfId="0" applyFont="1" applyFill="1" applyBorder="1"/>
    <xf numFmtId="0" fontId="3" fillId="23" borderId="3" xfId="0" applyFont="1" applyFill="1" applyBorder="1"/>
    <xf numFmtId="0" fontId="1" fillId="0" borderId="9" xfId="0" applyFont="1" applyBorder="1"/>
    <xf numFmtId="0" fontId="1" fillId="0" borderId="10" xfId="0" applyFont="1" applyBorder="1"/>
    <xf numFmtId="0" fontId="1" fillId="24" borderId="6" xfId="0" applyFont="1" applyFill="1" applyBorder="1" applyAlignment="1">
      <alignment wrapText="1"/>
    </xf>
    <xf numFmtId="0" fontId="1" fillId="24" borderId="7" xfId="0" applyFont="1" applyFill="1" applyBorder="1" applyAlignment="1">
      <alignment wrapText="1"/>
    </xf>
    <xf numFmtId="0" fontId="1" fillId="24" borderId="8" xfId="0" applyFont="1" applyFill="1" applyBorder="1" applyAlignment="1">
      <alignment wrapText="1"/>
    </xf>
    <xf numFmtId="0" fontId="3" fillId="25" borderId="6" xfId="0" applyFont="1" applyFill="1" applyBorder="1" applyAlignment="1">
      <alignment wrapText="1"/>
    </xf>
    <xf numFmtId="0" fontId="1" fillId="25" borderId="7" xfId="0" applyFont="1" applyFill="1" applyBorder="1" applyAlignment="1">
      <alignment wrapText="1"/>
    </xf>
    <xf numFmtId="0" fontId="1" fillId="26" borderId="5" xfId="0" applyFont="1" applyFill="1" applyBorder="1" applyAlignment="1">
      <alignment wrapText="1"/>
    </xf>
    <xf numFmtId="0" fontId="1" fillId="25" borderId="8" xfId="0" applyFont="1" applyFill="1" applyBorder="1" applyAlignment="1">
      <alignment wrapText="1"/>
    </xf>
    <xf numFmtId="0" fontId="0" fillId="0" borderId="0" xfId="0" applyFont="1" applyBorder="1" applyAlignment="1"/>
    <xf numFmtId="0" fontId="10" fillId="0" borderId="0" xfId="0" applyFont="1" applyFill="1" applyBorder="1" applyAlignment="1"/>
    <xf numFmtId="0" fontId="1" fillId="0" borderId="0" xfId="0" applyFont="1" applyBorder="1" applyAlignment="1">
      <alignment wrapText="1" readingOrder="1"/>
    </xf>
    <xf numFmtId="0" fontId="1" fillId="0" borderId="0" xfId="0" applyFont="1" applyBorder="1" applyAlignment="1">
      <alignment wrapText="1"/>
    </xf>
    <xf numFmtId="0" fontId="5" fillId="0" borderId="0" xfId="0" applyFont="1" applyFill="1" applyBorder="1" applyAlignment="1">
      <alignment wrapText="1"/>
    </xf>
    <xf numFmtId="0" fontId="2" fillId="0" borderId="0" xfId="0" applyFont="1" applyBorder="1" applyAlignment="1">
      <alignment wrapText="1"/>
    </xf>
    <xf numFmtId="0" fontId="1" fillId="0" borderId="0" xfId="0" applyFont="1" applyBorder="1"/>
    <xf numFmtId="0" fontId="5" fillId="0" borderId="0" xfId="0" applyFont="1" applyFill="1" applyBorder="1"/>
    <xf numFmtId="0" fontId="0" fillId="0" borderId="0" xfId="0" applyFont="1" applyBorder="1"/>
    <xf numFmtId="0" fontId="11" fillId="0" borderId="0" xfId="0" applyFont="1" applyBorder="1" applyAlignment="1"/>
    <xf numFmtId="0" fontId="1" fillId="0" borderId="0" xfId="0" applyFont="1" applyBorder="1" applyAlignment="1"/>
    <xf numFmtId="0" fontId="8" fillId="0" borderId="0" xfId="0" applyFont="1" applyBorder="1" applyAlignment="1"/>
    <xf numFmtId="0" fontId="8" fillId="0" borderId="0" xfId="0" applyFont="1" applyBorder="1"/>
    <xf numFmtId="0" fontId="11" fillId="0" borderId="0" xfId="0" applyFont="1" applyBorder="1"/>
    <xf numFmtId="0" fontId="12" fillId="0" borderId="0" xfId="0" applyFont="1" applyBorder="1" applyAlignment="1">
      <alignment wrapText="1"/>
    </xf>
    <xf numFmtId="0" fontId="12" fillId="0" borderId="0" xfId="0" applyFont="1" applyBorder="1"/>
    <xf numFmtId="0" fontId="8" fillId="0" borderId="0" xfId="0" applyFont="1" applyBorder="1" applyAlignment="1">
      <alignment wrapText="1" readingOrder="1"/>
    </xf>
    <xf numFmtId="2" fontId="1" fillId="0" borderId="0" xfId="0" applyNumberFormat="1" applyFont="1" applyBorder="1"/>
    <xf numFmtId="0" fontId="8" fillId="15" borderId="0" xfId="0" applyFont="1" applyFill="1" applyBorder="1" quotePrefix="1"/>
    <xf numFmtId="0" fontId="1" fillId="15" borderId="0" xfId="0" applyFont="1" applyFill="1" quotePrefix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U1000"/>
  <sheetViews>
    <sheetView tabSelected="1" zoomScale="85" zoomScaleNormal="85" workbookViewId="0">
      <selection activeCell="C2" sqref="C2"/>
    </sheetView>
  </sheetViews>
  <sheetFormatPr defaultColWidth="14.4259259259259" defaultRowHeight="15" customHeight="1"/>
  <cols>
    <col min="1" max="1" width="8.71296296296296" style="84" customWidth="1"/>
    <col min="2" max="2" width="15.712962962963" style="85" customWidth="1"/>
    <col min="3" max="3" width="14.1388888888889" style="84" customWidth="1"/>
    <col min="4" max="5" width="11.8518518518519" style="84" customWidth="1"/>
    <col min="6" max="9" width="8.71296296296296" style="84" customWidth="1"/>
    <col min="10" max="10" width="72" style="86" customWidth="1"/>
    <col min="11" max="12" width="11.4259259259259" style="84" hidden="1" customWidth="1"/>
    <col min="13" max="13" width="8.71296296296296" style="84" hidden="1" customWidth="1"/>
    <col min="14" max="14" width="10.1388888888889" style="84" hidden="1" customWidth="1"/>
    <col min="15" max="15" width="15" style="84" hidden="1" customWidth="1"/>
    <col min="16" max="16" width="13.287037037037" style="84" customWidth="1"/>
    <col min="17" max="17" width="11.1388888888889" style="84" customWidth="1"/>
    <col min="18" max="18" width="8.71296296296296" style="84" customWidth="1"/>
    <col min="19" max="19" width="11.712962962963" style="84" customWidth="1"/>
    <col min="20" max="20" width="13.4259259259259" style="84" customWidth="1"/>
    <col min="21" max="26" width="8.71296296296296" style="84" customWidth="1"/>
    <col min="27" max="16384" width="14.4259259259259" style="84"/>
  </cols>
  <sheetData>
    <row r="1" ht="57.6" spans="1:21">
      <c r="A1" s="87" t="s">
        <v>0</v>
      </c>
      <c r="B1" s="88" t="s">
        <v>1</v>
      </c>
      <c r="C1" s="87" t="s">
        <v>2</v>
      </c>
      <c r="D1" s="87" t="s">
        <v>3</v>
      </c>
      <c r="E1" s="87" t="s">
        <v>4</v>
      </c>
      <c r="F1" s="89" t="s">
        <v>5</v>
      </c>
      <c r="G1" s="87" t="s">
        <v>6</v>
      </c>
      <c r="H1" s="87" t="s">
        <v>7</v>
      </c>
      <c r="I1" s="87" t="s">
        <v>8</v>
      </c>
      <c r="J1" s="86" t="s">
        <v>9</v>
      </c>
      <c r="K1" s="98" t="s">
        <v>10</v>
      </c>
      <c r="L1" s="98" t="s">
        <v>11</v>
      </c>
      <c r="M1" s="87" t="s">
        <v>12</v>
      </c>
      <c r="N1" s="87" t="s">
        <v>13</v>
      </c>
      <c r="O1" s="87" t="s">
        <v>14</v>
      </c>
      <c r="P1" s="98" t="s">
        <v>15</v>
      </c>
      <c r="Q1" s="98" t="s">
        <v>16</v>
      </c>
      <c r="R1" s="87" t="s">
        <v>17</v>
      </c>
      <c r="S1" s="87" t="s">
        <v>18</v>
      </c>
      <c r="T1" s="87" t="s">
        <v>19</v>
      </c>
      <c r="U1" s="87" t="s">
        <v>20</v>
      </c>
    </row>
    <row r="2" ht="48" customHeight="1" spans="1:21">
      <c r="A2" s="90" t="s">
        <v>21</v>
      </c>
      <c r="B2" s="91" t="s">
        <v>22</v>
      </c>
      <c r="C2" s="92" t="s">
        <v>23</v>
      </c>
      <c r="D2" s="92" t="s">
        <v>24</v>
      </c>
      <c r="E2" s="92" t="s">
        <v>25</v>
      </c>
      <c r="F2" s="92">
        <v>90</v>
      </c>
      <c r="G2" s="92" t="s">
        <v>26</v>
      </c>
      <c r="H2" s="92" t="s">
        <v>26</v>
      </c>
      <c r="I2" s="92">
        <v>1</v>
      </c>
      <c r="J2" s="86" t="s">
        <v>27</v>
      </c>
      <c r="K2" s="99">
        <v>1928</v>
      </c>
      <c r="L2" s="99">
        <v>162</v>
      </c>
      <c r="M2" s="92">
        <v>5</v>
      </c>
      <c r="N2" s="92" t="s">
        <v>28</v>
      </c>
      <c r="O2" s="92" t="s">
        <v>29</v>
      </c>
      <c r="P2" s="99">
        <v>1978</v>
      </c>
      <c r="Q2" s="99">
        <v>75</v>
      </c>
      <c r="R2" s="92">
        <v>5</v>
      </c>
      <c r="S2" s="92" t="s">
        <v>28</v>
      </c>
      <c r="T2" s="92" t="s">
        <v>30</v>
      </c>
      <c r="U2" s="101">
        <f>Q2/(P2+Q2)</f>
        <v>0.0365319045299562</v>
      </c>
    </row>
    <row r="3" ht="48.75" hidden="1" customHeight="1" spans="1:21">
      <c r="A3" s="90" t="s">
        <v>21</v>
      </c>
      <c r="B3" s="91" t="s">
        <v>31</v>
      </c>
      <c r="C3" s="92" t="s">
        <v>32</v>
      </c>
      <c r="D3" s="92" t="s">
        <v>33</v>
      </c>
      <c r="E3" s="92" t="s">
        <v>33</v>
      </c>
      <c r="F3" s="92">
        <v>13</v>
      </c>
      <c r="G3" s="92" t="s">
        <v>26</v>
      </c>
      <c r="H3" s="92" t="s">
        <v>26</v>
      </c>
      <c r="I3" s="92"/>
      <c r="J3" s="86" t="s">
        <v>34</v>
      </c>
      <c r="K3" s="99">
        <v>654</v>
      </c>
      <c r="L3" s="99">
        <v>960</v>
      </c>
      <c r="M3" s="92">
        <v>4</v>
      </c>
      <c r="N3" s="92" t="s">
        <v>28</v>
      </c>
      <c r="O3" s="92" t="s">
        <v>29</v>
      </c>
      <c r="P3" s="99">
        <v>490</v>
      </c>
      <c r="Q3" s="99">
        <v>641</v>
      </c>
      <c r="R3" s="92">
        <v>3</v>
      </c>
      <c r="S3" s="92" t="s">
        <v>28</v>
      </c>
      <c r="T3" s="92" t="s">
        <v>30</v>
      </c>
      <c r="U3" s="101">
        <f t="shared" ref="U3:U50" si="0">Q3/(P3+Q3)</f>
        <v>0.566755083996463</v>
      </c>
    </row>
    <row r="4" ht="54.75" hidden="1" customHeight="1" spans="1:21">
      <c r="A4" s="90" t="s">
        <v>21</v>
      </c>
      <c r="B4" s="91" t="s">
        <v>35</v>
      </c>
      <c r="C4" s="92" t="s">
        <v>36</v>
      </c>
      <c r="D4" s="92" t="s">
        <v>33</v>
      </c>
      <c r="E4" s="92" t="s">
        <v>33</v>
      </c>
      <c r="F4" s="92">
        <v>98</v>
      </c>
      <c r="G4" s="92" t="s">
        <v>37</v>
      </c>
      <c r="H4" s="92" t="s">
        <v>37</v>
      </c>
      <c r="I4" s="92"/>
      <c r="J4" s="86" t="s">
        <v>38</v>
      </c>
      <c r="K4" s="99">
        <v>735</v>
      </c>
      <c r="L4" s="99">
        <v>56</v>
      </c>
      <c r="M4" s="92">
        <v>2</v>
      </c>
      <c r="N4" s="92" t="s">
        <v>28</v>
      </c>
      <c r="O4" s="92" t="s">
        <v>39</v>
      </c>
      <c r="P4" s="99">
        <v>406</v>
      </c>
      <c r="Q4" s="99">
        <v>12</v>
      </c>
      <c r="R4" s="92">
        <v>1</v>
      </c>
      <c r="S4" s="92" t="s">
        <v>28</v>
      </c>
      <c r="T4" s="92" t="s">
        <v>30</v>
      </c>
      <c r="U4" s="101">
        <f t="shared" si="0"/>
        <v>0.0287081339712919</v>
      </c>
    </row>
    <row r="5" ht="59.25" hidden="1" customHeight="1" spans="1:21">
      <c r="A5" s="90" t="s">
        <v>21</v>
      </c>
      <c r="B5" s="91" t="s">
        <v>40</v>
      </c>
      <c r="C5" s="92" t="s">
        <v>41</v>
      </c>
      <c r="D5" s="92" t="s">
        <v>33</v>
      </c>
      <c r="E5" s="92" t="s">
        <v>33</v>
      </c>
      <c r="F5" s="92">
        <v>77</v>
      </c>
      <c r="G5" s="92" t="s">
        <v>37</v>
      </c>
      <c r="H5" s="92" t="s">
        <v>37</v>
      </c>
      <c r="I5" s="92"/>
      <c r="J5" s="86" t="s">
        <v>42</v>
      </c>
      <c r="K5" s="99">
        <v>1550</v>
      </c>
      <c r="L5" s="99">
        <v>934</v>
      </c>
      <c r="M5" s="92">
        <v>6</v>
      </c>
      <c r="N5" s="92" t="s">
        <v>28</v>
      </c>
      <c r="O5" s="92" t="s">
        <v>29</v>
      </c>
      <c r="P5" s="99">
        <v>983</v>
      </c>
      <c r="Q5" s="99">
        <v>320</v>
      </c>
      <c r="R5" s="92">
        <v>4</v>
      </c>
      <c r="S5" s="92" t="s">
        <v>28</v>
      </c>
      <c r="T5" s="92" t="s">
        <v>30</v>
      </c>
      <c r="U5" s="101">
        <f t="shared" si="0"/>
        <v>0.245587106676899</v>
      </c>
    </row>
    <row r="6" ht="102.75" hidden="1" customHeight="1" spans="1:21">
      <c r="A6" s="90" t="s">
        <v>21</v>
      </c>
      <c r="B6" s="91" t="s">
        <v>43</v>
      </c>
      <c r="C6" s="92" t="s">
        <v>44</v>
      </c>
      <c r="D6" s="92" t="s">
        <v>33</v>
      </c>
      <c r="E6" s="92" t="s">
        <v>33</v>
      </c>
      <c r="F6" s="92">
        <v>53</v>
      </c>
      <c r="G6" s="92" t="s">
        <v>45</v>
      </c>
      <c r="H6" s="92" t="s">
        <v>37</v>
      </c>
      <c r="I6" s="92"/>
      <c r="J6" s="86" t="s">
        <v>46</v>
      </c>
      <c r="K6" s="99">
        <v>1805</v>
      </c>
      <c r="L6" s="99">
        <v>215</v>
      </c>
      <c r="M6" s="92">
        <v>5</v>
      </c>
      <c r="N6" s="92" t="s">
        <v>28</v>
      </c>
      <c r="O6" s="92" t="s">
        <v>39</v>
      </c>
      <c r="P6" s="99">
        <v>477</v>
      </c>
      <c r="Q6" s="99">
        <v>19</v>
      </c>
      <c r="R6" s="92">
        <v>2</v>
      </c>
      <c r="S6" s="92" t="s">
        <v>28</v>
      </c>
      <c r="U6" s="101">
        <f t="shared" si="0"/>
        <v>0.0383064516129032</v>
      </c>
    </row>
    <row r="7" ht="80.25" customHeight="1" spans="1:21">
      <c r="A7" s="90" t="s">
        <v>21</v>
      </c>
      <c r="B7" s="91" t="s">
        <v>47</v>
      </c>
      <c r="C7" s="92" t="s">
        <v>48</v>
      </c>
      <c r="D7" s="92" t="s">
        <v>24</v>
      </c>
      <c r="E7" s="92" t="s">
        <v>25</v>
      </c>
      <c r="F7" s="92">
        <v>58</v>
      </c>
      <c r="G7" s="92" t="s">
        <v>26</v>
      </c>
      <c r="H7" s="92" t="s">
        <v>26</v>
      </c>
      <c r="I7" s="92">
        <v>1</v>
      </c>
      <c r="J7" s="86" t="s">
        <v>49</v>
      </c>
      <c r="K7" s="99">
        <v>858</v>
      </c>
      <c r="L7" s="99">
        <v>396</v>
      </c>
      <c r="M7" s="92">
        <v>3</v>
      </c>
      <c r="N7" s="92" t="s">
        <v>28</v>
      </c>
      <c r="O7" s="92" t="s">
        <v>29</v>
      </c>
      <c r="P7" s="99">
        <v>976</v>
      </c>
      <c r="Q7" s="99">
        <v>209</v>
      </c>
      <c r="R7" s="92">
        <v>3</v>
      </c>
      <c r="S7" s="92" t="s">
        <v>28</v>
      </c>
      <c r="T7" s="92" t="s">
        <v>30</v>
      </c>
      <c r="U7" s="101">
        <f t="shared" si="0"/>
        <v>0.176371308016878</v>
      </c>
    </row>
    <row r="8" ht="69" hidden="1" customHeight="1" spans="1:21">
      <c r="A8" s="90" t="s">
        <v>21</v>
      </c>
      <c r="B8" s="91" t="s">
        <v>50</v>
      </c>
      <c r="C8" s="92" t="s">
        <v>51</v>
      </c>
      <c r="D8" s="92" t="s">
        <v>24</v>
      </c>
      <c r="E8" s="92" t="s">
        <v>25</v>
      </c>
      <c r="F8" s="92">
        <v>74</v>
      </c>
      <c r="G8" s="92" t="s">
        <v>37</v>
      </c>
      <c r="H8" s="92" t="s">
        <v>37</v>
      </c>
      <c r="I8" s="92"/>
      <c r="J8" s="86" t="s">
        <v>52</v>
      </c>
      <c r="K8" s="99">
        <v>1556</v>
      </c>
      <c r="L8" s="99">
        <v>101</v>
      </c>
      <c r="M8" s="92">
        <v>4</v>
      </c>
      <c r="N8" s="92" t="s">
        <v>28</v>
      </c>
      <c r="O8" s="92" t="s">
        <v>39</v>
      </c>
      <c r="P8" s="99">
        <v>2096</v>
      </c>
      <c r="Q8" s="99">
        <v>49</v>
      </c>
      <c r="R8" s="92">
        <v>6</v>
      </c>
      <c r="S8" s="92" t="s">
        <v>28</v>
      </c>
      <c r="U8" s="101">
        <f t="shared" si="0"/>
        <v>0.0228438228438228</v>
      </c>
    </row>
    <row r="9" ht="73.5" hidden="1" customHeight="1" spans="1:21">
      <c r="A9" s="90" t="s">
        <v>21</v>
      </c>
      <c r="B9" s="91" t="s">
        <v>53</v>
      </c>
      <c r="C9" s="92" t="s">
        <v>54</v>
      </c>
      <c r="D9" s="92" t="s">
        <v>33</v>
      </c>
      <c r="E9" s="92" t="s">
        <v>33</v>
      </c>
      <c r="F9" s="92">
        <v>62</v>
      </c>
      <c r="G9" s="92" t="s">
        <v>26</v>
      </c>
      <c r="H9" s="92" t="s">
        <v>26</v>
      </c>
      <c r="I9" s="92"/>
      <c r="J9" s="86" t="s">
        <v>55</v>
      </c>
      <c r="K9" s="99">
        <v>1435</v>
      </c>
      <c r="L9" s="99">
        <v>83</v>
      </c>
      <c r="M9" s="92">
        <v>4</v>
      </c>
      <c r="N9" s="92" t="s">
        <v>28</v>
      </c>
      <c r="O9" s="92" t="s">
        <v>39</v>
      </c>
      <c r="P9" s="99">
        <v>933</v>
      </c>
      <c r="Q9" s="99">
        <v>44</v>
      </c>
      <c r="R9" s="92">
        <v>5</v>
      </c>
      <c r="S9" s="92" t="s">
        <v>28</v>
      </c>
      <c r="U9" s="101">
        <f t="shared" si="0"/>
        <v>0.04503582395087</v>
      </c>
    </row>
    <row r="10" ht="61.5" customHeight="1" spans="1:21">
      <c r="A10" s="90" t="s">
        <v>21</v>
      </c>
      <c r="B10" s="91" t="s">
        <v>56</v>
      </c>
      <c r="C10" s="92" t="s">
        <v>57</v>
      </c>
      <c r="D10" s="92" t="s">
        <v>33</v>
      </c>
      <c r="E10" s="92" t="s">
        <v>33</v>
      </c>
      <c r="F10" s="92">
        <v>94</v>
      </c>
      <c r="G10" s="92" t="s">
        <v>26</v>
      </c>
      <c r="H10" s="92" t="s">
        <v>26</v>
      </c>
      <c r="I10" s="92">
        <v>1</v>
      </c>
      <c r="J10" s="86" t="s">
        <v>58</v>
      </c>
      <c r="K10" s="99">
        <v>1330</v>
      </c>
      <c r="L10" s="99">
        <v>51</v>
      </c>
      <c r="M10" s="92">
        <v>4</v>
      </c>
      <c r="N10" s="92" t="s">
        <v>28</v>
      </c>
      <c r="O10" s="92" t="s">
        <v>39</v>
      </c>
      <c r="P10" s="99">
        <v>917</v>
      </c>
      <c r="Q10" s="99">
        <v>32</v>
      </c>
      <c r="R10" s="92">
        <v>4</v>
      </c>
      <c r="S10" s="92" t="s">
        <v>28</v>
      </c>
      <c r="U10" s="101">
        <f t="shared" si="0"/>
        <v>0.0337197049525817</v>
      </c>
    </row>
    <row r="11" ht="69.75" hidden="1" customHeight="1" spans="1:21">
      <c r="A11" s="90" t="s">
        <v>21</v>
      </c>
      <c r="B11" s="91" t="s">
        <v>59</v>
      </c>
      <c r="C11" s="92" t="s">
        <v>60</v>
      </c>
      <c r="D11" s="92" t="s">
        <v>33</v>
      </c>
      <c r="E11" s="92" t="s">
        <v>33</v>
      </c>
      <c r="F11" s="92">
        <v>50</v>
      </c>
      <c r="G11" s="92" t="s">
        <v>26</v>
      </c>
      <c r="H11" s="92" t="s">
        <v>26</v>
      </c>
      <c r="I11" s="92"/>
      <c r="J11" s="86" t="s">
        <v>61</v>
      </c>
      <c r="K11" s="99">
        <v>1086</v>
      </c>
      <c r="L11" s="99">
        <v>146</v>
      </c>
      <c r="M11" s="92">
        <v>3</v>
      </c>
      <c r="N11" s="92" t="s">
        <v>28</v>
      </c>
      <c r="O11" s="92" t="s">
        <v>29</v>
      </c>
      <c r="P11" s="99">
        <v>887</v>
      </c>
      <c r="Q11" s="99">
        <v>135</v>
      </c>
      <c r="R11" s="92">
        <v>3</v>
      </c>
      <c r="S11" s="92" t="s">
        <v>28</v>
      </c>
      <c r="T11" s="92" t="s">
        <v>30</v>
      </c>
      <c r="U11" s="101">
        <f t="shared" si="0"/>
        <v>0.132093933463796</v>
      </c>
    </row>
    <row r="12" ht="68.25" hidden="1" customHeight="1" spans="1:21">
      <c r="A12" s="90" t="s">
        <v>21</v>
      </c>
      <c r="B12" s="91" t="s">
        <v>62</v>
      </c>
      <c r="C12" s="90" t="s">
        <v>63</v>
      </c>
      <c r="D12" s="92" t="s">
        <v>64</v>
      </c>
      <c r="E12" s="92" t="s">
        <v>25</v>
      </c>
      <c r="F12" s="92">
        <v>69</v>
      </c>
      <c r="G12" s="92" t="s">
        <v>37</v>
      </c>
      <c r="H12" s="92" t="s">
        <v>37</v>
      </c>
      <c r="I12" s="92"/>
      <c r="J12" s="86" t="s">
        <v>52</v>
      </c>
      <c r="K12" s="99">
        <v>1275</v>
      </c>
      <c r="L12" s="99">
        <v>27</v>
      </c>
      <c r="M12" s="92">
        <v>4</v>
      </c>
      <c r="N12" s="92" t="s">
        <v>28</v>
      </c>
      <c r="O12" s="92" t="s">
        <v>39</v>
      </c>
      <c r="P12" s="99">
        <v>407</v>
      </c>
      <c r="Q12" s="99">
        <v>11</v>
      </c>
      <c r="R12" s="92">
        <v>1</v>
      </c>
      <c r="S12" s="92" t="s">
        <v>28</v>
      </c>
      <c r="U12" s="101">
        <f t="shared" si="0"/>
        <v>0.0263157894736842</v>
      </c>
    </row>
    <row r="13" ht="46.5" hidden="1" customHeight="1" spans="1:21">
      <c r="A13" s="90" t="s">
        <v>21</v>
      </c>
      <c r="B13" s="91" t="s">
        <v>65</v>
      </c>
      <c r="C13" s="92" t="s">
        <v>66</v>
      </c>
      <c r="D13" s="92" t="s">
        <v>67</v>
      </c>
      <c r="E13" s="92" t="s">
        <v>67</v>
      </c>
      <c r="F13" s="92">
        <v>0</v>
      </c>
      <c r="G13" s="92" t="s">
        <v>37</v>
      </c>
      <c r="H13" s="92" t="s">
        <v>37</v>
      </c>
      <c r="I13" s="92"/>
      <c r="J13" s="86" t="s">
        <v>68</v>
      </c>
      <c r="K13" s="99">
        <v>258</v>
      </c>
      <c r="L13" s="99">
        <v>1745</v>
      </c>
      <c r="M13" s="92">
        <v>5</v>
      </c>
      <c r="N13" s="92" t="s">
        <v>28</v>
      </c>
      <c r="O13" s="92" t="s">
        <v>29</v>
      </c>
      <c r="P13" s="99">
        <v>292</v>
      </c>
      <c r="Q13" s="99">
        <v>1487</v>
      </c>
      <c r="R13" s="92">
        <v>5</v>
      </c>
      <c r="S13" s="92" t="s">
        <v>28</v>
      </c>
      <c r="T13" s="92" t="s">
        <v>30</v>
      </c>
      <c r="U13" s="101">
        <f t="shared" si="0"/>
        <v>0.835862844294547</v>
      </c>
    </row>
    <row r="14" ht="45.75" hidden="1" customHeight="1" spans="1:21">
      <c r="A14" s="90" t="s">
        <v>21</v>
      </c>
      <c r="B14" s="91" t="s">
        <v>69</v>
      </c>
      <c r="C14" s="90" t="s">
        <v>70</v>
      </c>
      <c r="D14" s="92" t="s">
        <v>33</v>
      </c>
      <c r="E14" s="92" t="s">
        <v>33</v>
      </c>
      <c r="F14" s="92">
        <v>12</v>
      </c>
      <c r="G14" s="92" t="s">
        <v>26</v>
      </c>
      <c r="H14" s="92" t="s">
        <v>26</v>
      </c>
      <c r="I14" s="92"/>
      <c r="J14" s="86" t="s">
        <v>71</v>
      </c>
      <c r="K14" s="99">
        <v>606</v>
      </c>
      <c r="L14" s="99">
        <v>1066</v>
      </c>
      <c r="M14" s="92">
        <v>4</v>
      </c>
      <c r="N14" s="92" t="s">
        <v>28</v>
      </c>
      <c r="O14" s="92" t="s">
        <v>29</v>
      </c>
      <c r="P14" s="99">
        <v>472</v>
      </c>
      <c r="Q14" s="99">
        <v>1187</v>
      </c>
      <c r="R14" s="92">
        <v>4</v>
      </c>
      <c r="S14" s="92" t="s">
        <v>28</v>
      </c>
      <c r="T14" s="92" t="s">
        <v>30</v>
      </c>
      <c r="U14" s="101">
        <f t="shared" si="0"/>
        <v>0.715491259795057</v>
      </c>
    </row>
    <row r="15" ht="69.75" customHeight="1" spans="1:21">
      <c r="A15" s="90" t="s">
        <v>21</v>
      </c>
      <c r="B15" s="91" t="s">
        <v>72</v>
      </c>
      <c r="C15" s="90" t="s">
        <v>73</v>
      </c>
      <c r="D15" s="92" t="s">
        <v>24</v>
      </c>
      <c r="E15" s="92" t="s">
        <v>25</v>
      </c>
      <c r="F15" s="92">
        <v>67</v>
      </c>
      <c r="G15" s="92" t="s">
        <v>26</v>
      </c>
      <c r="H15" s="92" t="s">
        <v>26</v>
      </c>
      <c r="I15" s="92">
        <v>1</v>
      </c>
      <c r="J15" s="86" t="s">
        <v>74</v>
      </c>
      <c r="K15" s="99">
        <v>1780</v>
      </c>
      <c r="L15" s="99">
        <v>688</v>
      </c>
      <c r="M15" s="92">
        <v>6</v>
      </c>
      <c r="N15" s="92" t="s">
        <v>28</v>
      </c>
      <c r="O15" s="92" t="s">
        <v>29</v>
      </c>
      <c r="P15" s="99">
        <v>1677</v>
      </c>
      <c r="Q15" s="99">
        <v>402</v>
      </c>
      <c r="R15" s="92">
        <v>5</v>
      </c>
      <c r="S15" s="92" t="s">
        <v>28</v>
      </c>
      <c r="T15" s="92" t="s">
        <v>30</v>
      </c>
      <c r="U15" s="101">
        <f t="shared" si="0"/>
        <v>0.193362193362193</v>
      </c>
    </row>
    <row r="16" ht="71.25" hidden="1" customHeight="1" spans="1:21">
      <c r="A16" s="90" t="s">
        <v>21</v>
      </c>
      <c r="B16" s="91" t="s">
        <v>75</v>
      </c>
      <c r="C16" s="90" t="s">
        <v>76</v>
      </c>
      <c r="D16" s="92" t="s">
        <v>33</v>
      </c>
      <c r="E16" s="92" t="s">
        <v>33</v>
      </c>
      <c r="F16" s="92">
        <v>34</v>
      </c>
      <c r="G16" s="92" t="s">
        <v>37</v>
      </c>
      <c r="H16" s="92" t="s">
        <v>37</v>
      </c>
      <c r="I16" s="92"/>
      <c r="J16" s="86" t="s">
        <v>77</v>
      </c>
      <c r="K16" s="99">
        <v>1667</v>
      </c>
      <c r="L16" s="99">
        <v>1036</v>
      </c>
      <c r="M16" s="92">
        <v>7</v>
      </c>
      <c r="N16" s="92" t="s">
        <v>28</v>
      </c>
      <c r="O16" s="92" t="s">
        <v>39</v>
      </c>
      <c r="P16" s="99">
        <v>1247</v>
      </c>
      <c r="Q16" s="99">
        <v>366</v>
      </c>
      <c r="R16" s="92">
        <v>4</v>
      </c>
      <c r="S16" s="92" t="s">
        <v>28</v>
      </c>
      <c r="T16" s="92" t="s">
        <v>30</v>
      </c>
      <c r="U16" s="101">
        <f t="shared" si="0"/>
        <v>0.226906385616863</v>
      </c>
    </row>
    <row r="17" ht="71.25" hidden="1" customHeight="1" spans="1:21">
      <c r="A17" s="90" t="s">
        <v>21</v>
      </c>
      <c r="B17" s="91" t="s">
        <v>78</v>
      </c>
      <c r="C17" s="90" t="s">
        <v>79</v>
      </c>
      <c r="D17" s="92" t="s">
        <v>67</v>
      </c>
      <c r="E17" s="92" t="s">
        <v>67</v>
      </c>
      <c r="F17" s="92">
        <v>0</v>
      </c>
      <c r="G17" s="92" t="s">
        <v>26</v>
      </c>
      <c r="H17" s="92" t="s">
        <v>26</v>
      </c>
      <c r="I17" s="92"/>
      <c r="J17" s="86" t="s">
        <v>80</v>
      </c>
      <c r="K17" s="99">
        <v>1593</v>
      </c>
      <c r="L17" s="99">
        <v>915</v>
      </c>
      <c r="M17" s="92">
        <v>6</v>
      </c>
      <c r="N17" s="92" t="s">
        <v>28</v>
      </c>
      <c r="O17" s="92" t="s">
        <v>39</v>
      </c>
      <c r="P17" s="99">
        <v>1931</v>
      </c>
      <c r="Q17" s="99">
        <v>1319</v>
      </c>
      <c r="R17" s="92">
        <v>8</v>
      </c>
      <c r="S17" s="92" t="s">
        <v>28</v>
      </c>
      <c r="T17" s="92" t="s">
        <v>30</v>
      </c>
      <c r="U17" s="101">
        <f t="shared" si="0"/>
        <v>0.405846153846154</v>
      </c>
    </row>
    <row r="18" ht="43.2" hidden="1" spans="1:21">
      <c r="A18" s="90" t="s">
        <v>21</v>
      </c>
      <c r="B18" s="91" t="s">
        <v>81</v>
      </c>
      <c r="C18" s="90" t="s">
        <v>82</v>
      </c>
      <c r="D18" s="92" t="s">
        <v>64</v>
      </c>
      <c r="E18" s="92" t="s">
        <v>25</v>
      </c>
      <c r="F18" s="92">
        <v>17</v>
      </c>
      <c r="G18" s="92" t="s">
        <v>37</v>
      </c>
      <c r="H18" s="92" t="s">
        <v>37</v>
      </c>
      <c r="I18" s="92"/>
      <c r="J18" s="86" t="s">
        <v>83</v>
      </c>
      <c r="K18" s="99"/>
      <c r="L18" s="99"/>
      <c r="P18" s="99">
        <v>1204</v>
      </c>
      <c r="Q18" s="99">
        <v>130</v>
      </c>
      <c r="R18" s="92">
        <v>4</v>
      </c>
      <c r="S18" s="92" t="s">
        <v>28</v>
      </c>
      <c r="T18" s="92" t="s">
        <v>30</v>
      </c>
      <c r="U18" s="101">
        <f t="shared" si="0"/>
        <v>0.0974512743628186</v>
      </c>
    </row>
    <row r="19" ht="28.8" hidden="1" spans="1:21">
      <c r="A19" s="90" t="s">
        <v>21</v>
      </c>
      <c r="B19" s="91" t="s">
        <v>84</v>
      </c>
      <c r="C19" s="90" t="s">
        <v>85</v>
      </c>
      <c r="D19" s="90" t="s">
        <v>67</v>
      </c>
      <c r="E19" s="90" t="s">
        <v>67</v>
      </c>
      <c r="F19" s="92">
        <v>0</v>
      </c>
      <c r="G19" s="92" t="s">
        <v>37</v>
      </c>
      <c r="H19" s="92" t="s">
        <v>37</v>
      </c>
      <c r="I19" s="92"/>
      <c r="J19" s="86" t="s">
        <v>86</v>
      </c>
      <c r="K19" s="99"/>
      <c r="L19" s="99"/>
      <c r="P19" s="99">
        <v>108</v>
      </c>
      <c r="Q19" s="99">
        <v>1015</v>
      </c>
      <c r="R19" s="92">
        <v>3</v>
      </c>
      <c r="S19" s="92" t="s">
        <v>28</v>
      </c>
      <c r="T19" s="92" t="s">
        <v>30</v>
      </c>
      <c r="U19" s="101">
        <f t="shared" si="0"/>
        <v>0.903829029385574</v>
      </c>
    </row>
    <row r="20" ht="28.8" hidden="1" spans="1:21">
      <c r="A20" s="90" t="s">
        <v>21</v>
      </c>
      <c r="B20" s="91" t="s">
        <v>87</v>
      </c>
      <c r="C20" s="90" t="s">
        <v>88</v>
      </c>
      <c r="D20" s="90" t="s">
        <v>67</v>
      </c>
      <c r="E20" s="90" t="s">
        <v>67</v>
      </c>
      <c r="F20" s="92">
        <v>0</v>
      </c>
      <c r="G20" s="92" t="s">
        <v>26</v>
      </c>
      <c r="H20" s="92" t="s">
        <v>26</v>
      </c>
      <c r="I20" s="92"/>
      <c r="J20" s="86" t="s">
        <v>89</v>
      </c>
      <c r="K20" s="99"/>
      <c r="L20" s="99"/>
      <c r="P20" s="99">
        <v>53</v>
      </c>
      <c r="Q20" s="99">
        <v>1614</v>
      </c>
      <c r="R20" s="92">
        <v>4</v>
      </c>
      <c r="S20" s="92" t="s">
        <v>28</v>
      </c>
      <c r="T20" s="92" t="s">
        <v>30</v>
      </c>
      <c r="U20" s="101">
        <f t="shared" si="0"/>
        <v>0.968206358728254</v>
      </c>
    </row>
    <row r="21" ht="15.75" hidden="1" customHeight="1" spans="1:21">
      <c r="A21" s="90" t="s">
        <v>21</v>
      </c>
      <c r="B21" s="91" t="s">
        <v>90</v>
      </c>
      <c r="C21" s="90" t="s">
        <v>91</v>
      </c>
      <c r="D21" s="90" t="s">
        <v>67</v>
      </c>
      <c r="E21" s="90" t="s">
        <v>67</v>
      </c>
      <c r="F21" s="92">
        <v>0</v>
      </c>
      <c r="G21" s="92" t="s">
        <v>37</v>
      </c>
      <c r="H21" s="92" t="s">
        <v>37</v>
      </c>
      <c r="I21" s="92"/>
      <c r="J21" s="86" t="s">
        <v>92</v>
      </c>
      <c r="K21" s="99"/>
      <c r="L21" s="99"/>
      <c r="P21" s="99">
        <v>140</v>
      </c>
      <c r="Q21" s="99">
        <v>1944</v>
      </c>
      <c r="R21" s="92">
        <v>5</v>
      </c>
      <c r="S21" s="92" t="s">
        <v>28</v>
      </c>
      <c r="T21" s="92" t="s">
        <v>30</v>
      </c>
      <c r="U21" s="101">
        <f t="shared" si="0"/>
        <v>0.932821497120921</v>
      </c>
    </row>
    <row r="22" ht="15.75" hidden="1" customHeight="1" spans="1:21">
      <c r="A22" s="90" t="s">
        <v>21</v>
      </c>
      <c r="B22" s="91" t="s">
        <v>93</v>
      </c>
      <c r="C22" s="90" t="s">
        <v>94</v>
      </c>
      <c r="D22" s="92" t="s">
        <v>64</v>
      </c>
      <c r="E22" s="92" t="s">
        <v>25</v>
      </c>
      <c r="F22" s="92">
        <v>92</v>
      </c>
      <c r="G22" s="92" t="s">
        <v>37</v>
      </c>
      <c r="H22" s="92" t="s">
        <v>37</v>
      </c>
      <c r="I22" s="92"/>
      <c r="J22" s="86" t="s">
        <v>95</v>
      </c>
      <c r="K22" s="99"/>
      <c r="L22" s="99"/>
      <c r="P22" s="99">
        <v>2170</v>
      </c>
      <c r="Q22" s="99">
        <v>890</v>
      </c>
      <c r="R22" s="92">
        <v>8</v>
      </c>
      <c r="S22" s="92" t="s">
        <v>28</v>
      </c>
      <c r="T22" s="92" t="s">
        <v>30</v>
      </c>
      <c r="U22" s="101">
        <f t="shared" si="0"/>
        <v>0.290849673202614</v>
      </c>
    </row>
    <row r="23" ht="15.75" customHeight="1" spans="1:21">
      <c r="A23" s="90" t="s">
        <v>21</v>
      </c>
      <c r="B23" s="91" t="s">
        <v>96</v>
      </c>
      <c r="C23" s="90" t="s">
        <v>97</v>
      </c>
      <c r="D23" s="92" t="s">
        <v>64</v>
      </c>
      <c r="E23" s="92" t="s">
        <v>25</v>
      </c>
      <c r="F23" s="92">
        <v>82</v>
      </c>
      <c r="G23" s="92" t="s">
        <v>37</v>
      </c>
      <c r="H23" s="92" t="s">
        <v>37</v>
      </c>
      <c r="I23" s="92">
        <v>1</v>
      </c>
      <c r="J23" s="86" t="s">
        <v>98</v>
      </c>
      <c r="K23" s="99"/>
      <c r="L23" s="99"/>
      <c r="P23" s="99">
        <v>1201</v>
      </c>
      <c r="Q23" s="99">
        <v>829</v>
      </c>
      <c r="R23" s="92">
        <v>5</v>
      </c>
      <c r="S23" s="92" t="s">
        <v>28</v>
      </c>
      <c r="T23" s="92" t="s">
        <v>30</v>
      </c>
      <c r="U23" s="101">
        <f t="shared" si="0"/>
        <v>0.408374384236453</v>
      </c>
    </row>
    <row r="24" ht="15.75" hidden="1" customHeight="1" spans="1:21">
      <c r="A24" s="90" t="s">
        <v>21</v>
      </c>
      <c r="B24" s="91" t="s">
        <v>99</v>
      </c>
      <c r="C24" s="90" t="s">
        <v>100</v>
      </c>
      <c r="D24" s="90" t="s">
        <v>67</v>
      </c>
      <c r="E24" s="90" t="s">
        <v>67</v>
      </c>
      <c r="F24" s="92">
        <v>0</v>
      </c>
      <c r="G24" s="92" t="s">
        <v>26</v>
      </c>
      <c r="H24" s="92" t="s">
        <v>26</v>
      </c>
      <c r="I24" s="92"/>
      <c r="J24" s="86" t="s">
        <v>101</v>
      </c>
      <c r="K24" s="99"/>
      <c r="L24" s="99"/>
      <c r="P24" s="99">
        <v>150</v>
      </c>
      <c r="Q24" s="99">
        <v>1516</v>
      </c>
      <c r="R24" s="92">
        <v>4</v>
      </c>
      <c r="S24" s="92" t="s">
        <v>28</v>
      </c>
      <c r="T24" s="92" t="s">
        <v>30</v>
      </c>
      <c r="U24" s="101">
        <f t="shared" si="0"/>
        <v>0.909963985594238</v>
      </c>
    </row>
    <row r="25" ht="15.75" hidden="1" customHeight="1" spans="1:21">
      <c r="A25" s="90" t="s">
        <v>21</v>
      </c>
      <c r="B25" s="91" t="s">
        <v>102</v>
      </c>
      <c r="C25" s="90" t="s">
        <v>103</v>
      </c>
      <c r="D25" s="92" t="s">
        <v>33</v>
      </c>
      <c r="E25" s="92" t="s">
        <v>33</v>
      </c>
      <c r="F25" s="92">
        <v>51</v>
      </c>
      <c r="G25" s="92" t="s">
        <v>37</v>
      </c>
      <c r="H25" s="92" t="s">
        <v>37</v>
      </c>
      <c r="I25" s="92"/>
      <c r="J25" s="86" t="s">
        <v>104</v>
      </c>
      <c r="K25" s="99"/>
      <c r="L25" s="99"/>
      <c r="P25" s="99">
        <v>685</v>
      </c>
      <c r="Q25" s="99">
        <v>1237</v>
      </c>
      <c r="R25" s="92">
        <v>5</v>
      </c>
      <c r="S25" s="92" t="s">
        <v>28</v>
      </c>
      <c r="T25" s="92" t="s">
        <v>30</v>
      </c>
      <c r="U25" s="101">
        <f t="shared" si="0"/>
        <v>0.64360041623309</v>
      </c>
    </row>
    <row r="26" ht="15.75" hidden="1" customHeight="1" spans="1:21">
      <c r="A26" s="90" t="s">
        <v>21</v>
      </c>
      <c r="B26" s="91" t="s">
        <v>105</v>
      </c>
      <c r="C26" s="90" t="s">
        <v>106</v>
      </c>
      <c r="D26" s="92" t="s">
        <v>33</v>
      </c>
      <c r="E26" s="92" t="s">
        <v>33</v>
      </c>
      <c r="F26" s="92">
        <v>91</v>
      </c>
      <c r="G26" s="92" t="s">
        <v>37</v>
      </c>
      <c r="H26" s="92" t="s">
        <v>37</v>
      </c>
      <c r="I26" s="92"/>
      <c r="J26" s="86" t="s">
        <v>107</v>
      </c>
      <c r="K26" s="99"/>
      <c r="L26" s="99"/>
      <c r="P26" s="99">
        <v>1460</v>
      </c>
      <c r="Q26" s="99">
        <v>74</v>
      </c>
      <c r="R26" s="92">
        <v>4</v>
      </c>
      <c r="S26" s="92" t="s">
        <v>28</v>
      </c>
      <c r="T26" s="92" t="s">
        <v>30</v>
      </c>
      <c r="U26" s="101">
        <f t="shared" si="0"/>
        <v>0.0482398956975228</v>
      </c>
    </row>
    <row r="27" ht="15.75" hidden="1" customHeight="1" spans="1:21">
      <c r="A27" s="90" t="s">
        <v>21</v>
      </c>
      <c r="B27" s="91" t="s">
        <v>108</v>
      </c>
      <c r="C27" s="90" t="s">
        <v>109</v>
      </c>
      <c r="D27" s="92" t="s">
        <v>33</v>
      </c>
      <c r="E27" s="92" t="s">
        <v>33</v>
      </c>
      <c r="F27" s="92">
        <v>15</v>
      </c>
      <c r="G27" s="92" t="s">
        <v>26</v>
      </c>
      <c r="H27" s="92" t="s">
        <v>26</v>
      </c>
      <c r="I27" s="92"/>
      <c r="J27" s="86" t="s">
        <v>110</v>
      </c>
      <c r="K27" s="99"/>
      <c r="L27" s="99"/>
      <c r="P27" s="99">
        <v>1117</v>
      </c>
      <c r="Q27" s="99">
        <v>423</v>
      </c>
      <c r="R27" s="92">
        <v>4</v>
      </c>
      <c r="S27" s="92" t="s">
        <v>28</v>
      </c>
      <c r="T27" s="92" t="s">
        <v>30</v>
      </c>
      <c r="U27" s="101">
        <f t="shared" si="0"/>
        <v>0.274675324675325</v>
      </c>
    </row>
    <row r="28" ht="15.75" hidden="1" customHeight="1" spans="1:21">
      <c r="A28" s="90" t="s">
        <v>21</v>
      </c>
      <c r="B28" s="91" t="s">
        <v>111</v>
      </c>
      <c r="C28" s="90" t="s">
        <v>112</v>
      </c>
      <c r="D28" s="90" t="s">
        <v>67</v>
      </c>
      <c r="E28" s="90" t="s">
        <v>67</v>
      </c>
      <c r="F28" s="92">
        <v>0</v>
      </c>
      <c r="G28" s="92" t="s">
        <v>37</v>
      </c>
      <c r="H28" s="92" t="s">
        <v>37</v>
      </c>
      <c r="I28" s="92"/>
      <c r="J28" s="86" t="s">
        <v>113</v>
      </c>
      <c r="K28" s="99"/>
      <c r="L28" s="99"/>
      <c r="P28" s="99">
        <v>351</v>
      </c>
      <c r="Q28" s="99">
        <v>149</v>
      </c>
      <c r="R28" s="92">
        <v>3</v>
      </c>
      <c r="S28" s="92" t="s">
        <v>28</v>
      </c>
      <c r="T28" s="92" t="s">
        <v>30</v>
      </c>
      <c r="U28" s="101">
        <f t="shared" si="0"/>
        <v>0.298</v>
      </c>
    </row>
    <row r="29" ht="15.75" hidden="1" customHeight="1" spans="1:21">
      <c r="A29" s="90" t="s">
        <v>21</v>
      </c>
      <c r="B29" s="91" t="s">
        <v>114</v>
      </c>
      <c r="C29" s="90" t="s">
        <v>115</v>
      </c>
      <c r="D29" s="90" t="s">
        <v>67</v>
      </c>
      <c r="E29" s="90" t="s">
        <v>67</v>
      </c>
      <c r="F29" s="92">
        <v>0</v>
      </c>
      <c r="G29" s="92" t="s">
        <v>26</v>
      </c>
      <c r="H29" s="92" t="s">
        <v>26</v>
      </c>
      <c r="I29" s="92"/>
      <c r="J29" s="86" t="s">
        <v>116</v>
      </c>
      <c r="K29" s="99"/>
      <c r="L29" s="99"/>
      <c r="P29" s="99">
        <v>296</v>
      </c>
      <c r="Q29" s="99">
        <v>1752</v>
      </c>
      <c r="R29" s="92">
        <v>5</v>
      </c>
      <c r="S29" s="92" t="s">
        <v>28</v>
      </c>
      <c r="T29" s="92" t="s">
        <v>30</v>
      </c>
      <c r="U29" s="101">
        <f t="shared" si="0"/>
        <v>0.85546875</v>
      </c>
    </row>
    <row r="30" ht="15.75" hidden="1" customHeight="1" spans="1:21">
      <c r="A30" s="90" t="s">
        <v>21</v>
      </c>
      <c r="B30" s="91" t="s">
        <v>117</v>
      </c>
      <c r="C30" s="90" t="s">
        <v>118</v>
      </c>
      <c r="D30" s="90" t="s">
        <v>67</v>
      </c>
      <c r="E30" s="90" t="s">
        <v>67</v>
      </c>
      <c r="F30" s="92">
        <v>0</v>
      </c>
      <c r="G30" s="92" t="s">
        <v>26</v>
      </c>
      <c r="H30" s="92" t="s">
        <v>26</v>
      </c>
      <c r="I30" s="92"/>
      <c r="J30" s="86" t="s">
        <v>119</v>
      </c>
      <c r="K30" s="99"/>
      <c r="L30" s="99"/>
      <c r="P30" s="99">
        <v>361</v>
      </c>
      <c r="Q30" s="99">
        <v>2108</v>
      </c>
      <c r="R30" s="92">
        <v>6</v>
      </c>
      <c r="S30" s="92" t="s">
        <v>28</v>
      </c>
      <c r="T30" s="92" t="s">
        <v>30</v>
      </c>
      <c r="U30" s="101">
        <f t="shared" si="0"/>
        <v>0.853786958282706</v>
      </c>
    </row>
    <row r="31" ht="15.75" hidden="1" customHeight="1" spans="1:21">
      <c r="A31" s="90" t="s">
        <v>21</v>
      </c>
      <c r="B31" s="91" t="s">
        <v>120</v>
      </c>
      <c r="C31" s="90" t="s">
        <v>121</v>
      </c>
      <c r="D31" s="90" t="s">
        <v>122</v>
      </c>
      <c r="E31" s="90" t="s">
        <v>67</v>
      </c>
      <c r="F31" s="92">
        <v>0</v>
      </c>
      <c r="G31" s="92" t="s">
        <v>26</v>
      </c>
      <c r="H31" s="92" t="s">
        <v>26</v>
      </c>
      <c r="I31" s="92"/>
      <c r="J31" s="86" t="s">
        <v>123</v>
      </c>
      <c r="K31" s="99"/>
      <c r="L31" s="99"/>
      <c r="P31" s="99">
        <v>618</v>
      </c>
      <c r="Q31" s="99">
        <v>232</v>
      </c>
      <c r="R31" s="92">
        <v>3</v>
      </c>
      <c r="S31" s="92" t="s">
        <v>28</v>
      </c>
      <c r="T31" s="92" t="s">
        <v>30</v>
      </c>
      <c r="U31" s="101">
        <f t="shared" si="0"/>
        <v>0.272941176470588</v>
      </c>
    </row>
    <row r="32" ht="15.75" hidden="1" customHeight="1" spans="1:21">
      <c r="A32" s="90" t="s">
        <v>21</v>
      </c>
      <c r="B32" s="91" t="s">
        <v>124</v>
      </c>
      <c r="C32" s="90" t="s">
        <v>125</v>
      </c>
      <c r="D32" s="90" t="s">
        <v>67</v>
      </c>
      <c r="E32" s="90" t="s">
        <v>67</v>
      </c>
      <c r="F32" s="92">
        <v>0</v>
      </c>
      <c r="G32" s="92" t="s">
        <v>37</v>
      </c>
      <c r="H32" s="92" t="s">
        <v>37</v>
      </c>
      <c r="I32" s="92"/>
      <c r="J32" s="86" t="s">
        <v>126</v>
      </c>
      <c r="K32" s="99"/>
      <c r="L32" s="99"/>
      <c r="P32" s="99">
        <v>757</v>
      </c>
      <c r="Q32" s="99">
        <v>904</v>
      </c>
      <c r="R32" s="92">
        <v>4</v>
      </c>
      <c r="S32" s="92" t="s">
        <v>28</v>
      </c>
      <c r="T32" s="92" t="s">
        <v>30</v>
      </c>
      <c r="U32" s="101">
        <f t="shared" si="0"/>
        <v>0.54425045153522</v>
      </c>
    </row>
    <row r="33" ht="15.75" hidden="1" customHeight="1" spans="1:21">
      <c r="A33" s="90" t="s">
        <v>21</v>
      </c>
      <c r="B33" s="91" t="s">
        <v>127</v>
      </c>
      <c r="C33" s="90" t="s">
        <v>128</v>
      </c>
      <c r="D33" s="90" t="s">
        <v>67</v>
      </c>
      <c r="E33" s="90" t="s">
        <v>67</v>
      </c>
      <c r="F33" s="92">
        <v>0</v>
      </c>
      <c r="G33" s="92" t="s">
        <v>37</v>
      </c>
      <c r="H33" s="92" t="s">
        <v>37</v>
      </c>
      <c r="I33" s="92"/>
      <c r="J33" s="86" t="s">
        <v>129</v>
      </c>
      <c r="K33" s="99"/>
      <c r="L33" s="99"/>
      <c r="P33" s="99">
        <v>488</v>
      </c>
      <c r="Q33" s="99">
        <v>1181</v>
      </c>
      <c r="R33" s="92">
        <v>4</v>
      </c>
      <c r="S33" s="92" t="s">
        <v>28</v>
      </c>
      <c r="T33" s="92" t="s">
        <v>30</v>
      </c>
      <c r="U33" s="101">
        <f t="shared" si="0"/>
        <v>0.70760934691432</v>
      </c>
    </row>
    <row r="34" ht="15.75" hidden="1" customHeight="1" spans="1:21">
      <c r="A34" s="90" t="s">
        <v>21</v>
      </c>
      <c r="B34" s="91" t="s">
        <v>130</v>
      </c>
      <c r="C34" s="90" t="s">
        <v>131</v>
      </c>
      <c r="D34" s="90" t="s">
        <v>67</v>
      </c>
      <c r="E34" s="90" t="s">
        <v>67</v>
      </c>
      <c r="F34" s="92">
        <v>0</v>
      </c>
      <c r="G34" s="92" t="s">
        <v>26</v>
      </c>
      <c r="H34" s="92" t="s">
        <v>26</v>
      </c>
      <c r="I34" s="92"/>
      <c r="J34" s="86" t="s">
        <v>132</v>
      </c>
      <c r="K34" s="99"/>
      <c r="L34" s="99"/>
      <c r="P34" s="99">
        <v>1411</v>
      </c>
      <c r="Q34" s="99">
        <v>314</v>
      </c>
      <c r="R34" s="92">
        <v>5</v>
      </c>
      <c r="S34" s="92" t="s">
        <v>28</v>
      </c>
      <c r="T34" s="92" t="s">
        <v>30</v>
      </c>
      <c r="U34" s="101">
        <f t="shared" si="0"/>
        <v>0.182028985507246</v>
      </c>
    </row>
    <row r="35" ht="15.75" hidden="1" customHeight="1" spans="1:21">
      <c r="A35" s="90" t="s">
        <v>21</v>
      </c>
      <c r="B35" s="91" t="s">
        <v>133</v>
      </c>
      <c r="C35" s="90" t="s">
        <v>134</v>
      </c>
      <c r="D35" s="90" t="s">
        <v>67</v>
      </c>
      <c r="E35" s="90" t="s">
        <v>67</v>
      </c>
      <c r="F35" s="92">
        <v>0</v>
      </c>
      <c r="G35" s="92" t="s">
        <v>135</v>
      </c>
      <c r="H35" s="92" t="s">
        <v>37</v>
      </c>
      <c r="I35" s="92"/>
      <c r="J35" s="86" t="s">
        <v>136</v>
      </c>
      <c r="K35" s="99"/>
      <c r="L35" s="99"/>
      <c r="P35" s="99">
        <v>537</v>
      </c>
      <c r="Q35" s="99">
        <v>173</v>
      </c>
      <c r="R35" s="92">
        <v>4</v>
      </c>
      <c r="S35" s="92" t="s">
        <v>28</v>
      </c>
      <c r="T35" s="92" t="s">
        <v>30</v>
      </c>
      <c r="U35" s="101">
        <f t="shared" si="0"/>
        <v>0.243661971830986</v>
      </c>
    </row>
    <row r="36" ht="38.25" hidden="1" customHeight="1" spans="1:21">
      <c r="A36" s="90" t="s">
        <v>21</v>
      </c>
      <c r="B36" s="91" t="s">
        <v>137</v>
      </c>
      <c r="C36" s="90" t="s">
        <v>138</v>
      </c>
      <c r="D36" s="92" t="s">
        <v>33</v>
      </c>
      <c r="E36" s="92" t="s">
        <v>33</v>
      </c>
      <c r="F36" s="93">
        <v>30</v>
      </c>
      <c r="G36" s="92" t="s">
        <v>37</v>
      </c>
      <c r="H36" s="92" t="s">
        <v>37</v>
      </c>
      <c r="I36" s="92"/>
      <c r="J36" s="100" t="s">
        <v>139</v>
      </c>
      <c r="K36" s="99"/>
      <c r="L36" s="99"/>
      <c r="P36" s="99">
        <v>312</v>
      </c>
      <c r="Q36" s="99">
        <v>1772</v>
      </c>
      <c r="R36" s="93">
        <v>5</v>
      </c>
      <c r="S36" s="92" t="s">
        <v>28</v>
      </c>
      <c r="T36" s="92" t="s">
        <v>30</v>
      </c>
      <c r="U36" s="101">
        <f t="shared" si="0"/>
        <v>0.850287907869482</v>
      </c>
    </row>
    <row r="37" ht="49.5" hidden="1" customHeight="1" spans="1:21">
      <c r="A37" s="90" t="s">
        <v>21</v>
      </c>
      <c r="B37" s="91" t="s">
        <v>140</v>
      </c>
      <c r="C37" s="90" t="s">
        <v>141</v>
      </c>
      <c r="D37" s="92" t="s">
        <v>33</v>
      </c>
      <c r="E37" s="92" t="s">
        <v>33</v>
      </c>
      <c r="F37" s="84">
        <v>10</v>
      </c>
      <c r="G37" s="92" t="s">
        <v>26</v>
      </c>
      <c r="H37" s="92" t="s">
        <v>26</v>
      </c>
      <c r="I37" s="92"/>
      <c r="J37" s="86" t="s">
        <v>142</v>
      </c>
      <c r="K37" s="99"/>
      <c r="L37" s="99"/>
      <c r="P37" s="99">
        <v>1481</v>
      </c>
      <c r="Q37" s="99">
        <v>209</v>
      </c>
      <c r="R37" s="84">
        <v>7</v>
      </c>
      <c r="S37" s="92" t="s">
        <v>28</v>
      </c>
      <c r="T37" s="92" t="s">
        <v>30</v>
      </c>
      <c r="U37" s="101">
        <f t="shared" si="0"/>
        <v>0.123668639053254</v>
      </c>
    </row>
    <row r="38" ht="66" customHeight="1" spans="1:21">
      <c r="A38" s="90" t="s">
        <v>21</v>
      </c>
      <c r="B38" s="91" t="s">
        <v>143</v>
      </c>
      <c r="C38" s="90" t="s">
        <v>144</v>
      </c>
      <c r="D38" s="92" t="s">
        <v>64</v>
      </c>
      <c r="E38" s="92" t="s">
        <v>25</v>
      </c>
      <c r="F38" s="84">
        <v>96</v>
      </c>
      <c r="G38" s="84" t="s">
        <v>145</v>
      </c>
      <c r="H38" s="84" t="s">
        <v>145</v>
      </c>
      <c r="I38" s="84">
        <v>1</v>
      </c>
      <c r="J38" s="86" t="s">
        <v>146</v>
      </c>
      <c r="K38" s="99"/>
      <c r="L38" s="99"/>
      <c r="P38" s="99">
        <v>1223</v>
      </c>
      <c r="Q38" s="99">
        <v>7</v>
      </c>
      <c r="R38" s="84">
        <v>3</v>
      </c>
      <c r="S38" s="92" t="s">
        <v>28</v>
      </c>
      <c r="T38" s="92" t="s">
        <v>30</v>
      </c>
      <c r="U38" s="101">
        <f t="shared" si="0"/>
        <v>0.00569105691056911</v>
      </c>
    </row>
    <row r="39" ht="78" customHeight="1" spans="1:21">
      <c r="A39" s="90" t="s">
        <v>21</v>
      </c>
      <c r="B39" s="91" t="s">
        <v>147</v>
      </c>
      <c r="C39" s="90" t="s">
        <v>148</v>
      </c>
      <c r="D39" s="92" t="s">
        <v>64</v>
      </c>
      <c r="E39" s="90" t="s">
        <v>25</v>
      </c>
      <c r="F39" s="90">
        <v>75</v>
      </c>
      <c r="G39" s="84" t="s">
        <v>145</v>
      </c>
      <c r="H39" s="84" t="s">
        <v>145</v>
      </c>
      <c r="I39" s="84">
        <v>1</v>
      </c>
      <c r="J39" s="100" t="s">
        <v>149</v>
      </c>
      <c r="K39" s="99"/>
      <c r="L39" s="99"/>
      <c r="P39" s="99">
        <v>2603</v>
      </c>
      <c r="Q39" s="99">
        <v>70</v>
      </c>
      <c r="R39" s="84">
        <v>7</v>
      </c>
      <c r="S39" s="92" t="s">
        <v>28</v>
      </c>
      <c r="T39" s="92" t="s">
        <v>30</v>
      </c>
      <c r="U39" s="101">
        <f t="shared" si="0"/>
        <v>0.0261878039655817</v>
      </c>
    </row>
    <row r="40" ht="56.25" hidden="1" customHeight="1" spans="1:21">
      <c r="A40" s="90" t="s">
        <v>21</v>
      </c>
      <c r="B40" s="91" t="s">
        <v>150</v>
      </c>
      <c r="C40" s="90" t="s">
        <v>151</v>
      </c>
      <c r="D40" s="92" t="s">
        <v>64</v>
      </c>
      <c r="E40" s="90" t="s">
        <v>25</v>
      </c>
      <c r="F40" s="90">
        <v>57</v>
      </c>
      <c r="G40" s="92" t="s">
        <v>37</v>
      </c>
      <c r="H40" s="92" t="s">
        <v>37</v>
      </c>
      <c r="I40" s="92"/>
      <c r="J40" s="86" t="s">
        <v>152</v>
      </c>
      <c r="K40" s="99"/>
      <c r="L40" s="99"/>
      <c r="P40" s="99">
        <v>3639</v>
      </c>
      <c r="Q40" s="99">
        <v>363</v>
      </c>
      <c r="R40" s="84">
        <v>12</v>
      </c>
      <c r="S40" s="92" t="s">
        <v>28</v>
      </c>
      <c r="T40" s="92" t="s">
        <v>30</v>
      </c>
      <c r="U40" s="101">
        <f t="shared" si="0"/>
        <v>0.0907046476761619</v>
      </c>
    </row>
    <row r="41" ht="63.75" hidden="1" customHeight="1" spans="1:21">
      <c r="A41" s="90" t="s">
        <v>21</v>
      </c>
      <c r="B41" s="91" t="s">
        <v>153</v>
      </c>
      <c r="C41" s="90" t="s">
        <v>154</v>
      </c>
      <c r="D41" s="90" t="s">
        <v>64</v>
      </c>
      <c r="E41" s="90" t="s">
        <v>25</v>
      </c>
      <c r="F41" s="94">
        <v>31</v>
      </c>
      <c r="G41" s="92" t="s">
        <v>37</v>
      </c>
      <c r="H41" s="92" t="s">
        <v>37</v>
      </c>
      <c r="I41" s="92"/>
      <c r="J41" s="100" t="s">
        <v>155</v>
      </c>
      <c r="K41" s="99"/>
      <c r="L41" s="99"/>
      <c r="P41" s="99">
        <v>2516</v>
      </c>
      <c r="Q41" s="99">
        <v>553</v>
      </c>
      <c r="R41" s="84">
        <v>9</v>
      </c>
      <c r="S41" s="92" t="s">
        <v>28</v>
      </c>
      <c r="T41" s="92" t="s">
        <v>30</v>
      </c>
      <c r="U41" s="101">
        <f t="shared" si="0"/>
        <v>0.1801889866406</v>
      </c>
    </row>
    <row r="42" ht="66.75" hidden="1" customHeight="1" spans="1:21">
      <c r="A42" s="90" t="s">
        <v>21</v>
      </c>
      <c r="B42" s="91" t="s">
        <v>156</v>
      </c>
      <c r="C42" s="90" t="s">
        <v>157</v>
      </c>
      <c r="D42" s="90" t="s">
        <v>33</v>
      </c>
      <c r="E42" s="90" t="s">
        <v>33</v>
      </c>
      <c r="F42" s="95">
        <v>94</v>
      </c>
      <c r="G42" s="92" t="s">
        <v>26</v>
      </c>
      <c r="H42" s="92" t="s">
        <v>26</v>
      </c>
      <c r="I42" s="92"/>
      <c r="J42" s="100" t="s">
        <v>158</v>
      </c>
      <c r="K42" s="99"/>
      <c r="L42" s="99"/>
      <c r="P42" s="99">
        <v>1134</v>
      </c>
      <c r="Q42" s="99">
        <v>56</v>
      </c>
      <c r="R42" s="84">
        <v>4</v>
      </c>
      <c r="S42" s="92" t="s">
        <v>28</v>
      </c>
      <c r="T42" s="92" t="s">
        <v>30</v>
      </c>
      <c r="U42" s="101">
        <f t="shared" si="0"/>
        <v>0.0470588235294118</v>
      </c>
    </row>
    <row r="43" ht="78.75" customHeight="1" spans="1:21">
      <c r="A43" s="96" t="s">
        <v>21</v>
      </c>
      <c r="B43" s="91" t="s">
        <v>159</v>
      </c>
      <c r="C43" s="90" t="s">
        <v>160</v>
      </c>
      <c r="D43" s="90" t="s">
        <v>64</v>
      </c>
      <c r="E43" s="90" t="s">
        <v>25</v>
      </c>
      <c r="F43" s="95">
        <v>89</v>
      </c>
      <c r="G43" s="84" t="s">
        <v>145</v>
      </c>
      <c r="H43" s="84" t="s">
        <v>145</v>
      </c>
      <c r="I43" s="84">
        <v>1</v>
      </c>
      <c r="J43" s="100" t="s">
        <v>161</v>
      </c>
      <c r="K43" s="99"/>
      <c r="L43" s="99"/>
      <c r="P43" s="99">
        <v>1488</v>
      </c>
      <c r="Q43" s="99">
        <v>14</v>
      </c>
      <c r="R43" s="84">
        <v>4</v>
      </c>
      <c r="S43" s="92" t="s">
        <v>28</v>
      </c>
      <c r="T43" s="92" t="s">
        <v>30</v>
      </c>
      <c r="U43" s="101">
        <f t="shared" si="0"/>
        <v>0.00932090545938748</v>
      </c>
    </row>
    <row r="44" ht="74.25" hidden="1" customHeight="1" spans="1:21">
      <c r="A44" s="90" t="s">
        <v>21</v>
      </c>
      <c r="B44" s="91" t="s">
        <v>162</v>
      </c>
      <c r="C44" s="90" t="s">
        <v>163</v>
      </c>
      <c r="D44" s="97" t="s">
        <v>24</v>
      </c>
      <c r="E44" s="90" t="s">
        <v>25</v>
      </c>
      <c r="F44" s="95">
        <v>60</v>
      </c>
      <c r="G44" s="84" t="s">
        <v>145</v>
      </c>
      <c r="H44" s="84" t="s">
        <v>145</v>
      </c>
      <c r="J44" s="100" t="s">
        <v>164</v>
      </c>
      <c r="K44" s="99"/>
      <c r="L44" s="99"/>
      <c r="P44" s="99">
        <v>1012</v>
      </c>
      <c r="Q44" s="99">
        <v>33</v>
      </c>
      <c r="R44" s="84">
        <v>4</v>
      </c>
      <c r="S44" s="92" t="s">
        <v>28</v>
      </c>
      <c r="T44" s="92" t="s">
        <v>30</v>
      </c>
      <c r="U44" s="101">
        <f t="shared" si="0"/>
        <v>0.0315789473684211</v>
      </c>
    </row>
    <row r="45" ht="50.25" hidden="1" customHeight="1" spans="1:21">
      <c r="A45" s="90" t="s">
        <v>21</v>
      </c>
      <c r="B45" s="91" t="s">
        <v>165</v>
      </c>
      <c r="C45" s="90" t="s">
        <v>166</v>
      </c>
      <c r="D45" s="97" t="s">
        <v>24</v>
      </c>
      <c r="E45" s="90" t="s">
        <v>25</v>
      </c>
      <c r="F45" s="95">
        <v>45</v>
      </c>
      <c r="G45" s="92" t="s">
        <v>26</v>
      </c>
      <c r="H45" s="92" t="s">
        <v>26</v>
      </c>
      <c r="I45" s="92"/>
      <c r="J45" s="100" t="s">
        <v>167</v>
      </c>
      <c r="K45" s="99"/>
      <c r="L45" s="99"/>
      <c r="P45" s="99">
        <v>2010</v>
      </c>
      <c r="Q45" s="99">
        <v>628</v>
      </c>
      <c r="R45" s="84">
        <v>9</v>
      </c>
      <c r="S45" s="92" t="s">
        <v>28</v>
      </c>
      <c r="T45" s="92" t="s">
        <v>30</v>
      </c>
      <c r="U45" s="101">
        <f t="shared" si="0"/>
        <v>0.23805913570887</v>
      </c>
    </row>
    <row r="46" ht="77.25" hidden="1" customHeight="1" spans="1:21">
      <c r="A46" s="90" t="s">
        <v>21</v>
      </c>
      <c r="B46" s="91" t="s">
        <v>168</v>
      </c>
      <c r="C46" s="90" t="s">
        <v>169</v>
      </c>
      <c r="D46" s="90" t="s">
        <v>33</v>
      </c>
      <c r="E46" s="90" t="s">
        <v>33</v>
      </c>
      <c r="F46" s="95">
        <v>43</v>
      </c>
      <c r="G46" s="92" t="s">
        <v>26</v>
      </c>
      <c r="H46" s="92" t="s">
        <v>26</v>
      </c>
      <c r="I46" s="92"/>
      <c r="J46" s="100" t="s">
        <v>170</v>
      </c>
      <c r="K46" s="99"/>
      <c r="L46" s="99"/>
      <c r="P46" s="99">
        <v>1072</v>
      </c>
      <c r="Q46" s="99">
        <v>1205</v>
      </c>
      <c r="R46" s="84">
        <v>6</v>
      </c>
      <c r="S46" s="92" t="s">
        <v>28</v>
      </c>
      <c r="T46" s="92" t="s">
        <v>30</v>
      </c>
      <c r="U46" s="101">
        <f t="shared" si="0"/>
        <v>0.529205094422486</v>
      </c>
    </row>
    <row r="47" ht="78.75" customHeight="1" spans="1:21">
      <c r="A47" s="90" t="s">
        <v>21</v>
      </c>
      <c r="B47" s="91" t="s">
        <v>171</v>
      </c>
      <c r="C47" s="90" t="s">
        <v>172</v>
      </c>
      <c r="D47" s="97" t="s">
        <v>24</v>
      </c>
      <c r="E47" s="90" t="s">
        <v>25</v>
      </c>
      <c r="F47" s="95">
        <v>92</v>
      </c>
      <c r="G47" s="84" t="s">
        <v>145</v>
      </c>
      <c r="H47" s="84" t="s">
        <v>145</v>
      </c>
      <c r="I47" s="84">
        <v>1</v>
      </c>
      <c r="J47" s="100" t="s">
        <v>173</v>
      </c>
      <c r="K47" s="99"/>
      <c r="L47" s="99"/>
      <c r="P47" s="99">
        <v>2307</v>
      </c>
      <c r="Q47" s="99">
        <v>67</v>
      </c>
      <c r="R47" s="84">
        <v>6</v>
      </c>
      <c r="S47" s="92" t="s">
        <v>28</v>
      </c>
      <c r="T47" s="92" t="s">
        <v>30</v>
      </c>
      <c r="U47" s="101">
        <f t="shared" si="0"/>
        <v>0.0282224094355518</v>
      </c>
    </row>
    <row r="48" ht="77.25" hidden="1" customHeight="1" spans="1:21">
      <c r="A48" s="90" t="s">
        <v>21</v>
      </c>
      <c r="B48" s="91" t="s">
        <v>174</v>
      </c>
      <c r="C48" s="90" t="s">
        <v>175</v>
      </c>
      <c r="D48" s="97" t="s">
        <v>24</v>
      </c>
      <c r="E48" s="90" t="s">
        <v>25</v>
      </c>
      <c r="F48" s="95">
        <v>48</v>
      </c>
      <c r="G48" s="84" t="s">
        <v>145</v>
      </c>
      <c r="H48" s="84" t="s">
        <v>145</v>
      </c>
      <c r="J48" s="100" t="s">
        <v>176</v>
      </c>
      <c r="K48" s="99"/>
      <c r="L48" s="99"/>
      <c r="P48" s="99">
        <v>1791</v>
      </c>
      <c r="Q48" s="99">
        <v>60</v>
      </c>
      <c r="R48" s="84">
        <v>5</v>
      </c>
      <c r="S48" s="92" t="s">
        <v>28</v>
      </c>
      <c r="T48" s="92" t="s">
        <v>30</v>
      </c>
      <c r="U48" s="101">
        <f t="shared" si="0"/>
        <v>0.0324149108589951</v>
      </c>
    </row>
    <row r="49" ht="52.5" hidden="1" customHeight="1" spans="1:21">
      <c r="A49" s="90" t="s">
        <v>21</v>
      </c>
      <c r="B49" s="91" t="s">
        <v>177</v>
      </c>
      <c r="C49" s="90" t="s">
        <v>178</v>
      </c>
      <c r="D49" s="90" t="s">
        <v>33</v>
      </c>
      <c r="E49" s="90" t="s">
        <v>33</v>
      </c>
      <c r="F49" s="95">
        <v>16</v>
      </c>
      <c r="G49" s="92" t="s">
        <v>26</v>
      </c>
      <c r="H49" s="92" t="s">
        <v>26</v>
      </c>
      <c r="I49" s="92"/>
      <c r="J49" s="100" t="s">
        <v>179</v>
      </c>
      <c r="K49" s="99"/>
      <c r="L49" s="99"/>
      <c r="P49" s="99">
        <v>217</v>
      </c>
      <c r="Q49" s="99">
        <v>208</v>
      </c>
      <c r="R49" s="84">
        <v>2</v>
      </c>
      <c r="S49" s="92" t="s">
        <v>28</v>
      </c>
      <c r="T49" s="92" t="s">
        <v>30</v>
      </c>
      <c r="U49" s="101">
        <f t="shared" si="0"/>
        <v>0.489411764705882</v>
      </c>
    </row>
    <row r="50" ht="68.25" customHeight="1" spans="1:21">
      <c r="A50" s="90" t="s">
        <v>21</v>
      </c>
      <c r="B50" s="91" t="s">
        <v>180</v>
      </c>
      <c r="C50" s="90" t="s">
        <v>181</v>
      </c>
      <c r="D50" s="90" t="s">
        <v>33</v>
      </c>
      <c r="E50" s="90" t="s">
        <v>33</v>
      </c>
      <c r="F50" s="95">
        <v>91</v>
      </c>
      <c r="G50" s="92" t="s">
        <v>26</v>
      </c>
      <c r="H50" s="92" t="s">
        <v>26</v>
      </c>
      <c r="I50" s="92">
        <v>1</v>
      </c>
      <c r="J50" s="86" t="s">
        <v>182</v>
      </c>
      <c r="K50" s="99"/>
      <c r="L50" s="99"/>
      <c r="P50" s="99">
        <v>1708</v>
      </c>
      <c r="Q50" s="99">
        <v>169</v>
      </c>
      <c r="R50" s="84">
        <v>5</v>
      </c>
      <c r="S50" s="92" t="s">
        <v>28</v>
      </c>
      <c r="T50" s="92" t="s">
        <v>30</v>
      </c>
      <c r="U50" s="101">
        <f t="shared" si="0"/>
        <v>0.0900372935535429</v>
      </c>
    </row>
    <row r="51" ht="15.75" customHeight="1" spans="2:17">
      <c r="B51" s="91"/>
      <c r="K51" s="99"/>
      <c r="L51" s="99"/>
      <c r="P51" s="99"/>
      <c r="Q51" s="99"/>
    </row>
    <row r="52" ht="15.75" customHeight="1" spans="2:17">
      <c r="B52" s="91"/>
      <c r="K52" s="99"/>
      <c r="L52" s="99"/>
      <c r="P52" s="99"/>
      <c r="Q52" s="99"/>
    </row>
    <row r="53" ht="15.75" customHeight="1" spans="2:17">
      <c r="B53" s="91"/>
      <c r="K53" s="99"/>
      <c r="L53" s="99"/>
      <c r="P53" s="99"/>
      <c r="Q53" s="99"/>
    </row>
    <row r="54" ht="15.75" customHeight="1" spans="2:17">
      <c r="B54" s="91"/>
      <c r="K54" s="99"/>
      <c r="L54" s="99"/>
      <c r="P54" s="99"/>
      <c r="Q54" s="99"/>
    </row>
    <row r="55" ht="15.75" customHeight="1" spans="2:17">
      <c r="B55" s="91"/>
      <c r="K55" s="99"/>
      <c r="L55" s="99"/>
      <c r="P55" s="99"/>
      <c r="Q55" s="99"/>
    </row>
    <row r="56" ht="15.75" customHeight="1" spans="2:17">
      <c r="B56" s="91"/>
      <c r="G56" s="90"/>
      <c r="K56" s="99"/>
      <c r="L56" s="99"/>
      <c r="P56" s="99"/>
      <c r="Q56" s="99"/>
    </row>
    <row r="57" ht="15.75" customHeight="1" spans="2:17">
      <c r="B57" s="91"/>
      <c r="K57" s="99"/>
      <c r="L57" s="99"/>
      <c r="P57" s="99"/>
      <c r="Q57" s="99"/>
    </row>
    <row r="58" ht="15.75" customHeight="1" spans="2:17">
      <c r="B58" s="91"/>
      <c r="K58" s="99"/>
      <c r="L58" s="99"/>
      <c r="P58" s="99"/>
      <c r="Q58" s="99"/>
    </row>
    <row r="59" ht="15.75" customHeight="1" spans="2:17">
      <c r="B59" s="91"/>
      <c r="K59" s="99"/>
      <c r="L59" s="99"/>
      <c r="P59" s="99"/>
      <c r="Q59" s="99"/>
    </row>
    <row r="60" ht="15.75" customHeight="1" spans="2:17">
      <c r="B60" s="91"/>
      <c r="K60" s="99"/>
      <c r="L60" s="99"/>
      <c r="P60" s="99"/>
      <c r="Q60" s="99"/>
    </row>
    <row r="61" ht="15.75" customHeight="1" spans="2:17">
      <c r="B61" s="91"/>
      <c r="K61" s="99"/>
      <c r="L61" s="99"/>
      <c r="P61" s="99"/>
      <c r="Q61" s="99"/>
    </row>
    <row r="62" ht="15.75" customHeight="1" spans="2:17">
      <c r="B62" s="91"/>
      <c r="K62" s="99"/>
      <c r="L62" s="99"/>
      <c r="P62" s="99"/>
      <c r="Q62" s="99"/>
    </row>
    <row r="63" ht="15.75" customHeight="1" spans="2:17">
      <c r="B63" s="91"/>
      <c r="K63" s="99"/>
      <c r="L63" s="99"/>
      <c r="P63" s="99"/>
      <c r="Q63" s="99"/>
    </row>
    <row r="64" ht="15.75" customHeight="1" spans="2:17">
      <c r="B64" s="91"/>
      <c r="K64" s="99"/>
      <c r="L64" s="99"/>
      <c r="P64" s="99"/>
      <c r="Q64" s="99"/>
    </row>
    <row r="65" ht="15.75" customHeight="1" spans="2:17">
      <c r="B65" s="91"/>
      <c r="K65" s="99"/>
      <c r="L65" s="99"/>
      <c r="P65" s="99"/>
      <c r="Q65" s="99"/>
    </row>
    <row r="66" ht="15.75" customHeight="1" spans="2:17">
      <c r="B66" s="91"/>
      <c r="K66" s="99"/>
      <c r="L66" s="99"/>
      <c r="P66" s="99"/>
      <c r="Q66" s="99"/>
    </row>
    <row r="67" ht="15.75" customHeight="1" spans="2:17">
      <c r="B67" s="91"/>
      <c r="K67" s="99"/>
      <c r="L67" s="99"/>
      <c r="P67" s="99"/>
      <c r="Q67" s="99"/>
    </row>
    <row r="68" ht="15.75" customHeight="1" spans="2:17">
      <c r="B68" s="91"/>
      <c r="K68" s="99"/>
      <c r="L68" s="99"/>
      <c r="P68" s="99"/>
      <c r="Q68" s="99"/>
    </row>
    <row r="69" ht="15.75" customHeight="1" spans="2:17">
      <c r="B69" s="91"/>
      <c r="K69" s="99"/>
      <c r="L69" s="99"/>
      <c r="P69" s="99"/>
      <c r="Q69" s="99"/>
    </row>
    <row r="70" ht="15.75" customHeight="1" spans="2:17">
      <c r="B70" s="91"/>
      <c r="K70" s="99"/>
      <c r="L70" s="99"/>
      <c r="P70" s="99"/>
      <c r="Q70" s="99"/>
    </row>
    <row r="71" ht="15.75" customHeight="1" spans="2:17">
      <c r="B71" s="91"/>
      <c r="K71" s="99"/>
      <c r="L71" s="99"/>
      <c r="P71" s="99"/>
      <c r="Q71" s="99"/>
    </row>
    <row r="72" ht="15.75" customHeight="1" spans="2:17">
      <c r="B72" s="91"/>
      <c r="K72" s="99"/>
      <c r="L72" s="99"/>
      <c r="P72" s="99"/>
      <c r="Q72" s="99"/>
    </row>
    <row r="73" ht="15.75" customHeight="1" spans="2:17">
      <c r="B73" s="91"/>
      <c r="K73" s="99"/>
      <c r="L73" s="99"/>
      <c r="P73" s="99"/>
      <c r="Q73" s="99"/>
    </row>
    <row r="74" ht="15.75" customHeight="1" spans="2:17">
      <c r="B74" s="91"/>
      <c r="K74" s="99"/>
      <c r="L74" s="99"/>
      <c r="P74" s="99"/>
      <c r="Q74" s="99"/>
    </row>
    <row r="75" ht="15.75" customHeight="1" spans="2:17">
      <c r="B75" s="91"/>
      <c r="K75" s="99"/>
      <c r="L75" s="99"/>
      <c r="P75" s="99"/>
      <c r="Q75" s="99"/>
    </row>
    <row r="76" ht="15.75" customHeight="1" spans="2:17">
      <c r="B76" s="91"/>
      <c r="K76" s="99"/>
      <c r="L76" s="99"/>
      <c r="P76" s="99"/>
      <c r="Q76" s="99"/>
    </row>
    <row r="77" ht="15.75" customHeight="1" spans="2:17">
      <c r="B77" s="91"/>
      <c r="K77" s="99"/>
      <c r="L77" s="99"/>
      <c r="P77" s="99"/>
      <c r="Q77" s="99"/>
    </row>
    <row r="78" ht="15.75" customHeight="1" spans="2:17">
      <c r="B78" s="91"/>
      <c r="K78" s="99"/>
      <c r="L78" s="99"/>
      <c r="P78" s="99"/>
      <c r="Q78" s="99"/>
    </row>
    <row r="79" ht="15.75" customHeight="1" spans="2:17">
      <c r="B79" s="91"/>
      <c r="K79" s="99"/>
      <c r="L79" s="99"/>
      <c r="P79" s="99"/>
      <c r="Q79" s="99"/>
    </row>
    <row r="80" ht="15.75" customHeight="1" spans="2:17">
      <c r="B80" s="91"/>
      <c r="K80" s="99"/>
      <c r="L80" s="99"/>
      <c r="P80" s="99"/>
      <c r="Q80" s="99"/>
    </row>
    <row r="81" ht="15.75" customHeight="1" spans="2:17">
      <c r="B81" s="91"/>
      <c r="K81" s="99"/>
      <c r="L81" s="99"/>
      <c r="P81" s="99"/>
      <c r="Q81" s="99"/>
    </row>
    <row r="82" ht="15.75" customHeight="1" spans="2:17">
      <c r="B82" s="91"/>
      <c r="K82" s="99"/>
      <c r="L82" s="99"/>
      <c r="P82" s="99"/>
      <c r="Q82" s="99"/>
    </row>
    <row r="83" ht="15.75" customHeight="1" spans="2:17">
      <c r="B83" s="91"/>
      <c r="K83" s="99"/>
      <c r="L83" s="99"/>
      <c r="P83" s="99"/>
      <c r="Q83" s="99"/>
    </row>
    <row r="84" ht="15.75" customHeight="1" spans="2:17">
      <c r="B84" s="91"/>
      <c r="K84" s="99"/>
      <c r="L84" s="99"/>
      <c r="P84" s="99"/>
      <c r="Q84" s="99"/>
    </row>
    <row r="85" ht="15.75" customHeight="1" spans="2:17">
      <c r="B85" s="91"/>
      <c r="K85" s="99"/>
      <c r="L85" s="99"/>
      <c r="P85" s="99"/>
      <c r="Q85" s="99"/>
    </row>
    <row r="86" ht="15.75" customHeight="1" spans="2:17">
      <c r="B86" s="91"/>
      <c r="K86" s="99"/>
      <c r="L86" s="99"/>
      <c r="P86" s="99"/>
      <c r="Q86" s="99"/>
    </row>
    <row r="87" ht="15.75" customHeight="1" spans="2:17">
      <c r="B87" s="91"/>
      <c r="K87" s="99"/>
      <c r="L87" s="99"/>
      <c r="P87" s="99"/>
      <c r="Q87" s="99"/>
    </row>
    <row r="88" ht="15.75" customHeight="1" spans="2:17">
      <c r="B88" s="91"/>
      <c r="K88" s="99"/>
      <c r="L88" s="99"/>
      <c r="P88" s="99"/>
      <c r="Q88" s="99"/>
    </row>
    <row r="89" ht="15.75" customHeight="1" spans="2:17">
      <c r="B89" s="91"/>
      <c r="K89" s="99"/>
      <c r="L89" s="99"/>
      <c r="P89" s="99"/>
      <c r="Q89" s="99"/>
    </row>
    <row r="90" ht="15.75" customHeight="1" spans="2:17">
      <c r="B90" s="91"/>
      <c r="K90" s="99"/>
      <c r="L90" s="99"/>
      <c r="P90" s="99"/>
      <c r="Q90" s="99"/>
    </row>
    <row r="91" ht="15.75" customHeight="1" spans="2:17">
      <c r="B91" s="91"/>
      <c r="K91" s="99"/>
      <c r="L91" s="99"/>
      <c r="P91" s="99"/>
      <c r="Q91" s="99"/>
    </row>
    <row r="92" ht="15.75" customHeight="1" spans="2:17">
      <c r="B92" s="91"/>
      <c r="K92" s="99"/>
      <c r="L92" s="99"/>
      <c r="P92" s="99"/>
      <c r="Q92" s="99"/>
    </row>
    <row r="93" ht="15.75" customHeight="1" spans="2:17">
      <c r="B93" s="91"/>
      <c r="K93" s="99"/>
      <c r="L93" s="99"/>
      <c r="P93" s="99"/>
      <c r="Q93" s="99"/>
    </row>
    <row r="94" ht="15.75" customHeight="1" spans="2:17">
      <c r="B94" s="91"/>
      <c r="K94" s="99"/>
      <c r="L94" s="99"/>
      <c r="P94" s="99"/>
      <c r="Q94" s="99"/>
    </row>
    <row r="95" ht="15.75" customHeight="1" spans="2:17">
      <c r="B95" s="91"/>
      <c r="K95" s="99"/>
      <c r="L95" s="99"/>
      <c r="P95" s="99"/>
      <c r="Q95" s="99"/>
    </row>
    <row r="96" ht="15.75" customHeight="1" spans="2:17">
      <c r="B96" s="91"/>
      <c r="K96" s="99"/>
      <c r="L96" s="99"/>
      <c r="P96" s="99"/>
      <c r="Q96" s="99"/>
    </row>
    <row r="97" ht="15.75" customHeight="1" spans="2:17">
      <c r="B97" s="91"/>
      <c r="K97" s="99"/>
      <c r="L97" s="99"/>
      <c r="P97" s="99"/>
      <c r="Q97" s="99"/>
    </row>
    <row r="98" ht="15.75" customHeight="1" spans="2:17">
      <c r="B98" s="91"/>
      <c r="K98" s="99"/>
      <c r="L98" s="99"/>
      <c r="P98" s="99"/>
      <c r="Q98" s="99"/>
    </row>
    <row r="99" ht="15.75" customHeight="1" spans="2:17">
      <c r="B99" s="91"/>
      <c r="K99" s="99"/>
      <c r="L99" s="99"/>
      <c r="P99" s="99"/>
      <c r="Q99" s="99"/>
    </row>
    <row r="100" ht="15.75" customHeight="1" spans="2:17">
      <c r="B100" s="91"/>
      <c r="K100" s="99"/>
      <c r="L100" s="99"/>
      <c r="P100" s="99"/>
      <c r="Q100" s="99"/>
    </row>
    <row r="101" ht="15.75" customHeight="1" spans="2:17">
      <c r="B101" s="91"/>
      <c r="K101" s="99"/>
      <c r="L101" s="99"/>
      <c r="P101" s="99"/>
      <c r="Q101" s="99"/>
    </row>
    <row r="102" ht="15.75" customHeight="1" spans="2:17">
      <c r="B102" s="91"/>
      <c r="K102" s="99"/>
      <c r="L102" s="99"/>
      <c r="P102" s="99"/>
      <c r="Q102" s="99"/>
    </row>
    <row r="103" ht="15.75" customHeight="1" spans="2:17">
      <c r="B103" s="91"/>
      <c r="K103" s="99"/>
      <c r="L103" s="99"/>
      <c r="P103" s="99"/>
      <c r="Q103" s="99"/>
    </row>
    <row r="104" ht="15.75" customHeight="1" spans="2:17">
      <c r="B104" s="91"/>
      <c r="K104" s="99"/>
      <c r="L104" s="99"/>
      <c r="P104" s="99"/>
      <c r="Q104" s="99"/>
    </row>
    <row r="105" ht="15.75" customHeight="1" spans="2:17">
      <c r="B105" s="91"/>
      <c r="K105" s="99"/>
      <c r="L105" s="99"/>
      <c r="P105" s="99"/>
      <c r="Q105" s="99"/>
    </row>
    <row r="106" ht="15.75" customHeight="1" spans="2:17">
      <c r="B106" s="91"/>
      <c r="K106" s="99"/>
      <c r="L106" s="99"/>
      <c r="P106" s="99"/>
      <c r="Q106" s="99"/>
    </row>
    <row r="107" ht="15.75" customHeight="1" spans="2:17">
      <c r="B107" s="91"/>
      <c r="K107" s="99"/>
      <c r="L107" s="99"/>
      <c r="P107" s="99"/>
      <c r="Q107" s="99"/>
    </row>
    <row r="108" ht="15.75" customHeight="1" spans="2:17">
      <c r="B108" s="91"/>
      <c r="K108" s="99"/>
      <c r="L108" s="99"/>
      <c r="P108" s="99"/>
      <c r="Q108" s="99"/>
    </row>
    <row r="109" ht="15.75" customHeight="1" spans="2:17">
      <c r="B109" s="91"/>
      <c r="K109" s="99"/>
      <c r="L109" s="99"/>
      <c r="P109" s="99"/>
      <c r="Q109" s="99"/>
    </row>
    <row r="110" ht="15.75" customHeight="1" spans="2:17">
      <c r="B110" s="91"/>
      <c r="K110" s="99"/>
      <c r="L110" s="99"/>
      <c r="P110" s="99"/>
      <c r="Q110" s="99"/>
    </row>
    <row r="111" ht="15.75" customHeight="1" spans="2:17">
      <c r="B111" s="91"/>
      <c r="K111" s="99"/>
      <c r="L111" s="99"/>
      <c r="P111" s="99"/>
      <c r="Q111" s="99"/>
    </row>
    <row r="112" ht="15.75" customHeight="1" spans="2:17">
      <c r="B112" s="91"/>
      <c r="K112" s="99"/>
      <c r="L112" s="99"/>
      <c r="P112" s="99"/>
      <c r="Q112" s="99"/>
    </row>
    <row r="113" ht="15.75" customHeight="1" spans="2:17">
      <c r="B113" s="91"/>
      <c r="K113" s="99"/>
      <c r="L113" s="99"/>
      <c r="P113" s="99"/>
      <c r="Q113" s="99"/>
    </row>
    <row r="114" ht="15.75" customHeight="1" spans="2:17">
      <c r="B114" s="91"/>
      <c r="K114" s="99"/>
      <c r="L114" s="99"/>
      <c r="P114" s="99"/>
      <c r="Q114" s="99"/>
    </row>
    <row r="115" ht="15.75" customHeight="1" spans="2:17">
      <c r="B115" s="91"/>
      <c r="K115" s="99"/>
      <c r="L115" s="99"/>
      <c r="P115" s="99"/>
      <c r="Q115" s="99"/>
    </row>
    <row r="116" ht="15.75" customHeight="1" spans="2:17">
      <c r="B116" s="91"/>
      <c r="K116" s="99"/>
      <c r="L116" s="99"/>
      <c r="P116" s="99"/>
      <c r="Q116" s="99"/>
    </row>
    <row r="117" ht="15.75" customHeight="1" spans="2:17">
      <c r="B117" s="91"/>
      <c r="K117" s="99"/>
      <c r="L117" s="99"/>
      <c r="P117" s="99"/>
      <c r="Q117" s="99"/>
    </row>
    <row r="118" ht="15.75" customHeight="1" spans="2:17">
      <c r="B118" s="91"/>
      <c r="K118" s="99"/>
      <c r="L118" s="99"/>
      <c r="P118" s="99"/>
      <c r="Q118" s="99"/>
    </row>
    <row r="119" ht="15.75" customHeight="1" spans="2:17">
      <c r="B119" s="91"/>
      <c r="K119" s="99"/>
      <c r="L119" s="99"/>
      <c r="P119" s="99"/>
      <c r="Q119" s="99"/>
    </row>
    <row r="120" ht="15.75" customHeight="1" spans="2:17">
      <c r="B120" s="91"/>
      <c r="K120" s="99"/>
      <c r="L120" s="99"/>
      <c r="P120" s="99"/>
      <c r="Q120" s="99"/>
    </row>
    <row r="121" ht="15.75" customHeight="1" spans="2:17">
      <c r="B121" s="91"/>
      <c r="K121" s="99"/>
      <c r="L121" s="99"/>
      <c r="P121" s="99"/>
      <c r="Q121" s="99"/>
    </row>
    <row r="122" ht="15.75" customHeight="1" spans="2:17">
      <c r="B122" s="91"/>
      <c r="K122" s="99"/>
      <c r="L122" s="99"/>
      <c r="P122" s="99"/>
      <c r="Q122" s="99"/>
    </row>
    <row r="123" ht="15.75" customHeight="1" spans="2:17">
      <c r="B123" s="91"/>
      <c r="K123" s="99"/>
      <c r="L123" s="99"/>
      <c r="P123" s="99"/>
      <c r="Q123" s="99"/>
    </row>
    <row r="124" ht="15.75" customHeight="1" spans="2:17">
      <c r="B124" s="91"/>
      <c r="K124" s="99"/>
      <c r="L124" s="99"/>
      <c r="P124" s="99"/>
      <c r="Q124" s="99"/>
    </row>
    <row r="125" ht="15.75" customHeight="1" spans="2:17">
      <c r="B125" s="91"/>
      <c r="K125" s="99"/>
      <c r="L125" s="99"/>
      <c r="P125" s="99"/>
      <c r="Q125" s="99"/>
    </row>
    <row r="126" ht="15.75" customHeight="1" spans="2:17">
      <c r="B126" s="91"/>
      <c r="K126" s="99"/>
      <c r="L126" s="99"/>
      <c r="P126" s="99"/>
      <c r="Q126" s="99"/>
    </row>
    <row r="127" ht="15.75" customHeight="1" spans="2:17">
      <c r="B127" s="91"/>
      <c r="K127" s="99"/>
      <c r="L127" s="99"/>
      <c r="P127" s="99"/>
      <c r="Q127" s="99"/>
    </row>
    <row r="128" ht="15.75" customHeight="1" spans="2:17">
      <c r="B128" s="91"/>
      <c r="K128" s="99"/>
      <c r="L128" s="99"/>
      <c r="P128" s="99"/>
      <c r="Q128" s="99"/>
    </row>
    <row r="129" ht="15.75" customHeight="1" spans="2:17">
      <c r="B129" s="91"/>
      <c r="K129" s="99"/>
      <c r="L129" s="99"/>
      <c r="P129" s="99"/>
      <c r="Q129" s="99"/>
    </row>
    <row r="130" ht="15.75" customHeight="1" spans="2:17">
      <c r="B130" s="91"/>
      <c r="K130" s="99"/>
      <c r="L130" s="99"/>
      <c r="P130" s="99"/>
      <c r="Q130" s="99"/>
    </row>
    <row r="131" ht="15.75" customHeight="1" spans="2:17">
      <c r="B131" s="91"/>
      <c r="K131" s="99"/>
      <c r="L131" s="99"/>
      <c r="P131" s="99"/>
      <c r="Q131" s="99"/>
    </row>
    <row r="132" ht="15.75" customHeight="1" spans="2:17">
      <c r="B132" s="91"/>
      <c r="K132" s="99"/>
      <c r="L132" s="99"/>
      <c r="P132" s="99"/>
      <c r="Q132" s="99"/>
    </row>
    <row r="133" ht="15.75" customHeight="1" spans="2:17">
      <c r="B133" s="91"/>
      <c r="K133" s="99"/>
      <c r="L133" s="99"/>
      <c r="P133" s="99"/>
      <c r="Q133" s="99"/>
    </row>
    <row r="134" ht="15.75" customHeight="1" spans="2:17">
      <c r="B134" s="91"/>
      <c r="K134" s="99"/>
      <c r="L134" s="99"/>
      <c r="P134" s="99"/>
      <c r="Q134" s="99"/>
    </row>
    <row r="135" ht="15.75" customHeight="1" spans="2:17">
      <c r="B135" s="91"/>
      <c r="K135" s="99"/>
      <c r="L135" s="99"/>
      <c r="P135" s="99"/>
      <c r="Q135" s="99"/>
    </row>
    <row r="136" ht="15.75" customHeight="1" spans="2:17">
      <c r="B136" s="91"/>
      <c r="K136" s="99"/>
      <c r="L136" s="99"/>
      <c r="P136" s="99"/>
      <c r="Q136" s="99"/>
    </row>
    <row r="137" ht="15.75" customHeight="1" spans="2:17">
      <c r="B137" s="91"/>
      <c r="K137" s="99"/>
      <c r="L137" s="99"/>
      <c r="P137" s="99"/>
      <c r="Q137" s="99"/>
    </row>
    <row r="138" ht="15.75" customHeight="1" spans="2:17">
      <c r="B138" s="91"/>
      <c r="K138" s="99"/>
      <c r="L138" s="99"/>
      <c r="P138" s="99"/>
      <c r="Q138" s="99"/>
    </row>
    <row r="139" ht="15.75" customHeight="1" spans="2:17">
      <c r="B139" s="91"/>
      <c r="K139" s="99"/>
      <c r="L139" s="99"/>
      <c r="P139" s="99"/>
      <c r="Q139" s="99"/>
    </row>
    <row r="140" ht="15.75" customHeight="1" spans="2:17">
      <c r="B140" s="91"/>
      <c r="K140" s="99"/>
      <c r="L140" s="99"/>
      <c r="P140" s="99"/>
      <c r="Q140" s="99"/>
    </row>
    <row r="141" ht="15.75" customHeight="1" spans="2:17">
      <c r="B141" s="91"/>
      <c r="K141" s="99"/>
      <c r="L141" s="99"/>
      <c r="P141" s="99"/>
      <c r="Q141" s="99"/>
    </row>
    <row r="142" ht="15.75" customHeight="1" spans="2:17">
      <c r="B142" s="91"/>
      <c r="K142" s="99"/>
      <c r="L142" s="99"/>
      <c r="P142" s="99"/>
      <c r="Q142" s="99"/>
    </row>
    <row r="143" ht="15.75" customHeight="1" spans="2:17">
      <c r="B143" s="91"/>
      <c r="K143" s="99"/>
      <c r="L143" s="99"/>
      <c r="P143" s="99"/>
      <c r="Q143" s="99"/>
    </row>
    <row r="144" ht="15.75" customHeight="1" spans="2:17">
      <c r="B144" s="91"/>
      <c r="K144" s="99"/>
      <c r="L144" s="99"/>
      <c r="P144" s="99"/>
      <c r="Q144" s="99"/>
    </row>
    <row r="145" ht="15.75" customHeight="1" spans="2:17">
      <c r="B145" s="91"/>
      <c r="K145" s="99"/>
      <c r="L145" s="99"/>
      <c r="P145" s="99"/>
      <c r="Q145" s="99"/>
    </row>
    <row r="146" ht="15.75" customHeight="1" spans="2:17">
      <c r="B146" s="91"/>
      <c r="K146" s="99"/>
      <c r="L146" s="99"/>
      <c r="P146" s="99"/>
      <c r="Q146" s="99"/>
    </row>
    <row r="147" ht="15.75" customHeight="1" spans="2:17">
      <c r="B147" s="91"/>
      <c r="K147" s="99"/>
      <c r="L147" s="99"/>
      <c r="P147" s="99"/>
      <c r="Q147" s="99"/>
    </row>
    <row r="148" ht="15.75" customHeight="1" spans="2:17">
      <c r="B148" s="91"/>
      <c r="K148" s="99"/>
      <c r="L148" s="99"/>
      <c r="P148" s="99"/>
      <c r="Q148" s="99"/>
    </row>
    <row r="149" ht="15.75" customHeight="1" spans="2:17">
      <c r="B149" s="91"/>
      <c r="K149" s="99"/>
      <c r="L149" s="99"/>
      <c r="P149" s="99"/>
      <c r="Q149" s="99"/>
    </row>
    <row r="150" ht="15.75" customHeight="1" spans="2:17">
      <c r="B150" s="91"/>
      <c r="K150" s="99"/>
      <c r="L150" s="99"/>
      <c r="P150" s="99"/>
      <c r="Q150" s="99"/>
    </row>
    <row r="151" ht="15.75" customHeight="1" spans="2:17">
      <c r="B151" s="91"/>
      <c r="K151" s="99"/>
      <c r="L151" s="99"/>
      <c r="P151" s="99"/>
      <c r="Q151" s="99"/>
    </row>
    <row r="152" ht="15.75" customHeight="1" spans="2:17">
      <c r="B152" s="91"/>
      <c r="K152" s="99"/>
      <c r="L152" s="99"/>
      <c r="P152" s="99"/>
      <c r="Q152" s="99"/>
    </row>
    <row r="153" ht="15.75" customHeight="1" spans="2:17">
      <c r="B153" s="91"/>
      <c r="K153" s="99"/>
      <c r="L153" s="99"/>
      <c r="P153" s="99"/>
      <c r="Q153" s="99"/>
    </row>
    <row r="154" ht="15.75" customHeight="1" spans="2:17">
      <c r="B154" s="91"/>
      <c r="K154" s="99"/>
      <c r="L154" s="99"/>
      <c r="P154" s="99"/>
      <c r="Q154" s="99"/>
    </row>
    <row r="155" ht="15.75" customHeight="1" spans="2:17">
      <c r="B155" s="91"/>
      <c r="K155" s="99"/>
      <c r="L155" s="99"/>
      <c r="P155" s="99"/>
      <c r="Q155" s="99"/>
    </row>
    <row r="156" ht="15.75" customHeight="1" spans="2:17">
      <c r="B156" s="91"/>
      <c r="K156" s="99"/>
      <c r="L156" s="99"/>
      <c r="P156" s="99"/>
      <c r="Q156" s="99"/>
    </row>
    <row r="157" ht="15.75" customHeight="1" spans="2:17">
      <c r="B157" s="91"/>
      <c r="K157" s="99"/>
      <c r="L157" s="99"/>
      <c r="P157" s="99"/>
      <c r="Q157" s="99"/>
    </row>
    <row r="158" ht="15.75" customHeight="1" spans="2:17">
      <c r="B158" s="91"/>
      <c r="K158" s="99"/>
      <c r="L158" s="99"/>
      <c r="P158" s="99"/>
      <c r="Q158" s="99"/>
    </row>
    <row r="159" ht="15.75" customHeight="1" spans="2:17">
      <c r="B159" s="91"/>
      <c r="K159" s="99"/>
      <c r="L159" s="99"/>
      <c r="P159" s="99"/>
      <c r="Q159" s="99"/>
    </row>
    <row r="160" ht="15.75" customHeight="1" spans="2:17">
      <c r="B160" s="91"/>
      <c r="K160" s="99"/>
      <c r="L160" s="99"/>
      <c r="P160" s="99"/>
      <c r="Q160" s="99"/>
    </row>
    <row r="161" ht="15.75" customHeight="1" spans="2:17">
      <c r="B161" s="91"/>
      <c r="K161" s="99"/>
      <c r="L161" s="99"/>
      <c r="P161" s="99"/>
      <c r="Q161" s="99"/>
    </row>
    <row r="162" ht="15.75" customHeight="1" spans="2:17">
      <c r="B162" s="91"/>
      <c r="K162" s="99"/>
      <c r="L162" s="99"/>
      <c r="P162" s="99"/>
      <c r="Q162" s="99"/>
    </row>
    <row r="163" ht="15.75" customHeight="1" spans="2:17">
      <c r="B163" s="91"/>
      <c r="K163" s="99"/>
      <c r="L163" s="99"/>
      <c r="P163" s="99"/>
      <c r="Q163" s="99"/>
    </row>
    <row r="164" ht="15.75" customHeight="1" spans="2:17">
      <c r="B164" s="91"/>
      <c r="K164" s="99"/>
      <c r="L164" s="99"/>
      <c r="P164" s="99"/>
      <c r="Q164" s="99"/>
    </row>
    <row r="165" ht="15.75" customHeight="1" spans="2:17">
      <c r="B165" s="91"/>
      <c r="K165" s="99"/>
      <c r="L165" s="99"/>
      <c r="P165" s="99"/>
      <c r="Q165" s="99"/>
    </row>
    <row r="166" ht="15.75" customHeight="1" spans="2:17">
      <c r="B166" s="91"/>
      <c r="K166" s="99"/>
      <c r="L166" s="99"/>
      <c r="P166" s="99"/>
      <c r="Q166" s="99"/>
    </row>
    <row r="167" ht="15.75" customHeight="1" spans="2:17">
      <c r="B167" s="91"/>
      <c r="K167" s="99"/>
      <c r="L167" s="99"/>
      <c r="P167" s="99"/>
      <c r="Q167" s="99"/>
    </row>
    <row r="168" ht="15.75" customHeight="1" spans="2:17">
      <c r="B168" s="91"/>
      <c r="K168" s="99"/>
      <c r="L168" s="99"/>
      <c r="P168" s="99"/>
      <c r="Q168" s="99"/>
    </row>
    <row r="169" ht="15.75" customHeight="1" spans="2:17">
      <c r="B169" s="91"/>
      <c r="K169" s="99"/>
      <c r="L169" s="99"/>
      <c r="P169" s="99"/>
      <c r="Q169" s="99"/>
    </row>
    <row r="170" ht="15.75" customHeight="1" spans="2:17">
      <c r="B170" s="91"/>
      <c r="K170" s="99"/>
      <c r="L170" s="99"/>
      <c r="P170" s="99"/>
      <c r="Q170" s="99"/>
    </row>
    <row r="171" ht="15.75" customHeight="1" spans="2:17">
      <c r="B171" s="91"/>
      <c r="K171" s="99"/>
      <c r="L171" s="99"/>
      <c r="P171" s="99"/>
      <c r="Q171" s="99"/>
    </row>
    <row r="172" ht="15.75" customHeight="1" spans="2:17">
      <c r="B172" s="91"/>
      <c r="K172" s="99"/>
      <c r="L172" s="99"/>
      <c r="P172" s="99"/>
      <c r="Q172" s="99"/>
    </row>
    <row r="173" ht="15.75" customHeight="1" spans="2:17">
      <c r="B173" s="91"/>
      <c r="K173" s="99"/>
      <c r="L173" s="99"/>
      <c r="P173" s="99"/>
      <c r="Q173" s="99"/>
    </row>
    <row r="174" ht="15.75" customHeight="1" spans="2:17">
      <c r="B174" s="91"/>
      <c r="K174" s="99"/>
      <c r="L174" s="99"/>
      <c r="P174" s="99"/>
      <c r="Q174" s="99"/>
    </row>
    <row r="175" ht="15.75" customHeight="1" spans="2:17">
      <c r="B175" s="91"/>
      <c r="K175" s="99"/>
      <c r="L175" s="99"/>
      <c r="P175" s="99"/>
      <c r="Q175" s="99"/>
    </row>
    <row r="176" ht="15.75" customHeight="1" spans="2:17">
      <c r="B176" s="91"/>
      <c r="K176" s="99"/>
      <c r="L176" s="99"/>
      <c r="P176" s="99"/>
      <c r="Q176" s="99"/>
    </row>
    <row r="177" ht="15.75" customHeight="1" spans="2:17">
      <c r="B177" s="91"/>
      <c r="K177" s="99"/>
      <c r="L177" s="99"/>
      <c r="P177" s="99"/>
      <c r="Q177" s="99"/>
    </row>
    <row r="178" ht="15.75" customHeight="1" spans="2:17">
      <c r="B178" s="91"/>
      <c r="K178" s="99"/>
      <c r="L178" s="99"/>
      <c r="P178" s="99"/>
      <c r="Q178" s="99"/>
    </row>
    <row r="179" ht="15.75" customHeight="1" spans="2:17">
      <c r="B179" s="91"/>
      <c r="K179" s="99"/>
      <c r="L179" s="99"/>
      <c r="P179" s="99"/>
      <c r="Q179" s="99"/>
    </row>
    <row r="180" ht="15.75" customHeight="1" spans="2:17">
      <c r="B180" s="91"/>
      <c r="K180" s="99"/>
      <c r="L180" s="99"/>
      <c r="P180" s="99"/>
      <c r="Q180" s="99"/>
    </row>
    <row r="181" ht="15.75" customHeight="1" spans="2:17">
      <c r="B181" s="91"/>
      <c r="K181" s="99"/>
      <c r="L181" s="99"/>
      <c r="P181" s="99"/>
      <c r="Q181" s="99"/>
    </row>
    <row r="182" ht="15.75" customHeight="1" spans="2:17">
      <c r="B182" s="91"/>
      <c r="K182" s="99"/>
      <c r="L182" s="99"/>
      <c r="P182" s="99"/>
      <c r="Q182" s="99"/>
    </row>
    <row r="183" ht="15.75" customHeight="1" spans="2:17">
      <c r="B183" s="91"/>
      <c r="K183" s="99"/>
      <c r="L183" s="99"/>
      <c r="P183" s="99"/>
      <c r="Q183" s="99"/>
    </row>
    <row r="184" ht="15.75" customHeight="1" spans="2:17">
      <c r="B184" s="91"/>
      <c r="K184" s="99"/>
      <c r="L184" s="99"/>
      <c r="P184" s="99"/>
      <c r="Q184" s="99"/>
    </row>
    <row r="185" ht="15.75" customHeight="1" spans="2:17">
      <c r="B185" s="91"/>
      <c r="K185" s="99"/>
      <c r="L185" s="99"/>
      <c r="P185" s="99"/>
      <c r="Q185" s="99"/>
    </row>
    <row r="186" ht="15.75" customHeight="1" spans="2:17">
      <c r="B186" s="91"/>
      <c r="K186" s="99"/>
      <c r="L186" s="99"/>
      <c r="P186" s="99"/>
      <c r="Q186" s="99"/>
    </row>
    <row r="187" ht="15.75" customHeight="1" spans="2:17">
      <c r="B187" s="91"/>
      <c r="K187" s="99"/>
      <c r="L187" s="99"/>
      <c r="P187" s="99"/>
      <c r="Q187" s="99"/>
    </row>
    <row r="188" ht="15.75" customHeight="1" spans="2:17">
      <c r="B188" s="91"/>
      <c r="K188" s="99"/>
      <c r="L188" s="99"/>
      <c r="P188" s="99"/>
      <c r="Q188" s="99"/>
    </row>
    <row r="189" ht="15.75" customHeight="1" spans="2:17">
      <c r="B189" s="91"/>
      <c r="K189" s="99"/>
      <c r="L189" s="99"/>
      <c r="P189" s="99"/>
      <c r="Q189" s="99"/>
    </row>
    <row r="190" ht="15.75" customHeight="1" spans="2:17">
      <c r="B190" s="91"/>
      <c r="K190" s="99"/>
      <c r="L190" s="99"/>
      <c r="P190" s="99"/>
      <c r="Q190" s="99"/>
    </row>
    <row r="191" ht="15.75" customHeight="1" spans="2:17">
      <c r="B191" s="91"/>
      <c r="K191" s="99"/>
      <c r="L191" s="99"/>
      <c r="P191" s="99"/>
      <c r="Q191" s="99"/>
    </row>
    <row r="192" ht="15.75" customHeight="1" spans="2:17">
      <c r="B192" s="91"/>
      <c r="K192" s="99"/>
      <c r="L192" s="99"/>
      <c r="P192" s="99"/>
      <c r="Q192" s="99"/>
    </row>
    <row r="193" ht="15.75" customHeight="1" spans="2:17">
      <c r="B193" s="91"/>
      <c r="K193" s="99"/>
      <c r="L193" s="99"/>
      <c r="P193" s="99"/>
      <c r="Q193" s="99"/>
    </row>
    <row r="194" ht="15.75" customHeight="1" spans="2:17">
      <c r="B194" s="91"/>
      <c r="K194" s="99"/>
      <c r="L194" s="99"/>
      <c r="P194" s="99"/>
      <c r="Q194" s="99"/>
    </row>
    <row r="195" ht="15.75" customHeight="1" spans="2:17">
      <c r="B195" s="91"/>
      <c r="K195" s="99"/>
      <c r="L195" s="99"/>
      <c r="P195" s="99"/>
      <c r="Q195" s="99"/>
    </row>
    <row r="196" ht="15.75" customHeight="1" spans="2:17">
      <c r="B196" s="91"/>
      <c r="K196" s="99"/>
      <c r="L196" s="99"/>
      <c r="P196" s="99"/>
      <c r="Q196" s="99"/>
    </row>
    <row r="197" ht="15.75" customHeight="1" spans="2:17">
      <c r="B197" s="91"/>
      <c r="K197" s="99"/>
      <c r="L197" s="99"/>
      <c r="P197" s="99"/>
      <c r="Q197" s="99"/>
    </row>
    <row r="198" ht="15.75" customHeight="1" spans="2:17">
      <c r="B198" s="91"/>
      <c r="K198" s="99"/>
      <c r="L198" s="99"/>
      <c r="P198" s="99"/>
      <c r="Q198" s="99"/>
    </row>
    <row r="199" ht="15.75" customHeight="1" spans="2:17">
      <c r="B199" s="91"/>
      <c r="K199" s="99"/>
      <c r="L199" s="99"/>
      <c r="P199" s="99"/>
      <c r="Q199" s="99"/>
    </row>
    <row r="200" ht="15.75" customHeight="1" spans="2:17">
      <c r="B200" s="91"/>
      <c r="K200" s="99"/>
      <c r="L200" s="99"/>
      <c r="P200" s="99"/>
      <c r="Q200" s="99"/>
    </row>
    <row r="201" ht="15.75" customHeight="1" spans="2:17">
      <c r="B201" s="91"/>
      <c r="K201" s="99"/>
      <c r="L201" s="99"/>
      <c r="P201" s="99"/>
      <c r="Q201" s="99"/>
    </row>
    <row r="202" ht="15.75" customHeight="1" spans="2:17">
      <c r="B202" s="91"/>
      <c r="K202" s="99"/>
      <c r="L202" s="99"/>
      <c r="P202" s="99"/>
      <c r="Q202" s="99"/>
    </row>
    <row r="203" ht="15.75" customHeight="1" spans="2:17">
      <c r="B203" s="91"/>
      <c r="K203" s="99"/>
      <c r="L203" s="99"/>
      <c r="P203" s="99"/>
      <c r="Q203" s="99"/>
    </row>
    <row r="204" ht="15.75" customHeight="1" spans="2:17">
      <c r="B204" s="91"/>
      <c r="K204" s="99"/>
      <c r="L204" s="99"/>
      <c r="P204" s="99"/>
      <c r="Q204" s="99"/>
    </row>
    <row r="205" ht="15.75" customHeight="1" spans="2:17">
      <c r="B205" s="91"/>
      <c r="K205" s="99"/>
      <c r="L205" s="99"/>
      <c r="P205" s="99"/>
      <c r="Q205" s="99"/>
    </row>
    <row r="206" ht="15.75" customHeight="1" spans="2:17">
      <c r="B206" s="91"/>
      <c r="K206" s="99"/>
      <c r="L206" s="99"/>
      <c r="P206" s="99"/>
      <c r="Q206" s="99"/>
    </row>
    <row r="207" ht="15.75" customHeight="1" spans="2:17">
      <c r="B207" s="91"/>
      <c r="K207" s="99"/>
      <c r="L207" s="99"/>
      <c r="P207" s="99"/>
      <c r="Q207" s="99"/>
    </row>
    <row r="208" ht="15.75" customHeight="1" spans="2:17">
      <c r="B208" s="91"/>
      <c r="K208" s="99"/>
      <c r="L208" s="99"/>
      <c r="P208" s="99"/>
      <c r="Q208" s="99"/>
    </row>
    <row r="209" ht="15.75" customHeight="1" spans="2:17">
      <c r="B209" s="91"/>
      <c r="K209" s="99"/>
      <c r="L209" s="99"/>
      <c r="P209" s="99"/>
      <c r="Q209" s="99"/>
    </row>
    <row r="210" ht="15.75" customHeight="1" spans="2:17">
      <c r="B210" s="91"/>
      <c r="K210" s="99"/>
      <c r="L210" s="99"/>
      <c r="P210" s="99"/>
      <c r="Q210" s="99"/>
    </row>
    <row r="211" ht="15.75" customHeight="1" spans="2:17">
      <c r="B211" s="91"/>
      <c r="K211" s="99"/>
      <c r="L211" s="99"/>
      <c r="P211" s="99"/>
      <c r="Q211" s="99"/>
    </row>
    <row r="212" ht="15.75" customHeight="1" spans="2:17">
      <c r="B212" s="91"/>
      <c r="K212" s="99"/>
      <c r="L212" s="99"/>
      <c r="P212" s="99"/>
      <c r="Q212" s="99"/>
    </row>
    <row r="213" ht="15.75" customHeight="1" spans="2:17">
      <c r="B213" s="91"/>
      <c r="K213" s="99"/>
      <c r="L213" s="99"/>
      <c r="P213" s="99"/>
      <c r="Q213" s="99"/>
    </row>
    <row r="214" ht="15.75" customHeight="1" spans="2:17">
      <c r="B214" s="91"/>
      <c r="K214" s="99"/>
      <c r="L214" s="99"/>
      <c r="P214" s="99"/>
      <c r="Q214" s="99"/>
    </row>
    <row r="215" ht="15.75" customHeight="1" spans="2:17">
      <c r="B215" s="91"/>
      <c r="K215" s="99"/>
      <c r="L215" s="99"/>
      <c r="P215" s="99"/>
      <c r="Q215" s="99"/>
    </row>
    <row r="216" ht="15.75" customHeight="1" spans="2:17">
      <c r="B216" s="91"/>
      <c r="K216" s="99"/>
      <c r="L216" s="99"/>
      <c r="P216" s="99"/>
      <c r="Q216" s="99"/>
    </row>
    <row r="217" ht="15.75" customHeight="1" spans="2:17">
      <c r="B217" s="91"/>
      <c r="K217" s="99"/>
      <c r="L217" s="99"/>
      <c r="P217" s="99"/>
      <c r="Q217" s="99"/>
    </row>
    <row r="218" ht="15.75" customHeight="1" spans="2:17">
      <c r="B218" s="91"/>
      <c r="K218" s="99"/>
      <c r="L218" s="99"/>
      <c r="P218" s="99"/>
      <c r="Q218" s="99"/>
    </row>
    <row r="219" ht="15.75" customHeight="1" spans="2:17">
      <c r="B219" s="91"/>
      <c r="K219" s="99"/>
      <c r="L219" s="99"/>
      <c r="P219" s="99"/>
      <c r="Q219" s="99"/>
    </row>
    <row r="220" ht="15.75" customHeight="1" spans="2:17">
      <c r="B220" s="91"/>
      <c r="K220" s="99"/>
      <c r="L220" s="99"/>
      <c r="P220" s="99"/>
      <c r="Q220" s="99"/>
    </row>
    <row r="221" ht="15.75" customHeight="1" spans="2:17">
      <c r="B221" s="91"/>
      <c r="K221" s="99"/>
      <c r="L221" s="99"/>
      <c r="P221" s="99"/>
      <c r="Q221" s="99"/>
    </row>
    <row r="222" ht="15.75" customHeight="1" spans="2:17">
      <c r="B222" s="91"/>
      <c r="K222" s="99"/>
      <c r="L222" s="99"/>
      <c r="P222" s="99"/>
      <c r="Q222" s="99"/>
    </row>
    <row r="223" ht="15.75" customHeight="1" spans="2:17">
      <c r="B223" s="91"/>
      <c r="K223" s="99"/>
      <c r="L223" s="99"/>
      <c r="P223" s="99"/>
      <c r="Q223" s="99"/>
    </row>
    <row r="224" ht="15.75" customHeight="1" spans="2:17">
      <c r="B224" s="91"/>
      <c r="K224" s="99"/>
      <c r="L224" s="99"/>
      <c r="P224" s="99"/>
      <c r="Q224" s="99"/>
    </row>
    <row r="225" ht="15.75" customHeight="1" spans="2:17">
      <c r="B225" s="91"/>
      <c r="K225" s="99"/>
      <c r="L225" s="99"/>
      <c r="P225" s="99"/>
      <c r="Q225" s="99"/>
    </row>
    <row r="226" ht="15.75" customHeight="1" spans="2:17">
      <c r="B226" s="91"/>
      <c r="K226" s="99"/>
      <c r="L226" s="99"/>
      <c r="P226" s="99"/>
      <c r="Q226" s="99"/>
    </row>
    <row r="227" ht="15.75" customHeight="1" spans="2:17">
      <c r="B227" s="91"/>
      <c r="K227" s="99"/>
      <c r="L227" s="99"/>
      <c r="P227" s="99"/>
      <c r="Q227" s="99"/>
    </row>
    <row r="228" ht="15.75" customHeight="1" spans="2:17">
      <c r="B228" s="91"/>
      <c r="K228" s="99"/>
      <c r="L228" s="99"/>
      <c r="P228" s="99"/>
      <c r="Q228" s="99"/>
    </row>
    <row r="229" ht="15.75" customHeight="1" spans="2:17">
      <c r="B229" s="91"/>
      <c r="K229" s="99"/>
      <c r="L229" s="99"/>
      <c r="P229" s="99"/>
      <c r="Q229" s="99"/>
    </row>
    <row r="230" ht="15.75" customHeight="1" spans="2:17">
      <c r="B230" s="91"/>
      <c r="K230" s="99"/>
      <c r="L230" s="99"/>
      <c r="P230" s="99"/>
      <c r="Q230" s="99"/>
    </row>
    <row r="231" ht="15.75" customHeight="1" spans="2:17">
      <c r="B231" s="91"/>
      <c r="K231" s="99"/>
      <c r="L231" s="99"/>
      <c r="P231" s="99"/>
      <c r="Q231" s="99"/>
    </row>
    <row r="232" ht="15.75" customHeight="1" spans="2:17">
      <c r="B232" s="91"/>
      <c r="K232" s="99"/>
      <c r="L232" s="99"/>
      <c r="P232" s="99"/>
      <c r="Q232" s="99"/>
    </row>
    <row r="233" ht="15.75" customHeight="1" spans="2:17">
      <c r="B233" s="91"/>
      <c r="K233" s="99"/>
      <c r="L233" s="99"/>
      <c r="P233" s="99"/>
      <c r="Q233" s="99"/>
    </row>
    <row r="234" ht="15.75" customHeight="1" spans="2:17">
      <c r="B234" s="91"/>
      <c r="K234" s="99"/>
      <c r="L234" s="99"/>
      <c r="P234" s="99"/>
      <c r="Q234" s="99"/>
    </row>
    <row r="235" ht="15.75" customHeight="1" spans="2:17">
      <c r="B235" s="91"/>
      <c r="K235" s="99"/>
      <c r="L235" s="99"/>
      <c r="P235" s="99"/>
      <c r="Q235" s="99"/>
    </row>
    <row r="236" ht="15.75" customHeight="1" spans="2:17">
      <c r="B236" s="91"/>
      <c r="K236" s="99"/>
      <c r="L236" s="99"/>
      <c r="P236" s="99"/>
      <c r="Q236" s="99"/>
    </row>
    <row r="237" ht="15.75" customHeight="1" spans="2:17">
      <c r="B237" s="91"/>
      <c r="K237" s="99"/>
      <c r="L237" s="99"/>
      <c r="P237" s="99"/>
      <c r="Q237" s="99"/>
    </row>
    <row r="238" ht="15.75" customHeight="1" spans="2:17">
      <c r="B238" s="91"/>
      <c r="K238" s="99"/>
      <c r="L238" s="99"/>
      <c r="P238" s="99"/>
      <c r="Q238" s="99"/>
    </row>
    <row r="239" ht="15.75" customHeight="1" spans="2:17">
      <c r="B239" s="91"/>
      <c r="K239" s="99"/>
      <c r="L239" s="99"/>
      <c r="P239" s="99"/>
      <c r="Q239" s="99"/>
    </row>
    <row r="240" ht="15.75" customHeight="1" spans="2:17">
      <c r="B240" s="91"/>
      <c r="K240" s="99"/>
      <c r="L240" s="99"/>
      <c r="P240" s="99"/>
      <c r="Q240" s="99"/>
    </row>
    <row r="241" ht="15.75" customHeight="1" spans="2:17">
      <c r="B241" s="91"/>
      <c r="K241" s="99"/>
      <c r="L241" s="99"/>
      <c r="P241" s="99"/>
      <c r="Q241" s="99"/>
    </row>
    <row r="242" ht="15.75" customHeight="1" spans="2:17">
      <c r="B242" s="91"/>
      <c r="K242" s="99"/>
      <c r="L242" s="99"/>
      <c r="P242" s="99"/>
      <c r="Q242" s="99"/>
    </row>
    <row r="243" ht="15.75" customHeight="1" spans="2:17">
      <c r="B243" s="91"/>
      <c r="K243" s="99"/>
      <c r="L243" s="99"/>
      <c r="P243" s="99"/>
      <c r="Q243" s="99"/>
    </row>
    <row r="244" ht="15.75" customHeight="1" spans="2:17">
      <c r="B244" s="91"/>
      <c r="K244" s="99"/>
      <c r="L244" s="99"/>
      <c r="P244" s="99"/>
      <c r="Q244" s="99"/>
    </row>
    <row r="245" ht="15.75" customHeight="1" spans="2:17">
      <c r="B245" s="91"/>
      <c r="K245" s="99"/>
      <c r="L245" s="99"/>
      <c r="P245" s="99"/>
      <c r="Q245" s="99"/>
    </row>
    <row r="246" ht="15.75" customHeight="1" spans="2:17">
      <c r="B246" s="91"/>
      <c r="K246" s="99"/>
      <c r="L246" s="99"/>
      <c r="P246" s="99"/>
      <c r="Q246" s="99"/>
    </row>
    <row r="247" ht="15.75" customHeight="1" spans="2:17">
      <c r="B247" s="91"/>
      <c r="K247" s="99"/>
      <c r="L247" s="99"/>
      <c r="P247" s="99"/>
      <c r="Q247" s="99"/>
    </row>
    <row r="248" ht="15.75" customHeight="1" spans="2:17">
      <c r="B248" s="91"/>
      <c r="K248" s="99"/>
      <c r="L248" s="99"/>
      <c r="P248" s="99"/>
      <c r="Q248" s="99"/>
    </row>
    <row r="249" ht="15.75" customHeight="1" spans="2:17">
      <c r="B249" s="91"/>
      <c r="K249" s="99"/>
      <c r="L249" s="99"/>
      <c r="P249" s="99"/>
      <c r="Q249" s="99"/>
    </row>
    <row r="250" ht="15.75" customHeight="1" spans="2:17">
      <c r="B250" s="91"/>
      <c r="K250" s="99"/>
      <c r="L250" s="99"/>
      <c r="P250" s="99"/>
      <c r="Q250" s="99"/>
    </row>
    <row r="251" ht="15.75" customHeight="1" spans="2:17">
      <c r="B251" s="91"/>
      <c r="K251" s="99"/>
      <c r="L251" s="99"/>
      <c r="P251" s="99"/>
      <c r="Q251" s="99"/>
    </row>
    <row r="252" ht="15.75" customHeight="1" spans="2:17">
      <c r="B252" s="91"/>
      <c r="K252" s="99"/>
      <c r="L252" s="99"/>
      <c r="P252" s="99"/>
      <c r="Q252" s="99"/>
    </row>
    <row r="253" ht="15.75" customHeight="1" spans="2:17">
      <c r="B253" s="91"/>
      <c r="K253" s="99"/>
      <c r="L253" s="99"/>
      <c r="P253" s="99"/>
      <c r="Q253" s="99"/>
    </row>
    <row r="254" ht="15.75" customHeight="1" spans="2:17">
      <c r="B254" s="91"/>
      <c r="K254" s="99"/>
      <c r="L254" s="99"/>
      <c r="P254" s="99"/>
      <c r="Q254" s="99"/>
    </row>
    <row r="255" ht="15.75" customHeight="1" spans="2:17">
      <c r="B255" s="91"/>
      <c r="K255" s="99"/>
      <c r="L255" s="99"/>
      <c r="P255" s="99"/>
      <c r="Q255" s="99"/>
    </row>
    <row r="256" ht="15.75" customHeight="1" spans="2:17">
      <c r="B256" s="91"/>
      <c r="K256" s="99"/>
      <c r="L256" s="99"/>
      <c r="P256" s="99"/>
      <c r="Q256" s="99"/>
    </row>
    <row r="257" ht="15.75" customHeight="1" spans="2:17">
      <c r="B257" s="91"/>
      <c r="K257" s="99"/>
      <c r="L257" s="99"/>
      <c r="P257" s="99"/>
      <c r="Q257" s="99"/>
    </row>
    <row r="258" ht="15.75" customHeight="1" spans="2:17">
      <c r="B258" s="91"/>
      <c r="K258" s="99"/>
      <c r="L258" s="99"/>
      <c r="P258" s="99"/>
      <c r="Q258" s="99"/>
    </row>
    <row r="259" ht="15.75" customHeight="1" spans="2:17">
      <c r="B259" s="91"/>
      <c r="K259" s="99"/>
      <c r="L259" s="99"/>
      <c r="P259" s="99"/>
      <c r="Q259" s="99"/>
    </row>
    <row r="260" ht="15.75" customHeight="1" spans="2:17">
      <c r="B260" s="91"/>
      <c r="K260" s="99"/>
      <c r="L260" s="99"/>
      <c r="P260" s="99"/>
      <c r="Q260" s="99"/>
    </row>
    <row r="261" ht="15.75" customHeight="1" spans="2:17">
      <c r="B261" s="91"/>
      <c r="K261" s="99"/>
      <c r="L261" s="99"/>
      <c r="P261" s="99"/>
      <c r="Q261" s="99"/>
    </row>
    <row r="262" ht="15.75" customHeight="1" spans="2:17">
      <c r="B262" s="91"/>
      <c r="K262" s="99"/>
      <c r="L262" s="99"/>
      <c r="P262" s="99"/>
      <c r="Q262" s="99"/>
    </row>
    <row r="263" ht="15.75" customHeight="1" spans="2:17">
      <c r="B263" s="91"/>
      <c r="K263" s="99"/>
      <c r="L263" s="99"/>
      <c r="P263" s="99"/>
      <c r="Q263" s="99"/>
    </row>
    <row r="264" ht="15.75" customHeight="1" spans="2:17">
      <c r="B264" s="91"/>
      <c r="K264" s="99"/>
      <c r="L264" s="99"/>
      <c r="P264" s="99"/>
      <c r="Q264" s="99"/>
    </row>
    <row r="265" ht="15.75" customHeight="1" spans="2:17">
      <c r="B265" s="91"/>
      <c r="K265" s="99"/>
      <c r="L265" s="99"/>
      <c r="P265" s="99"/>
      <c r="Q265" s="99"/>
    </row>
    <row r="266" ht="15.75" customHeight="1" spans="2:17">
      <c r="B266" s="91"/>
      <c r="K266" s="99"/>
      <c r="L266" s="99"/>
      <c r="P266" s="99"/>
      <c r="Q266" s="99"/>
    </row>
    <row r="267" ht="15.75" customHeight="1" spans="2:17">
      <c r="B267" s="91"/>
      <c r="K267" s="99"/>
      <c r="L267" s="99"/>
      <c r="P267" s="99"/>
      <c r="Q267" s="99"/>
    </row>
    <row r="268" ht="15.75" customHeight="1" spans="2:17">
      <c r="B268" s="91"/>
      <c r="K268" s="99"/>
      <c r="L268" s="99"/>
      <c r="P268" s="99"/>
      <c r="Q268" s="99"/>
    </row>
    <row r="269" ht="15.75" customHeight="1" spans="2:17">
      <c r="B269" s="91"/>
      <c r="K269" s="99"/>
      <c r="L269" s="99"/>
      <c r="P269" s="99"/>
      <c r="Q269" s="99"/>
    </row>
    <row r="270" ht="15.75" customHeight="1" spans="2:17">
      <c r="B270" s="91"/>
      <c r="K270" s="99"/>
      <c r="L270" s="99"/>
      <c r="P270" s="99"/>
      <c r="Q270" s="99"/>
    </row>
    <row r="271" ht="15.75" customHeight="1" spans="2:17">
      <c r="B271" s="91"/>
      <c r="K271" s="99"/>
      <c r="L271" s="99"/>
      <c r="P271" s="99"/>
      <c r="Q271" s="99"/>
    </row>
    <row r="272" ht="15.75" customHeight="1" spans="2:17">
      <c r="B272" s="91"/>
      <c r="K272" s="99"/>
      <c r="L272" s="99"/>
      <c r="P272" s="99"/>
      <c r="Q272" s="99"/>
    </row>
    <row r="273" ht="15.75" customHeight="1" spans="2:17">
      <c r="B273" s="91"/>
      <c r="K273" s="99"/>
      <c r="L273" s="99"/>
      <c r="P273" s="99"/>
      <c r="Q273" s="99"/>
    </row>
    <row r="274" ht="15.75" customHeight="1" spans="2:17">
      <c r="B274" s="91"/>
      <c r="K274" s="99"/>
      <c r="L274" s="99"/>
      <c r="P274" s="99"/>
      <c r="Q274" s="99"/>
    </row>
    <row r="275" ht="15.75" customHeight="1" spans="2:17">
      <c r="B275" s="91"/>
      <c r="K275" s="99"/>
      <c r="L275" s="99"/>
      <c r="P275" s="99"/>
      <c r="Q275" s="99"/>
    </row>
    <row r="276" ht="15.75" customHeight="1" spans="2:17">
      <c r="B276" s="91"/>
      <c r="K276" s="99"/>
      <c r="L276" s="99"/>
      <c r="P276" s="99"/>
      <c r="Q276" s="99"/>
    </row>
    <row r="277" ht="15.75" customHeight="1" spans="2:17">
      <c r="B277" s="91"/>
      <c r="K277" s="99"/>
      <c r="L277" s="99"/>
      <c r="P277" s="99"/>
      <c r="Q277" s="99"/>
    </row>
    <row r="278" ht="15.75" customHeight="1" spans="2:17">
      <c r="B278" s="91"/>
      <c r="K278" s="99"/>
      <c r="L278" s="99"/>
      <c r="P278" s="99"/>
      <c r="Q278" s="99"/>
    </row>
    <row r="279" ht="15.75" customHeight="1" spans="2:17">
      <c r="B279" s="91"/>
      <c r="K279" s="99"/>
      <c r="L279" s="99"/>
      <c r="P279" s="99"/>
      <c r="Q279" s="99"/>
    </row>
    <row r="280" ht="15.75" customHeight="1" spans="2:17">
      <c r="B280" s="91"/>
      <c r="K280" s="99"/>
      <c r="L280" s="99"/>
      <c r="P280" s="99"/>
      <c r="Q280" s="99"/>
    </row>
    <row r="281" ht="15.75" customHeight="1" spans="2:17">
      <c r="B281" s="91"/>
      <c r="K281" s="99"/>
      <c r="L281" s="99"/>
      <c r="P281" s="99"/>
      <c r="Q281" s="99"/>
    </row>
    <row r="282" ht="15.75" customHeight="1" spans="2:17">
      <c r="B282" s="91"/>
      <c r="K282" s="99"/>
      <c r="L282" s="99"/>
      <c r="P282" s="99"/>
      <c r="Q282" s="99"/>
    </row>
    <row r="283" ht="15.75" customHeight="1" spans="2:17">
      <c r="B283" s="91"/>
      <c r="K283" s="99"/>
      <c r="L283" s="99"/>
      <c r="P283" s="99"/>
      <c r="Q283" s="99"/>
    </row>
    <row r="284" ht="15.75" customHeight="1" spans="2:17">
      <c r="B284" s="91"/>
      <c r="K284" s="99"/>
      <c r="L284" s="99"/>
      <c r="P284" s="99"/>
      <c r="Q284" s="99"/>
    </row>
    <row r="285" ht="15.75" customHeight="1" spans="2:17">
      <c r="B285" s="91"/>
      <c r="K285" s="99"/>
      <c r="L285" s="99"/>
      <c r="P285" s="99"/>
      <c r="Q285" s="99"/>
    </row>
    <row r="286" ht="15.75" customHeight="1" spans="2:17">
      <c r="B286" s="91"/>
      <c r="K286" s="99"/>
      <c r="L286" s="99"/>
      <c r="P286" s="99"/>
      <c r="Q286" s="99"/>
    </row>
    <row r="287" ht="15.75" customHeight="1" spans="2:17">
      <c r="B287" s="91"/>
      <c r="K287" s="99"/>
      <c r="L287" s="99"/>
      <c r="P287" s="99"/>
      <c r="Q287" s="99"/>
    </row>
    <row r="288" ht="15.75" customHeight="1" spans="2:17">
      <c r="B288" s="91"/>
      <c r="K288" s="99"/>
      <c r="L288" s="99"/>
      <c r="P288" s="99"/>
      <c r="Q288" s="99"/>
    </row>
    <row r="289" ht="15.75" customHeight="1" spans="2:17">
      <c r="B289" s="91"/>
      <c r="K289" s="99"/>
      <c r="L289" s="99"/>
      <c r="P289" s="99"/>
      <c r="Q289" s="99"/>
    </row>
    <row r="290" ht="15.75" customHeight="1" spans="2:17">
      <c r="B290" s="91"/>
      <c r="K290" s="99"/>
      <c r="L290" s="99"/>
      <c r="P290" s="99"/>
      <c r="Q290" s="99"/>
    </row>
    <row r="291" ht="15.75" customHeight="1" spans="2:17">
      <c r="B291" s="91"/>
      <c r="K291" s="99"/>
      <c r="L291" s="99"/>
      <c r="P291" s="99"/>
      <c r="Q291" s="99"/>
    </row>
    <row r="292" ht="15.75" customHeight="1" spans="2:17">
      <c r="B292" s="91"/>
      <c r="K292" s="99"/>
      <c r="L292" s="99"/>
      <c r="P292" s="99"/>
      <c r="Q292" s="99"/>
    </row>
    <row r="293" ht="15.75" customHeight="1" spans="2:17">
      <c r="B293" s="91"/>
      <c r="K293" s="99"/>
      <c r="L293" s="99"/>
      <c r="P293" s="99"/>
      <c r="Q293" s="99"/>
    </row>
    <row r="294" ht="15.75" customHeight="1" spans="2:17">
      <c r="B294" s="91"/>
      <c r="K294" s="99"/>
      <c r="L294" s="99"/>
      <c r="P294" s="99"/>
      <c r="Q294" s="99"/>
    </row>
    <row r="295" ht="15.75" customHeight="1" spans="2:17">
      <c r="B295" s="91"/>
      <c r="K295" s="99"/>
      <c r="L295" s="99"/>
      <c r="P295" s="99"/>
      <c r="Q295" s="99"/>
    </row>
    <row r="296" ht="15.75" customHeight="1" spans="2:17">
      <c r="B296" s="91"/>
      <c r="K296" s="99"/>
      <c r="L296" s="99"/>
      <c r="P296" s="99"/>
      <c r="Q296" s="99"/>
    </row>
    <row r="297" ht="15.75" customHeight="1" spans="2:17">
      <c r="B297" s="91"/>
      <c r="K297" s="99"/>
      <c r="L297" s="99"/>
      <c r="P297" s="99"/>
      <c r="Q297" s="99"/>
    </row>
    <row r="298" ht="15.75" customHeight="1" spans="2:17">
      <c r="B298" s="91"/>
      <c r="K298" s="99"/>
      <c r="L298" s="99"/>
      <c r="P298" s="99"/>
      <c r="Q298" s="99"/>
    </row>
    <row r="299" ht="15.75" customHeight="1" spans="2:17">
      <c r="B299" s="91"/>
      <c r="K299" s="99"/>
      <c r="L299" s="99"/>
      <c r="P299" s="99"/>
      <c r="Q299" s="99"/>
    </row>
    <row r="300" ht="15.75" customHeight="1" spans="2:17">
      <c r="B300" s="91"/>
      <c r="K300" s="99"/>
      <c r="L300" s="99"/>
      <c r="P300" s="99"/>
      <c r="Q300" s="99"/>
    </row>
    <row r="301" ht="15.75" customHeight="1" spans="2:17">
      <c r="B301" s="91"/>
      <c r="K301" s="99"/>
      <c r="L301" s="99"/>
      <c r="P301" s="99"/>
      <c r="Q301" s="99"/>
    </row>
    <row r="302" ht="15.75" customHeight="1" spans="2:17">
      <c r="B302" s="91"/>
      <c r="K302" s="99"/>
      <c r="L302" s="99"/>
      <c r="P302" s="99"/>
      <c r="Q302" s="99"/>
    </row>
    <row r="303" ht="15.75" customHeight="1" spans="2:17">
      <c r="B303" s="91"/>
      <c r="K303" s="99"/>
      <c r="L303" s="99"/>
      <c r="P303" s="99"/>
      <c r="Q303" s="99"/>
    </row>
    <row r="304" ht="15.75" customHeight="1" spans="2:17">
      <c r="B304" s="91"/>
      <c r="K304" s="99"/>
      <c r="L304" s="99"/>
      <c r="P304" s="99"/>
      <c r="Q304" s="99"/>
    </row>
    <row r="305" ht="15.75" customHeight="1" spans="2:17">
      <c r="B305" s="91"/>
      <c r="K305" s="99"/>
      <c r="L305" s="99"/>
      <c r="P305" s="99"/>
      <c r="Q305" s="99"/>
    </row>
    <row r="306" ht="15.75" customHeight="1" spans="2:17">
      <c r="B306" s="91"/>
      <c r="K306" s="99"/>
      <c r="L306" s="99"/>
      <c r="P306" s="99"/>
      <c r="Q306" s="99"/>
    </row>
    <row r="307" ht="15.75" customHeight="1" spans="2:17">
      <c r="B307" s="91"/>
      <c r="K307" s="99"/>
      <c r="L307" s="99"/>
      <c r="P307" s="99"/>
      <c r="Q307" s="99"/>
    </row>
    <row r="308" ht="15.75" customHeight="1" spans="2:17">
      <c r="B308" s="91"/>
      <c r="K308" s="99"/>
      <c r="L308" s="99"/>
      <c r="P308" s="99"/>
      <c r="Q308" s="99"/>
    </row>
    <row r="309" ht="15.75" customHeight="1" spans="2:17">
      <c r="B309" s="91"/>
      <c r="K309" s="99"/>
      <c r="L309" s="99"/>
      <c r="P309" s="99"/>
      <c r="Q309" s="99"/>
    </row>
    <row r="310" ht="15.75" customHeight="1" spans="2:17">
      <c r="B310" s="91"/>
      <c r="K310" s="99"/>
      <c r="L310" s="99"/>
      <c r="P310" s="99"/>
      <c r="Q310" s="99"/>
    </row>
    <row r="311" ht="15.75" customHeight="1" spans="2:17">
      <c r="B311" s="91"/>
      <c r="K311" s="99"/>
      <c r="L311" s="99"/>
      <c r="P311" s="99"/>
      <c r="Q311" s="99"/>
    </row>
    <row r="312" ht="15.75" customHeight="1" spans="2:17">
      <c r="B312" s="91"/>
      <c r="K312" s="99"/>
      <c r="L312" s="99"/>
      <c r="P312" s="99"/>
      <c r="Q312" s="99"/>
    </row>
    <row r="313" ht="15.75" customHeight="1" spans="2:17">
      <c r="B313" s="91"/>
      <c r="K313" s="99"/>
      <c r="L313" s="99"/>
      <c r="P313" s="99"/>
      <c r="Q313" s="99"/>
    </row>
    <row r="314" ht="15.75" customHeight="1" spans="2:17">
      <c r="B314" s="91"/>
      <c r="K314" s="99"/>
      <c r="L314" s="99"/>
      <c r="P314" s="99"/>
      <c r="Q314" s="99"/>
    </row>
    <row r="315" ht="15.75" customHeight="1" spans="2:17">
      <c r="B315" s="91"/>
      <c r="K315" s="99"/>
      <c r="L315" s="99"/>
      <c r="P315" s="99"/>
      <c r="Q315" s="99"/>
    </row>
    <row r="316" ht="15.75" customHeight="1" spans="2:17">
      <c r="B316" s="91"/>
      <c r="K316" s="99"/>
      <c r="L316" s="99"/>
      <c r="P316" s="99"/>
      <c r="Q316" s="99"/>
    </row>
    <row r="317" ht="15.75" customHeight="1" spans="2:17">
      <c r="B317" s="91"/>
      <c r="K317" s="99"/>
      <c r="L317" s="99"/>
      <c r="P317" s="99"/>
      <c r="Q317" s="99"/>
    </row>
    <row r="318" ht="15.75" customHeight="1" spans="2:17">
      <c r="B318" s="91"/>
      <c r="K318" s="99"/>
      <c r="L318" s="99"/>
      <c r="P318" s="99"/>
      <c r="Q318" s="99"/>
    </row>
    <row r="319" ht="15.75" customHeight="1" spans="2:17">
      <c r="B319" s="91"/>
      <c r="K319" s="99"/>
      <c r="L319" s="99"/>
      <c r="P319" s="99"/>
      <c r="Q319" s="99"/>
    </row>
    <row r="320" ht="15.75" customHeight="1" spans="2:17">
      <c r="B320" s="91"/>
      <c r="K320" s="99"/>
      <c r="L320" s="99"/>
      <c r="P320" s="99"/>
      <c r="Q320" s="99"/>
    </row>
    <row r="321" ht="15.75" customHeight="1" spans="2:17">
      <c r="B321" s="91"/>
      <c r="K321" s="99"/>
      <c r="L321" s="99"/>
      <c r="P321" s="99"/>
      <c r="Q321" s="99"/>
    </row>
    <row r="322" ht="15.75" customHeight="1" spans="2:17">
      <c r="B322" s="91"/>
      <c r="K322" s="99"/>
      <c r="L322" s="99"/>
      <c r="P322" s="99"/>
      <c r="Q322" s="99"/>
    </row>
    <row r="323" ht="15.75" customHeight="1" spans="2:17">
      <c r="B323" s="91"/>
      <c r="K323" s="99"/>
      <c r="L323" s="99"/>
      <c r="P323" s="99"/>
      <c r="Q323" s="99"/>
    </row>
    <row r="324" ht="15.75" customHeight="1" spans="2:17">
      <c r="B324" s="91"/>
      <c r="K324" s="99"/>
      <c r="L324" s="99"/>
      <c r="P324" s="99"/>
      <c r="Q324" s="99"/>
    </row>
    <row r="325" ht="15.75" customHeight="1" spans="2:17">
      <c r="B325" s="91"/>
      <c r="K325" s="99"/>
      <c r="L325" s="99"/>
      <c r="P325" s="99"/>
      <c r="Q325" s="99"/>
    </row>
    <row r="326" ht="15.75" customHeight="1" spans="2:17">
      <c r="B326" s="91"/>
      <c r="K326" s="99"/>
      <c r="L326" s="99"/>
      <c r="P326" s="99"/>
      <c r="Q326" s="99"/>
    </row>
    <row r="327" ht="15.75" customHeight="1" spans="2:17">
      <c r="B327" s="91"/>
      <c r="K327" s="99"/>
      <c r="L327" s="99"/>
      <c r="P327" s="99"/>
      <c r="Q327" s="99"/>
    </row>
    <row r="328" ht="15.75" customHeight="1" spans="2:17">
      <c r="B328" s="91"/>
      <c r="K328" s="99"/>
      <c r="L328" s="99"/>
      <c r="P328" s="99"/>
      <c r="Q328" s="99"/>
    </row>
    <row r="329" ht="15.75" customHeight="1" spans="2:17">
      <c r="B329" s="91"/>
      <c r="K329" s="99"/>
      <c r="L329" s="99"/>
      <c r="P329" s="99"/>
      <c r="Q329" s="99"/>
    </row>
    <row r="330" ht="15.75" customHeight="1" spans="2:17">
      <c r="B330" s="91"/>
      <c r="K330" s="99"/>
      <c r="L330" s="99"/>
      <c r="P330" s="99"/>
      <c r="Q330" s="99"/>
    </row>
    <row r="331" ht="15.75" customHeight="1" spans="2:17">
      <c r="B331" s="91"/>
      <c r="K331" s="99"/>
      <c r="L331" s="99"/>
      <c r="P331" s="99"/>
      <c r="Q331" s="99"/>
    </row>
    <row r="332" ht="15.75" customHeight="1" spans="2:17">
      <c r="B332" s="91"/>
      <c r="K332" s="99"/>
      <c r="L332" s="99"/>
      <c r="P332" s="99"/>
      <c r="Q332" s="99"/>
    </row>
    <row r="333" ht="15.75" customHeight="1" spans="2:17">
      <c r="B333" s="91"/>
      <c r="K333" s="99"/>
      <c r="L333" s="99"/>
      <c r="P333" s="99"/>
      <c r="Q333" s="99"/>
    </row>
    <row r="334" ht="15.75" customHeight="1" spans="2:17">
      <c r="B334" s="91"/>
      <c r="K334" s="99"/>
      <c r="L334" s="99"/>
      <c r="P334" s="99"/>
      <c r="Q334" s="99"/>
    </row>
    <row r="335" ht="15.75" customHeight="1" spans="2:17">
      <c r="B335" s="91"/>
      <c r="K335" s="99"/>
      <c r="L335" s="99"/>
      <c r="P335" s="99"/>
      <c r="Q335" s="99"/>
    </row>
    <row r="336" ht="15.75" customHeight="1" spans="2:17">
      <c r="B336" s="91"/>
      <c r="K336" s="99"/>
      <c r="L336" s="99"/>
      <c r="P336" s="99"/>
      <c r="Q336" s="99"/>
    </row>
    <row r="337" ht="15.75" customHeight="1" spans="2:17">
      <c r="B337" s="91"/>
      <c r="K337" s="99"/>
      <c r="L337" s="99"/>
      <c r="P337" s="99"/>
      <c r="Q337" s="99"/>
    </row>
    <row r="338" ht="15.75" customHeight="1" spans="2:17">
      <c r="B338" s="91"/>
      <c r="K338" s="99"/>
      <c r="L338" s="99"/>
      <c r="P338" s="99"/>
      <c r="Q338" s="99"/>
    </row>
    <row r="339" ht="15.75" customHeight="1" spans="2:17">
      <c r="B339" s="91"/>
      <c r="K339" s="99"/>
      <c r="L339" s="99"/>
      <c r="P339" s="99"/>
      <c r="Q339" s="99"/>
    </row>
    <row r="340" ht="15.75" customHeight="1" spans="2:17">
      <c r="B340" s="91"/>
      <c r="K340" s="99"/>
      <c r="L340" s="99"/>
      <c r="P340" s="99"/>
      <c r="Q340" s="99"/>
    </row>
    <row r="341" ht="15.75" customHeight="1" spans="2:17">
      <c r="B341" s="91"/>
      <c r="K341" s="99"/>
      <c r="L341" s="99"/>
      <c r="P341" s="99"/>
      <c r="Q341" s="99"/>
    </row>
    <row r="342" ht="15.75" customHeight="1" spans="2:17">
      <c r="B342" s="91"/>
      <c r="K342" s="99"/>
      <c r="L342" s="99"/>
      <c r="P342" s="99"/>
      <c r="Q342" s="99"/>
    </row>
    <row r="343" ht="15.75" customHeight="1" spans="2:17">
      <c r="B343" s="91"/>
      <c r="K343" s="99"/>
      <c r="L343" s="99"/>
      <c r="P343" s="99"/>
      <c r="Q343" s="99"/>
    </row>
    <row r="344" ht="15.75" customHeight="1" spans="2:17">
      <c r="B344" s="91"/>
      <c r="K344" s="99"/>
      <c r="L344" s="99"/>
      <c r="P344" s="99"/>
      <c r="Q344" s="99"/>
    </row>
    <row r="345" ht="15.75" customHeight="1" spans="2:17">
      <c r="B345" s="91"/>
      <c r="K345" s="99"/>
      <c r="L345" s="99"/>
      <c r="P345" s="99"/>
      <c r="Q345" s="99"/>
    </row>
    <row r="346" ht="15.75" customHeight="1" spans="2:17">
      <c r="B346" s="91"/>
      <c r="K346" s="99"/>
      <c r="L346" s="99"/>
      <c r="P346" s="99"/>
      <c r="Q346" s="99"/>
    </row>
    <row r="347" ht="15.75" customHeight="1" spans="2:17">
      <c r="B347" s="91"/>
      <c r="K347" s="99"/>
      <c r="L347" s="99"/>
      <c r="P347" s="99"/>
      <c r="Q347" s="99"/>
    </row>
    <row r="348" ht="15.75" customHeight="1" spans="2:17">
      <c r="B348" s="91"/>
      <c r="K348" s="99"/>
      <c r="L348" s="99"/>
      <c r="P348" s="99"/>
      <c r="Q348" s="99"/>
    </row>
    <row r="349" ht="15.75" customHeight="1" spans="2:17">
      <c r="B349" s="91"/>
      <c r="K349" s="99"/>
      <c r="L349" s="99"/>
      <c r="P349" s="99"/>
      <c r="Q349" s="99"/>
    </row>
    <row r="350" ht="15.75" customHeight="1" spans="2:17">
      <c r="B350" s="91"/>
      <c r="K350" s="99"/>
      <c r="L350" s="99"/>
      <c r="P350" s="99"/>
      <c r="Q350" s="99"/>
    </row>
    <row r="351" ht="15.75" customHeight="1" spans="2:17">
      <c r="B351" s="91"/>
      <c r="K351" s="99"/>
      <c r="L351" s="99"/>
      <c r="P351" s="99"/>
      <c r="Q351" s="99"/>
    </row>
    <row r="352" ht="15.75" customHeight="1" spans="2:17">
      <c r="B352" s="91"/>
      <c r="K352" s="99"/>
      <c r="L352" s="99"/>
      <c r="P352" s="99"/>
      <c r="Q352" s="99"/>
    </row>
    <row r="353" ht="15.75" customHeight="1" spans="2:17">
      <c r="B353" s="91"/>
      <c r="K353" s="99"/>
      <c r="L353" s="99"/>
      <c r="P353" s="99"/>
      <c r="Q353" s="99"/>
    </row>
    <row r="354" ht="15.75" customHeight="1" spans="2:17">
      <c r="B354" s="91"/>
      <c r="K354" s="99"/>
      <c r="L354" s="99"/>
      <c r="P354" s="99"/>
      <c r="Q354" s="99"/>
    </row>
    <row r="355" ht="15.75" customHeight="1" spans="2:17">
      <c r="B355" s="91"/>
      <c r="K355" s="99"/>
      <c r="L355" s="99"/>
      <c r="P355" s="99"/>
      <c r="Q355" s="99"/>
    </row>
    <row r="356" ht="15.75" customHeight="1" spans="2:17">
      <c r="B356" s="91"/>
      <c r="K356" s="99"/>
      <c r="L356" s="99"/>
      <c r="P356" s="99"/>
      <c r="Q356" s="99"/>
    </row>
    <row r="357" ht="15.75" customHeight="1" spans="2:17">
      <c r="B357" s="91"/>
      <c r="K357" s="99"/>
      <c r="L357" s="99"/>
      <c r="P357" s="99"/>
      <c r="Q357" s="99"/>
    </row>
    <row r="358" ht="15.75" customHeight="1" spans="2:17">
      <c r="B358" s="91"/>
      <c r="K358" s="99"/>
      <c r="L358" s="99"/>
      <c r="P358" s="99"/>
      <c r="Q358" s="99"/>
    </row>
    <row r="359" ht="15.75" customHeight="1" spans="2:17">
      <c r="B359" s="91"/>
      <c r="K359" s="99"/>
      <c r="L359" s="99"/>
      <c r="P359" s="99"/>
      <c r="Q359" s="99"/>
    </row>
    <row r="360" ht="15.75" customHeight="1" spans="2:17">
      <c r="B360" s="91"/>
      <c r="K360" s="99"/>
      <c r="L360" s="99"/>
      <c r="P360" s="99"/>
      <c r="Q360" s="99"/>
    </row>
    <row r="361" ht="15.75" customHeight="1" spans="2:17">
      <c r="B361" s="91"/>
      <c r="K361" s="99"/>
      <c r="L361" s="99"/>
      <c r="P361" s="99"/>
      <c r="Q361" s="99"/>
    </row>
    <row r="362" ht="15.75" customHeight="1" spans="2:17">
      <c r="B362" s="91"/>
      <c r="K362" s="99"/>
      <c r="L362" s="99"/>
      <c r="P362" s="99"/>
      <c r="Q362" s="99"/>
    </row>
    <row r="363" ht="15.75" customHeight="1" spans="2:17">
      <c r="B363" s="91"/>
      <c r="K363" s="99"/>
      <c r="L363" s="99"/>
      <c r="P363" s="99"/>
      <c r="Q363" s="99"/>
    </row>
    <row r="364" ht="15.75" customHeight="1" spans="2:17">
      <c r="B364" s="91"/>
      <c r="K364" s="99"/>
      <c r="L364" s="99"/>
      <c r="P364" s="99"/>
      <c r="Q364" s="99"/>
    </row>
    <row r="365" ht="15.75" customHeight="1" spans="2:17">
      <c r="B365" s="91"/>
      <c r="K365" s="99"/>
      <c r="L365" s="99"/>
      <c r="P365" s="99"/>
      <c r="Q365" s="99"/>
    </row>
    <row r="366" ht="15.75" customHeight="1" spans="2:17">
      <c r="B366" s="91"/>
      <c r="K366" s="99"/>
      <c r="L366" s="99"/>
      <c r="P366" s="99"/>
      <c r="Q366" s="99"/>
    </row>
    <row r="367" ht="15.75" customHeight="1" spans="2:17">
      <c r="B367" s="91"/>
      <c r="K367" s="99"/>
      <c r="L367" s="99"/>
      <c r="P367" s="99"/>
      <c r="Q367" s="99"/>
    </row>
    <row r="368" ht="15.75" customHeight="1" spans="2:17">
      <c r="B368" s="91"/>
      <c r="K368" s="99"/>
      <c r="L368" s="99"/>
      <c r="P368" s="99"/>
      <c r="Q368" s="99"/>
    </row>
    <row r="369" ht="15.75" customHeight="1" spans="2:17">
      <c r="B369" s="91"/>
      <c r="K369" s="99"/>
      <c r="L369" s="99"/>
      <c r="P369" s="99"/>
      <c r="Q369" s="99"/>
    </row>
    <row r="370" ht="15.75" customHeight="1" spans="2:17">
      <c r="B370" s="91"/>
      <c r="K370" s="99"/>
      <c r="L370" s="99"/>
      <c r="P370" s="99"/>
      <c r="Q370" s="99"/>
    </row>
    <row r="371" ht="15.75" customHeight="1" spans="2:17">
      <c r="B371" s="91"/>
      <c r="K371" s="99"/>
      <c r="L371" s="99"/>
      <c r="P371" s="99"/>
      <c r="Q371" s="99"/>
    </row>
    <row r="372" ht="15.75" customHeight="1" spans="2:17">
      <c r="B372" s="91"/>
      <c r="K372" s="99"/>
      <c r="L372" s="99"/>
      <c r="P372" s="99"/>
      <c r="Q372" s="99"/>
    </row>
    <row r="373" ht="15.75" customHeight="1" spans="2:17">
      <c r="B373" s="91"/>
      <c r="K373" s="99"/>
      <c r="L373" s="99"/>
      <c r="P373" s="99"/>
      <c r="Q373" s="99"/>
    </row>
    <row r="374" ht="15.75" customHeight="1" spans="2:17">
      <c r="B374" s="91"/>
      <c r="K374" s="99"/>
      <c r="L374" s="99"/>
      <c r="P374" s="99"/>
      <c r="Q374" s="99"/>
    </row>
    <row r="375" ht="15.75" customHeight="1" spans="2:17">
      <c r="B375" s="91"/>
      <c r="K375" s="99"/>
      <c r="L375" s="99"/>
      <c r="P375" s="99"/>
      <c r="Q375" s="99"/>
    </row>
    <row r="376" ht="15.75" customHeight="1" spans="2:17">
      <c r="B376" s="91"/>
      <c r="K376" s="99"/>
      <c r="L376" s="99"/>
      <c r="P376" s="99"/>
      <c r="Q376" s="99"/>
    </row>
    <row r="377" ht="15.75" customHeight="1" spans="2:17">
      <c r="B377" s="91"/>
      <c r="K377" s="99"/>
      <c r="L377" s="99"/>
      <c r="P377" s="99"/>
      <c r="Q377" s="99"/>
    </row>
    <row r="378" ht="15.75" customHeight="1" spans="2:17">
      <c r="B378" s="91"/>
      <c r="K378" s="99"/>
      <c r="L378" s="99"/>
      <c r="P378" s="99"/>
      <c r="Q378" s="99"/>
    </row>
    <row r="379" ht="15.75" customHeight="1" spans="2:17">
      <c r="B379" s="91"/>
      <c r="K379" s="99"/>
      <c r="L379" s="99"/>
      <c r="P379" s="99"/>
      <c r="Q379" s="99"/>
    </row>
    <row r="380" ht="15.75" customHeight="1" spans="2:17">
      <c r="B380" s="91"/>
      <c r="K380" s="99"/>
      <c r="L380" s="99"/>
      <c r="P380" s="99"/>
      <c r="Q380" s="99"/>
    </row>
    <row r="381" ht="15.75" customHeight="1" spans="2:17">
      <c r="B381" s="91"/>
      <c r="K381" s="99"/>
      <c r="L381" s="99"/>
      <c r="P381" s="99"/>
      <c r="Q381" s="99"/>
    </row>
    <row r="382" ht="15.75" customHeight="1" spans="2:17">
      <c r="B382" s="91"/>
      <c r="K382" s="99"/>
      <c r="L382" s="99"/>
      <c r="P382" s="99"/>
      <c r="Q382" s="99"/>
    </row>
    <row r="383" ht="15.75" customHeight="1" spans="2:17">
      <c r="B383" s="91"/>
      <c r="K383" s="99"/>
      <c r="L383" s="99"/>
      <c r="P383" s="99"/>
      <c r="Q383" s="99"/>
    </row>
    <row r="384" ht="15.75" customHeight="1" spans="2:17">
      <c r="B384" s="91"/>
      <c r="K384" s="99"/>
      <c r="L384" s="99"/>
      <c r="P384" s="99"/>
      <c r="Q384" s="99"/>
    </row>
    <row r="385" ht="15.75" customHeight="1" spans="2:17">
      <c r="B385" s="91"/>
      <c r="K385" s="99"/>
      <c r="L385" s="99"/>
      <c r="P385" s="99"/>
      <c r="Q385" s="99"/>
    </row>
    <row r="386" ht="15.75" customHeight="1" spans="2:17">
      <c r="B386" s="91"/>
      <c r="K386" s="99"/>
      <c r="L386" s="99"/>
      <c r="P386" s="99"/>
      <c r="Q386" s="99"/>
    </row>
    <row r="387" ht="15.75" customHeight="1" spans="2:17">
      <c r="B387" s="91"/>
      <c r="K387" s="99"/>
      <c r="L387" s="99"/>
      <c r="P387" s="99"/>
      <c r="Q387" s="99"/>
    </row>
    <row r="388" ht="15.75" customHeight="1" spans="2:17">
      <c r="B388" s="91"/>
      <c r="K388" s="99"/>
      <c r="L388" s="99"/>
      <c r="P388" s="99"/>
      <c r="Q388" s="99"/>
    </row>
    <row r="389" ht="15.75" customHeight="1" spans="2:17">
      <c r="B389" s="91"/>
      <c r="K389" s="99"/>
      <c r="L389" s="99"/>
      <c r="P389" s="99"/>
      <c r="Q389" s="99"/>
    </row>
    <row r="390" ht="15.75" customHeight="1" spans="2:17">
      <c r="B390" s="91"/>
      <c r="K390" s="99"/>
      <c r="L390" s="99"/>
      <c r="P390" s="99"/>
      <c r="Q390" s="99"/>
    </row>
    <row r="391" ht="15.75" customHeight="1" spans="2:17">
      <c r="B391" s="91"/>
      <c r="K391" s="99"/>
      <c r="L391" s="99"/>
      <c r="P391" s="99"/>
      <c r="Q391" s="99"/>
    </row>
    <row r="392" ht="15.75" customHeight="1" spans="2:17">
      <c r="B392" s="91"/>
      <c r="K392" s="99"/>
      <c r="L392" s="99"/>
      <c r="P392" s="99"/>
      <c r="Q392" s="99"/>
    </row>
    <row r="393" ht="15.75" customHeight="1" spans="2:17">
      <c r="B393" s="91"/>
      <c r="K393" s="99"/>
      <c r="L393" s="99"/>
      <c r="P393" s="99"/>
      <c r="Q393" s="99"/>
    </row>
    <row r="394" ht="15.75" customHeight="1" spans="2:17">
      <c r="B394" s="91"/>
      <c r="K394" s="99"/>
      <c r="L394" s="99"/>
      <c r="P394" s="99"/>
      <c r="Q394" s="99"/>
    </row>
    <row r="395" ht="15.75" customHeight="1" spans="2:17">
      <c r="B395" s="91"/>
      <c r="K395" s="99"/>
      <c r="L395" s="99"/>
      <c r="P395" s="99"/>
      <c r="Q395" s="99"/>
    </row>
    <row r="396" ht="15.75" customHeight="1" spans="2:17">
      <c r="B396" s="91"/>
      <c r="K396" s="99"/>
      <c r="L396" s="99"/>
      <c r="P396" s="99"/>
      <c r="Q396" s="99"/>
    </row>
    <row r="397" ht="15.75" customHeight="1" spans="2:17">
      <c r="B397" s="91"/>
      <c r="K397" s="99"/>
      <c r="L397" s="99"/>
      <c r="P397" s="99"/>
      <c r="Q397" s="99"/>
    </row>
    <row r="398" ht="15.75" customHeight="1" spans="2:17">
      <c r="B398" s="91"/>
      <c r="K398" s="99"/>
      <c r="L398" s="99"/>
      <c r="P398" s="99"/>
      <c r="Q398" s="99"/>
    </row>
    <row r="399" ht="15.75" customHeight="1" spans="2:17">
      <c r="B399" s="91"/>
      <c r="K399" s="99"/>
      <c r="L399" s="99"/>
      <c r="P399" s="99"/>
      <c r="Q399" s="99"/>
    </row>
    <row r="400" ht="15.75" customHeight="1" spans="2:17">
      <c r="B400" s="91"/>
      <c r="K400" s="99"/>
      <c r="L400" s="99"/>
      <c r="P400" s="99"/>
      <c r="Q400" s="99"/>
    </row>
    <row r="401" ht="15.75" customHeight="1" spans="2:17">
      <c r="B401" s="91"/>
      <c r="K401" s="99"/>
      <c r="L401" s="99"/>
      <c r="P401" s="99"/>
      <c r="Q401" s="99"/>
    </row>
    <row r="402" ht="15.75" customHeight="1" spans="2:17">
      <c r="B402" s="91"/>
      <c r="K402" s="99"/>
      <c r="L402" s="99"/>
      <c r="P402" s="99"/>
      <c r="Q402" s="99"/>
    </row>
    <row r="403" ht="15.75" customHeight="1" spans="2:17">
      <c r="B403" s="91"/>
      <c r="K403" s="99"/>
      <c r="L403" s="99"/>
      <c r="P403" s="99"/>
      <c r="Q403" s="99"/>
    </row>
    <row r="404" ht="15.75" customHeight="1" spans="2:17">
      <c r="B404" s="91"/>
      <c r="K404" s="99"/>
      <c r="L404" s="99"/>
      <c r="P404" s="99"/>
      <c r="Q404" s="99"/>
    </row>
    <row r="405" ht="15.75" customHeight="1" spans="2:17">
      <c r="B405" s="91"/>
      <c r="K405" s="99"/>
      <c r="L405" s="99"/>
      <c r="P405" s="99"/>
      <c r="Q405" s="99"/>
    </row>
    <row r="406" ht="15.75" customHeight="1" spans="2:17">
      <c r="B406" s="91"/>
      <c r="K406" s="99"/>
      <c r="L406" s="99"/>
      <c r="P406" s="99"/>
      <c r="Q406" s="99"/>
    </row>
    <row r="407" ht="15.75" customHeight="1" spans="2:17">
      <c r="B407" s="91"/>
      <c r="K407" s="99"/>
      <c r="L407" s="99"/>
      <c r="P407" s="99"/>
      <c r="Q407" s="99"/>
    </row>
    <row r="408" ht="15.75" customHeight="1" spans="2:17">
      <c r="B408" s="91"/>
      <c r="K408" s="99"/>
      <c r="L408" s="99"/>
      <c r="P408" s="99"/>
      <c r="Q408" s="99"/>
    </row>
    <row r="409" ht="15.75" customHeight="1" spans="2:17">
      <c r="B409" s="91"/>
      <c r="K409" s="99"/>
      <c r="L409" s="99"/>
      <c r="P409" s="99"/>
      <c r="Q409" s="99"/>
    </row>
    <row r="410" ht="15.75" customHeight="1" spans="2:17">
      <c r="B410" s="91"/>
      <c r="K410" s="99"/>
      <c r="L410" s="99"/>
      <c r="P410" s="99"/>
      <c r="Q410" s="99"/>
    </row>
    <row r="411" ht="15.75" customHeight="1" spans="2:17">
      <c r="B411" s="91"/>
      <c r="K411" s="99"/>
      <c r="L411" s="99"/>
      <c r="P411" s="99"/>
      <c r="Q411" s="99"/>
    </row>
    <row r="412" ht="15.75" customHeight="1" spans="2:17">
      <c r="B412" s="91"/>
      <c r="K412" s="99"/>
      <c r="L412" s="99"/>
      <c r="P412" s="99"/>
      <c r="Q412" s="99"/>
    </row>
    <row r="413" ht="15.75" customHeight="1" spans="2:17">
      <c r="B413" s="91"/>
      <c r="K413" s="99"/>
      <c r="L413" s="99"/>
      <c r="P413" s="99"/>
      <c r="Q413" s="99"/>
    </row>
    <row r="414" ht="15.75" customHeight="1" spans="2:17">
      <c r="B414" s="91"/>
      <c r="K414" s="99"/>
      <c r="L414" s="99"/>
      <c r="P414" s="99"/>
      <c r="Q414" s="99"/>
    </row>
    <row r="415" ht="15.75" customHeight="1" spans="2:17">
      <c r="B415" s="91"/>
      <c r="K415" s="99"/>
      <c r="L415" s="99"/>
      <c r="P415" s="99"/>
      <c r="Q415" s="99"/>
    </row>
    <row r="416" ht="15.75" customHeight="1" spans="2:17">
      <c r="B416" s="91"/>
      <c r="K416" s="99"/>
      <c r="L416" s="99"/>
      <c r="P416" s="99"/>
      <c r="Q416" s="99"/>
    </row>
    <row r="417" ht="15.75" customHeight="1" spans="2:17">
      <c r="B417" s="91"/>
      <c r="K417" s="99"/>
      <c r="L417" s="99"/>
      <c r="P417" s="99"/>
      <c r="Q417" s="99"/>
    </row>
    <row r="418" ht="15.75" customHeight="1" spans="2:17">
      <c r="B418" s="91"/>
      <c r="K418" s="99"/>
      <c r="L418" s="99"/>
      <c r="P418" s="99"/>
      <c r="Q418" s="99"/>
    </row>
    <row r="419" ht="15.75" customHeight="1" spans="2:17">
      <c r="B419" s="91"/>
      <c r="K419" s="99"/>
      <c r="L419" s="99"/>
      <c r="P419" s="99"/>
      <c r="Q419" s="99"/>
    </row>
    <row r="420" ht="15.75" customHeight="1" spans="2:17">
      <c r="B420" s="91"/>
      <c r="K420" s="99"/>
      <c r="L420" s="99"/>
      <c r="P420" s="99"/>
      <c r="Q420" s="99"/>
    </row>
    <row r="421" ht="15.75" customHeight="1" spans="2:17">
      <c r="B421" s="91"/>
      <c r="K421" s="99"/>
      <c r="L421" s="99"/>
      <c r="P421" s="99"/>
      <c r="Q421" s="99"/>
    </row>
    <row r="422" ht="15.75" customHeight="1" spans="2:17">
      <c r="B422" s="91"/>
      <c r="K422" s="99"/>
      <c r="L422" s="99"/>
      <c r="P422" s="99"/>
      <c r="Q422" s="99"/>
    </row>
    <row r="423" ht="15.75" customHeight="1" spans="2:17">
      <c r="B423" s="91"/>
      <c r="K423" s="99"/>
      <c r="L423" s="99"/>
      <c r="P423" s="99"/>
      <c r="Q423" s="99"/>
    </row>
    <row r="424" ht="15.75" customHeight="1" spans="2:17">
      <c r="B424" s="91"/>
      <c r="K424" s="99"/>
      <c r="L424" s="99"/>
      <c r="P424" s="99"/>
      <c r="Q424" s="99"/>
    </row>
    <row r="425" ht="15.75" customHeight="1" spans="2:17">
      <c r="B425" s="91"/>
      <c r="K425" s="99"/>
      <c r="L425" s="99"/>
      <c r="P425" s="99"/>
      <c r="Q425" s="99"/>
    </row>
    <row r="426" ht="15.75" customHeight="1" spans="2:17">
      <c r="B426" s="91"/>
      <c r="K426" s="99"/>
      <c r="L426" s="99"/>
      <c r="P426" s="99"/>
      <c r="Q426" s="99"/>
    </row>
    <row r="427" ht="15.75" customHeight="1" spans="2:17">
      <c r="B427" s="91"/>
      <c r="K427" s="99"/>
      <c r="L427" s="99"/>
      <c r="P427" s="99"/>
      <c r="Q427" s="99"/>
    </row>
    <row r="428" ht="15.75" customHeight="1" spans="2:17">
      <c r="B428" s="91"/>
      <c r="K428" s="99"/>
      <c r="L428" s="99"/>
      <c r="P428" s="99"/>
      <c r="Q428" s="99"/>
    </row>
    <row r="429" ht="15.75" customHeight="1" spans="2:17">
      <c r="B429" s="91"/>
      <c r="K429" s="99"/>
      <c r="L429" s="99"/>
      <c r="P429" s="99"/>
      <c r="Q429" s="99"/>
    </row>
    <row r="430" ht="15.75" customHeight="1" spans="2:17">
      <c r="B430" s="91"/>
      <c r="K430" s="99"/>
      <c r="L430" s="99"/>
      <c r="P430" s="99"/>
      <c r="Q430" s="99"/>
    </row>
    <row r="431" ht="15.75" customHeight="1" spans="2:17">
      <c r="B431" s="91"/>
      <c r="K431" s="99"/>
      <c r="L431" s="99"/>
      <c r="P431" s="99"/>
      <c r="Q431" s="99"/>
    </row>
    <row r="432" ht="15.75" customHeight="1" spans="2:17">
      <c r="B432" s="91"/>
      <c r="K432" s="99"/>
      <c r="L432" s="99"/>
      <c r="P432" s="99"/>
      <c r="Q432" s="99"/>
    </row>
    <row r="433" ht="15.75" customHeight="1" spans="2:17">
      <c r="B433" s="91"/>
      <c r="K433" s="99"/>
      <c r="L433" s="99"/>
      <c r="P433" s="99"/>
      <c r="Q433" s="99"/>
    </row>
    <row r="434" ht="15.75" customHeight="1" spans="2:17">
      <c r="B434" s="91"/>
      <c r="K434" s="99"/>
      <c r="L434" s="99"/>
      <c r="P434" s="99"/>
      <c r="Q434" s="99"/>
    </row>
    <row r="435" ht="15.75" customHeight="1" spans="2:17">
      <c r="B435" s="91"/>
      <c r="K435" s="99"/>
      <c r="L435" s="99"/>
      <c r="P435" s="99"/>
      <c r="Q435" s="99"/>
    </row>
    <row r="436" ht="15.75" customHeight="1" spans="2:17">
      <c r="B436" s="91"/>
      <c r="K436" s="99"/>
      <c r="L436" s="99"/>
      <c r="P436" s="99"/>
      <c r="Q436" s="99"/>
    </row>
    <row r="437" ht="15.75" customHeight="1" spans="2:17">
      <c r="B437" s="91"/>
      <c r="K437" s="99"/>
      <c r="L437" s="99"/>
      <c r="P437" s="99"/>
      <c r="Q437" s="99"/>
    </row>
    <row r="438" ht="15.75" customHeight="1" spans="2:17">
      <c r="B438" s="91"/>
      <c r="K438" s="99"/>
      <c r="L438" s="99"/>
      <c r="P438" s="99"/>
      <c r="Q438" s="99"/>
    </row>
    <row r="439" ht="15.75" customHeight="1" spans="2:17">
      <c r="B439" s="91"/>
      <c r="K439" s="99"/>
      <c r="L439" s="99"/>
      <c r="P439" s="99"/>
      <c r="Q439" s="99"/>
    </row>
    <row r="440" ht="15.75" customHeight="1" spans="2:17">
      <c r="B440" s="91"/>
      <c r="K440" s="99"/>
      <c r="L440" s="99"/>
      <c r="P440" s="99"/>
      <c r="Q440" s="99"/>
    </row>
    <row r="441" ht="15.75" customHeight="1" spans="2:17">
      <c r="B441" s="91"/>
      <c r="K441" s="99"/>
      <c r="L441" s="99"/>
      <c r="P441" s="99"/>
      <c r="Q441" s="99"/>
    </row>
    <row r="442" ht="15.75" customHeight="1" spans="2:17">
      <c r="B442" s="91"/>
      <c r="K442" s="99"/>
      <c r="L442" s="99"/>
      <c r="P442" s="99"/>
      <c r="Q442" s="99"/>
    </row>
    <row r="443" ht="15.75" customHeight="1" spans="2:17">
      <c r="B443" s="91"/>
      <c r="K443" s="99"/>
      <c r="L443" s="99"/>
      <c r="P443" s="99"/>
      <c r="Q443" s="99"/>
    </row>
    <row r="444" ht="15.75" customHeight="1" spans="2:17">
      <c r="B444" s="91"/>
      <c r="K444" s="99"/>
      <c r="L444" s="99"/>
      <c r="P444" s="99"/>
      <c r="Q444" s="99"/>
    </row>
    <row r="445" ht="15.75" customHeight="1" spans="2:17">
      <c r="B445" s="91"/>
      <c r="K445" s="99"/>
      <c r="L445" s="99"/>
      <c r="P445" s="99"/>
      <c r="Q445" s="99"/>
    </row>
    <row r="446" ht="15.75" customHeight="1" spans="2:17">
      <c r="B446" s="91"/>
      <c r="K446" s="99"/>
      <c r="L446" s="99"/>
      <c r="P446" s="99"/>
      <c r="Q446" s="99"/>
    </row>
    <row r="447" ht="15.75" customHeight="1" spans="2:17">
      <c r="B447" s="91"/>
      <c r="K447" s="99"/>
      <c r="L447" s="99"/>
      <c r="P447" s="99"/>
      <c r="Q447" s="99"/>
    </row>
    <row r="448" ht="15.75" customHeight="1" spans="2:17">
      <c r="B448" s="91"/>
      <c r="K448" s="99"/>
      <c r="L448" s="99"/>
      <c r="P448" s="99"/>
      <c r="Q448" s="99"/>
    </row>
    <row r="449" ht="15.75" customHeight="1" spans="2:17">
      <c r="B449" s="91"/>
      <c r="K449" s="99"/>
      <c r="L449" s="99"/>
      <c r="P449" s="99"/>
      <c r="Q449" s="99"/>
    </row>
    <row r="450" ht="15.75" customHeight="1" spans="2:17">
      <c r="B450" s="91"/>
      <c r="K450" s="99"/>
      <c r="L450" s="99"/>
      <c r="P450" s="99"/>
      <c r="Q450" s="99"/>
    </row>
    <row r="451" ht="15.75" customHeight="1" spans="2:17">
      <c r="B451" s="91"/>
      <c r="K451" s="99"/>
      <c r="L451" s="99"/>
      <c r="P451" s="99"/>
      <c r="Q451" s="99"/>
    </row>
    <row r="452" ht="15.75" customHeight="1" spans="2:17">
      <c r="B452" s="91"/>
      <c r="K452" s="99"/>
      <c r="L452" s="99"/>
      <c r="P452" s="99"/>
      <c r="Q452" s="99"/>
    </row>
    <row r="453" ht="15.75" customHeight="1" spans="2:17">
      <c r="B453" s="91"/>
      <c r="K453" s="99"/>
      <c r="L453" s="99"/>
      <c r="P453" s="99"/>
      <c r="Q453" s="99"/>
    </row>
    <row r="454" ht="15.75" customHeight="1" spans="2:17">
      <c r="B454" s="91"/>
      <c r="K454" s="99"/>
      <c r="L454" s="99"/>
      <c r="P454" s="99"/>
      <c r="Q454" s="99"/>
    </row>
    <row r="455" ht="15.75" customHeight="1" spans="2:17">
      <c r="B455" s="91"/>
      <c r="K455" s="99"/>
      <c r="L455" s="99"/>
      <c r="P455" s="99"/>
      <c r="Q455" s="99"/>
    </row>
    <row r="456" ht="15.75" customHeight="1" spans="2:17">
      <c r="B456" s="91"/>
      <c r="K456" s="99"/>
      <c r="L456" s="99"/>
      <c r="P456" s="99"/>
      <c r="Q456" s="99"/>
    </row>
    <row r="457" ht="15.75" customHeight="1" spans="2:17">
      <c r="B457" s="91"/>
      <c r="K457" s="99"/>
      <c r="L457" s="99"/>
      <c r="P457" s="99"/>
      <c r="Q457" s="99"/>
    </row>
    <row r="458" ht="15.75" customHeight="1" spans="2:17">
      <c r="B458" s="91"/>
      <c r="K458" s="99"/>
      <c r="L458" s="99"/>
      <c r="P458" s="99"/>
      <c r="Q458" s="99"/>
    </row>
    <row r="459" ht="15.75" customHeight="1" spans="2:17">
      <c r="B459" s="91"/>
      <c r="K459" s="99"/>
      <c r="L459" s="99"/>
      <c r="P459" s="99"/>
      <c r="Q459" s="99"/>
    </row>
    <row r="460" ht="15.75" customHeight="1" spans="2:17">
      <c r="B460" s="91"/>
      <c r="K460" s="99"/>
      <c r="L460" s="99"/>
      <c r="P460" s="99"/>
      <c r="Q460" s="99"/>
    </row>
    <row r="461" ht="15.75" customHeight="1" spans="2:17">
      <c r="B461" s="91"/>
      <c r="K461" s="99"/>
      <c r="L461" s="99"/>
      <c r="P461" s="99"/>
      <c r="Q461" s="99"/>
    </row>
    <row r="462" ht="15.75" customHeight="1" spans="2:17">
      <c r="B462" s="91"/>
      <c r="K462" s="99"/>
      <c r="L462" s="99"/>
      <c r="P462" s="99"/>
      <c r="Q462" s="99"/>
    </row>
    <row r="463" ht="15.75" customHeight="1" spans="2:17">
      <c r="B463" s="91"/>
      <c r="K463" s="99"/>
      <c r="L463" s="99"/>
      <c r="P463" s="99"/>
      <c r="Q463" s="99"/>
    </row>
    <row r="464" ht="15.75" customHeight="1" spans="2:17">
      <c r="B464" s="91"/>
      <c r="K464" s="99"/>
      <c r="L464" s="99"/>
      <c r="P464" s="99"/>
      <c r="Q464" s="99"/>
    </row>
    <row r="465" ht="15.75" customHeight="1" spans="2:17">
      <c r="B465" s="91"/>
      <c r="K465" s="99"/>
      <c r="L465" s="99"/>
      <c r="P465" s="99"/>
      <c r="Q465" s="99"/>
    </row>
    <row r="466" ht="15.75" customHeight="1" spans="2:17">
      <c r="B466" s="91"/>
      <c r="K466" s="99"/>
      <c r="L466" s="99"/>
      <c r="P466" s="99"/>
      <c r="Q466" s="99"/>
    </row>
    <row r="467" ht="15.75" customHeight="1" spans="2:17">
      <c r="B467" s="91"/>
      <c r="K467" s="99"/>
      <c r="L467" s="99"/>
      <c r="P467" s="99"/>
      <c r="Q467" s="99"/>
    </row>
    <row r="468" ht="15.75" customHeight="1" spans="2:17">
      <c r="B468" s="91"/>
      <c r="K468" s="99"/>
      <c r="L468" s="99"/>
      <c r="P468" s="99"/>
      <c r="Q468" s="99"/>
    </row>
    <row r="469" ht="15.75" customHeight="1" spans="2:17">
      <c r="B469" s="91"/>
      <c r="K469" s="99"/>
      <c r="L469" s="99"/>
      <c r="P469" s="99"/>
      <c r="Q469" s="99"/>
    </row>
    <row r="470" ht="15.75" customHeight="1" spans="2:17">
      <c r="B470" s="91"/>
      <c r="K470" s="99"/>
      <c r="L470" s="99"/>
      <c r="P470" s="99"/>
      <c r="Q470" s="99"/>
    </row>
    <row r="471" ht="15.75" customHeight="1" spans="2:17">
      <c r="B471" s="91"/>
      <c r="K471" s="99"/>
      <c r="L471" s="99"/>
      <c r="P471" s="99"/>
      <c r="Q471" s="99"/>
    </row>
    <row r="472" ht="15.75" customHeight="1" spans="2:17">
      <c r="B472" s="91"/>
      <c r="K472" s="99"/>
      <c r="L472" s="99"/>
      <c r="P472" s="99"/>
      <c r="Q472" s="99"/>
    </row>
    <row r="473" ht="15.75" customHeight="1" spans="2:17">
      <c r="B473" s="91"/>
      <c r="K473" s="99"/>
      <c r="L473" s="99"/>
      <c r="P473" s="99"/>
      <c r="Q473" s="99"/>
    </row>
    <row r="474" ht="15.75" customHeight="1" spans="2:17">
      <c r="B474" s="91"/>
      <c r="K474" s="99"/>
      <c r="L474" s="99"/>
      <c r="P474" s="99"/>
      <c r="Q474" s="99"/>
    </row>
    <row r="475" ht="15.75" customHeight="1" spans="2:17">
      <c r="B475" s="91"/>
      <c r="K475" s="99"/>
      <c r="L475" s="99"/>
      <c r="P475" s="99"/>
      <c r="Q475" s="99"/>
    </row>
    <row r="476" ht="15.75" customHeight="1" spans="2:17">
      <c r="B476" s="91"/>
      <c r="K476" s="99"/>
      <c r="L476" s="99"/>
      <c r="P476" s="99"/>
      <c r="Q476" s="99"/>
    </row>
    <row r="477" ht="15.75" customHeight="1" spans="2:17">
      <c r="B477" s="91"/>
      <c r="K477" s="99"/>
      <c r="L477" s="99"/>
      <c r="P477" s="99"/>
      <c r="Q477" s="99"/>
    </row>
    <row r="478" ht="15.75" customHeight="1" spans="2:17">
      <c r="B478" s="91"/>
      <c r="K478" s="99"/>
      <c r="L478" s="99"/>
      <c r="P478" s="99"/>
      <c r="Q478" s="99"/>
    </row>
    <row r="479" ht="15.75" customHeight="1" spans="2:17">
      <c r="B479" s="91"/>
      <c r="K479" s="99"/>
      <c r="L479" s="99"/>
      <c r="P479" s="99"/>
      <c r="Q479" s="99"/>
    </row>
    <row r="480" ht="15.75" customHeight="1" spans="2:17">
      <c r="B480" s="91"/>
      <c r="K480" s="99"/>
      <c r="L480" s="99"/>
      <c r="P480" s="99"/>
      <c r="Q480" s="99"/>
    </row>
    <row r="481" ht="15.75" customHeight="1" spans="2:17">
      <c r="B481" s="91"/>
      <c r="K481" s="99"/>
      <c r="L481" s="99"/>
      <c r="P481" s="99"/>
      <c r="Q481" s="99"/>
    </row>
    <row r="482" ht="15.75" customHeight="1" spans="2:17">
      <c r="B482" s="91"/>
      <c r="K482" s="99"/>
      <c r="L482" s="99"/>
      <c r="P482" s="99"/>
      <c r="Q482" s="99"/>
    </row>
    <row r="483" ht="15.75" customHeight="1" spans="2:17">
      <c r="B483" s="91"/>
      <c r="K483" s="99"/>
      <c r="L483" s="99"/>
      <c r="P483" s="99"/>
      <c r="Q483" s="99"/>
    </row>
    <row r="484" ht="15.75" customHeight="1" spans="2:17">
      <c r="B484" s="91"/>
      <c r="K484" s="99"/>
      <c r="L484" s="99"/>
      <c r="P484" s="99"/>
      <c r="Q484" s="99"/>
    </row>
    <row r="485" ht="15.75" customHeight="1" spans="2:17">
      <c r="B485" s="91"/>
      <c r="K485" s="99"/>
      <c r="L485" s="99"/>
      <c r="P485" s="99"/>
      <c r="Q485" s="99"/>
    </row>
    <row r="486" ht="15.75" customHeight="1" spans="2:17">
      <c r="B486" s="91"/>
      <c r="K486" s="99"/>
      <c r="L486" s="99"/>
      <c r="P486" s="99"/>
      <c r="Q486" s="99"/>
    </row>
    <row r="487" ht="15.75" customHeight="1" spans="2:17">
      <c r="B487" s="91"/>
      <c r="K487" s="99"/>
      <c r="L487" s="99"/>
      <c r="P487" s="99"/>
      <c r="Q487" s="99"/>
    </row>
    <row r="488" ht="15.75" customHeight="1" spans="2:17">
      <c r="B488" s="91"/>
      <c r="K488" s="99"/>
      <c r="L488" s="99"/>
      <c r="P488" s="99"/>
      <c r="Q488" s="99"/>
    </row>
    <row r="489" ht="15.75" customHeight="1" spans="2:17">
      <c r="B489" s="91"/>
      <c r="K489" s="99"/>
      <c r="L489" s="99"/>
      <c r="P489" s="99"/>
      <c r="Q489" s="99"/>
    </row>
    <row r="490" ht="15.75" customHeight="1" spans="2:17">
      <c r="B490" s="91"/>
      <c r="K490" s="99"/>
      <c r="L490" s="99"/>
      <c r="P490" s="99"/>
      <c r="Q490" s="99"/>
    </row>
    <row r="491" ht="15.75" customHeight="1" spans="2:17">
      <c r="B491" s="91"/>
      <c r="K491" s="99"/>
      <c r="L491" s="99"/>
      <c r="P491" s="99"/>
      <c r="Q491" s="99"/>
    </row>
    <row r="492" ht="15.75" customHeight="1" spans="2:17">
      <c r="B492" s="91"/>
      <c r="K492" s="99"/>
      <c r="L492" s="99"/>
      <c r="P492" s="99"/>
      <c r="Q492" s="99"/>
    </row>
    <row r="493" ht="15.75" customHeight="1" spans="2:17">
      <c r="B493" s="91"/>
      <c r="K493" s="99"/>
      <c r="L493" s="99"/>
      <c r="P493" s="99"/>
      <c r="Q493" s="99"/>
    </row>
    <row r="494" ht="15.75" customHeight="1" spans="2:17">
      <c r="B494" s="91"/>
      <c r="K494" s="99"/>
      <c r="L494" s="99"/>
      <c r="P494" s="99"/>
      <c r="Q494" s="99"/>
    </row>
    <row r="495" ht="15.75" customHeight="1" spans="2:17">
      <c r="B495" s="91"/>
      <c r="K495" s="99"/>
      <c r="L495" s="99"/>
      <c r="P495" s="99"/>
      <c r="Q495" s="99"/>
    </row>
    <row r="496" ht="15.75" customHeight="1" spans="2:17">
      <c r="B496" s="91"/>
      <c r="K496" s="99"/>
      <c r="L496" s="99"/>
      <c r="P496" s="99"/>
      <c r="Q496" s="99"/>
    </row>
    <row r="497" ht="15.75" customHeight="1" spans="2:17">
      <c r="B497" s="91"/>
      <c r="K497" s="99"/>
      <c r="L497" s="99"/>
      <c r="P497" s="99"/>
      <c r="Q497" s="99"/>
    </row>
    <row r="498" ht="15.75" customHeight="1" spans="2:17">
      <c r="B498" s="91"/>
      <c r="K498" s="99"/>
      <c r="L498" s="99"/>
      <c r="P498" s="99"/>
      <c r="Q498" s="99"/>
    </row>
    <row r="499" ht="15.75" customHeight="1" spans="2:17">
      <c r="B499" s="91"/>
      <c r="K499" s="99"/>
      <c r="L499" s="99"/>
      <c r="P499" s="99"/>
      <c r="Q499" s="99"/>
    </row>
    <row r="500" ht="15.75" customHeight="1" spans="2:17">
      <c r="B500" s="91"/>
      <c r="K500" s="99"/>
      <c r="L500" s="99"/>
      <c r="P500" s="99"/>
      <c r="Q500" s="99"/>
    </row>
    <row r="501" ht="15.75" customHeight="1" spans="2:17">
      <c r="B501" s="91"/>
      <c r="K501" s="99"/>
      <c r="L501" s="99"/>
      <c r="P501" s="99"/>
      <c r="Q501" s="99"/>
    </row>
    <row r="502" ht="15.75" customHeight="1" spans="2:17">
      <c r="B502" s="91"/>
      <c r="K502" s="99"/>
      <c r="L502" s="99"/>
      <c r="P502" s="99"/>
      <c r="Q502" s="99"/>
    </row>
    <row r="503" ht="15.75" customHeight="1" spans="2:17">
      <c r="B503" s="91"/>
      <c r="K503" s="99"/>
      <c r="L503" s="99"/>
      <c r="P503" s="99"/>
      <c r="Q503" s="99"/>
    </row>
    <row r="504" ht="15.75" customHeight="1" spans="2:17">
      <c r="B504" s="91"/>
      <c r="K504" s="99"/>
      <c r="L504" s="99"/>
      <c r="P504" s="99"/>
      <c r="Q504" s="99"/>
    </row>
    <row r="505" ht="15.75" customHeight="1" spans="2:17">
      <c r="B505" s="91"/>
      <c r="K505" s="99"/>
      <c r="L505" s="99"/>
      <c r="P505" s="99"/>
      <c r="Q505" s="99"/>
    </row>
    <row r="506" ht="15.75" customHeight="1" spans="2:17">
      <c r="B506" s="91"/>
      <c r="K506" s="99"/>
      <c r="L506" s="99"/>
      <c r="P506" s="99"/>
      <c r="Q506" s="99"/>
    </row>
    <row r="507" ht="15.75" customHeight="1" spans="2:17">
      <c r="B507" s="91"/>
      <c r="K507" s="99"/>
      <c r="L507" s="99"/>
      <c r="P507" s="99"/>
      <c r="Q507" s="99"/>
    </row>
    <row r="508" ht="15.75" customHeight="1" spans="2:17">
      <c r="B508" s="91"/>
      <c r="K508" s="99"/>
      <c r="L508" s="99"/>
      <c r="P508" s="99"/>
      <c r="Q508" s="99"/>
    </row>
    <row r="509" ht="15.75" customHeight="1" spans="2:17">
      <c r="B509" s="91"/>
      <c r="K509" s="99"/>
      <c r="L509" s="99"/>
      <c r="P509" s="99"/>
      <c r="Q509" s="99"/>
    </row>
    <row r="510" ht="15.75" customHeight="1" spans="2:17">
      <c r="B510" s="91"/>
      <c r="K510" s="99"/>
      <c r="L510" s="99"/>
      <c r="P510" s="99"/>
      <c r="Q510" s="99"/>
    </row>
    <row r="511" ht="15.75" customHeight="1" spans="2:17">
      <c r="B511" s="91"/>
      <c r="K511" s="99"/>
      <c r="L511" s="99"/>
      <c r="P511" s="99"/>
      <c r="Q511" s="99"/>
    </row>
    <row r="512" ht="15.75" customHeight="1" spans="2:17">
      <c r="B512" s="91"/>
      <c r="K512" s="99"/>
      <c r="L512" s="99"/>
      <c r="P512" s="99"/>
      <c r="Q512" s="99"/>
    </row>
    <row r="513" ht="15.75" customHeight="1" spans="2:17">
      <c r="B513" s="91"/>
      <c r="K513" s="99"/>
      <c r="L513" s="99"/>
      <c r="P513" s="99"/>
      <c r="Q513" s="99"/>
    </row>
    <row r="514" ht="15.75" customHeight="1" spans="2:17">
      <c r="B514" s="91"/>
      <c r="K514" s="99"/>
      <c r="L514" s="99"/>
      <c r="P514" s="99"/>
      <c r="Q514" s="99"/>
    </row>
    <row r="515" ht="15.75" customHeight="1" spans="2:17">
      <c r="B515" s="91"/>
      <c r="K515" s="99"/>
      <c r="L515" s="99"/>
      <c r="P515" s="99"/>
      <c r="Q515" s="99"/>
    </row>
    <row r="516" ht="15.75" customHeight="1" spans="2:17">
      <c r="B516" s="91"/>
      <c r="K516" s="99"/>
      <c r="L516" s="99"/>
      <c r="P516" s="99"/>
      <c r="Q516" s="99"/>
    </row>
    <row r="517" ht="15.75" customHeight="1" spans="2:17">
      <c r="B517" s="91"/>
      <c r="K517" s="99"/>
      <c r="L517" s="99"/>
      <c r="P517" s="99"/>
      <c r="Q517" s="99"/>
    </row>
    <row r="518" ht="15.75" customHeight="1" spans="2:17">
      <c r="B518" s="91"/>
      <c r="K518" s="99"/>
      <c r="L518" s="99"/>
      <c r="P518" s="99"/>
      <c r="Q518" s="99"/>
    </row>
    <row r="519" ht="15.75" customHeight="1" spans="2:17">
      <c r="B519" s="91"/>
      <c r="K519" s="99"/>
      <c r="L519" s="99"/>
      <c r="P519" s="99"/>
      <c r="Q519" s="99"/>
    </row>
    <row r="520" ht="15.75" customHeight="1" spans="2:17">
      <c r="B520" s="91"/>
      <c r="K520" s="99"/>
      <c r="L520" s="99"/>
      <c r="P520" s="99"/>
      <c r="Q520" s="99"/>
    </row>
    <row r="521" ht="15.75" customHeight="1" spans="2:17">
      <c r="B521" s="91"/>
      <c r="K521" s="99"/>
      <c r="L521" s="99"/>
      <c r="P521" s="99"/>
      <c r="Q521" s="99"/>
    </row>
    <row r="522" ht="15.75" customHeight="1" spans="2:17">
      <c r="B522" s="91"/>
      <c r="K522" s="99"/>
      <c r="L522" s="99"/>
      <c r="P522" s="99"/>
      <c r="Q522" s="99"/>
    </row>
    <row r="523" ht="15.75" customHeight="1" spans="2:17">
      <c r="B523" s="91"/>
      <c r="K523" s="99"/>
      <c r="L523" s="99"/>
      <c r="P523" s="99"/>
      <c r="Q523" s="99"/>
    </row>
    <row r="524" ht="15.75" customHeight="1" spans="2:17">
      <c r="B524" s="91"/>
      <c r="K524" s="99"/>
      <c r="L524" s="99"/>
      <c r="P524" s="99"/>
      <c r="Q524" s="99"/>
    </row>
    <row r="525" ht="15.75" customHeight="1" spans="2:17">
      <c r="B525" s="91"/>
      <c r="K525" s="99"/>
      <c r="L525" s="99"/>
      <c r="P525" s="99"/>
      <c r="Q525" s="99"/>
    </row>
    <row r="526" ht="15.75" customHeight="1" spans="2:17">
      <c r="B526" s="91"/>
      <c r="K526" s="99"/>
      <c r="L526" s="99"/>
      <c r="P526" s="99"/>
      <c r="Q526" s="99"/>
    </row>
    <row r="527" ht="15.75" customHeight="1" spans="2:17">
      <c r="B527" s="91"/>
      <c r="K527" s="99"/>
      <c r="L527" s="99"/>
      <c r="P527" s="99"/>
      <c r="Q527" s="99"/>
    </row>
    <row r="528" ht="15.75" customHeight="1" spans="2:17">
      <c r="B528" s="91"/>
      <c r="K528" s="99"/>
      <c r="L528" s="99"/>
      <c r="P528" s="99"/>
      <c r="Q528" s="99"/>
    </row>
    <row r="529" ht="15.75" customHeight="1" spans="2:17">
      <c r="B529" s="91"/>
      <c r="K529" s="99"/>
      <c r="L529" s="99"/>
      <c r="P529" s="99"/>
      <c r="Q529" s="99"/>
    </row>
    <row r="530" ht="15.75" customHeight="1" spans="2:17">
      <c r="B530" s="91"/>
      <c r="K530" s="99"/>
      <c r="L530" s="99"/>
      <c r="P530" s="99"/>
      <c r="Q530" s="99"/>
    </row>
    <row r="531" ht="15.75" customHeight="1" spans="2:17">
      <c r="B531" s="91"/>
      <c r="K531" s="99"/>
      <c r="L531" s="99"/>
      <c r="P531" s="99"/>
      <c r="Q531" s="99"/>
    </row>
    <row r="532" ht="15.75" customHeight="1" spans="2:17">
      <c r="B532" s="91"/>
      <c r="K532" s="99"/>
      <c r="L532" s="99"/>
      <c r="P532" s="99"/>
      <c r="Q532" s="99"/>
    </row>
    <row r="533" ht="15.75" customHeight="1" spans="2:17">
      <c r="B533" s="91"/>
      <c r="K533" s="99"/>
      <c r="L533" s="99"/>
      <c r="P533" s="99"/>
      <c r="Q533" s="99"/>
    </row>
    <row r="534" ht="15.75" customHeight="1" spans="2:17">
      <c r="B534" s="91"/>
      <c r="K534" s="99"/>
      <c r="L534" s="99"/>
      <c r="P534" s="99"/>
      <c r="Q534" s="99"/>
    </row>
    <row r="535" ht="15.75" customHeight="1" spans="2:17">
      <c r="B535" s="91"/>
      <c r="K535" s="99"/>
      <c r="L535" s="99"/>
      <c r="P535" s="99"/>
      <c r="Q535" s="99"/>
    </row>
    <row r="536" ht="15.75" customHeight="1" spans="2:17">
      <c r="B536" s="91"/>
      <c r="K536" s="99"/>
      <c r="L536" s="99"/>
      <c r="P536" s="99"/>
      <c r="Q536" s="99"/>
    </row>
    <row r="537" ht="15.75" customHeight="1" spans="2:17">
      <c r="B537" s="91"/>
      <c r="K537" s="99"/>
      <c r="L537" s="99"/>
      <c r="P537" s="99"/>
      <c r="Q537" s="99"/>
    </row>
    <row r="538" ht="15.75" customHeight="1" spans="2:17">
      <c r="B538" s="91"/>
      <c r="K538" s="99"/>
      <c r="L538" s="99"/>
      <c r="P538" s="99"/>
      <c r="Q538" s="99"/>
    </row>
    <row r="539" ht="15.75" customHeight="1" spans="2:17">
      <c r="B539" s="91"/>
      <c r="K539" s="99"/>
      <c r="L539" s="99"/>
      <c r="P539" s="99"/>
      <c r="Q539" s="99"/>
    </row>
    <row r="540" ht="15.75" customHeight="1" spans="2:17">
      <c r="B540" s="91"/>
      <c r="K540" s="99"/>
      <c r="L540" s="99"/>
      <c r="P540" s="99"/>
      <c r="Q540" s="99"/>
    </row>
    <row r="541" ht="15.75" customHeight="1" spans="2:17">
      <c r="B541" s="91"/>
      <c r="K541" s="99"/>
      <c r="L541" s="99"/>
      <c r="P541" s="99"/>
      <c r="Q541" s="99"/>
    </row>
    <row r="542" ht="15.75" customHeight="1" spans="2:17">
      <c r="B542" s="91"/>
      <c r="K542" s="99"/>
      <c r="L542" s="99"/>
      <c r="P542" s="99"/>
      <c r="Q542" s="99"/>
    </row>
    <row r="543" ht="15.75" customHeight="1" spans="2:17">
      <c r="B543" s="91"/>
      <c r="K543" s="99"/>
      <c r="L543" s="99"/>
      <c r="P543" s="99"/>
      <c r="Q543" s="99"/>
    </row>
    <row r="544" ht="15.75" customHeight="1" spans="2:17">
      <c r="B544" s="91"/>
      <c r="K544" s="99"/>
      <c r="L544" s="99"/>
      <c r="P544" s="99"/>
      <c r="Q544" s="99"/>
    </row>
    <row r="545" ht="15.75" customHeight="1" spans="2:17">
      <c r="B545" s="91"/>
      <c r="K545" s="99"/>
      <c r="L545" s="99"/>
      <c r="P545" s="99"/>
      <c r="Q545" s="99"/>
    </row>
    <row r="546" ht="15.75" customHeight="1" spans="2:17">
      <c r="B546" s="91"/>
      <c r="K546" s="99"/>
      <c r="L546" s="99"/>
      <c r="P546" s="99"/>
      <c r="Q546" s="99"/>
    </row>
    <row r="547" ht="15.75" customHeight="1" spans="2:17">
      <c r="B547" s="91"/>
      <c r="K547" s="99"/>
      <c r="L547" s="99"/>
      <c r="P547" s="99"/>
      <c r="Q547" s="99"/>
    </row>
    <row r="548" ht="15.75" customHeight="1" spans="2:17">
      <c r="B548" s="91"/>
      <c r="K548" s="99"/>
      <c r="L548" s="99"/>
      <c r="P548" s="99"/>
      <c r="Q548" s="99"/>
    </row>
    <row r="549" ht="15.75" customHeight="1" spans="2:17">
      <c r="B549" s="91"/>
      <c r="K549" s="99"/>
      <c r="L549" s="99"/>
      <c r="P549" s="99"/>
      <c r="Q549" s="99"/>
    </row>
    <row r="550" ht="15.75" customHeight="1" spans="2:17">
      <c r="B550" s="91"/>
      <c r="K550" s="99"/>
      <c r="L550" s="99"/>
      <c r="P550" s="99"/>
      <c r="Q550" s="99"/>
    </row>
    <row r="551" ht="15.75" customHeight="1" spans="2:17">
      <c r="B551" s="91"/>
      <c r="K551" s="99"/>
      <c r="L551" s="99"/>
      <c r="P551" s="99"/>
      <c r="Q551" s="99"/>
    </row>
    <row r="552" ht="15.75" customHeight="1" spans="2:17">
      <c r="B552" s="91"/>
      <c r="K552" s="99"/>
      <c r="L552" s="99"/>
      <c r="P552" s="99"/>
      <c r="Q552" s="99"/>
    </row>
    <row r="553" ht="15.75" customHeight="1" spans="2:17">
      <c r="B553" s="91"/>
      <c r="K553" s="99"/>
      <c r="L553" s="99"/>
      <c r="P553" s="99"/>
      <c r="Q553" s="99"/>
    </row>
    <row r="554" ht="15.75" customHeight="1" spans="2:17">
      <c r="B554" s="91"/>
      <c r="K554" s="99"/>
      <c r="L554" s="99"/>
      <c r="P554" s="99"/>
      <c r="Q554" s="99"/>
    </row>
    <row r="555" ht="15.75" customHeight="1" spans="2:17">
      <c r="B555" s="91"/>
      <c r="K555" s="99"/>
      <c r="L555" s="99"/>
      <c r="P555" s="99"/>
      <c r="Q555" s="99"/>
    </row>
    <row r="556" ht="15.75" customHeight="1" spans="2:17">
      <c r="B556" s="91"/>
      <c r="K556" s="99"/>
      <c r="L556" s="99"/>
      <c r="P556" s="99"/>
      <c r="Q556" s="99"/>
    </row>
    <row r="557" ht="15.75" customHeight="1" spans="2:17">
      <c r="B557" s="91"/>
      <c r="K557" s="99"/>
      <c r="L557" s="99"/>
      <c r="P557" s="99"/>
      <c r="Q557" s="99"/>
    </row>
    <row r="558" ht="15.75" customHeight="1" spans="2:17">
      <c r="B558" s="91"/>
      <c r="K558" s="99"/>
      <c r="L558" s="99"/>
      <c r="P558" s="99"/>
      <c r="Q558" s="99"/>
    </row>
    <row r="559" ht="15.75" customHeight="1" spans="2:17">
      <c r="B559" s="91"/>
      <c r="K559" s="99"/>
      <c r="L559" s="99"/>
      <c r="P559" s="99"/>
      <c r="Q559" s="99"/>
    </row>
    <row r="560" ht="15.75" customHeight="1" spans="2:17">
      <c r="B560" s="91"/>
      <c r="K560" s="99"/>
      <c r="L560" s="99"/>
      <c r="P560" s="99"/>
      <c r="Q560" s="99"/>
    </row>
    <row r="561" ht="15.75" customHeight="1" spans="2:17">
      <c r="B561" s="91"/>
      <c r="K561" s="99"/>
      <c r="L561" s="99"/>
      <c r="P561" s="99"/>
      <c r="Q561" s="99"/>
    </row>
    <row r="562" ht="15.75" customHeight="1" spans="2:17">
      <c r="B562" s="91"/>
      <c r="K562" s="99"/>
      <c r="L562" s="99"/>
      <c r="P562" s="99"/>
      <c r="Q562" s="99"/>
    </row>
    <row r="563" ht="15.75" customHeight="1" spans="2:17">
      <c r="B563" s="91"/>
      <c r="K563" s="99"/>
      <c r="L563" s="99"/>
      <c r="P563" s="99"/>
      <c r="Q563" s="99"/>
    </row>
    <row r="564" ht="15.75" customHeight="1" spans="2:17">
      <c r="B564" s="91"/>
      <c r="K564" s="99"/>
      <c r="L564" s="99"/>
      <c r="P564" s="99"/>
      <c r="Q564" s="99"/>
    </row>
    <row r="565" ht="15.75" customHeight="1" spans="2:17">
      <c r="B565" s="91"/>
      <c r="K565" s="99"/>
      <c r="L565" s="99"/>
      <c r="P565" s="99"/>
      <c r="Q565" s="99"/>
    </row>
    <row r="566" ht="15.75" customHeight="1" spans="2:17">
      <c r="B566" s="91"/>
      <c r="K566" s="99"/>
      <c r="L566" s="99"/>
      <c r="P566" s="99"/>
      <c r="Q566" s="99"/>
    </row>
    <row r="567" ht="15.75" customHeight="1" spans="2:17">
      <c r="B567" s="91"/>
      <c r="K567" s="99"/>
      <c r="L567" s="99"/>
      <c r="P567" s="99"/>
      <c r="Q567" s="99"/>
    </row>
    <row r="568" ht="15.75" customHeight="1" spans="2:17">
      <c r="B568" s="91"/>
      <c r="K568" s="99"/>
      <c r="L568" s="99"/>
      <c r="P568" s="99"/>
      <c r="Q568" s="99"/>
    </row>
    <row r="569" ht="15.75" customHeight="1" spans="2:17">
      <c r="B569" s="91"/>
      <c r="K569" s="99"/>
      <c r="L569" s="99"/>
      <c r="P569" s="99"/>
      <c r="Q569" s="99"/>
    </row>
    <row r="570" ht="15.75" customHeight="1" spans="2:17">
      <c r="B570" s="91"/>
      <c r="K570" s="99"/>
      <c r="L570" s="99"/>
      <c r="P570" s="99"/>
      <c r="Q570" s="99"/>
    </row>
    <row r="571" ht="15.75" customHeight="1" spans="2:17">
      <c r="B571" s="91"/>
      <c r="K571" s="99"/>
      <c r="L571" s="99"/>
      <c r="P571" s="99"/>
      <c r="Q571" s="99"/>
    </row>
    <row r="572" ht="15.75" customHeight="1" spans="2:17">
      <c r="B572" s="91"/>
      <c r="K572" s="99"/>
      <c r="L572" s="99"/>
      <c r="P572" s="99"/>
      <c r="Q572" s="99"/>
    </row>
    <row r="573" ht="15.75" customHeight="1" spans="2:17">
      <c r="B573" s="91"/>
      <c r="K573" s="99"/>
      <c r="L573" s="99"/>
      <c r="P573" s="99"/>
      <c r="Q573" s="99"/>
    </row>
    <row r="574" ht="15.75" customHeight="1" spans="2:17">
      <c r="B574" s="91"/>
      <c r="K574" s="99"/>
      <c r="L574" s="99"/>
      <c r="P574" s="99"/>
      <c r="Q574" s="99"/>
    </row>
    <row r="575" ht="15.75" customHeight="1" spans="2:17">
      <c r="B575" s="91"/>
      <c r="K575" s="99"/>
      <c r="L575" s="99"/>
      <c r="P575" s="99"/>
      <c r="Q575" s="99"/>
    </row>
    <row r="576" ht="15.75" customHeight="1" spans="2:17">
      <c r="B576" s="91"/>
      <c r="K576" s="99"/>
      <c r="L576" s="99"/>
      <c r="P576" s="99"/>
      <c r="Q576" s="99"/>
    </row>
    <row r="577" ht="15.75" customHeight="1" spans="2:17">
      <c r="B577" s="91"/>
      <c r="K577" s="99"/>
      <c r="L577" s="99"/>
      <c r="P577" s="99"/>
      <c r="Q577" s="99"/>
    </row>
    <row r="578" ht="15.75" customHeight="1" spans="2:17">
      <c r="B578" s="91"/>
      <c r="K578" s="99"/>
      <c r="L578" s="99"/>
      <c r="P578" s="99"/>
      <c r="Q578" s="99"/>
    </row>
    <row r="579" ht="15.75" customHeight="1" spans="2:17">
      <c r="B579" s="91"/>
      <c r="K579" s="99"/>
      <c r="L579" s="99"/>
      <c r="P579" s="99"/>
      <c r="Q579" s="99"/>
    </row>
    <row r="580" ht="15.75" customHeight="1" spans="2:17">
      <c r="B580" s="91"/>
      <c r="K580" s="99"/>
      <c r="L580" s="99"/>
      <c r="P580" s="99"/>
      <c r="Q580" s="99"/>
    </row>
    <row r="581" ht="15.75" customHeight="1" spans="2:17">
      <c r="B581" s="91"/>
      <c r="K581" s="99"/>
      <c r="L581" s="99"/>
      <c r="P581" s="99"/>
      <c r="Q581" s="99"/>
    </row>
    <row r="582" ht="15.75" customHeight="1" spans="2:17">
      <c r="B582" s="91"/>
      <c r="K582" s="99"/>
      <c r="L582" s="99"/>
      <c r="P582" s="99"/>
      <c r="Q582" s="99"/>
    </row>
    <row r="583" ht="15.75" customHeight="1" spans="2:17">
      <c r="B583" s="91"/>
      <c r="K583" s="99"/>
      <c r="L583" s="99"/>
      <c r="P583" s="99"/>
      <c r="Q583" s="99"/>
    </row>
    <row r="584" ht="15.75" customHeight="1" spans="2:17">
      <c r="B584" s="91"/>
      <c r="K584" s="99"/>
      <c r="L584" s="99"/>
      <c r="P584" s="99"/>
      <c r="Q584" s="99"/>
    </row>
    <row r="585" ht="15.75" customHeight="1" spans="2:17">
      <c r="B585" s="91"/>
      <c r="K585" s="99"/>
      <c r="L585" s="99"/>
      <c r="P585" s="99"/>
      <c r="Q585" s="99"/>
    </row>
    <row r="586" ht="15.75" customHeight="1" spans="2:17">
      <c r="B586" s="91"/>
      <c r="K586" s="99"/>
      <c r="L586" s="99"/>
      <c r="P586" s="99"/>
      <c r="Q586" s="99"/>
    </row>
    <row r="587" ht="15.75" customHeight="1" spans="2:17">
      <c r="B587" s="91"/>
      <c r="K587" s="99"/>
      <c r="L587" s="99"/>
      <c r="P587" s="99"/>
      <c r="Q587" s="99"/>
    </row>
    <row r="588" ht="15.75" customHeight="1" spans="2:17">
      <c r="B588" s="91"/>
      <c r="K588" s="99"/>
      <c r="L588" s="99"/>
      <c r="P588" s="99"/>
      <c r="Q588" s="99"/>
    </row>
    <row r="589" ht="15.75" customHeight="1" spans="2:17">
      <c r="B589" s="91"/>
      <c r="K589" s="99"/>
      <c r="L589" s="99"/>
      <c r="P589" s="99"/>
      <c r="Q589" s="99"/>
    </row>
    <row r="590" ht="15.75" customHeight="1" spans="2:17">
      <c r="B590" s="91"/>
      <c r="K590" s="99"/>
      <c r="L590" s="99"/>
      <c r="P590" s="99"/>
      <c r="Q590" s="99"/>
    </row>
    <row r="591" ht="15.75" customHeight="1" spans="2:17">
      <c r="B591" s="91"/>
      <c r="K591" s="99"/>
      <c r="L591" s="99"/>
      <c r="P591" s="99"/>
      <c r="Q591" s="99"/>
    </row>
    <row r="592" ht="15.75" customHeight="1" spans="2:17">
      <c r="B592" s="91"/>
      <c r="K592" s="99"/>
      <c r="L592" s="99"/>
      <c r="P592" s="99"/>
      <c r="Q592" s="99"/>
    </row>
    <row r="593" ht="15.75" customHeight="1" spans="2:17">
      <c r="B593" s="91"/>
      <c r="K593" s="99"/>
      <c r="L593" s="99"/>
      <c r="P593" s="99"/>
      <c r="Q593" s="99"/>
    </row>
    <row r="594" ht="15.75" customHeight="1" spans="2:17">
      <c r="B594" s="91"/>
      <c r="K594" s="99"/>
      <c r="L594" s="99"/>
      <c r="P594" s="99"/>
      <c r="Q594" s="99"/>
    </row>
    <row r="595" ht="15.75" customHeight="1" spans="2:17">
      <c r="B595" s="91"/>
      <c r="K595" s="99"/>
      <c r="L595" s="99"/>
      <c r="P595" s="99"/>
      <c r="Q595" s="99"/>
    </row>
    <row r="596" ht="15.75" customHeight="1" spans="2:17">
      <c r="B596" s="91"/>
      <c r="K596" s="99"/>
      <c r="L596" s="99"/>
      <c r="P596" s="99"/>
      <c r="Q596" s="99"/>
    </row>
    <row r="597" ht="15.75" customHeight="1" spans="2:17">
      <c r="B597" s="91"/>
      <c r="K597" s="99"/>
      <c r="L597" s="99"/>
      <c r="P597" s="99"/>
      <c r="Q597" s="99"/>
    </row>
    <row r="598" ht="15.75" customHeight="1" spans="2:17">
      <c r="B598" s="91"/>
      <c r="K598" s="99"/>
      <c r="L598" s="99"/>
      <c r="P598" s="99"/>
      <c r="Q598" s="99"/>
    </row>
    <row r="599" ht="15.75" customHeight="1" spans="2:17">
      <c r="B599" s="91"/>
      <c r="K599" s="99"/>
      <c r="L599" s="99"/>
      <c r="P599" s="99"/>
      <c r="Q599" s="99"/>
    </row>
    <row r="600" ht="15.75" customHeight="1" spans="2:17">
      <c r="B600" s="91"/>
      <c r="K600" s="99"/>
      <c r="L600" s="99"/>
      <c r="P600" s="99"/>
      <c r="Q600" s="99"/>
    </row>
    <row r="601" ht="15.75" customHeight="1" spans="2:17">
      <c r="B601" s="91"/>
      <c r="K601" s="99"/>
      <c r="L601" s="99"/>
      <c r="P601" s="99"/>
      <c r="Q601" s="99"/>
    </row>
    <row r="602" ht="15.75" customHeight="1" spans="2:17">
      <c r="B602" s="91"/>
      <c r="K602" s="99"/>
      <c r="L602" s="99"/>
      <c r="P602" s="99"/>
      <c r="Q602" s="99"/>
    </row>
    <row r="603" ht="15.75" customHeight="1" spans="2:17">
      <c r="B603" s="91"/>
      <c r="K603" s="99"/>
      <c r="L603" s="99"/>
      <c r="P603" s="99"/>
      <c r="Q603" s="99"/>
    </row>
    <row r="604" ht="15.75" customHeight="1" spans="2:17">
      <c r="B604" s="91"/>
      <c r="K604" s="99"/>
      <c r="L604" s="99"/>
      <c r="P604" s="99"/>
      <c r="Q604" s="99"/>
    </row>
    <row r="605" ht="15.75" customHeight="1" spans="2:17">
      <c r="B605" s="91"/>
      <c r="K605" s="99"/>
      <c r="L605" s="99"/>
      <c r="P605" s="99"/>
      <c r="Q605" s="99"/>
    </row>
    <row r="606" ht="15.75" customHeight="1" spans="2:17">
      <c r="B606" s="91"/>
      <c r="K606" s="99"/>
      <c r="L606" s="99"/>
      <c r="P606" s="99"/>
      <c r="Q606" s="99"/>
    </row>
    <row r="607" ht="15.75" customHeight="1" spans="2:17">
      <c r="B607" s="91"/>
      <c r="K607" s="99"/>
      <c r="L607" s="99"/>
      <c r="P607" s="99"/>
      <c r="Q607" s="99"/>
    </row>
    <row r="608" ht="15.75" customHeight="1" spans="2:17">
      <c r="B608" s="91"/>
      <c r="K608" s="99"/>
      <c r="L608" s="99"/>
      <c r="P608" s="99"/>
      <c r="Q608" s="99"/>
    </row>
    <row r="609" ht="15.75" customHeight="1" spans="2:17">
      <c r="B609" s="91"/>
      <c r="K609" s="99"/>
      <c r="L609" s="99"/>
      <c r="P609" s="99"/>
      <c r="Q609" s="99"/>
    </row>
    <row r="610" ht="15.75" customHeight="1" spans="2:17">
      <c r="B610" s="91"/>
      <c r="K610" s="99"/>
      <c r="L610" s="99"/>
      <c r="P610" s="99"/>
      <c r="Q610" s="99"/>
    </row>
    <row r="611" ht="15.75" customHeight="1" spans="2:17">
      <c r="B611" s="91"/>
      <c r="K611" s="99"/>
      <c r="L611" s="99"/>
      <c r="P611" s="99"/>
      <c r="Q611" s="99"/>
    </row>
    <row r="612" ht="15.75" customHeight="1" spans="2:17">
      <c r="B612" s="91"/>
      <c r="K612" s="99"/>
      <c r="L612" s="99"/>
      <c r="P612" s="99"/>
      <c r="Q612" s="99"/>
    </row>
    <row r="613" ht="15.75" customHeight="1" spans="2:17">
      <c r="B613" s="91"/>
      <c r="K613" s="99"/>
      <c r="L613" s="99"/>
      <c r="P613" s="99"/>
      <c r="Q613" s="99"/>
    </row>
    <row r="614" ht="15.75" customHeight="1" spans="2:17">
      <c r="B614" s="91"/>
      <c r="K614" s="99"/>
      <c r="L614" s="99"/>
      <c r="P614" s="99"/>
      <c r="Q614" s="99"/>
    </row>
    <row r="615" ht="15.75" customHeight="1" spans="2:17">
      <c r="B615" s="91"/>
      <c r="K615" s="99"/>
      <c r="L615" s="99"/>
      <c r="P615" s="99"/>
      <c r="Q615" s="99"/>
    </row>
    <row r="616" ht="15.75" customHeight="1" spans="2:17">
      <c r="B616" s="91"/>
      <c r="K616" s="99"/>
      <c r="L616" s="99"/>
      <c r="P616" s="99"/>
      <c r="Q616" s="99"/>
    </row>
    <row r="617" ht="15.75" customHeight="1" spans="2:17">
      <c r="B617" s="91"/>
      <c r="K617" s="99"/>
      <c r="L617" s="99"/>
      <c r="P617" s="99"/>
      <c r="Q617" s="99"/>
    </row>
    <row r="618" ht="15.75" customHeight="1" spans="2:17">
      <c r="B618" s="91"/>
      <c r="K618" s="99"/>
      <c r="L618" s="99"/>
      <c r="P618" s="99"/>
      <c r="Q618" s="99"/>
    </row>
    <row r="619" ht="15.75" customHeight="1" spans="2:17">
      <c r="B619" s="91"/>
      <c r="K619" s="99"/>
      <c r="L619" s="99"/>
      <c r="P619" s="99"/>
      <c r="Q619" s="99"/>
    </row>
    <row r="620" ht="15.75" customHeight="1" spans="2:17">
      <c r="B620" s="91"/>
      <c r="K620" s="99"/>
      <c r="L620" s="99"/>
      <c r="P620" s="99"/>
      <c r="Q620" s="99"/>
    </row>
    <row r="621" ht="15.75" customHeight="1" spans="2:17">
      <c r="B621" s="91"/>
      <c r="K621" s="99"/>
      <c r="L621" s="99"/>
      <c r="P621" s="99"/>
      <c r="Q621" s="99"/>
    </row>
    <row r="622" ht="15.75" customHeight="1" spans="2:17">
      <c r="B622" s="91"/>
      <c r="K622" s="99"/>
      <c r="L622" s="99"/>
      <c r="P622" s="99"/>
      <c r="Q622" s="99"/>
    </row>
    <row r="623" ht="15.75" customHeight="1" spans="2:17">
      <c r="B623" s="91"/>
      <c r="K623" s="99"/>
      <c r="L623" s="99"/>
      <c r="P623" s="99"/>
      <c r="Q623" s="99"/>
    </row>
    <row r="624" ht="15.75" customHeight="1" spans="2:17">
      <c r="B624" s="91"/>
      <c r="K624" s="99"/>
      <c r="L624" s="99"/>
      <c r="P624" s="99"/>
      <c r="Q624" s="99"/>
    </row>
    <row r="625" ht="15.75" customHeight="1" spans="2:17">
      <c r="B625" s="91"/>
      <c r="K625" s="99"/>
      <c r="L625" s="99"/>
      <c r="P625" s="99"/>
      <c r="Q625" s="99"/>
    </row>
    <row r="626" ht="15.75" customHeight="1" spans="2:17">
      <c r="B626" s="91"/>
      <c r="K626" s="99"/>
      <c r="L626" s="99"/>
      <c r="P626" s="99"/>
      <c r="Q626" s="99"/>
    </row>
    <row r="627" ht="15.75" customHeight="1" spans="2:17">
      <c r="B627" s="91"/>
      <c r="K627" s="99"/>
      <c r="L627" s="99"/>
      <c r="P627" s="99"/>
      <c r="Q627" s="99"/>
    </row>
    <row r="628" ht="15.75" customHeight="1" spans="2:17">
      <c r="B628" s="91"/>
      <c r="K628" s="99"/>
      <c r="L628" s="99"/>
      <c r="P628" s="99"/>
      <c r="Q628" s="99"/>
    </row>
    <row r="629" ht="15.75" customHeight="1" spans="2:17">
      <c r="B629" s="91"/>
      <c r="K629" s="99"/>
      <c r="L629" s="99"/>
      <c r="P629" s="99"/>
      <c r="Q629" s="99"/>
    </row>
    <row r="630" ht="15.75" customHeight="1" spans="2:17">
      <c r="B630" s="91"/>
      <c r="K630" s="99"/>
      <c r="L630" s="99"/>
      <c r="P630" s="99"/>
      <c r="Q630" s="99"/>
    </row>
    <row r="631" ht="15.75" customHeight="1" spans="2:17">
      <c r="B631" s="91"/>
      <c r="K631" s="99"/>
      <c r="L631" s="99"/>
      <c r="P631" s="99"/>
      <c r="Q631" s="99"/>
    </row>
    <row r="632" ht="15.75" customHeight="1" spans="2:17">
      <c r="B632" s="91"/>
      <c r="K632" s="99"/>
      <c r="L632" s="99"/>
      <c r="P632" s="99"/>
      <c r="Q632" s="99"/>
    </row>
    <row r="633" ht="15.75" customHeight="1" spans="2:17">
      <c r="B633" s="91"/>
      <c r="K633" s="99"/>
      <c r="L633" s="99"/>
      <c r="P633" s="99"/>
      <c r="Q633" s="99"/>
    </row>
    <row r="634" ht="15.75" customHeight="1" spans="2:17">
      <c r="B634" s="91"/>
      <c r="K634" s="99"/>
      <c r="L634" s="99"/>
      <c r="P634" s="99"/>
      <c r="Q634" s="99"/>
    </row>
    <row r="635" ht="15.75" customHeight="1" spans="2:17">
      <c r="B635" s="91"/>
      <c r="K635" s="99"/>
      <c r="L635" s="99"/>
      <c r="P635" s="99"/>
      <c r="Q635" s="99"/>
    </row>
    <row r="636" ht="15.75" customHeight="1" spans="2:17">
      <c r="B636" s="91"/>
      <c r="K636" s="99"/>
      <c r="L636" s="99"/>
      <c r="P636" s="99"/>
      <c r="Q636" s="99"/>
    </row>
    <row r="637" ht="15.75" customHeight="1" spans="2:17">
      <c r="B637" s="91"/>
      <c r="K637" s="99"/>
      <c r="L637" s="99"/>
      <c r="P637" s="99"/>
      <c r="Q637" s="99"/>
    </row>
    <row r="638" ht="15.75" customHeight="1" spans="2:17">
      <c r="B638" s="91"/>
      <c r="K638" s="99"/>
      <c r="L638" s="99"/>
      <c r="P638" s="99"/>
      <c r="Q638" s="99"/>
    </row>
    <row r="639" ht="15.75" customHeight="1" spans="2:17">
      <c r="B639" s="91"/>
      <c r="K639" s="99"/>
      <c r="L639" s="99"/>
      <c r="P639" s="99"/>
      <c r="Q639" s="99"/>
    </row>
    <row r="640" ht="15.75" customHeight="1" spans="2:17">
      <c r="B640" s="91"/>
      <c r="K640" s="99"/>
      <c r="L640" s="99"/>
      <c r="P640" s="99"/>
      <c r="Q640" s="99"/>
    </row>
    <row r="641" ht="15.75" customHeight="1" spans="2:17">
      <c r="B641" s="91"/>
      <c r="K641" s="99"/>
      <c r="L641" s="99"/>
      <c r="P641" s="99"/>
      <c r="Q641" s="99"/>
    </row>
    <row r="642" ht="15.75" customHeight="1" spans="2:17">
      <c r="B642" s="91"/>
      <c r="K642" s="99"/>
      <c r="L642" s="99"/>
      <c r="P642" s="99"/>
      <c r="Q642" s="99"/>
    </row>
    <row r="643" ht="15.75" customHeight="1" spans="2:17">
      <c r="B643" s="91"/>
      <c r="K643" s="99"/>
      <c r="L643" s="99"/>
      <c r="P643" s="99"/>
      <c r="Q643" s="99"/>
    </row>
    <row r="644" ht="15.75" customHeight="1" spans="2:17">
      <c r="B644" s="91"/>
      <c r="K644" s="99"/>
      <c r="L644" s="99"/>
      <c r="P644" s="99"/>
      <c r="Q644" s="99"/>
    </row>
    <row r="645" ht="15.75" customHeight="1" spans="2:17">
      <c r="B645" s="91"/>
      <c r="K645" s="99"/>
      <c r="L645" s="99"/>
      <c r="P645" s="99"/>
      <c r="Q645" s="99"/>
    </row>
    <row r="646" ht="15.75" customHeight="1" spans="2:17">
      <c r="B646" s="91"/>
      <c r="K646" s="99"/>
      <c r="L646" s="99"/>
      <c r="P646" s="99"/>
      <c r="Q646" s="99"/>
    </row>
    <row r="647" ht="15.75" customHeight="1" spans="2:17">
      <c r="B647" s="91"/>
      <c r="K647" s="99"/>
      <c r="L647" s="99"/>
      <c r="P647" s="99"/>
      <c r="Q647" s="99"/>
    </row>
    <row r="648" ht="15.75" customHeight="1" spans="2:17">
      <c r="B648" s="91"/>
      <c r="K648" s="99"/>
      <c r="L648" s="99"/>
      <c r="P648" s="99"/>
      <c r="Q648" s="99"/>
    </row>
    <row r="649" ht="15.75" customHeight="1" spans="2:17">
      <c r="B649" s="91"/>
      <c r="K649" s="99"/>
      <c r="L649" s="99"/>
      <c r="P649" s="99"/>
      <c r="Q649" s="99"/>
    </row>
    <row r="650" ht="15.75" customHeight="1" spans="2:17">
      <c r="B650" s="91"/>
      <c r="K650" s="99"/>
      <c r="L650" s="99"/>
      <c r="P650" s="99"/>
      <c r="Q650" s="99"/>
    </row>
    <row r="651" ht="15.75" customHeight="1" spans="2:17">
      <c r="B651" s="91"/>
      <c r="K651" s="99"/>
      <c r="L651" s="99"/>
      <c r="P651" s="99"/>
      <c r="Q651" s="99"/>
    </row>
    <row r="652" ht="15.75" customHeight="1" spans="2:17">
      <c r="B652" s="91"/>
      <c r="K652" s="99"/>
      <c r="L652" s="99"/>
      <c r="P652" s="99"/>
      <c r="Q652" s="99"/>
    </row>
    <row r="653" ht="15.75" customHeight="1" spans="2:17">
      <c r="B653" s="91"/>
      <c r="K653" s="99"/>
      <c r="L653" s="99"/>
      <c r="P653" s="99"/>
      <c r="Q653" s="99"/>
    </row>
    <row r="654" ht="15.75" customHeight="1" spans="2:17">
      <c r="B654" s="91"/>
      <c r="K654" s="99"/>
      <c r="L654" s="99"/>
      <c r="P654" s="99"/>
      <c r="Q654" s="99"/>
    </row>
    <row r="655" ht="15.75" customHeight="1" spans="2:17">
      <c r="B655" s="91"/>
      <c r="K655" s="99"/>
      <c r="L655" s="99"/>
      <c r="P655" s="99"/>
      <c r="Q655" s="99"/>
    </row>
    <row r="656" ht="15.75" customHeight="1" spans="2:17">
      <c r="B656" s="91"/>
      <c r="K656" s="99"/>
      <c r="L656" s="99"/>
      <c r="P656" s="99"/>
      <c r="Q656" s="99"/>
    </row>
    <row r="657" ht="15.75" customHeight="1" spans="2:17">
      <c r="B657" s="91"/>
      <c r="K657" s="99"/>
      <c r="L657" s="99"/>
      <c r="P657" s="99"/>
      <c r="Q657" s="99"/>
    </row>
    <row r="658" ht="15.75" customHeight="1" spans="2:17">
      <c r="B658" s="91"/>
      <c r="K658" s="99"/>
      <c r="L658" s="99"/>
      <c r="P658" s="99"/>
      <c r="Q658" s="99"/>
    </row>
    <row r="659" ht="15.75" customHeight="1" spans="2:17">
      <c r="B659" s="91"/>
      <c r="K659" s="99"/>
      <c r="L659" s="99"/>
      <c r="P659" s="99"/>
      <c r="Q659" s="99"/>
    </row>
    <row r="660" ht="15.75" customHeight="1" spans="2:17">
      <c r="B660" s="91"/>
      <c r="K660" s="99"/>
      <c r="L660" s="99"/>
      <c r="P660" s="99"/>
      <c r="Q660" s="99"/>
    </row>
    <row r="661" ht="15.75" customHeight="1" spans="2:17">
      <c r="B661" s="91"/>
      <c r="K661" s="99"/>
      <c r="L661" s="99"/>
      <c r="P661" s="99"/>
      <c r="Q661" s="99"/>
    </row>
    <row r="662" ht="15.75" customHeight="1" spans="2:17">
      <c r="B662" s="91"/>
      <c r="K662" s="99"/>
      <c r="L662" s="99"/>
      <c r="P662" s="99"/>
      <c r="Q662" s="99"/>
    </row>
    <row r="663" ht="15.75" customHeight="1" spans="2:17">
      <c r="B663" s="91"/>
      <c r="K663" s="99"/>
      <c r="L663" s="99"/>
      <c r="P663" s="99"/>
      <c r="Q663" s="99"/>
    </row>
    <row r="664" ht="15.75" customHeight="1" spans="2:17">
      <c r="B664" s="91"/>
      <c r="K664" s="99"/>
      <c r="L664" s="99"/>
      <c r="P664" s="99"/>
      <c r="Q664" s="99"/>
    </row>
    <row r="665" ht="15.75" customHeight="1" spans="2:17">
      <c r="B665" s="91"/>
      <c r="K665" s="99"/>
      <c r="L665" s="99"/>
      <c r="P665" s="99"/>
      <c r="Q665" s="99"/>
    </row>
    <row r="666" ht="15.75" customHeight="1" spans="2:17">
      <c r="B666" s="91"/>
      <c r="K666" s="99"/>
      <c r="L666" s="99"/>
      <c r="P666" s="99"/>
      <c r="Q666" s="99"/>
    </row>
    <row r="667" ht="15.75" customHeight="1" spans="2:17">
      <c r="B667" s="91"/>
      <c r="K667" s="99"/>
      <c r="L667" s="99"/>
      <c r="P667" s="99"/>
      <c r="Q667" s="99"/>
    </row>
    <row r="668" ht="15.75" customHeight="1" spans="2:17">
      <c r="B668" s="91"/>
      <c r="K668" s="99"/>
      <c r="L668" s="99"/>
      <c r="P668" s="99"/>
      <c r="Q668" s="99"/>
    </row>
    <row r="669" ht="15.75" customHeight="1" spans="2:17">
      <c r="B669" s="91"/>
      <c r="K669" s="99"/>
      <c r="L669" s="99"/>
      <c r="P669" s="99"/>
      <c r="Q669" s="99"/>
    </row>
    <row r="670" ht="15.75" customHeight="1" spans="2:17">
      <c r="B670" s="91"/>
      <c r="K670" s="99"/>
      <c r="L670" s="99"/>
      <c r="P670" s="99"/>
      <c r="Q670" s="99"/>
    </row>
    <row r="671" ht="15.75" customHeight="1" spans="2:17">
      <c r="B671" s="91"/>
      <c r="K671" s="99"/>
      <c r="L671" s="99"/>
      <c r="P671" s="99"/>
      <c r="Q671" s="99"/>
    </row>
    <row r="672" ht="15.75" customHeight="1" spans="2:17">
      <c r="B672" s="91"/>
      <c r="K672" s="99"/>
      <c r="L672" s="99"/>
      <c r="P672" s="99"/>
      <c r="Q672" s="99"/>
    </row>
    <row r="673" ht="15.75" customHeight="1" spans="2:17">
      <c r="B673" s="91"/>
      <c r="K673" s="99"/>
      <c r="L673" s="99"/>
      <c r="P673" s="99"/>
      <c r="Q673" s="99"/>
    </row>
    <row r="674" ht="15.75" customHeight="1" spans="2:17">
      <c r="B674" s="91"/>
      <c r="K674" s="99"/>
      <c r="L674" s="99"/>
      <c r="P674" s="99"/>
      <c r="Q674" s="99"/>
    </row>
    <row r="675" ht="15.75" customHeight="1" spans="2:17">
      <c r="B675" s="91"/>
      <c r="K675" s="99"/>
      <c r="L675" s="99"/>
      <c r="P675" s="99"/>
      <c r="Q675" s="99"/>
    </row>
    <row r="676" ht="15.75" customHeight="1" spans="2:17">
      <c r="B676" s="91"/>
      <c r="K676" s="99"/>
      <c r="L676" s="99"/>
      <c r="P676" s="99"/>
      <c r="Q676" s="99"/>
    </row>
    <row r="677" ht="15.75" customHeight="1" spans="2:17">
      <c r="B677" s="91"/>
      <c r="K677" s="99"/>
      <c r="L677" s="99"/>
      <c r="P677" s="99"/>
      <c r="Q677" s="99"/>
    </row>
    <row r="678" ht="15.75" customHeight="1" spans="2:17">
      <c r="B678" s="91"/>
      <c r="K678" s="99"/>
      <c r="L678" s="99"/>
      <c r="P678" s="99"/>
      <c r="Q678" s="99"/>
    </row>
    <row r="679" ht="15.75" customHeight="1" spans="2:17">
      <c r="B679" s="91"/>
      <c r="K679" s="99"/>
      <c r="L679" s="99"/>
      <c r="P679" s="99"/>
      <c r="Q679" s="99"/>
    </row>
    <row r="680" ht="15.75" customHeight="1" spans="2:17">
      <c r="B680" s="91"/>
      <c r="K680" s="99"/>
      <c r="L680" s="99"/>
      <c r="P680" s="99"/>
      <c r="Q680" s="99"/>
    </row>
    <row r="681" ht="15.75" customHeight="1" spans="2:17">
      <c r="B681" s="91"/>
      <c r="K681" s="99"/>
      <c r="L681" s="99"/>
      <c r="P681" s="99"/>
      <c r="Q681" s="99"/>
    </row>
    <row r="682" ht="15.75" customHeight="1" spans="2:17">
      <c r="B682" s="91"/>
      <c r="K682" s="99"/>
      <c r="L682" s="99"/>
      <c r="P682" s="99"/>
      <c r="Q682" s="99"/>
    </row>
    <row r="683" ht="15.75" customHeight="1" spans="2:17">
      <c r="B683" s="91"/>
      <c r="K683" s="99"/>
      <c r="L683" s="99"/>
      <c r="P683" s="99"/>
      <c r="Q683" s="99"/>
    </row>
    <row r="684" ht="15.75" customHeight="1" spans="2:17">
      <c r="B684" s="91"/>
      <c r="K684" s="99"/>
      <c r="L684" s="99"/>
      <c r="P684" s="99"/>
      <c r="Q684" s="99"/>
    </row>
    <row r="685" ht="15.75" customHeight="1" spans="2:17">
      <c r="B685" s="91"/>
      <c r="K685" s="99"/>
      <c r="L685" s="99"/>
      <c r="P685" s="99"/>
      <c r="Q685" s="99"/>
    </row>
    <row r="686" ht="15.75" customHeight="1" spans="2:17">
      <c r="B686" s="91"/>
      <c r="K686" s="99"/>
      <c r="L686" s="99"/>
      <c r="P686" s="99"/>
      <c r="Q686" s="99"/>
    </row>
    <row r="687" ht="15.75" customHeight="1" spans="2:17">
      <c r="B687" s="91"/>
      <c r="K687" s="99"/>
      <c r="L687" s="99"/>
      <c r="P687" s="99"/>
      <c r="Q687" s="99"/>
    </row>
    <row r="688" ht="15.75" customHeight="1" spans="2:17">
      <c r="B688" s="91"/>
      <c r="K688" s="99"/>
      <c r="L688" s="99"/>
      <c r="P688" s="99"/>
      <c r="Q688" s="99"/>
    </row>
    <row r="689" ht="15.75" customHeight="1" spans="2:17">
      <c r="B689" s="91"/>
      <c r="K689" s="99"/>
      <c r="L689" s="99"/>
      <c r="P689" s="99"/>
      <c r="Q689" s="99"/>
    </row>
    <row r="690" ht="15.75" customHeight="1" spans="2:17">
      <c r="B690" s="91"/>
      <c r="K690" s="99"/>
      <c r="L690" s="99"/>
      <c r="P690" s="99"/>
      <c r="Q690" s="99"/>
    </row>
    <row r="691" ht="15.75" customHeight="1" spans="2:17">
      <c r="B691" s="91"/>
      <c r="K691" s="99"/>
      <c r="L691" s="99"/>
      <c r="P691" s="99"/>
      <c r="Q691" s="99"/>
    </row>
    <row r="692" ht="15.75" customHeight="1" spans="2:17">
      <c r="B692" s="91"/>
      <c r="K692" s="99"/>
      <c r="L692" s="99"/>
      <c r="P692" s="99"/>
      <c r="Q692" s="99"/>
    </row>
    <row r="693" ht="15.75" customHeight="1" spans="2:17">
      <c r="B693" s="91"/>
      <c r="K693" s="99"/>
      <c r="L693" s="99"/>
      <c r="P693" s="99"/>
      <c r="Q693" s="99"/>
    </row>
    <row r="694" ht="15.75" customHeight="1" spans="2:17">
      <c r="B694" s="91"/>
      <c r="K694" s="99"/>
      <c r="L694" s="99"/>
      <c r="P694" s="99"/>
      <c r="Q694" s="99"/>
    </row>
    <row r="695" ht="15.75" customHeight="1" spans="2:17">
      <c r="B695" s="91"/>
      <c r="K695" s="99"/>
      <c r="L695" s="99"/>
      <c r="P695" s="99"/>
      <c r="Q695" s="99"/>
    </row>
    <row r="696" ht="15.75" customHeight="1" spans="2:17">
      <c r="B696" s="91"/>
      <c r="K696" s="99"/>
      <c r="L696" s="99"/>
      <c r="P696" s="99"/>
      <c r="Q696" s="99"/>
    </row>
    <row r="697" ht="15.75" customHeight="1" spans="2:17">
      <c r="B697" s="91"/>
      <c r="K697" s="99"/>
      <c r="L697" s="99"/>
      <c r="P697" s="99"/>
      <c r="Q697" s="99"/>
    </row>
    <row r="698" ht="15.75" customHeight="1" spans="2:17">
      <c r="B698" s="91"/>
      <c r="K698" s="99"/>
      <c r="L698" s="99"/>
      <c r="P698" s="99"/>
      <c r="Q698" s="99"/>
    </row>
    <row r="699" ht="15.75" customHeight="1" spans="2:17">
      <c r="B699" s="91"/>
      <c r="K699" s="99"/>
      <c r="L699" s="99"/>
      <c r="P699" s="99"/>
      <c r="Q699" s="99"/>
    </row>
    <row r="700" ht="15.75" customHeight="1" spans="2:17">
      <c r="B700" s="91"/>
      <c r="K700" s="99"/>
      <c r="L700" s="99"/>
      <c r="P700" s="99"/>
      <c r="Q700" s="99"/>
    </row>
    <row r="701" ht="15.75" customHeight="1" spans="2:17">
      <c r="B701" s="91"/>
      <c r="K701" s="99"/>
      <c r="L701" s="99"/>
      <c r="P701" s="99"/>
      <c r="Q701" s="99"/>
    </row>
    <row r="702" ht="15.75" customHeight="1" spans="2:17">
      <c r="B702" s="91"/>
      <c r="K702" s="99"/>
      <c r="L702" s="99"/>
      <c r="P702" s="99"/>
      <c r="Q702" s="99"/>
    </row>
    <row r="703" ht="15.75" customHeight="1" spans="2:17">
      <c r="B703" s="91"/>
      <c r="K703" s="99"/>
      <c r="L703" s="99"/>
      <c r="P703" s="99"/>
      <c r="Q703" s="99"/>
    </row>
    <row r="704" ht="15.75" customHeight="1" spans="2:17">
      <c r="B704" s="91"/>
      <c r="K704" s="99"/>
      <c r="L704" s="99"/>
      <c r="P704" s="99"/>
      <c r="Q704" s="99"/>
    </row>
    <row r="705" ht="15.75" customHeight="1" spans="2:17">
      <c r="B705" s="91"/>
      <c r="K705" s="99"/>
      <c r="L705" s="99"/>
      <c r="P705" s="99"/>
      <c r="Q705" s="99"/>
    </row>
    <row r="706" ht="15.75" customHeight="1" spans="2:17">
      <c r="B706" s="91"/>
      <c r="K706" s="99"/>
      <c r="L706" s="99"/>
      <c r="P706" s="99"/>
      <c r="Q706" s="99"/>
    </row>
    <row r="707" ht="15.75" customHeight="1" spans="2:17">
      <c r="B707" s="91"/>
      <c r="K707" s="99"/>
      <c r="L707" s="99"/>
      <c r="P707" s="99"/>
      <c r="Q707" s="99"/>
    </row>
    <row r="708" ht="15.75" customHeight="1" spans="2:17">
      <c r="B708" s="91"/>
      <c r="K708" s="99"/>
      <c r="L708" s="99"/>
      <c r="P708" s="99"/>
      <c r="Q708" s="99"/>
    </row>
    <row r="709" ht="15.75" customHeight="1" spans="2:17">
      <c r="B709" s="91"/>
      <c r="K709" s="99"/>
      <c r="L709" s="99"/>
      <c r="P709" s="99"/>
      <c r="Q709" s="99"/>
    </row>
    <row r="710" ht="15.75" customHeight="1" spans="2:17">
      <c r="B710" s="91"/>
      <c r="K710" s="99"/>
      <c r="L710" s="99"/>
      <c r="P710" s="99"/>
      <c r="Q710" s="99"/>
    </row>
    <row r="711" ht="15.75" customHeight="1" spans="2:17">
      <c r="B711" s="91"/>
      <c r="K711" s="99"/>
      <c r="L711" s="99"/>
      <c r="P711" s="99"/>
      <c r="Q711" s="99"/>
    </row>
    <row r="712" ht="15.75" customHeight="1" spans="2:17">
      <c r="B712" s="91"/>
      <c r="K712" s="99"/>
      <c r="L712" s="99"/>
      <c r="P712" s="99"/>
      <c r="Q712" s="99"/>
    </row>
    <row r="713" ht="15.75" customHeight="1" spans="2:17">
      <c r="B713" s="91"/>
      <c r="K713" s="99"/>
      <c r="L713" s="99"/>
      <c r="P713" s="99"/>
      <c r="Q713" s="99"/>
    </row>
    <row r="714" ht="15.75" customHeight="1" spans="2:17">
      <c r="B714" s="91"/>
      <c r="K714" s="99"/>
      <c r="L714" s="99"/>
      <c r="P714" s="99"/>
      <c r="Q714" s="99"/>
    </row>
    <row r="715" ht="15.75" customHeight="1" spans="2:17">
      <c r="B715" s="91"/>
      <c r="K715" s="99"/>
      <c r="L715" s="99"/>
      <c r="P715" s="99"/>
      <c r="Q715" s="99"/>
    </row>
    <row r="716" ht="15.75" customHeight="1" spans="2:17">
      <c r="B716" s="91"/>
      <c r="K716" s="99"/>
      <c r="L716" s="99"/>
      <c r="P716" s="99"/>
      <c r="Q716" s="99"/>
    </row>
    <row r="717" ht="15.75" customHeight="1" spans="2:17">
      <c r="B717" s="91"/>
      <c r="K717" s="99"/>
      <c r="L717" s="99"/>
      <c r="P717" s="99"/>
      <c r="Q717" s="99"/>
    </row>
    <row r="718" ht="15.75" customHeight="1" spans="2:17">
      <c r="B718" s="91"/>
      <c r="K718" s="99"/>
      <c r="L718" s="99"/>
      <c r="P718" s="99"/>
      <c r="Q718" s="99"/>
    </row>
    <row r="719" ht="15.75" customHeight="1" spans="2:17">
      <c r="B719" s="91"/>
      <c r="K719" s="99"/>
      <c r="L719" s="99"/>
      <c r="P719" s="99"/>
      <c r="Q719" s="99"/>
    </row>
    <row r="720" ht="15.75" customHeight="1" spans="2:17">
      <c r="B720" s="91"/>
      <c r="K720" s="99"/>
      <c r="L720" s="99"/>
      <c r="P720" s="99"/>
      <c r="Q720" s="99"/>
    </row>
    <row r="721" ht="15.75" customHeight="1" spans="2:17">
      <c r="B721" s="91"/>
      <c r="K721" s="99"/>
      <c r="L721" s="99"/>
      <c r="P721" s="99"/>
      <c r="Q721" s="99"/>
    </row>
    <row r="722" ht="15.75" customHeight="1" spans="2:17">
      <c r="B722" s="91"/>
      <c r="K722" s="99"/>
      <c r="L722" s="99"/>
      <c r="P722" s="99"/>
      <c r="Q722" s="99"/>
    </row>
    <row r="723" ht="15.75" customHeight="1" spans="2:17">
      <c r="B723" s="91"/>
      <c r="K723" s="99"/>
      <c r="L723" s="99"/>
      <c r="P723" s="99"/>
      <c r="Q723" s="99"/>
    </row>
    <row r="724" ht="15.75" customHeight="1" spans="2:17">
      <c r="B724" s="91"/>
      <c r="K724" s="99"/>
      <c r="L724" s="99"/>
      <c r="P724" s="99"/>
      <c r="Q724" s="99"/>
    </row>
    <row r="725" ht="15.75" customHeight="1" spans="2:17">
      <c r="B725" s="91"/>
      <c r="K725" s="99"/>
      <c r="L725" s="99"/>
      <c r="P725" s="99"/>
      <c r="Q725" s="99"/>
    </row>
    <row r="726" ht="15.75" customHeight="1" spans="2:17">
      <c r="B726" s="91"/>
      <c r="K726" s="99"/>
      <c r="L726" s="99"/>
      <c r="P726" s="99"/>
      <c r="Q726" s="99"/>
    </row>
    <row r="727" ht="15.75" customHeight="1" spans="2:17">
      <c r="B727" s="91"/>
      <c r="K727" s="99"/>
      <c r="L727" s="99"/>
      <c r="P727" s="99"/>
      <c r="Q727" s="99"/>
    </row>
    <row r="728" ht="15.75" customHeight="1" spans="2:17">
      <c r="B728" s="91"/>
      <c r="K728" s="99"/>
      <c r="L728" s="99"/>
      <c r="P728" s="99"/>
      <c r="Q728" s="99"/>
    </row>
    <row r="729" ht="15.75" customHeight="1" spans="2:17">
      <c r="B729" s="91"/>
      <c r="K729" s="99"/>
      <c r="L729" s="99"/>
      <c r="P729" s="99"/>
      <c r="Q729" s="99"/>
    </row>
    <row r="730" ht="15.75" customHeight="1" spans="2:17">
      <c r="B730" s="91"/>
      <c r="K730" s="99"/>
      <c r="L730" s="99"/>
      <c r="P730" s="99"/>
      <c r="Q730" s="99"/>
    </row>
    <row r="731" ht="15.75" customHeight="1" spans="2:17">
      <c r="B731" s="91"/>
      <c r="K731" s="99"/>
      <c r="L731" s="99"/>
      <c r="P731" s="99"/>
      <c r="Q731" s="99"/>
    </row>
    <row r="732" ht="15.75" customHeight="1" spans="2:17">
      <c r="B732" s="91"/>
      <c r="K732" s="99"/>
      <c r="L732" s="99"/>
      <c r="P732" s="99"/>
      <c r="Q732" s="99"/>
    </row>
    <row r="733" ht="15.75" customHeight="1" spans="2:17">
      <c r="B733" s="91"/>
      <c r="K733" s="99"/>
      <c r="L733" s="99"/>
      <c r="P733" s="99"/>
      <c r="Q733" s="99"/>
    </row>
    <row r="734" ht="15.75" customHeight="1" spans="2:17">
      <c r="B734" s="91"/>
      <c r="K734" s="99"/>
      <c r="L734" s="99"/>
      <c r="P734" s="99"/>
      <c r="Q734" s="99"/>
    </row>
    <row r="735" ht="15.75" customHeight="1" spans="2:17">
      <c r="B735" s="91"/>
      <c r="K735" s="99"/>
      <c r="L735" s="99"/>
      <c r="P735" s="99"/>
      <c r="Q735" s="99"/>
    </row>
    <row r="736" ht="15.75" customHeight="1" spans="2:17">
      <c r="B736" s="91"/>
      <c r="K736" s="99"/>
      <c r="L736" s="99"/>
      <c r="P736" s="99"/>
      <c r="Q736" s="99"/>
    </row>
    <row r="737" ht="15.75" customHeight="1" spans="2:17">
      <c r="B737" s="91"/>
      <c r="K737" s="99"/>
      <c r="L737" s="99"/>
      <c r="P737" s="99"/>
      <c r="Q737" s="99"/>
    </row>
    <row r="738" ht="15.75" customHeight="1" spans="2:17">
      <c r="B738" s="91"/>
      <c r="K738" s="99"/>
      <c r="L738" s="99"/>
      <c r="P738" s="99"/>
      <c r="Q738" s="99"/>
    </row>
    <row r="739" ht="15.75" customHeight="1" spans="2:17">
      <c r="B739" s="91"/>
      <c r="K739" s="99"/>
      <c r="L739" s="99"/>
      <c r="P739" s="99"/>
      <c r="Q739" s="99"/>
    </row>
    <row r="740" ht="15.75" customHeight="1" spans="2:17">
      <c r="B740" s="91"/>
      <c r="K740" s="99"/>
      <c r="L740" s="99"/>
      <c r="P740" s="99"/>
      <c r="Q740" s="99"/>
    </row>
    <row r="741" ht="15.75" customHeight="1" spans="2:17">
      <c r="B741" s="91"/>
      <c r="K741" s="99"/>
      <c r="L741" s="99"/>
      <c r="P741" s="99"/>
      <c r="Q741" s="99"/>
    </row>
    <row r="742" ht="15.75" customHeight="1" spans="2:17">
      <c r="B742" s="91"/>
      <c r="K742" s="99"/>
      <c r="L742" s="99"/>
      <c r="P742" s="99"/>
      <c r="Q742" s="99"/>
    </row>
    <row r="743" ht="15.75" customHeight="1" spans="2:17">
      <c r="B743" s="91"/>
      <c r="K743" s="99"/>
      <c r="L743" s="99"/>
      <c r="P743" s="99"/>
      <c r="Q743" s="99"/>
    </row>
    <row r="744" ht="15.75" customHeight="1" spans="2:17">
      <c r="B744" s="91"/>
      <c r="K744" s="99"/>
      <c r="L744" s="99"/>
      <c r="P744" s="99"/>
      <c r="Q744" s="99"/>
    </row>
    <row r="745" ht="15.75" customHeight="1" spans="2:17">
      <c r="B745" s="91"/>
      <c r="K745" s="99"/>
      <c r="L745" s="99"/>
      <c r="P745" s="99"/>
      <c r="Q745" s="99"/>
    </row>
    <row r="746" ht="15.75" customHeight="1" spans="2:17">
      <c r="B746" s="91"/>
      <c r="K746" s="99"/>
      <c r="L746" s="99"/>
      <c r="P746" s="99"/>
      <c r="Q746" s="99"/>
    </row>
    <row r="747" ht="15.75" customHeight="1" spans="2:17">
      <c r="B747" s="91"/>
      <c r="K747" s="99"/>
      <c r="L747" s="99"/>
      <c r="P747" s="99"/>
      <c r="Q747" s="99"/>
    </row>
    <row r="748" ht="15.75" customHeight="1" spans="2:17">
      <c r="B748" s="91"/>
      <c r="K748" s="99"/>
      <c r="L748" s="99"/>
      <c r="P748" s="99"/>
      <c r="Q748" s="99"/>
    </row>
    <row r="749" ht="15.75" customHeight="1" spans="2:17">
      <c r="B749" s="91"/>
      <c r="K749" s="99"/>
      <c r="L749" s="99"/>
      <c r="P749" s="99"/>
      <c r="Q749" s="99"/>
    </row>
    <row r="750" ht="15.75" customHeight="1" spans="2:17">
      <c r="B750" s="91"/>
      <c r="K750" s="99"/>
      <c r="L750" s="99"/>
      <c r="P750" s="99"/>
      <c r="Q750" s="99"/>
    </row>
    <row r="751" ht="15.75" customHeight="1" spans="2:17">
      <c r="B751" s="91"/>
      <c r="K751" s="99"/>
      <c r="L751" s="99"/>
      <c r="P751" s="99"/>
      <c r="Q751" s="99"/>
    </row>
    <row r="752" ht="15.75" customHeight="1" spans="2:17">
      <c r="B752" s="91"/>
      <c r="K752" s="99"/>
      <c r="L752" s="99"/>
      <c r="P752" s="99"/>
      <c r="Q752" s="99"/>
    </row>
    <row r="753" ht="15.75" customHeight="1" spans="2:17">
      <c r="B753" s="91"/>
      <c r="K753" s="99"/>
      <c r="L753" s="99"/>
      <c r="P753" s="99"/>
      <c r="Q753" s="99"/>
    </row>
    <row r="754" ht="15.75" customHeight="1" spans="2:17">
      <c r="B754" s="91"/>
      <c r="K754" s="99"/>
      <c r="L754" s="99"/>
      <c r="P754" s="99"/>
      <c r="Q754" s="99"/>
    </row>
    <row r="755" ht="15.75" customHeight="1" spans="2:17">
      <c r="B755" s="91"/>
      <c r="K755" s="99"/>
      <c r="L755" s="99"/>
      <c r="P755" s="99"/>
      <c r="Q755" s="99"/>
    </row>
    <row r="756" ht="15.75" customHeight="1" spans="2:17">
      <c r="B756" s="91"/>
      <c r="K756" s="99"/>
      <c r="L756" s="99"/>
      <c r="P756" s="99"/>
      <c r="Q756" s="99"/>
    </row>
    <row r="757" ht="15.75" customHeight="1" spans="2:17">
      <c r="B757" s="91"/>
      <c r="K757" s="99"/>
      <c r="L757" s="99"/>
      <c r="P757" s="99"/>
      <c r="Q757" s="99"/>
    </row>
    <row r="758" ht="15.75" customHeight="1" spans="2:17">
      <c r="B758" s="91"/>
      <c r="K758" s="99"/>
      <c r="L758" s="99"/>
      <c r="P758" s="99"/>
      <c r="Q758" s="99"/>
    </row>
    <row r="759" ht="15.75" customHeight="1" spans="2:17">
      <c r="B759" s="91"/>
      <c r="K759" s="99"/>
      <c r="L759" s="99"/>
      <c r="P759" s="99"/>
      <c r="Q759" s="99"/>
    </row>
    <row r="760" ht="15.75" customHeight="1" spans="2:17">
      <c r="B760" s="91"/>
      <c r="K760" s="99"/>
      <c r="L760" s="99"/>
      <c r="P760" s="99"/>
      <c r="Q760" s="99"/>
    </row>
    <row r="761" ht="15.75" customHeight="1" spans="2:17">
      <c r="B761" s="91"/>
      <c r="K761" s="99"/>
      <c r="L761" s="99"/>
      <c r="P761" s="99"/>
      <c r="Q761" s="99"/>
    </row>
    <row r="762" ht="15.75" customHeight="1" spans="2:17">
      <c r="B762" s="91"/>
      <c r="K762" s="99"/>
      <c r="L762" s="99"/>
      <c r="P762" s="99"/>
      <c r="Q762" s="99"/>
    </row>
    <row r="763" ht="15.75" customHeight="1" spans="2:17">
      <c r="B763" s="91"/>
      <c r="K763" s="99"/>
      <c r="L763" s="99"/>
      <c r="P763" s="99"/>
      <c r="Q763" s="99"/>
    </row>
    <row r="764" ht="15.75" customHeight="1" spans="2:17">
      <c r="B764" s="91"/>
      <c r="K764" s="99"/>
      <c r="L764" s="99"/>
      <c r="P764" s="99"/>
      <c r="Q764" s="99"/>
    </row>
    <row r="765" ht="15.75" customHeight="1" spans="2:17">
      <c r="B765" s="91"/>
      <c r="K765" s="99"/>
      <c r="L765" s="99"/>
      <c r="P765" s="99"/>
      <c r="Q765" s="99"/>
    </row>
    <row r="766" ht="15.75" customHeight="1" spans="2:17">
      <c r="B766" s="91"/>
      <c r="K766" s="99"/>
      <c r="L766" s="99"/>
      <c r="P766" s="99"/>
      <c r="Q766" s="99"/>
    </row>
    <row r="767" ht="15.75" customHeight="1" spans="2:17">
      <c r="B767" s="91"/>
      <c r="K767" s="99"/>
      <c r="L767" s="99"/>
      <c r="P767" s="99"/>
      <c r="Q767" s="99"/>
    </row>
    <row r="768" ht="15.75" customHeight="1" spans="2:17">
      <c r="B768" s="91"/>
      <c r="K768" s="99"/>
      <c r="L768" s="99"/>
      <c r="P768" s="99"/>
      <c r="Q768" s="99"/>
    </row>
    <row r="769" ht="15.75" customHeight="1" spans="2:17">
      <c r="B769" s="91"/>
      <c r="K769" s="99"/>
      <c r="L769" s="99"/>
      <c r="P769" s="99"/>
      <c r="Q769" s="99"/>
    </row>
    <row r="770" ht="15.75" customHeight="1" spans="2:17">
      <c r="B770" s="91"/>
      <c r="K770" s="99"/>
      <c r="L770" s="99"/>
      <c r="P770" s="99"/>
      <c r="Q770" s="99"/>
    </row>
    <row r="771" ht="15.75" customHeight="1" spans="2:17">
      <c r="B771" s="91"/>
      <c r="K771" s="99"/>
      <c r="L771" s="99"/>
      <c r="P771" s="99"/>
      <c r="Q771" s="99"/>
    </row>
    <row r="772" ht="15.75" customHeight="1" spans="2:17">
      <c r="B772" s="91"/>
      <c r="K772" s="99"/>
      <c r="L772" s="99"/>
      <c r="P772" s="99"/>
      <c r="Q772" s="99"/>
    </row>
    <row r="773" ht="15.75" customHeight="1" spans="2:17">
      <c r="B773" s="91"/>
      <c r="K773" s="99"/>
      <c r="L773" s="99"/>
      <c r="P773" s="99"/>
      <c r="Q773" s="99"/>
    </row>
    <row r="774" ht="15.75" customHeight="1" spans="2:17">
      <c r="B774" s="91"/>
      <c r="K774" s="99"/>
      <c r="L774" s="99"/>
      <c r="P774" s="99"/>
      <c r="Q774" s="99"/>
    </row>
    <row r="775" ht="15.75" customHeight="1" spans="2:17">
      <c r="B775" s="91"/>
      <c r="K775" s="99"/>
      <c r="L775" s="99"/>
      <c r="P775" s="99"/>
      <c r="Q775" s="99"/>
    </row>
    <row r="776" ht="15.75" customHeight="1" spans="2:17">
      <c r="B776" s="91"/>
      <c r="K776" s="99"/>
      <c r="L776" s="99"/>
      <c r="P776" s="99"/>
      <c r="Q776" s="99"/>
    </row>
    <row r="777" ht="15.75" customHeight="1" spans="2:17">
      <c r="B777" s="91"/>
      <c r="K777" s="99"/>
      <c r="L777" s="99"/>
      <c r="P777" s="99"/>
      <c r="Q777" s="99"/>
    </row>
    <row r="778" ht="15.75" customHeight="1" spans="2:17">
      <c r="B778" s="91"/>
      <c r="K778" s="99"/>
      <c r="L778" s="99"/>
      <c r="P778" s="99"/>
      <c r="Q778" s="99"/>
    </row>
    <row r="779" ht="15.75" customHeight="1" spans="2:17">
      <c r="B779" s="91"/>
      <c r="K779" s="99"/>
      <c r="L779" s="99"/>
      <c r="P779" s="99"/>
      <c r="Q779" s="99"/>
    </row>
    <row r="780" ht="15.75" customHeight="1" spans="2:17">
      <c r="B780" s="91"/>
      <c r="K780" s="99"/>
      <c r="L780" s="99"/>
      <c r="P780" s="99"/>
      <c r="Q780" s="99"/>
    </row>
    <row r="781" ht="15.75" customHeight="1" spans="2:17">
      <c r="B781" s="91"/>
      <c r="K781" s="99"/>
      <c r="L781" s="99"/>
      <c r="P781" s="99"/>
      <c r="Q781" s="99"/>
    </row>
    <row r="782" ht="15.75" customHeight="1" spans="2:17">
      <c r="B782" s="91"/>
      <c r="K782" s="99"/>
      <c r="L782" s="99"/>
      <c r="P782" s="99"/>
      <c r="Q782" s="99"/>
    </row>
    <row r="783" ht="15.75" customHeight="1" spans="2:17">
      <c r="B783" s="91"/>
      <c r="K783" s="99"/>
      <c r="L783" s="99"/>
      <c r="P783" s="99"/>
      <c r="Q783" s="99"/>
    </row>
    <row r="784" ht="15.75" customHeight="1" spans="2:17">
      <c r="B784" s="91"/>
      <c r="K784" s="99"/>
      <c r="L784" s="99"/>
      <c r="P784" s="99"/>
      <c r="Q784" s="99"/>
    </row>
    <row r="785" ht="15.75" customHeight="1" spans="2:17">
      <c r="B785" s="91"/>
      <c r="K785" s="99"/>
      <c r="L785" s="99"/>
      <c r="P785" s="99"/>
      <c r="Q785" s="99"/>
    </row>
    <row r="786" ht="15.75" customHeight="1" spans="2:17">
      <c r="B786" s="91"/>
      <c r="K786" s="99"/>
      <c r="L786" s="99"/>
      <c r="P786" s="99"/>
      <c r="Q786" s="99"/>
    </row>
    <row r="787" ht="15.75" customHeight="1" spans="2:17">
      <c r="B787" s="91"/>
      <c r="K787" s="99"/>
      <c r="L787" s="99"/>
      <c r="P787" s="99"/>
      <c r="Q787" s="99"/>
    </row>
    <row r="788" ht="15.75" customHeight="1" spans="2:17">
      <c r="B788" s="91"/>
      <c r="K788" s="99"/>
      <c r="L788" s="99"/>
      <c r="P788" s="99"/>
      <c r="Q788" s="99"/>
    </row>
    <row r="789" ht="15.75" customHeight="1" spans="2:17">
      <c r="B789" s="91"/>
      <c r="K789" s="99"/>
      <c r="L789" s="99"/>
      <c r="P789" s="99"/>
      <c r="Q789" s="99"/>
    </row>
    <row r="790" ht="15.75" customHeight="1" spans="2:17">
      <c r="B790" s="91"/>
      <c r="K790" s="99"/>
      <c r="L790" s="99"/>
      <c r="P790" s="99"/>
      <c r="Q790" s="99"/>
    </row>
    <row r="791" ht="15.75" customHeight="1" spans="2:17">
      <c r="B791" s="91"/>
      <c r="K791" s="99"/>
      <c r="L791" s="99"/>
      <c r="P791" s="99"/>
      <c r="Q791" s="99"/>
    </row>
    <row r="792" ht="15.75" customHeight="1" spans="2:17">
      <c r="B792" s="91"/>
      <c r="K792" s="99"/>
      <c r="L792" s="99"/>
      <c r="P792" s="99"/>
      <c r="Q792" s="99"/>
    </row>
    <row r="793" ht="15.75" customHeight="1" spans="2:17">
      <c r="B793" s="91"/>
      <c r="K793" s="99"/>
      <c r="L793" s="99"/>
      <c r="P793" s="99"/>
      <c r="Q793" s="99"/>
    </row>
    <row r="794" ht="15.75" customHeight="1" spans="2:17">
      <c r="B794" s="91"/>
      <c r="K794" s="99"/>
      <c r="L794" s="99"/>
      <c r="P794" s="99"/>
      <c r="Q794" s="99"/>
    </row>
    <row r="795" ht="15.75" customHeight="1" spans="2:17">
      <c r="B795" s="91"/>
      <c r="K795" s="99"/>
      <c r="L795" s="99"/>
      <c r="P795" s="99"/>
      <c r="Q795" s="99"/>
    </row>
    <row r="796" ht="15.75" customHeight="1" spans="2:17">
      <c r="B796" s="91"/>
      <c r="K796" s="99"/>
      <c r="L796" s="99"/>
      <c r="P796" s="99"/>
      <c r="Q796" s="99"/>
    </row>
    <row r="797" ht="15.75" customHeight="1" spans="2:17">
      <c r="B797" s="91"/>
      <c r="K797" s="99"/>
      <c r="L797" s="99"/>
      <c r="P797" s="99"/>
      <c r="Q797" s="99"/>
    </row>
    <row r="798" ht="15.75" customHeight="1" spans="2:17">
      <c r="B798" s="91"/>
      <c r="K798" s="99"/>
      <c r="L798" s="99"/>
      <c r="P798" s="99"/>
      <c r="Q798" s="99"/>
    </row>
    <row r="799" ht="15.75" customHeight="1" spans="2:17">
      <c r="B799" s="91"/>
      <c r="K799" s="99"/>
      <c r="L799" s="99"/>
      <c r="P799" s="99"/>
      <c r="Q799" s="99"/>
    </row>
    <row r="800" ht="15.75" customHeight="1" spans="2:17">
      <c r="B800" s="91"/>
      <c r="K800" s="99"/>
      <c r="L800" s="99"/>
      <c r="P800" s="99"/>
      <c r="Q800" s="99"/>
    </row>
    <row r="801" ht="15.75" customHeight="1" spans="2:17">
      <c r="B801" s="91"/>
      <c r="K801" s="99"/>
      <c r="L801" s="99"/>
      <c r="P801" s="99"/>
      <c r="Q801" s="99"/>
    </row>
    <row r="802" ht="15.75" customHeight="1" spans="2:17">
      <c r="B802" s="91"/>
      <c r="K802" s="99"/>
      <c r="L802" s="99"/>
      <c r="P802" s="99"/>
      <c r="Q802" s="99"/>
    </row>
    <row r="803" ht="15.75" customHeight="1" spans="2:17">
      <c r="B803" s="91"/>
      <c r="K803" s="99"/>
      <c r="L803" s="99"/>
      <c r="P803" s="99"/>
      <c r="Q803" s="99"/>
    </row>
    <row r="804" ht="15.75" customHeight="1" spans="2:17">
      <c r="B804" s="91"/>
      <c r="K804" s="99"/>
      <c r="L804" s="99"/>
      <c r="P804" s="99"/>
      <c r="Q804" s="99"/>
    </row>
    <row r="805" ht="15.75" customHeight="1" spans="2:17">
      <c r="B805" s="91"/>
      <c r="K805" s="99"/>
      <c r="L805" s="99"/>
      <c r="P805" s="99"/>
      <c r="Q805" s="99"/>
    </row>
    <row r="806" ht="15.75" customHeight="1" spans="2:17">
      <c r="B806" s="91"/>
      <c r="K806" s="99"/>
      <c r="L806" s="99"/>
      <c r="P806" s="99"/>
      <c r="Q806" s="99"/>
    </row>
    <row r="807" ht="15.75" customHeight="1" spans="2:17">
      <c r="B807" s="91"/>
      <c r="K807" s="99"/>
      <c r="L807" s="99"/>
      <c r="P807" s="99"/>
      <c r="Q807" s="99"/>
    </row>
    <row r="808" ht="15.75" customHeight="1" spans="2:17">
      <c r="B808" s="91"/>
      <c r="K808" s="99"/>
      <c r="L808" s="99"/>
      <c r="P808" s="99"/>
      <c r="Q808" s="99"/>
    </row>
    <row r="809" ht="15.75" customHeight="1" spans="2:17">
      <c r="B809" s="91"/>
      <c r="K809" s="99"/>
      <c r="L809" s="99"/>
      <c r="P809" s="99"/>
      <c r="Q809" s="99"/>
    </row>
    <row r="810" ht="15.75" customHeight="1" spans="2:17">
      <c r="B810" s="91"/>
      <c r="K810" s="99"/>
      <c r="L810" s="99"/>
      <c r="P810" s="99"/>
      <c r="Q810" s="99"/>
    </row>
    <row r="811" ht="15.75" customHeight="1" spans="2:17">
      <c r="B811" s="91"/>
      <c r="K811" s="99"/>
      <c r="L811" s="99"/>
      <c r="P811" s="99"/>
      <c r="Q811" s="99"/>
    </row>
    <row r="812" ht="15.75" customHeight="1" spans="2:17">
      <c r="B812" s="91"/>
      <c r="K812" s="99"/>
      <c r="L812" s="99"/>
      <c r="P812" s="99"/>
      <c r="Q812" s="99"/>
    </row>
    <row r="813" ht="15.75" customHeight="1" spans="2:17">
      <c r="B813" s="91"/>
      <c r="K813" s="99"/>
      <c r="L813" s="99"/>
      <c r="P813" s="99"/>
      <c r="Q813" s="99"/>
    </row>
    <row r="814" ht="15.75" customHeight="1" spans="2:17">
      <c r="B814" s="91"/>
      <c r="K814" s="99"/>
      <c r="L814" s="99"/>
      <c r="P814" s="99"/>
      <c r="Q814" s="99"/>
    </row>
    <row r="815" ht="15.75" customHeight="1" spans="2:17">
      <c r="B815" s="91"/>
      <c r="K815" s="99"/>
      <c r="L815" s="99"/>
      <c r="P815" s="99"/>
      <c r="Q815" s="99"/>
    </row>
    <row r="816" ht="15.75" customHeight="1" spans="2:17">
      <c r="B816" s="91"/>
      <c r="K816" s="99"/>
      <c r="L816" s="99"/>
      <c r="P816" s="99"/>
      <c r="Q816" s="99"/>
    </row>
    <row r="817" ht="15.75" customHeight="1" spans="2:17">
      <c r="B817" s="91"/>
      <c r="K817" s="99"/>
      <c r="L817" s="99"/>
      <c r="P817" s="99"/>
      <c r="Q817" s="99"/>
    </row>
    <row r="818" ht="15.75" customHeight="1" spans="2:17">
      <c r="B818" s="91"/>
      <c r="K818" s="99"/>
      <c r="L818" s="99"/>
      <c r="P818" s="99"/>
      <c r="Q818" s="99"/>
    </row>
    <row r="819" ht="15.75" customHeight="1" spans="2:17">
      <c r="B819" s="91"/>
      <c r="K819" s="99"/>
      <c r="L819" s="99"/>
      <c r="P819" s="99"/>
      <c r="Q819" s="99"/>
    </row>
    <row r="820" ht="15.75" customHeight="1" spans="2:17">
      <c r="B820" s="91"/>
      <c r="K820" s="99"/>
      <c r="L820" s="99"/>
      <c r="P820" s="99"/>
      <c r="Q820" s="99"/>
    </row>
    <row r="821" ht="15.75" customHeight="1" spans="2:17">
      <c r="B821" s="91"/>
      <c r="K821" s="99"/>
      <c r="L821" s="99"/>
      <c r="P821" s="99"/>
      <c r="Q821" s="99"/>
    </row>
    <row r="822" ht="15.75" customHeight="1" spans="2:17">
      <c r="B822" s="91"/>
      <c r="K822" s="99"/>
      <c r="L822" s="99"/>
      <c r="P822" s="99"/>
      <c r="Q822" s="99"/>
    </row>
    <row r="823" ht="15.75" customHeight="1" spans="2:17">
      <c r="B823" s="91"/>
      <c r="K823" s="99"/>
      <c r="L823" s="99"/>
      <c r="P823" s="99"/>
      <c r="Q823" s="99"/>
    </row>
    <row r="824" ht="15.75" customHeight="1" spans="2:17">
      <c r="B824" s="91"/>
      <c r="K824" s="99"/>
      <c r="L824" s="99"/>
      <c r="P824" s="99"/>
      <c r="Q824" s="99"/>
    </row>
    <row r="825" ht="15.75" customHeight="1" spans="2:17">
      <c r="B825" s="91"/>
      <c r="K825" s="99"/>
      <c r="L825" s="99"/>
      <c r="P825" s="99"/>
      <c r="Q825" s="99"/>
    </row>
    <row r="826" ht="15.75" customHeight="1" spans="2:17">
      <c r="B826" s="91"/>
      <c r="K826" s="99"/>
      <c r="L826" s="99"/>
      <c r="P826" s="99"/>
      <c r="Q826" s="99"/>
    </row>
    <row r="827" ht="15.75" customHeight="1" spans="2:17">
      <c r="B827" s="91"/>
      <c r="K827" s="99"/>
      <c r="L827" s="99"/>
      <c r="P827" s="99"/>
      <c r="Q827" s="99"/>
    </row>
    <row r="828" ht="15.75" customHeight="1" spans="2:17">
      <c r="B828" s="91"/>
      <c r="K828" s="99"/>
      <c r="L828" s="99"/>
      <c r="P828" s="99"/>
      <c r="Q828" s="99"/>
    </row>
    <row r="829" ht="15.75" customHeight="1" spans="2:17">
      <c r="B829" s="91"/>
      <c r="K829" s="99"/>
      <c r="L829" s="99"/>
      <c r="P829" s="99"/>
      <c r="Q829" s="99"/>
    </row>
    <row r="830" ht="15.75" customHeight="1" spans="2:17">
      <c r="B830" s="91"/>
      <c r="K830" s="99"/>
      <c r="L830" s="99"/>
      <c r="P830" s="99"/>
      <c r="Q830" s="99"/>
    </row>
    <row r="831" ht="15.75" customHeight="1" spans="2:17">
      <c r="B831" s="91"/>
      <c r="K831" s="99"/>
      <c r="L831" s="99"/>
      <c r="P831" s="99"/>
      <c r="Q831" s="99"/>
    </row>
    <row r="832" ht="15.75" customHeight="1" spans="2:17">
      <c r="B832" s="91"/>
      <c r="K832" s="99"/>
      <c r="L832" s="99"/>
      <c r="P832" s="99"/>
      <c r="Q832" s="99"/>
    </row>
    <row r="833" ht="15.75" customHeight="1" spans="2:17">
      <c r="B833" s="91"/>
      <c r="K833" s="99"/>
      <c r="L833" s="99"/>
      <c r="P833" s="99"/>
      <c r="Q833" s="99"/>
    </row>
    <row r="834" ht="15.75" customHeight="1" spans="2:17">
      <c r="B834" s="91"/>
      <c r="K834" s="99"/>
      <c r="L834" s="99"/>
      <c r="P834" s="99"/>
      <c r="Q834" s="99"/>
    </row>
    <row r="835" ht="15.75" customHeight="1" spans="2:17">
      <c r="B835" s="91"/>
      <c r="K835" s="99"/>
      <c r="L835" s="99"/>
      <c r="P835" s="99"/>
      <c r="Q835" s="99"/>
    </row>
    <row r="836" ht="15.75" customHeight="1" spans="2:17">
      <c r="B836" s="91"/>
      <c r="K836" s="99"/>
      <c r="L836" s="99"/>
      <c r="P836" s="99"/>
      <c r="Q836" s="99"/>
    </row>
    <row r="837" ht="15.75" customHeight="1" spans="2:17">
      <c r="B837" s="91"/>
      <c r="K837" s="99"/>
      <c r="L837" s="99"/>
      <c r="P837" s="99"/>
      <c r="Q837" s="99"/>
    </row>
    <row r="838" ht="15.75" customHeight="1" spans="2:17">
      <c r="B838" s="91"/>
      <c r="K838" s="99"/>
      <c r="L838" s="99"/>
      <c r="P838" s="99"/>
      <c r="Q838" s="99"/>
    </row>
    <row r="839" ht="15.75" customHeight="1" spans="2:17">
      <c r="B839" s="91"/>
      <c r="K839" s="99"/>
      <c r="L839" s="99"/>
      <c r="P839" s="99"/>
      <c r="Q839" s="99"/>
    </row>
    <row r="840" ht="15.75" customHeight="1" spans="2:17">
      <c r="B840" s="91"/>
      <c r="K840" s="99"/>
      <c r="L840" s="99"/>
      <c r="P840" s="99"/>
      <c r="Q840" s="99"/>
    </row>
    <row r="841" ht="15.75" customHeight="1" spans="2:17">
      <c r="B841" s="91"/>
      <c r="K841" s="99"/>
      <c r="L841" s="99"/>
      <c r="P841" s="99"/>
      <c r="Q841" s="99"/>
    </row>
    <row r="842" ht="15.75" customHeight="1" spans="2:17">
      <c r="B842" s="91"/>
      <c r="K842" s="99"/>
      <c r="L842" s="99"/>
      <c r="P842" s="99"/>
      <c r="Q842" s="99"/>
    </row>
    <row r="843" ht="15.75" customHeight="1" spans="2:17">
      <c r="B843" s="91"/>
      <c r="K843" s="99"/>
      <c r="L843" s="99"/>
      <c r="P843" s="99"/>
      <c r="Q843" s="99"/>
    </row>
    <row r="844" ht="15.75" customHeight="1" spans="2:17">
      <c r="B844" s="91"/>
      <c r="K844" s="99"/>
      <c r="L844" s="99"/>
      <c r="P844" s="99"/>
      <c r="Q844" s="99"/>
    </row>
    <row r="845" ht="15.75" customHeight="1" spans="2:17">
      <c r="B845" s="91"/>
      <c r="K845" s="99"/>
      <c r="L845" s="99"/>
      <c r="P845" s="99"/>
      <c r="Q845" s="99"/>
    </row>
    <row r="846" ht="15.75" customHeight="1" spans="2:17">
      <c r="B846" s="91"/>
      <c r="K846" s="99"/>
      <c r="L846" s="99"/>
      <c r="P846" s="99"/>
      <c r="Q846" s="99"/>
    </row>
    <row r="847" ht="15.75" customHeight="1" spans="2:17">
      <c r="B847" s="91"/>
      <c r="K847" s="99"/>
      <c r="L847" s="99"/>
      <c r="P847" s="99"/>
      <c r="Q847" s="99"/>
    </row>
    <row r="848" ht="15.75" customHeight="1" spans="2:17">
      <c r="B848" s="91"/>
      <c r="K848" s="99"/>
      <c r="L848" s="99"/>
      <c r="P848" s="99"/>
      <c r="Q848" s="99"/>
    </row>
    <row r="849" ht="15.75" customHeight="1" spans="2:17">
      <c r="B849" s="91"/>
      <c r="K849" s="99"/>
      <c r="L849" s="99"/>
      <c r="P849" s="99"/>
      <c r="Q849" s="99"/>
    </row>
    <row r="850" ht="15.75" customHeight="1" spans="2:17">
      <c r="B850" s="91"/>
      <c r="K850" s="99"/>
      <c r="L850" s="99"/>
      <c r="P850" s="99"/>
      <c r="Q850" s="99"/>
    </row>
    <row r="851" ht="15.75" customHeight="1" spans="2:17">
      <c r="B851" s="91"/>
      <c r="K851" s="99"/>
      <c r="L851" s="99"/>
      <c r="P851" s="99"/>
      <c r="Q851" s="99"/>
    </row>
    <row r="852" ht="15.75" customHeight="1" spans="2:17">
      <c r="B852" s="91"/>
      <c r="K852" s="99"/>
      <c r="L852" s="99"/>
      <c r="P852" s="99"/>
      <c r="Q852" s="99"/>
    </row>
    <row r="853" ht="15.75" customHeight="1" spans="2:17">
      <c r="B853" s="91"/>
      <c r="K853" s="99"/>
      <c r="L853" s="99"/>
      <c r="P853" s="99"/>
      <c r="Q853" s="99"/>
    </row>
    <row r="854" ht="15.75" customHeight="1" spans="2:17">
      <c r="B854" s="91"/>
      <c r="K854" s="99"/>
      <c r="L854" s="99"/>
      <c r="P854" s="99"/>
      <c r="Q854" s="99"/>
    </row>
    <row r="855" ht="15.75" customHeight="1" spans="2:17">
      <c r="B855" s="91"/>
      <c r="K855" s="99"/>
      <c r="L855" s="99"/>
      <c r="P855" s="99"/>
      <c r="Q855" s="99"/>
    </row>
    <row r="856" ht="15.75" customHeight="1" spans="2:17">
      <c r="B856" s="91"/>
      <c r="K856" s="99"/>
      <c r="L856" s="99"/>
      <c r="P856" s="99"/>
      <c r="Q856" s="99"/>
    </row>
    <row r="857" ht="15.75" customHeight="1" spans="2:17">
      <c r="B857" s="91"/>
      <c r="K857" s="99"/>
      <c r="L857" s="99"/>
      <c r="P857" s="99"/>
      <c r="Q857" s="99"/>
    </row>
    <row r="858" ht="15.75" customHeight="1" spans="2:17">
      <c r="B858" s="91"/>
      <c r="K858" s="99"/>
      <c r="L858" s="99"/>
      <c r="P858" s="99"/>
      <c r="Q858" s="99"/>
    </row>
    <row r="859" ht="15.75" customHeight="1" spans="2:17">
      <c r="B859" s="91"/>
      <c r="K859" s="99"/>
      <c r="L859" s="99"/>
      <c r="P859" s="99"/>
      <c r="Q859" s="99"/>
    </row>
    <row r="860" ht="15.75" customHeight="1" spans="2:17">
      <c r="B860" s="91"/>
      <c r="K860" s="99"/>
      <c r="L860" s="99"/>
      <c r="P860" s="99"/>
      <c r="Q860" s="99"/>
    </row>
    <row r="861" ht="15.75" customHeight="1" spans="2:17">
      <c r="B861" s="91"/>
      <c r="K861" s="99"/>
      <c r="L861" s="99"/>
      <c r="P861" s="99"/>
      <c r="Q861" s="99"/>
    </row>
    <row r="862" ht="15.75" customHeight="1" spans="2:17">
      <c r="B862" s="91"/>
      <c r="K862" s="99"/>
      <c r="L862" s="99"/>
      <c r="P862" s="99"/>
      <c r="Q862" s="99"/>
    </row>
    <row r="863" ht="15.75" customHeight="1" spans="2:17">
      <c r="B863" s="91"/>
      <c r="K863" s="99"/>
      <c r="L863" s="99"/>
      <c r="P863" s="99"/>
      <c r="Q863" s="99"/>
    </row>
    <row r="864" ht="15.75" customHeight="1" spans="2:17">
      <c r="B864" s="91"/>
      <c r="K864" s="99"/>
      <c r="L864" s="99"/>
      <c r="P864" s="99"/>
      <c r="Q864" s="99"/>
    </row>
    <row r="865" ht="15.75" customHeight="1" spans="2:17">
      <c r="B865" s="91"/>
      <c r="K865" s="99"/>
      <c r="L865" s="99"/>
      <c r="P865" s="99"/>
      <c r="Q865" s="99"/>
    </row>
    <row r="866" ht="15.75" customHeight="1" spans="2:17">
      <c r="B866" s="91"/>
      <c r="K866" s="99"/>
      <c r="L866" s="99"/>
      <c r="P866" s="99"/>
      <c r="Q866" s="99"/>
    </row>
    <row r="867" ht="15.75" customHeight="1" spans="2:17">
      <c r="B867" s="91"/>
      <c r="K867" s="99"/>
      <c r="L867" s="99"/>
      <c r="P867" s="99"/>
      <c r="Q867" s="99"/>
    </row>
    <row r="868" ht="15.75" customHeight="1" spans="2:17">
      <c r="B868" s="91"/>
      <c r="K868" s="99"/>
      <c r="L868" s="99"/>
      <c r="P868" s="99"/>
      <c r="Q868" s="99"/>
    </row>
    <row r="869" ht="15.75" customHeight="1" spans="2:17">
      <c r="B869" s="91"/>
      <c r="K869" s="99"/>
      <c r="L869" s="99"/>
      <c r="P869" s="99"/>
      <c r="Q869" s="99"/>
    </row>
    <row r="870" ht="15.75" customHeight="1" spans="2:17">
      <c r="B870" s="91"/>
      <c r="K870" s="99"/>
      <c r="L870" s="99"/>
      <c r="P870" s="99"/>
      <c r="Q870" s="99"/>
    </row>
    <row r="871" ht="15.75" customHeight="1" spans="2:17">
      <c r="B871" s="91"/>
      <c r="K871" s="99"/>
      <c r="L871" s="99"/>
      <c r="P871" s="99"/>
      <c r="Q871" s="99"/>
    </row>
    <row r="872" ht="15.75" customHeight="1" spans="2:17">
      <c r="B872" s="91"/>
      <c r="K872" s="99"/>
      <c r="L872" s="99"/>
      <c r="P872" s="99"/>
      <c r="Q872" s="99"/>
    </row>
    <row r="873" ht="15.75" customHeight="1" spans="2:17">
      <c r="B873" s="91"/>
      <c r="K873" s="99"/>
      <c r="L873" s="99"/>
      <c r="P873" s="99"/>
      <c r="Q873" s="99"/>
    </row>
    <row r="874" ht="15.75" customHeight="1" spans="2:17">
      <c r="B874" s="91"/>
      <c r="K874" s="99"/>
      <c r="L874" s="99"/>
      <c r="P874" s="99"/>
      <c r="Q874" s="99"/>
    </row>
    <row r="875" ht="15.75" customHeight="1" spans="2:17">
      <c r="B875" s="91"/>
      <c r="K875" s="99"/>
      <c r="L875" s="99"/>
      <c r="P875" s="99"/>
      <c r="Q875" s="99"/>
    </row>
    <row r="876" ht="15.75" customHeight="1" spans="2:17">
      <c r="B876" s="91"/>
      <c r="K876" s="99"/>
      <c r="L876" s="99"/>
      <c r="P876" s="99"/>
      <c r="Q876" s="99"/>
    </row>
    <row r="877" ht="15.75" customHeight="1" spans="2:17">
      <c r="B877" s="91"/>
      <c r="K877" s="99"/>
      <c r="L877" s="99"/>
      <c r="P877" s="99"/>
      <c r="Q877" s="99"/>
    </row>
    <row r="878" ht="15.75" customHeight="1" spans="2:17">
      <c r="B878" s="91"/>
      <c r="K878" s="99"/>
      <c r="L878" s="99"/>
      <c r="P878" s="99"/>
      <c r="Q878" s="99"/>
    </row>
    <row r="879" ht="15.75" customHeight="1" spans="2:17">
      <c r="B879" s="91"/>
      <c r="K879" s="99"/>
      <c r="L879" s="99"/>
      <c r="P879" s="99"/>
      <c r="Q879" s="99"/>
    </row>
    <row r="880" ht="15.75" customHeight="1" spans="2:17">
      <c r="B880" s="91"/>
      <c r="K880" s="99"/>
      <c r="L880" s="99"/>
      <c r="P880" s="99"/>
      <c r="Q880" s="99"/>
    </row>
    <row r="881" ht="15.75" customHeight="1" spans="2:17">
      <c r="B881" s="91"/>
      <c r="K881" s="99"/>
      <c r="L881" s="99"/>
      <c r="P881" s="99"/>
      <c r="Q881" s="99"/>
    </row>
    <row r="882" ht="15.75" customHeight="1" spans="2:17">
      <c r="B882" s="91"/>
      <c r="K882" s="99"/>
      <c r="L882" s="99"/>
      <c r="P882" s="99"/>
      <c r="Q882" s="99"/>
    </row>
    <row r="883" ht="15.75" customHeight="1" spans="2:17">
      <c r="B883" s="91"/>
      <c r="K883" s="99"/>
      <c r="L883" s="99"/>
      <c r="P883" s="99"/>
      <c r="Q883" s="99"/>
    </row>
    <row r="884" ht="15.75" customHeight="1" spans="2:17">
      <c r="B884" s="91"/>
      <c r="K884" s="99"/>
      <c r="L884" s="99"/>
      <c r="P884" s="99"/>
      <c r="Q884" s="99"/>
    </row>
    <row r="885" ht="15.75" customHeight="1" spans="2:17">
      <c r="B885" s="91"/>
      <c r="K885" s="99"/>
      <c r="L885" s="99"/>
      <c r="P885" s="99"/>
      <c r="Q885" s="99"/>
    </row>
    <row r="886" ht="15.75" customHeight="1" spans="2:17">
      <c r="B886" s="91"/>
      <c r="K886" s="99"/>
      <c r="L886" s="99"/>
      <c r="P886" s="99"/>
      <c r="Q886" s="99"/>
    </row>
    <row r="887" ht="15.75" customHeight="1" spans="2:17">
      <c r="B887" s="91"/>
      <c r="K887" s="99"/>
      <c r="L887" s="99"/>
      <c r="P887" s="99"/>
      <c r="Q887" s="99"/>
    </row>
    <row r="888" ht="15.75" customHeight="1" spans="2:17">
      <c r="B888" s="91"/>
      <c r="K888" s="99"/>
      <c r="L888" s="99"/>
      <c r="P888" s="99"/>
      <c r="Q888" s="99"/>
    </row>
    <row r="889" ht="15.75" customHeight="1" spans="2:17">
      <c r="B889" s="91"/>
      <c r="K889" s="99"/>
      <c r="L889" s="99"/>
      <c r="P889" s="99"/>
      <c r="Q889" s="99"/>
    </row>
    <row r="890" ht="15.75" customHeight="1" spans="2:17">
      <c r="B890" s="91"/>
      <c r="K890" s="99"/>
      <c r="L890" s="99"/>
      <c r="P890" s="99"/>
      <c r="Q890" s="99"/>
    </row>
    <row r="891" ht="15.75" customHeight="1" spans="2:17">
      <c r="B891" s="91"/>
      <c r="K891" s="99"/>
      <c r="L891" s="99"/>
      <c r="P891" s="99"/>
      <c r="Q891" s="99"/>
    </row>
    <row r="892" ht="15.75" customHeight="1" spans="2:17">
      <c r="B892" s="91"/>
      <c r="K892" s="99"/>
      <c r="L892" s="99"/>
      <c r="P892" s="99"/>
      <c r="Q892" s="99"/>
    </row>
    <row r="893" ht="15.75" customHeight="1" spans="2:17">
      <c r="B893" s="91"/>
      <c r="K893" s="99"/>
      <c r="L893" s="99"/>
      <c r="P893" s="99"/>
      <c r="Q893" s="99"/>
    </row>
    <row r="894" ht="15.75" customHeight="1" spans="2:17">
      <c r="B894" s="91"/>
      <c r="K894" s="99"/>
      <c r="L894" s="99"/>
      <c r="P894" s="99"/>
      <c r="Q894" s="99"/>
    </row>
    <row r="895" ht="15.75" customHeight="1" spans="2:17">
      <c r="B895" s="91"/>
      <c r="K895" s="99"/>
      <c r="L895" s="99"/>
      <c r="P895" s="99"/>
      <c r="Q895" s="99"/>
    </row>
    <row r="896" ht="15.75" customHeight="1" spans="2:17">
      <c r="B896" s="91"/>
      <c r="K896" s="99"/>
      <c r="L896" s="99"/>
      <c r="P896" s="99"/>
      <c r="Q896" s="99"/>
    </row>
    <row r="897" ht="15.75" customHeight="1" spans="2:17">
      <c r="B897" s="91"/>
      <c r="K897" s="99"/>
      <c r="L897" s="99"/>
      <c r="P897" s="99"/>
      <c r="Q897" s="99"/>
    </row>
    <row r="898" ht="15.75" customHeight="1" spans="2:17">
      <c r="B898" s="91"/>
      <c r="K898" s="99"/>
      <c r="L898" s="99"/>
      <c r="P898" s="99"/>
      <c r="Q898" s="99"/>
    </row>
    <row r="899" ht="15.75" customHeight="1" spans="2:17">
      <c r="B899" s="91"/>
      <c r="K899" s="99"/>
      <c r="L899" s="99"/>
      <c r="P899" s="99"/>
      <c r="Q899" s="99"/>
    </row>
    <row r="900" ht="15.75" customHeight="1" spans="2:17">
      <c r="B900" s="91"/>
      <c r="K900" s="99"/>
      <c r="L900" s="99"/>
      <c r="P900" s="99"/>
      <c r="Q900" s="99"/>
    </row>
    <row r="901" ht="15.75" customHeight="1" spans="2:17">
      <c r="B901" s="91"/>
      <c r="K901" s="99"/>
      <c r="L901" s="99"/>
      <c r="P901" s="99"/>
      <c r="Q901" s="99"/>
    </row>
    <row r="902" ht="15.75" customHeight="1" spans="2:17">
      <c r="B902" s="91"/>
      <c r="K902" s="99"/>
      <c r="L902" s="99"/>
      <c r="P902" s="99"/>
      <c r="Q902" s="99"/>
    </row>
    <row r="903" ht="15.75" customHeight="1" spans="2:17">
      <c r="B903" s="91"/>
      <c r="K903" s="99"/>
      <c r="L903" s="99"/>
      <c r="P903" s="99"/>
      <c r="Q903" s="99"/>
    </row>
    <row r="904" ht="15.75" customHeight="1" spans="2:17">
      <c r="B904" s="91"/>
      <c r="K904" s="99"/>
      <c r="L904" s="99"/>
      <c r="P904" s="99"/>
      <c r="Q904" s="99"/>
    </row>
    <row r="905" ht="15.75" customHeight="1" spans="2:17">
      <c r="B905" s="91"/>
      <c r="K905" s="99"/>
      <c r="L905" s="99"/>
      <c r="P905" s="99"/>
      <c r="Q905" s="99"/>
    </row>
    <row r="906" ht="15.75" customHeight="1" spans="2:17">
      <c r="B906" s="91"/>
      <c r="K906" s="99"/>
      <c r="L906" s="99"/>
      <c r="P906" s="99"/>
      <c r="Q906" s="99"/>
    </row>
    <row r="907" ht="15.75" customHeight="1" spans="2:17">
      <c r="B907" s="91"/>
      <c r="K907" s="99"/>
      <c r="L907" s="99"/>
      <c r="P907" s="99"/>
      <c r="Q907" s="99"/>
    </row>
    <row r="908" ht="15.75" customHeight="1" spans="2:17">
      <c r="B908" s="91"/>
      <c r="K908" s="99"/>
      <c r="L908" s="99"/>
      <c r="P908" s="99"/>
      <c r="Q908" s="99"/>
    </row>
    <row r="909" ht="15.75" customHeight="1" spans="2:17">
      <c r="B909" s="91"/>
      <c r="K909" s="99"/>
      <c r="L909" s="99"/>
      <c r="P909" s="99"/>
      <c r="Q909" s="99"/>
    </row>
    <row r="910" ht="15.75" customHeight="1" spans="2:17">
      <c r="B910" s="91"/>
      <c r="K910" s="99"/>
      <c r="L910" s="99"/>
      <c r="P910" s="99"/>
      <c r="Q910" s="99"/>
    </row>
    <row r="911" ht="15.75" customHeight="1" spans="2:17">
      <c r="B911" s="91"/>
      <c r="K911" s="99"/>
      <c r="L911" s="99"/>
      <c r="P911" s="99"/>
      <c r="Q911" s="99"/>
    </row>
    <row r="912" ht="15.75" customHeight="1" spans="2:17">
      <c r="B912" s="91"/>
      <c r="K912" s="99"/>
      <c r="L912" s="99"/>
      <c r="P912" s="99"/>
      <c r="Q912" s="99"/>
    </row>
    <row r="913" ht="15.75" customHeight="1" spans="2:17">
      <c r="B913" s="91"/>
      <c r="K913" s="99"/>
      <c r="L913" s="99"/>
      <c r="P913" s="99"/>
      <c r="Q913" s="99"/>
    </row>
    <row r="914" ht="15.75" customHeight="1" spans="2:17">
      <c r="B914" s="91"/>
      <c r="K914" s="99"/>
      <c r="L914" s="99"/>
      <c r="P914" s="99"/>
      <c r="Q914" s="99"/>
    </row>
    <row r="915" ht="15.75" customHeight="1" spans="2:17">
      <c r="B915" s="91"/>
      <c r="K915" s="99"/>
      <c r="L915" s="99"/>
      <c r="P915" s="99"/>
      <c r="Q915" s="99"/>
    </row>
    <row r="916" ht="15.75" customHeight="1" spans="2:17">
      <c r="B916" s="91"/>
      <c r="K916" s="99"/>
      <c r="L916" s="99"/>
      <c r="P916" s="99"/>
      <c r="Q916" s="99"/>
    </row>
    <row r="917" ht="15.75" customHeight="1" spans="2:17">
      <c r="B917" s="91"/>
      <c r="K917" s="99"/>
      <c r="L917" s="99"/>
      <c r="P917" s="99"/>
      <c r="Q917" s="99"/>
    </row>
    <row r="918" ht="15.75" customHeight="1" spans="2:17">
      <c r="B918" s="91"/>
      <c r="K918" s="99"/>
      <c r="L918" s="99"/>
      <c r="P918" s="99"/>
      <c r="Q918" s="99"/>
    </row>
    <row r="919" ht="15.75" customHeight="1" spans="2:17">
      <c r="B919" s="91"/>
      <c r="K919" s="99"/>
      <c r="L919" s="99"/>
      <c r="P919" s="99"/>
      <c r="Q919" s="99"/>
    </row>
    <row r="920" ht="15.75" customHeight="1" spans="2:17">
      <c r="B920" s="91"/>
      <c r="K920" s="99"/>
      <c r="L920" s="99"/>
      <c r="P920" s="99"/>
      <c r="Q920" s="99"/>
    </row>
    <row r="921" ht="15.75" customHeight="1" spans="2:17">
      <c r="B921" s="91"/>
      <c r="K921" s="99"/>
      <c r="L921" s="99"/>
      <c r="P921" s="99"/>
      <c r="Q921" s="99"/>
    </row>
    <row r="922" ht="15.75" customHeight="1" spans="2:17">
      <c r="B922" s="91"/>
      <c r="K922" s="99"/>
      <c r="L922" s="99"/>
      <c r="P922" s="99"/>
      <c r="Q922" s="99"/>
    </row>
    <row r="923" ht="15.75" customHeight="1" spans="2:17">
      <c r="B923" s="91"/>
      <c r="K923" s="99"/>
      <c r="L923" s="99"/>
      <c r="P923" s="99"/>
      <c r="Q923" s="99"/>
    </row>
    <row r="924" ht="15.75" customHeight="1" spans="2:17">
      <c r="B924" s="91"/>
      <c r="K924" s="99"/>
      <c r="L924" s="99"/>
      <c r="P924" s="99"/>
      <c r="Q924" s="99"/>
    </row>
    <row r="925" ht="15.75" customHeight="1" spans="2:17">
      <c r="B925" s="91"/>
      <c r="K925" s="99"/>
      <c r="L925" s="99"/>
      <c r="P925" s="99"/>
      <c r="Q925" s="99"/>
    </row>
    <row r="926" ht="15.75" customHeight="1" spans="2:17">
      <c r="B926" s="91"/>
      <c r="K926" s="99"/>
      <c r="L926" s="99"/>
      <c r="P926" s="99"/>
      <c r="Q926" s="99"/>
    </row>
    <row r="927" ht="15.75" customHeight="1" spans="2:17">
      <c r="B927" s="91"/>
      <c r="K927" s="99"/>
      <c r="L927" s="99"/>
      <c r="P927" s="99"/>
      <c r="Q927" s="99"/>
    </row>
    <row r="928" ht="15.75" customHeight="1" spans="2:17">
      <c r="B928" s="91"/>
      <c r="K928" s="99"/>
      <c r="L928" s="99"/>
      <c r="P928" s="99"/>
      <c r="Q928" s="99"/>
    </row>
    <row r="929" ht="15.75" customHeight="1" spans="2:17">
      <c r="B929" s="91"/>
      <c r="K929" s="99"/>
      <c r="L929" s="99"/>
      <c r="P929" s="99"/>
      <c r="Q929" s="99"/>
    </row>
    <row r="930" ht="15.75" customHeight="1" spans="2:17">
      <c r="B930" s="91"/>
      <c r="K930" s="99"/>
      <c r="L930" s="99"/>
      <c r="P930" s="99"/>
      <c r="Q930" s="99"/>
    </row>
    <row r="931" ht="15.75" customHeight="1" spans="2:17">
      <c r="B931" s="91"/>
      <c r="K931" s="99"/>
      <c r="L931" s="99"/>
      <c r="P931" s="99"/>
      <c r="Q931" s="99"/>
    </row>
    <row r="932" ht="15.75" customHeight="1" spans="2:17">
      <c r="B932" s="91"/>
      <c r="K932" s="99"/>
      <c r="L932" s="99"/>
      <c r="P932" s="99"/>
      <c r="Q932" s="99"/>
    </row>
    <row r="933" ht="15.75" customHeight="1" spans="2:17">
      <c r="B933" s="91"/>
      <c r="K933" s="99"/>
      <c r="L933" s="99"/>
      <c r="P933" s="99"/>
      <c r="Q933" s="99"/>
    </row>
    <row r="934" ht="15.75" customHeight="1" spans="2:17">
      <c r="B934" s="91"/>
      <c r="K934" s="99"/>
      <c r="L934" s="99"/>
      <c r="P934" s="99"/>
      <c r="Q934" s="99"/>
    </row>
    <row r="935" ht="15.75" customHeight="1" spans="2:17">
      <c r="B935" s="91"/>
      <c r="K935" s="99"/>
      <c r="L935" s="99"/>
      <c r="P935" s="99"/>
      <c r="Q935" s="99"/>
    </row>
    <row r="936" ht="15.75" customHeight="1" spans="2:17">
      <c r="B936" s="91"/>
      <c r="K936" s="99"/>
      <c r="L936" s="99"/>
      <c r="P936" s="99"/>
      <c r="Q936" s="99"/>
    </row>
    <row r="937" ht="15.75" customHeight="1" spans="2:17">
      <c r="B937" s="91"/>
      <c r="K937" s="99"/>
      <c r="L937" s="99"/>
      <c r="P937" s="99"/>
      <c r="Q937" s="99"/>
    </row>
    <row r="938" ht="15.75" customHeight="1" spans="2:17">
      <c r="B938" s="91"/>
      <c r="K938" s="99"/>
      <c r="L938" s="99"/>
      <c r="P938" s="99"/>
      <c r="Q938" s="99"/>
    </row>
    <row r="939" ht="15.75" customHeight="1" spans="2:17">
      <c r="B939" s="91"/>
      <c r="K939" s="99"/>
      <c r="L939" s="99"/>
      <c r="P939" s="99"/>
      <c r="Q939" s="99"/>
    </row>
    <row r="940" ht="15.75" customHeight="1" spans="2:17">
      <c r="B940" s="91"/>
      <c r="K940" s="99"/>
      <c r="L940" s="99"/>
      <c r="P940" s="99"/>
      <c r="Q940" s="99"/>
    </row>
    <row r="941" ht="15.75" customHeight="1" spans="2:17">
      <c r="B941" s="91"/>
      <c r="K941" s="99"/>
      <c r="L941" s="99"/>
      <c r="P941" s="99"/>
      <c r="Q941" s="99"/>
    </row>
    <row r="942" ht="15.75" customHeight="1" spans="2:17">
      <c r="B942" s="91"/>
      <c r="K942" s="99"/>
      <c r="L942" s="99"/>
      <c r="P942" s="99"/>
      <c r="Q942" s="99"/>
    </row>
    <row r="943" ht="15.75" customHeight="1" spans="2:17">
      <c r="B943" s="91"/>
      <c r="K943" s="99"/>
      <c r="L943" s="99"/>
      <c r="P943" s="99"/>
      <c r="Q943" s="99"/>
    </row>
    <row r="944" ht="15.75" customHeight="1" spans="2:17">
      <c r="B944" s="91"/>
      <c r="K944" s="99"/>
      <c r="L944" s="99"/>
      <c r="P944" s="99"/>
      <c r="Q944" s="99"/>
    </row>
    <row r="945" ht="15.75" customHeight="1" spans="2:17">
      <c r="B945" s="91"/>
      <c r="K945" s="99"/>
      <c r="L945" s="99"/>
      <c r="P945" s="99"/>
      <c r="Q945" s="99"/>
    </row>
    <row r="946" ht="15.75" customHeight="1" spans="2:17">
      <c r="B946" s="91"/>
      <c r="K946" s="99"/>
      <c r="L946" s="99"/>
      <c r="P946" s="99"/>
      <c r="Q946" s="99"/>
    </row>
    <row r="947" ht="15.75" customHeight="1" spans="2:17">
      <c r="B947" s="91"/>
      <c r="K947" s="99"/>
      <c r="L947" s="99"/>
      <c r="P947" s="99"/>
      <c r="Q947" s="99"/>
    </row>
    <row r="948" ht="15.75" customHeight="1" spans="2:17">
      <c r="B948" s="91"/>
      <c r="K948" s="99"/>
      <c r="L948" s="99"/>
      <c r="P948" s="99"/>
      <c r="Q948" s="99"/>
    </row>
    <row r="949" ht="15.75" customHeight="1" spans="2:17">
      <c r="B949" s="91"/>
      <c r="K949" s="99"/>
      <c r="L949" s="99"/>
      <c r="P949" s="99"/>
      <c r="Q949" s="99"/>
    </row>
    <row r="950" ht="15.75" customHeight="1" spans="2:17">
      <c r="B950" s="91"/>
      <c r="K950" s="99"/>
      <c r="L950" s="99"/>
      <c r="P950" s="99"/>
      <c r="Q950" s="99"/>
    </row>
    <row r="951" ht="15.75" customHeight="1" spans="2:17">
      <c r="B951" s="91"/>
      <c r="K951" s="99"/>
      <c r="L951" s="99"/>
      <c r="P951" s="99"/>
      <c r="Q951" s="99"/>
    </row>
    <row r="952" ht="15.75" customHeight="1" spans="2:17">
      <c r="B952" s="91"/>
      <c r="K952" s="99"/>
      <c r="L952" s="99"/>
      <c r="P952" s="99"/>
      <c r="Q952" s="99"/>
    </row>
    <row r="953" ht="15.75" customHeight="1" spans="2:17">
      <c r="B953" s="91"/>
      <c r="K953" s="99"/>
      <c r="L953" s="99"/>
      <c r="P953" s="99"/>
      <c r="Q953" s="99"/>
    </row>
    <row r="954" ht="15.75" customHeight="1" spans="2:17">
      <c r="B954" s="91"/>
      <c r="K954" s="99"/>
      <c r="L954" s="99"/>
      <c r="P954" s="99"/>
      <c r="Q954" s="99"/>
    </row>
    <row r="955" ht="15.75" customHeight="1" spans="2:17">
      <c r="B955" s="91"/>
      <c r="K955" s="99"/>
      <c r="L955" s="99"/>
      <c r="P955" s="99"/>
      <c r="Q955" s="99"/>
    </row>
    <row r="956" ht="15.75" customHeight="1" spans="2:17">
      <c r="B956" s="91"/>
      <c r="K956" s="99"/>
      <c r="L956" s="99"/>
      <c r="P956" s="99"/>
      <c r="Q956" s="99"/>
    </row>
    <row r="957" ht="15.75" customHeight="1" spans="2:17">
      <c r="B957" s="91"/>
      <c r="K957" s="99"/>
      <c r="L957" s="99"/>
      <c r="P957" s="99"/>
      <c r="Q957" s="99"/>
    </row>
    <row r="958" ht="15.75" customHeight="1" spans="2:17">
      <c r="B958" s="91"/>
      <c r="K958" s="99"/>
      <c r="L958" s="99"/>
      <c r="P958" s="99"/>
      <c r="Q958" s="99"/>
    </row>
    <row r="959" ht="15.75" customHeight="1" spans="2:17">
      <c r="B959" s="91"/>
      <c r="K959" s="99"/>
      <c r="L959" s="99"/>
      <c r="P959" s="99"/>
      <c r="Q959" s="99"/>
    </row>
    <row r="960" ht="15.75" customHeight="1" spans="2:17">
      <c r="B960" s="91"/>
      <c r="K960" s="99"/>
      <c r="L960" s="99"/>
      <c r="P960" s="99"/>
      <c r="Q960" s="99"/>
    </row>
    <row r="961" ht="15.75" customHeight="1" spans="2:17">
      <c r="B961" s="91"/>
      <c r="K961" s="99"/>
      <c r="L961" s="99"/>
      <c r="P961" s="99"/>
      <c r="Q961" s="99"/>
    </row>
    <row r="962" ht="15.75" customHeight="1" spans="2:17">
      <c r="B962" s="91"/>
      <c r="K962" s="99"/>
      <c r="L962" s="99"/>
      <c r="P962" s="99"/>
      <c r="Q962" s="99"/>
    </row>
    <row r="963" ht="15.75" customHeight="1" spans="2:17">
      <c r="B963" s="91"/>
      <c r="K963" s="99"/>
      <c r="L963" s="99"/>
      <c r="P963" s="99"/>
      <c r="Q963" s="99"/>
    </row>
    <row r="964" ht="15.75" customHeight="1" spans="2:17">
      <c r="B964" s="91"/>
      <c r="K964" s="99"/>
      <c r="L964" s="99"/>
      <c r="P964" s="99"/>
      <c r="Q964" s="99"/>
    </row>
    <row r="965" ht="15.75" customHeight="1" spans="2:17">
      <c r="B965" s="91"/>
      <c r="K965" s="99"/>
      <c r="L965" s="99"/>
      <c r="P965" s="99"/>
      <c r="Q965" s="99"/>
    </row>
    <row r="966" ht="15.75" customHeight="1" spans="2:17">
      <c r="B966" s="91"/>
      <c r="K966" s="99"/>
      <c r="L966" s="99"/>
      <c r="P966" s="99"/>
      <c r="Q966" s="99"/>
    </row>
    <row r="967" ht="15.75" customHeight="1" spans="2:17">
      <c r="B967" s="91"/>
      <c r="K967" s="99"/>
      <c r="L967" s="99"/>
      <c r="P967" s="99"/>
      <c r="Q967" s="99"/>
    </row>
    <row r="968" ht="15.75" customHeight="1" spans="2:17">
      <c r="B968" s="91"/>
      <c r="K968" s="99"/>
      <c r="L968" s="99"/>
      <c r="P968" s="99"/>
      <c r="Q968" s="99"/>
    </row>
    <row r="969" ht="15.75" customHeight="1" spans="2:17">
      <c r="B969" s="91"/>
      <c r="K969" s="99"/>
      <c r="L969" s="99"/>
      <c r="P969" s="99"/>
      <c r="Q969" s="99"/>
    </row>
    <row r="970" ht="15.75" customHeight="1" spans="2:17">
      <c r="B970" s="91"/>
      <c r="K970" s="99"/>
      <c r="L970" s="99"/>
      <c r="P970" s="99"/>
      <c r="Q970" s="99"/>
    </row>
    <row r="971" ht="15.75" customHeight="1" spans="2:17">
      <c r="B971" s="91"/>
      <c r="K971" s="99"/>
      <c r="L971" s="99"/>
      <c r="P971" s="99"/>
      <c r="Q971" s="99"/>
    </row>
    <row r="972" ht="15.75" customHeight="1" spans="2:17">
      <c r="B972" s="91"/>
      <c r="K972" s="99"/>
      <c r="L972" s="99"/>
      <c r="P972" s="99"/>
      <c r="Q972" s="99"/>
    </row>
    <row r="973" ht="15.75" customHeight="1" spans="2:17">
      <c r="B973" s="91"/>
      <c r="K973" s="99"/>
      <c r="L973" s="99"/>
      <c r="P973" s="99"/>
      <c r="Q973" s="99"/>
    </row>
    <row r="974" ht="15.75" customHeight="1" spans="2:17">
      <c r="B974" s="91"/>
      <c r="K974" s="99"/>
      <c r="L974" s="99"/>
      <c r="P974" s="99"/>
      <c r="Q974" s="99"/>
    </row>
    <row r="975" ht="15.75" customHeight="1" spans="2:17">
      <c r="B975" s="91"/>
      <c r="K975" s="99"/>
      <c r="L975" s="99"/>
      <c r="P975" s="99"/>
      <c r="Q975" s="99"/>
    </row>
    <row r="976" ht="15.75" customHeight="1" spans="2:17">
      <c r="B976" s="91"/>
      <c r="K976" s="99"/>
      <c r="L976" s="99"/>
      <c r="P976" s="99"/>
      <c r="Q976" s="99"/>
    </row>
    <row r="977" ht="15.75" customHeight="1" spans="2:17">
      <c r="B977" s="91"/>
      <c r="K977" s="99"/>
      <c r="L977" s="99"/>
      <c r="P977" s="99"/>
      <c r="Q977" s="99"/>
    </row>
    <row r="978" ht="15.75" customHeight="1" spans="2:17">
      <c r="B978" s="91"/>
      <c r="K978" s="99"/>
      <c r="L978" s="99"/>
      <c r="P978" s="99"/>
      <c r="Q978" s="99"/>
    </row>
    <row r="979" ht="15.75" customHeight="1" spans="2:17">
      <c r="B979" s="91"/>
      <c r="K979" s="99"/>
      <c r="L979" s="99"/>
      <c r="P979" s="99"/>
      <c r="Q979" s="99"/>
    </row>
    <row r="980" ht="15.75" customHeight="1" spans="2:17">
      <c r="B980" s="91"/>
      <c r="K980" s="99"/>
      <c r="L980" s="99"/>
      <c r="P980" s="99"/>
      <c r="Q980" s="99"/>
    </row>
    <row r="981" ht="15.75" customHeight="1" spans="2:17">
      <c r="B981" s="91"/>
      <c r="K981" s="99"/>
      <c r="L981" s="99"/>
      <c r="P981" s="99"/>
      <c r="Q981" s="99"/>
    </row>
    <row r="982" ht="15.75" customHeight="1" spans="2:17">
      <c r="B982" s="91"/>
      <c r="K982" s="99"/>
      <c r="L982" s="99"/>
      <c r="P982" s="99"/>
      <c r="Q982" s="99"/>
    </row>
    <row r="983" ht="15.75" customHeight="1" spans="2:17">
      <c r="B983" s="91"/>
      <c r="K983" s="99"/>
      <c r="L983" s="99"/>
      <c r="P983" s="99"/>
      <c r="Q983" s="99"/>
    </row>
    <row r="984" ht="15.75" customHeight="1" spans="2:17">
      <c r="B984" s="91"/>
      <c r="K984" s="99"/>
      <c r="L984" s="99"/>
      <c r="P984" s="99"/>
      <c r="Q984" s="99"/>
    </row>
    <row r="985" ht="15.75" customHeight="1" spans="2:17">
      <c r="B985" s="91"/>
      <c r="K985" s="99"/>
      <c r="L985" s="99"/>
      <c r="P985" s="99"/>
      <c r="Q985" s="99"/>
    </row>
    <row r="986" ht="15.75" customHeight="1" spans="2:17">
      <c r="B986" s="91"/>
      <c r="K986" s="99"/>
      <c r="L986" s="99"/>
      <c r="P986" s="99"/>
      <c r="Q986" s="99"/>
    </row>
    <row r="987" ht="15.75" customHeight="1" spans="2:17">
      <c r="B987" s="91"/>
      <c r="K987" s="99"/>
      <c r="L987" s="99"/>
      <c r="P987" s="99"/>
      <c r="Q987" s="99"/>
    </row>
    <row r="988" ht="15.75" customHeight="1" spans="2:17">
      <c r="B988" s="91"/>
      <c r="K988" s="99"/>
      <c r="L988" s="99"/>
      <c r="P988" s="99"/>
      <c r="Q988" s="99"/>
    </row>
    <row r="989" ht="15.75" customHeight="1" spans="2:17">
      <c r="B989" s="91"/>
      <c r="K989" s="99"/>
      <c r="L989" s="99"/>
      <c r="P989" s="99"/>
      <c r="Q989" s="99"/>
    </row>
    <row r="990" ht="15.75" customHeight="1" spans="2:17">
      <c r="B990" s="91"/>
      <c r="K990" s="99"/>
      <c r="L990" s="99"/>
      <c r="P990" s="99"/>
      <c r="Q990" s="99"/>
    </row>
    <row r="991" ht="15.75" customHeight="1" spans="2:17">
      <c r="B991" s="91"/>
      <c r="K991" s="99"/>
      <c r="L991" s="99"/>
      <c r="P991" s="99"/>
      <c r="Q991" s="99"/>
    </row>
    <row r="992" ht="15.75" customHeight="1" spans="2:17">
      <c r="B992" s="91"/>
      <c r="K992" s="99"/>
      <c r="L992" s="99"/>
      <c r="P992" s="99"/>
      <c r="Q992" s="99"/>
    </row>
    <row r="993" ht="15.75" customHeight="1" spans="2:17">
      <c r="B993" s="91"/>
      <c r="K993" s="99"/>
      <c r="L993" s="99"/>
      <c r="P993" s="99"/>
      <c r="Q993" s="99"/>
    </row>
    <row r="994" ht="15.75" customHeight="1" spans="2:17">
      <c r="B994" s="91"/>
      <c r="K994" s="99"/>
      <c r="L994" s="99"/>
      <c r="P994" s="99"/>
      <c r="Q994" s="99"/>
    </row>
    <row r="995" ht="15.75" customHeight="1" spans="2:17">
      <c r="B995" s="91"/>
      <c r="K995" s="99"/>
      <c r="L995" s="99"/>
      <c r="P995" s="99"/>
      <c r="Q995" s="99"/>
    </row>
    <row r="996" ht="15.75" customHeight="1" spans="2:17">
      <c r="B996" s="91"/>
      <c r="K996" s="99"/>
      <c r="L996" s="99"/>
      <c r="P996" s="99"/>
      <c r="Q996" s="99"/>
    </row>
    <row r="997" ht="15.75" customHeight="1" spans="2:17">
      <c r="B997" s="91"/>
      <c r="K997" s="99"/>
      <c r="L997" s="99"/>
      <c r="P997" s="99"/>
      <c r="Q997" s="99"/>
    </row>
    <row r="998" ht="15.75" customHeight="1" spans="2:17">
      <c r="B998" s="91"/>
      <c r="K998" s="99"/>
      <c r="L998" s="99"/>
      <c r="P998" s="99"/>
      <c r="Q998" s="99"/>
    </row>
    <row r="999" ht="15.75" customHeight="1" spans="2:17">
      <c r="B999" s="91"/>
      <c r="K999" s="99"/>
      <c r="L999" s="99"/>
      <c r="P999" s="99"/>
      <c r="Q999" s="99"/>
    </row>
    <row r="1000" ht="15.75" customHeight="1" spans="2:17">
      <c r="B1000" s="91"/>
      <c r="K1000" s="99"/>
      <c r="L1000" s="99"/>
      <c r="P1000" s="99"/>
      <c r="Q1000" s="99"/>
    </row>
  </sheetData>
  <autoFilter xmlns:etc="http://www.wps.cn/officeDocument/2017/etCustomData" ref="A1:U50" etc:filterBottomFollowUsedRange="0">
    <filterColumn colId="8">
      <filters>
        <filter val="1"/>
      </filters>
    </filterColumn>
    <extLst/>
  </autoFilter>
  <conditionalFormatting sqref="F1">
    <cfRule type="colorScale" priority="1">
      <colorScale>
        <cfvo type="min"/>
        <cfvo type="percentile" val="50"/>
        <cfvo type="max"/>
        <color rgb="FF2A6099"/>
        <color rgb="FFFFD7D7"/>
        <color rgb="FFFF0000"/>
      </colorScale>
    </cfRule>
  </conditionalFormatting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O75" sqref="O75"/>
    </sheetView>
  </sheetViews>
  <sheetFormatPr defaultColWidth="14.4259259259259" defaultRowHeight="15" customHeight="1"/>
  <cols>
    <col min="1" max="1" width="15.4259259259259" customWidth="1"/>
    <col min="2" max="2" width="15.712962962963" customWidth="1"/>
    <col min="3" max="4" width="17" customWidth="1"/>
    <col min="5" max="5" width="14.712962962963" customWidth="1"/>
    <col min="6" max="6" width="8.71296296296296" hidden="1" customWidth="1"/>
    <col min="7" max="7" width="14.4259259259259" customWidth="1"/>
    <col min="8" max="8" width="12.1388888888889" hidden="1" customWidth="1"/>
    <col min="9" max="9" width="255.712962962963" hidden="1" customWidth="1"/>
    <col min="10" max="10" width="32.287037037037" hidden="1" customWidth="1"/>
    <col min="11" max="12" width="7.13888888888889" customWidth="1"/>
    <col min="13" max="13" width="25.8518518518519" hidden="1" customWidth="1"/>
    <col min="14" max="14" width="30.5740740740741" customWidth="1"/>
    <col min="15" max="15" width="43.1388888888889" customWidth="1"/>
    <col min="16" max="26" width="8.71296296296296" customWidth="1"/>
  </cols>
  <sheetData>
    <row r="1" ht="19.5" customHeight="1" spans="1:26">
      <c r="A1" s="1" t="s">
        <v>1</v>
      </c>
      <c r="B1" s="1" t="s">
        <v>2</v>
      </c>
      <c r="C1" s="1" t="s">
        <v>3</v>
      </c>
      <c r="D1" s="1" t="s">
        <v>183</v>
      </c>
      <c r="E1" s="1" t="s">
        <v>184</v>
      </c>
      <c r="F1" s="1" t="s">
        <v>185</v>
      </c>
      <c r="G1" s="2" t="s">
        <v>5</v>
      </c>
      <c r="H1" s="2" t="s">
        <v>186</v>
      </c>
      <c r="I1" s="1" t="s">
        <v>187</v>
      </c>
      <c r="J1" s="1" t="s">
        <v>188</v>
      </c>
      <c r="K1" s="1" t="s">
        <v>189</v>
      </c>
      <c r="L1" s="1" t="s">
        <v>190</v>
      </c>
      <c r="M1" s="1" t="s">
        <v>191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 spans="1:26">
      <c r="A2" s="3" t="s">
        <v>192</v>
      </c>
      <c r="B2" s="3" t="s">
        <v>193</v>
      </c>
      <c r="C2" s="3" t="s">
        <v>194</v>
      </c>
      <c r="D2" s="3" t="s">
        <v>195</v>
      </c>
      <c r="E2" s="3" t="s">
        <v>195</v>
      </c>
      <c r="F2" s="3" t="s">
        <v>67</v>
      </c>
      <c r="G2" s="4"/>
      <c r="H2" s="4"/>
      <c r="I2" s="1" t="s">
        <v>196</v>
      </c>
      <c r="J2" s="1"/>
      <c r="K2" s="3"/>
      <c r="L2" s="3"/>
      <c r="M2" s="1" t="s">
        <v>197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9.5" customHeight="1" spans="1:26">
      <c r="A3" s="3" t="s">
        <v>198</v>
      </c>
      <c r="B3" s="3" t="s">
        <v>199</v>
      </c>
      <c r="C3" s="3" t="s">
        <v>194</v>
      </c>
      <c r="D3" s="3" t="s">
        <v>195</v>
      </c>
      <c r="E3" s="3" t="s">
        <v>195</v>
      </c>
      <c r="F3" s="3" t="s">
        <v>67</v>
      </c>
      <c r="G3" s="4"/>
      <c r="H3" s="4"/>
      <c r="I3" s="1" t="s">
        <v>200</v>
      </c>
      <c r="J3" s="1"/>
      <c r="K3" s="3"/>
      <c r="L3" s="3"/>
      <c r="M3" s="1" t="s">
        <v>201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 spans="1:26">
      <c r="A4" s="3" t="s">
        <v>202</v>
      </c>
      <c r="B4" s="3" t="s">
        <v>203</v>
      </c>
      <c r="C4" s="3" t="str">
        <f t="shared" ref="C4:C65" si="0">E4</f>
        <v>BTN2.2/BTN1 ?</v>
      </c>
      <c r="D4" s="3" t="s">
        <v>184</v>
      </c>
      <c r="E4" s="3" t="s">
        <v>204</v>
      </c>
      <c r="F4" s="3" t="s">
        <v>205</v>
      </c>
      <c r="G4" s="2">
        <v>49</v>
      </c>
      <c r="H4" s="2">
        <v>4.7</v>
      </c>
      <c r="I4" s="1" t="s">
        <v>206</v>
      </c>
      <c r="J4" s="1"/>
      <c r="K4" s="3" t="s">
        <v>37</v>
      </c>
      <c r="L4" s="3" t="s">
        <v>37</v>
      </c>
      <c r="M4" s="1" t="s">
        <v>207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 spans="1:26">
      <c r="A5" s="3" t="s">
        <v>208</v>
      </c>
      <c r="B5" s="3" t="s">
        <v>209</v>
      </c>
      <c r="C5" s="3" t="str">
        <f t="shared" si="0"/>
        <v>BTN2.1/BTN1 ?</v>
      </c>
      <c r="D5" s="3" t="s">
        <v>184</v>
      </c>
      <c r="E5" s="3" t="s">
        <v>210</v>
      </c>
      <c r="F5" s="3" t="s">
        <v>205</v>
      </c>
      <c r="G5" s="2">
        <v>58</v>
      </c>
      <c r="H5" s="2">
        <v>5.8</v>
      </c>
      <c r="I5" s="1" t="s">
        <v>211</v>
      </c>
      <c r="J5" s="36" t="s">
        <v>212</v>
      </c>
      <c r="K5" s="37" t="s">
        <v>26</v>
      </c>
      <c r="L5" s="37" t="s">
        <v>26</v>
      </c>
      <c r="M5" s="1" t="s">
        <v>213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 spans="1:26">
      <c r="A6" s="3" t="s">
        <v>214</v>
      </c>
      <c r="B6" s="3" t="s">
        <v>215</v>
      </c>
      <c r="C6" s="3" t="str">
        <f t="shared" si="0"/>
        <v>BTN1/BTN2.1 ?</v>
      </c>
      <c r="D6" s="3" t="s">
        <v>184</v>
      </c>
      <c r="E6" s="3" t="s">
        <v>216</v>
      </c>
      <c r="F6" s="3" t="s">
        <v>205</v>
      </c>
      <c r="G6" s="2">
        <v>63</v>
      </c>
      <c r="H6" s="2">
        <v>5.5</v>
      </c>
      <c r="I6" s="1" t="s">
        <v>217</v>
      </c>
      <c r="J6" s="1"/>
      <c r="K6" s="3" t="s">
        <v>218</v>
      </c>
      <c r="L6" s="3" t="s">
        <v>219</v>
      </c>
      <c r="M6" s="1" t="s">
        <v>220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 spans="1:26">
      <c r="A7" s="5" t="s">
        <v>137</v>
      </c>
      <c r="B7" s="6" t="s">
        <v>138</v>
      </c>
      <c r="C7" s="6" t="str">
        <f t="shared" si="0"/>
        <v>BTN1</v>
      </c>
      <c r="D7" s="6" t="s">
        <v>33</v>
      </c>
      <c r="E7" s="6" t="s">
        <v>33</v>
      </c>
      <c r="F7" s="6" t="s">
        <v>205</v>
      </c>
      <c r="G7" s="7">
        <v>30</v>
      </c>
      <c r="H7" s="7">
        <v>4</v>
      </c>
      <c r="I7" s="38" t="s">
        <v>221</v>
      </c>
      <c r="J7" s="38"/>
      <c r="K7" s="6" t="s">
        <v>37</v>
      </c>
      <c r="L7" s="6" t="s">
        <v>37</v>
      </c>
      <c r="M7" s="38" t="s">
        <v>222</v>
      </c>
      <c r="N7" s="39" t="s">
        <v>223</v>
      </c>
      <c r="O7" s="3" t="s">
        <v>224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9.5" customHeight="1" spans="1:26">
      <c r="A8" s="8" t="s">
        <v>75</v>
      </c>
      <c r="B8" s="3" t="s">
        <v>76</v>
      </c>
      <c r="C8" s="3" t="str">
        <f t="shared" si="0"/>
        <v>BTN1</v>
      </c>
      <c r="D8" s="3" t="s">
        <v>33</v>
      </c>
      <c r="E8" s="3" t="s">
        <v>33</v>
      </c>
      <c r="F8" s="3" t="s">
        <v>205</v>
      </c>
      <c r="G8" s="2">
        <v>34</v>
      </c>
      <c r="H8" s="2">
        <v>3.8</v>
      </c>
      <c r="I8" s="1" t="s">
        <v>225</v>
      </c>
      <c r="J8" s="1"/>
      <c r="K8" s="3" t="s">
        <v>37</v>
      </c>
      <c r="L8" s="3" t="s">
        <v>37</v>
      </c>
      <c r="M8" s="1" t="s">
        <v>226</v>
      </c>
      <c r="N8" s="40" t="s">
        <v>223</v>
      </c>
      <c r="O8" s="3" t="s">
        <v>224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9.5" customHeight="1" spans="1:26">
      <c r="A9" s="8" t="s">
        <v>102</v>
      </c>
      <c r="B9" s="3" t="s">
        <v>103</v>
      </c>
      <c r="C9" s="3" t="str">
        <f t="shared" si="0"/>
        <v>BTN1</v>
      </c>
      <c r="D9" s="3" t="s">
        <v>33</v>
      </c>
      <c r="E9" s="3" t="s">
        <v>33</v>
      </c>
      <c r="F9" s="3" t="s">
        <v>205</v>
      </c>
      <c r="G9" s="2">
        <v>51</v>
      </c>
      <c r="H9" s="2">
        <v>4</v>
      </c>
      <c r="I9" s="1" t="s">
        <v>227</v>
      </c>
      <c r="J9" s="1"/>
      <c r="K9" s="3" t="s">
        <v>37</v>
      </c>
      <c r="L9" s="3" t="s">
        <v>37</v>
      </c>
      <c r="M9" s="1" t="s">
        <v>228</v>
      </c>
      <c r="N9" s="40" t="s">
        <v>223</v>
      </c>
      <c r="O9" s="3" t="s">
        <v>224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9.5" customHeight="1" spans="1:26">
      <c r="A10" s="8" t="s">
        <v>40</v>
      </c>
      <c r="B10" s="3" t="s">
        <v>41</v>
      </c>
      <c r="C10" s="3" t="str">
        <f t="shared" si="0"/>
        <v>BTN1</v>
      </c>
      <c r="D10" s="3" t="s">
        <v>33</v>
      </c>
      <c r="E10" s="3" t="s">
        <v>33</v>
      </c>
      <c r="F10" s="3" t="s">
        <v>205</v>
      </c>
      <c r="G10" s="2">
        <v>77</v>
      </c>
      <c r="H10" s="2">
        <v>4</v>
      </c>
      <c r="I10" s="1" t="s">
        <v>229</v>
      </c>
      <c r="J10" s="1" t="s">
        <v>230</v>
      </c>
      <c r="K10" s="3" t="s">
        <v>37</v>
      </c>
      <c r="L10" s="3" t="s">
        <v>37</v>
      </c>
      <c r="M10" s="1" t="s">
        <v>231</v>
      </c>
      <c r="N10" s="40" t="s">
        <v>223</v>
      </c>
      <c r="O10" s="3" t="s">
        <v>224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 spans="1:26">
      <c r="A11" s="8" t="s">
        <v>105</v>
      </c>
      <c r="B11" s="3" t="s">
        <v>106</v>
      </c>
      <c r="C11" s="3" t="str">
        <f t="shared" si="0"/>
        <v>BTN1</v>
      </c>
      <c r="D11" s="3" t="s">
        <v>33</v>
      </c>
      <c r="E11" s="3" t="s">
        <v>33</v>
      </c>
      <c r="F11" s="3" t="s">
        <v>205</v>
      </c>
      <c r="G11" s="2">
        <v>91</v>
      </c>
      <c r="H11" s="2">
        <v>4.2</v>
      </c>
      <c r="I11" s="1" t="s">
        <v>227</v>
      </c>
      <c r="J11" s="1"/>
      <c r="K11" s="3" t="s">
        <v>37</v>
      </c>
      <c r="L11" s="3" t="s">
        <v>37</v>
      </c>
      <c r="M11" s="1" t="s">
        <v>232</v>
      </c>
      <c r="N11" s="40" t="s">
        <v>223</v>
      </c>
      <c r="O11" s="3" t="s">
        <v>224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 spans="1:26">
      <c r="A12" s="9" t="s">
        <v>35</v>
      </c>
      <c r="B12" s="10" t="s">
        <v>36</v>
      </c>
      <c r="C12" s="10" t="str">
        <f t="shared" si="0"/>
        <v>BTN1</v>
      </c>
      <c r="D12" s="10" t="s">
        <v>33</v>
      </c>
      <c r="E12" s="10" t="s">
        <v>33</v>
      </c>
      <c r="F12" s="10" t="s">
        <v>205</v>
      </c>
      <c r="G12" s="11">
        <v>98</v>
      </c>
      <c r="H12" s="11" t="s">
        <v>194</v>
      </c>
      <c r="I12" s="41" t="s">
        <v>233</v>
      </c>
      <c r="J12" s="41"/>
      <c r="K12" s="10" t="s">
        <v>37</v>
      </c>
      <c r="L12" s="10" t="s">
        <v>37</v>
      </c>
      <c r="M12" s="41" t="s">
        <v>234</v>
      </c>
      <c r="N12" s="42" t="s">
        <v>223</v>
      </c>
      <c r="O12" s="3" t="s">
        <v>224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 spans="1:26">
      <c r="A13" s="12" t="s">
        <v>140</v>
      </c>
      <c r="B13" s="6" t="s">
        <v>141</v>
      </c>
      <c r="C13" s="6" t="str">
        <f t="shared" si="0"/>
        <v>BTN1</v>
      </c>
      <c r="D13" s="6" t="s">
        <v>33</v>
      </c>
      <c r="E13" s="6" t="s">
        <v>33</v>
      </c>
      <c r="F13" s="6" t="s">
        <v>205</v>
      </c>
      <c r="G13" s="7">
        <v>10</v>
      </c>
      <c r="H13" s="7">
        <v>4.1</v>
      </c>
      <c r="I13" s="38" t="s">
        <v>235</v>
      </c>
      <c r="J13" s="38" t="s">
        <v>236</v>
      </c>
      <c r="K13" s="6" t="s">
        <v>26</v>
      </c>
      <c r="L13" s="6" t="s">
        <v>26</v>
      </c>
      <c r="M13" s="38" t="s">
        <v>237</v>
      </c>
      <c r="N13" s="43" t="s">
        <v>238</v>
      </c>
      <c r="O13" s="3" t="s">
        <v>224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 spans="1:26">
      <c r="A14" s="13" t="s">
        <v>69</v>
      </c>
      <c r="B14" s="3" t="s">
        <v>70</v>
      </c>
      <c r="C14" s="3" t="str">
        <f t="shared" si="0"/>
        <v>BTN1</v>
      </c>
      <c r="D14" s="3" t="s">
        <v>33</v>
      </c>
      <c r="E14" s="3" t="s">
        <v>33</v>
      </c>
      <c r="F14" s="3" t="s">
        <v>205</v>
      </c>
      <c r="G14" s="2">
        <v>12</v>
      </c>
      <c r="H14" s="2">
        <v>4</v>
      </c>
      <c r="I14" s="1" t="s">
        <v>239</v>
      </c>
      <c r="J14" s="1"/>
      <c r="K14" s="3" t="s">
        <v>26</v>
      </c>
      <c r="L14" s="3" t="s">
        <v>26</v>
      </c>
      <c r="M14" s="1" t="s">
        <v>240</v>
      </c>
      <c r="N14" s="44" t="s">
        <v>238</v>
      </c>
      <c r="O14" s="3" t="s">
        <v>224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 spans="1:26">
      <c r="A15" s="13" t="s">
        <v>31</v>
      </c>
      <c r="B15" s="3" t="s">
        <v>32</v>
      </c>
      <c r="C15" s="3" t="str">
        <f t="shared" si="0"/>
        <v>BTN1</v>
      </c>
      <c r="D15" s="3" t="s">
        <v>33</v>
      </c>
      <c r="E15" s="3" t="s">
        <v>33</v>
      </c>
      <c r="F15" s="3" t="s">
        <v>205</v>
      </c>
      <c r="G15" s="2">
        <v>13</v>
      </c>
      <c r="H15" s="2">
        <v>4</v>
      </c>
      <c r="I15" s="1" t="s">
        <v>241</v>
      </c>
      <c r="J15" s="1"/>
      <c r="K15" s="3" t="s">
        <v>26</v>
      </c>
      <c r="L15" s="3" t="s">
        <v>26</v>
      </c>
      <c r="M15" s="1" t="s">
        <v>242</v>
      </c>
      <c r="N15" s="44" t="s">
        <v>238</v>
      </c>
      <c r="O15" s="3" t="s">
        <v>224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9.5" customHeight="1" spans="1:26">
      <c r="A16" s="13" t="s">
        <v>108</v>
      </c>
      <c r="B16" s="3" t="s">
        <v>109</v>
      </c>
      <c r="C16" s="3" t="str">
        <f t="shared" si="0"/>
        <v>BTN1</v>
      </c>
      <c r="D16" s="3" t="s">
        <v>33</v>
      </c>
      <c r="E16" s="3" t="s">
        <v>33</v>
      </c>
      <c r="F16" s="3" t="s">
        <v>205</v>
      </c>
      <c r="G16" s="2">
        <v>15</v>
      </c>
      <c r="H16" s="2">
        <v>4.1</v>
      </c>
      <c r="I16" s="1" t="s">
        <v>243</v>
      </c>
      <c r="J16" s="1"/>
      <c r="K16" s="3" t="s">
        <v>26</v>
      </c>
      <c r="L16" s="3" t="s">
        <v>26</v>
      </c>
      <c r="M16" s="1" t="s">
        <v>244</v>
      </c>
      <c r="N16" s="44" t="s">
        <v>238</v>
      </c>
      <c r="O16" s="3" t="s">
        <v>224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9.5" customHeight="1" spans="1:26">
      <c r="A17" s="14" t="s">
        <v>177</v>
      </c>
      <c r="B17" s="3" t="s">
        <v>178</v>
      </c>
      <c r="C17" s="3" t="str">
        <f t="shared" si="0"/>
        <v>BTN1</v>
      </c>
      <c r="D17" s="3" t="s">
        <v>33</v>
      </c>
      <c r="E17" s="3" t="s">
        <v>33</v>
      </c>
      <c r="F17" s="3" t="s">
        <v>205</v>
      </c>
      <c r="G17" s="2">
        <v>16</v>
      </c>
      <c r="H17" s="2">
        <v>4.3</v>
      </c>
      <c r="I17" s="1" t="s">
        <v>245</v>
      </c>
      <c r="J17" s="1"/>
      <c r="K17" s="3" t="s">
        <v>26</v>
      </c>
      <c r="L17" s="3" t="s">
        <v>26</v>
      </c>
      <c r="M17" s="1" t="s">
        <v>246</v>
      </c>
      <c r="N17" s="44" t="s">
        <v>238</v>
      </c>
      <c r="O17" s="45" t="s">
        <v>247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9.5" customHeight="1" spans="1:26">
      <c r="A18" s="14" t="s">
        <v>168</v>
      </c>
      <c r="B18" s="3" t="s">
        <v>169</v>
      </c>
      <c r="C18" s="3" t="str">
        <f t="shared" si="0"/>
        <v>BTN1</v>
      </c>
      <c r="D18" s="3" t="s">
        <v>33</v>
      </c>
      <c r="E18" s="3" t="s">
        <v>33</v>
      </c>
      <c r="F18" s="3" t="s">
        <v>205</v>
      </c>
      <c r="G18" s="2">
        <v>43</v>
      </c>
      <c r="H18" s="2">
        <v>4.3</v>
      </c>
      <c r="I18" s="1" t="s">
        <v>248</v>
      </c>
      <c r="J18" s="46" t="s">
        <v>249</v>
      </c>
      <c r="K18" s="3" t="s">
        <v>26</v>
      </c>
      <c r="L18" s="3" t="s">
        <v>26</v>
      </c>
      <c r="M18" s="1" t="s">
        <v>250</v>
      </c>
      <c r="N18" s="44" t="s">
        <v>238</v>
      </c>
      <c r="O18" s="3" t="s">
        <v>224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9.5" customHeight="1" spans="1:26">
      <c r="A19" s="15" t="s">
        <v>59</v>
      </c>
      <c r="B19" s="3" t="s">
        <v>60</v>
      </c>
      <c r="C19" s="3" t="str">
        <f t="shared" si="0"/>
        <v>BTN1</v>
      </c>
      <c r="D19" s="3" t="s">
        <v>33</v>
      </c>
      <c r="E19" s="3" t="s">
        <v>33</v>
      </c>
      <c r="F19" s="3" t="s">
        <v>205</v>
      </c>
      <c r="G19" s="2">
        <v>50</v>
      </c>
      <c r="H19" s="2">
        <v>4</v>
      </c>
      <c r="I19" s="1" t="s">
        <v>251</v>
      </c>
      <c r="J19" s="1"/>
      <c r="K19" s="3" t="s">
        <v>26</v>
      </c>
      <c r="L19" s="3" t="s">
        <v>26</v>
      </c>
      <c r="M19" s="1" t="s">
        <v>252</v>
      </c>
      <c r="N19" s="44" t="s">
        <v>238</v>
      </c>
      <c r="O19" s="3" t="s">
        <v>224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9.5" customHeight="1" spans="1:26">
      <c r="A20" s="15" t="s">
        <v>53</v>
      </c>
      <c r="B20" s="3" t="s">
        <v>54</v>
      </c>
      <c r="C20" s="3" t="str">
        <f t="shared" si="0"/>
        <v>BTN1</v>
      </c>
      <c r="D20" s="3" t="s">
        <v>33</v>
      </c>
      <c r="E20" s="3" t="s">
        <v>33</v>
      </c>
      <c r="F20" s="3" t="s">
        <v>205</v>
      </c>
      <c r="G20" s="2">
        <v>62</v>
      </c>
      <c r="H20" s="2">
        <v>5</v>
      </c>
      <c r="I20" s="1" t="s">
        <v>253</v>
      </c>
      <c r="J20" s="1"/>
      <c r="K20" s="3" t="s">
        <v>26</v>
      </c>
      <c r="L20" s="3" t="s">
        <v>26</v>
      </c>
      <c r="M20" s="1" t="s">
        <v>254</v>
      </c>
      <c r="N20" s="44" t="s">
        <v>238</v>
      </c>
      <c r="O20" s="3" t="s">
        <v>224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9.5" customHeight="1" spans="1:26">
      <c r="A21" s="16" t="s">
        <v>180</v>
      </c>
      <c r="B21" s="3" t="s">
        <v>181</v>
      </c>
      <c r="C21" s="3" t="str">
        <f t="shared" si="0"/>
        <v>BTN1</v>
      </c>
      <c r="D21" s="3" t="s">
        <v>33</v>
      </c>
      <c r="E21" s="3" t="s">
        <v>33</v>
      </c>
      <c r="F21" s="3" t="s">
        <v>205</v>
      </c>
      <c r="G21" s="2">
        <v>91</v>
      </c>
      <c r="H21" s="2">
        <v>4</v>
      </c>
      <c r="I21" s="1" t="s">
        <v>255</v>
      </c>
      <c r="J21" s="1"/>
      <c r="K21" s="3" t="s">
        <v>26</v>
      </c>
      <c r="L21" s="3" t="s">
        <v>26</v>
      </c>
      <c r="M21" s="1" t="s">
        <v>226</v>
      </c>
      <c r="N21" s="44" t="s">
        <v>238</v>
      </c>
      <c r="O21" s="3" t="s">
        <v>224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9.5" customHeight="1" spans="1:26">
      <c r="A22" s="17" t="s">
        <v>156</v>
      </c>
      <c r="B22" s="3" t="s">
        <v>157</v>
      </c>
      <c r="C22" s="3" t="str">
        <f t="shared" si="0"/>
        <v>BTN1</v>
      </c>
      <c r="D22" s="3" t="s">
        <v>33</v>
      </c>
      <c r="E22" s="3" t="s">
        <v>33</v>
      </c>
      <c r="F22" s="3" t="s">
        <v>205</v>
      </c>
      <c r="G22" s="2">
        <v>94</v>
      </c>
      <c r="H22" s="2" t="s">
        <v>194</v>
      </c>
      <c r="I22" s="1" t="s">
        <v>256</v>
      </c>
      <c r="J22" s="1"/>
      <c r="K22" s="3" t="s">
        <v>26</v>
      </c>
      <c r="L22" s="47" t="s">
        <v>26</v>
      </c>
      <c r="M22" s="1" t="s">
        <v>257</v>
      </c>
      <c r="N22" s="44" t="s">
        <v>238</v>
      </c>
      <c r="O22" s="3" t="s">
        <v>224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9.5" customHeight="1" spans="1:26">
      <c r="A23" s="18" t="s">
        <v>56</v>
      </c>
      <c r="B23" s="10" t="s">
        <v>57</v>
      </c>
      <c r="C23" s="10" t="str">
        <f t="shared" si="0"/>
        <v>BTN1</v>
      </c>
      <c r="D23" s="10" t="s">
        <v>33</v>
      </c>
      <c r="E23" s="10" t="s">
        <v>33</v>
      </c>
      <c r="F23" s="10" t="s">
        <v>205</v>
      </c>
      <c r="G23" s="11">
        <v>94</v>
      </c>
      <c r="H23" s="11">
        <v>4.1</v>
      </c>
      <c r="I23" s="41" t="s">
        <v>258</v>
      </c>
      <c r="J23" s="41"/>
      <c r="K23" s="10" t="s">
        <v>26</v>
      </c>
      <c r="L23" s="10" t="s">
        <v>26</v>
      </c>
      <c r="M23" s="41" t="s">
        <v>259</v>
      </c>
      <c r="N23" s="48" t="s">
        <v>238</v>
      </c>
      <c r="O23" s="3" t="s">
        <v>224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9.5" hidden="1" customHeight="1" spans="1:26">
      <c r="A24" s="19" t="s">
        <v>260</v>
      </c>
      <c r="B24" s="19" t="s">
        <v>261</v>
      </c>
      <c r="C24" s="19" t="str">
        <f t="shared" si="0"/>
        <v>BTN1</v>
      </c>
      <c r="D24" s="19" t="s">
        <v>33</v>
      </c>
      <c r="E24" s="19" t="s">
        <v>33</v>
      </c>
      <c r="F24" s="19" t="s">
        <v>205</v>
      </c>
      <c r="G24" s="20">
        <v>18</v>
      </c>
      <c r="H24" s="20">
        <v>3.9</v>
      </c>
      <c r="I24" s="49" t="s">
        <v>262</v>
      </c>
      <c r="J24" s="49"/>
      <c r="K24" s="19" t="s">
        <v>219</v>
      </c>
      <c r="L24" s="19" t="s">
        <v>219</v>
      </c>
      <c r="M24" s="49" t="s">
        <v>263</v>
      </c>
      <c r="N24" s="50" t="s">
        <v>264</v>
      </c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ht="19.5" customHeight="1" spans="1:26">
      <c r="A25" s="21" t="s">
        <v>43</v>
      </c>
      <c r="B25" s="6" t="s">
        <v>44</v>
      </c>
      <c r="C25" s="6" t="str">
        <f t="shared" si="0"/>
        <v>BTN1</v>
      </c>
      <c r="D25" s="6" t="s">
        <v>33</v>
      </c>
      <c r="E25" s="6" t="s">
        <v>33</v>
      </c>
      <c r="F25" s="6" t="s">
        <v>205</v>
      </c>
      <c r="G25" s="7">
        <v>53</v>
      </c>
      <c r="H25" s="7">
        <v>4.2</v>
      </c>
      <c r="I25" s="38" t="s">
        <v>235</v>
      </c>
      <c r="J25" s="38"/>
      <c r="K25" s="6" t="s">
        <v>219</v>
      </c>
      <c r="L25" s="6" t="s">
        <v>37</v>
      </c>
      <c r="M25" s="38" t="s">
        <v>265</v>
      </c>
      <c r="N25" s="51" t="s">
        <v>264</v>
      </c>
      <c r="O25" s="3" t="s">
        <v>224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9.5" customHeight="1" spans="1:26">
      <c r="A26" s="22" t="s">
        <v>266</v>
      </c>
      <c r="B26" s="3" t="s">
        <v>267</v>
      </c>
      <c r="C26" s="3" t="str">
        <f t="shared" si="0"/>
        <v>BTN1</v>
      </c>
      <c r="D26" s="3" t="s">
        <v>33</v>
      </c>
      <c r="E26" s="3" t="s">
        <v>33</v>
      </c>
      <c r="F26" s="3" t="s">
        <v>205</v>
      </c>
      <c r="G26" s="2">
        <v>67</v>
      </c>
      <c r="H26" s="2">
        <v>4.2</v>
      </c>
      <c r="I26" s="1" t="s">
        <v>268</v>
      </c>
      <c r="J26" s="1"/>
      <c r="K26" s="3" t="s">
        <v>219</v>
      </c>
      <c r="L26" s="3" t="s">
        <v>219</v>
      </c>
      <c r="M26" s="1" t="s">
        <v>269</v>
      </c>
      <c r="N26" s="52" t="s">
        <v>264</v>
      </c>
      <c r="O26" s="102" t="s">
        <v>270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9.5" customHeight="1" spans="1:26">
      <c r="A27" s="23" t="s">
        <v>271</v>
      </c>
      <c r="B27" s="3" t="s">
        <v>272</v>
      </c>
      <c r="C27" s="3" t="str">
        <f t="shared" si="0"/>
        <v>BTN1</v>
      </c>
      <c r="D27" s="3" t="s">
        <v>33</v>
      </c>
      <c r="E27" s="3" t="s">
        <v>33</v>
      </c>
      <c r="F27" s="3" t="s">
        <v>205</v>
      </c>
      <c r="G27" s="2">
        <v>76</v>
      </c>
      <c r="H27" s="2">
        <v>4.1</v>
      </c>
      <c r="I27" s="1" t="s">
        <v>273</v>
      </c>
      <c r="J27" s="1"/>
      <c r="K27" s="3" t="s">
        <v>219</v>
      </c>
      <c r="L27" s="3" t="s">
        <v>219</v>
      </c>
      <c r="M27" s="1" t="s">
        <v>274</v>
      </c>
      <c r="N27" s="52" t="s">
        <v>264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9.5" customHeight="1" spans="1:26">
      <c r="A28" s="23" t="s">
        <v>275</v>
      </c>
      <c r="B28" s="3" t="s">
        <v>276</v>
      </c>
      <c r="C28" s="3" t="str">
        <f t="shared" si="0"/>
        <v>BTN1</v>
      </c>
      <c r="D28" s="3" t="s">
        <v>33</v>
      </c>
      <c r="E28" s="3" t="s">
        <v>33</v>
      </c>
      <c r="F28" s="3" t="s">
        <v>205</v>
      </c>
      <c r="G28" s="2">
        <v>88</v>
      </c>
      <c r="H28" s="2">
        <v>4.3</v>
      </c>
      <c r="I28" s="1" t="s">
        <v>277</v>
      </c>
      <c r="J28" s="1"/>
      <c r="K28" s="3" t="s">
        <v>219</v>
      </c>
      <c r="L28" s="3" t="s">
        <v>219</v>
      </c>
      <c r="M28" s="1" t="s">
        <v>278</v>
      </c>
      <c r="N28" s="52" t="s">
        <v>264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9.5" customHeight="1" spans="1:26">
      <c r="A29" s="23" t="s">
        <v>279</v>
      </c>
      <c r="B29" s="3" t="s">
        <v>280</v>
      </c>
      <c r="C29" s="3" t="str">
        <f t="shared" si="0"/>
        <v>BTN1</v>
      </c>
      <c r="D29" s="3" t="s">
        <v>33</v>
      </c>
      <c r="E29" s="3" t="s">
        <v>33</v>
      </c>
      <c r="F29" s="3" t="s">
        <v>205</v>
      </c>
      <c r="G29" s="2">
        <v>95</v>
      </c>
      <c r="H29" s="2">
        <v>3.8</v>
      </c>
      <c r="I29" s="1" t="s">
        <v>281</v>
      </c>
      <c r="J29" s="1" t="s">
        <v>282</v>
      </c>
      <c r="K29" s="3" t="s">
        <v>219</v>
      </c>
      <c r="L29" s="3" t="s">
        <v>219</v>
      </c>
      <c r="M29" s="1" t="s">
        <v>283</v>
      </c>
      <c r="N29" s="52" t="s">
        <v>264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9.5" customHeight="1" spans="1:26">
      <c r="A30" s="23" t="s">
        <v>284</v>
      </c>
      <c r="B30" s="3" t="s">
        <v>285</v>
      </c>
      <c r="C30" s="3" t="str">
        <f t="shared" si="0"/>
        <v>BTN1</v>
      </c>
      <c r="D30" s="3" t="s">
        <v>33</v>
      </c>
      <c r="E30" s="3" t="s">
        <v>33</v>
      </c>
      <c r="F30" s="3" t="s">
        <v>205</v>
      </c>
      <c r="G30" s="2">
        <v>99</v>
      </c>
      <c r="H30" s="2">
        <v>4</v>
      </c>
      <c r="I30" s="1" t="s">
        <v>235</v>
      </c>
      <c r="J30" s="1" t="s">
        <v>236</v>
      </c>
      <c r="K30" s="3" t="s">
        <v>219</v>
      </c>
      <c r="L30" s="3" t="s">
        <v>219</v>
      </c>
      <c r="M30" s="1" t="s">
        <v>286</v>
      </c>
      <c r="N30" s="52" t="s">
        <v>264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9.5" customHeight="1" spans="1:26">
      <c r="A31" s="23" t="s">
        <v>287</v>
      </c>
      <c r="B31" s="3" t="s">
        <v>288</v>
      </c>
      <c r="C31" s="3" t="str">
        <f t="shared" si="0"/>
        <v>BTN1_Am</v>
      </c>
      <c r="D31" s="3" t="s">
        <v>33</v>
      </c>
      <c r="E31" s="3" t="s">
        <v>289</v>
      </c>
      <c r="F31" s="3" t="s">
        <v>205</v>
      </c>
      <c r="G31" s="2">
        <v>71</v>
      </c>
      <c r="H31" s="2">
        <v>4.8</v>
      </c>
      <c r="I31" s="1" t="s">
        <v>290</v>
      </c>
      <c r="J31" s="1" t="s">
        <v>291</v>
      </c>
      <c r="K31" s="3"/>
      <c r="L31" s="3" t="s">
        <v>219</v>
      </c>
      <c r="M31" s="1" t="s">
        <v>292</v>
      </c>
      <c r="N31" s="52" t="s">
        <v>264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9.5" customHeight="1" spans="1:26">
      <c r="A32" s="24" t="s">
        <v>293</v>
      </c>
      <c r="B32" s="10" t="s">
        <v>294</v>
      </c>
      <c r="C32" s="10" t="str">
        <f t="shared" si="0"/>
        <v>BTN1</v>
      </c>
      <c r="D32" s="10" t="s">
        <v>33</v>
      </c>
      <c r="E32" s="10" t="s">
        <v>33</v>
      </c>
      <c r="F32" s="10" t="s">
        <v>205</v>
      </c>
      <c r="G32" s="11">
        <v>98</v>
      </c>
      <c r="H32" s="11">
        <v>4.5</v>
      </c>
      <c r="I32" s="41" t="s">
        <v>295</v>
      </c>
      <c r="J32" s="41"/>
      <c r="K32" s="10"/>
      <c r="L32" s="10" t="s">
        <v>219</v>
      </c>
      <c r="M32" s="41" t="s">
        <v>296</v>
      </c>
      <c r="N32" s="54" t="s">
        <v>264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 spans="1:26">
      <c r="A33" s="25" t="s">
        <v>81</v>
      </c>
      <c r="B33" s="6" t="s">
        <v>82</v>
      </c>
      <c r="C33" s="6" t="str">
        <f t="shared" si="0"/>
        <v>BTN2.2</v>
      </c>
      <c r="D33" s="6" t="s">
        <v>25</v>
      </c>
      <c r="E33" s="6" t="s">
        <v>64</v>
      </c>
      <c r="F33" s="6" t="s">
        <v>205</v>
      </c>
      <c r="G33" s="7">
        <v>17</v>
      </c>
      <c r="H33" s="7">
        <v>4.9</v>
      </c>
      <c r="I33" s="38" t="s">
        <v>297</v>
      </c>
      <c r="J33" s="38"/>
      <c r="K33" s="6" t="s">
        <v>37</v>
      </c>
      <c r="L33" s="6" t="s">
        <v>37</v>
      </c>
      <c r="M33" s="38" t="s">
        <v>298</v>
      </c>
      <c r="N33" s="55" t="s">
        <v>299</v>
      </c>
      <c r="O33" s="3" t="s">
        <v>224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 spans="1:26">
      <c r="A34" s="26" t="s">
        <v>153</v>
      </c>
      <c r="B34" s="3" t="s">
        <v>154</v>
      </c>
      <c r="C34" s="3" t="str">
        <f t="shared" si="0"/>
        <v>BTN2.2</v>
      </c>
      <c r="D34" s="3" t="s">
        <v>25</v>
      </c>
      <c r="E34" s="3" t="s">
        <v>64</v>
      </c>
      <c r="F34" s="3" t="s">
        <v>205</v>
      </c>
      <c r="G34" s="2">
        <v>31</v>
      </c>
      <c r="H34" s="2">
        <v>5</v>
      </c>
      <c r="I34" s="1" t="s">
        <v>300</v>
      </c>
      <c r="J34" s="1"/>
      <c r="K34" s="3" t="s">
        <v>37</v>
      </c>
      <c r="L34" s="3" t="s">
        <v>37</v>
      </c>
      <c r="M34" s="1" t="s">
        <v>301</v>
      </c>
      <c r="N34" s="56" t="s">
        <v>299</v>
      </c>
      <c r="O34" s="3" t="s">
        <v>224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 spans="1:26">
      <c r="A35" s="27" t="s">
        <v>174</v>
      </c>
      <c r="B35" s="3" t="s">
        <v>175</v>
      </c>
      <c r="C35" s="3" t="str">
        <f t="shared" si="0"/>
        <v>BTN2.1</v>
      </c>
      <c r="D35" s="3" t="s">
        <v>25</v>
      </c>
      <c r="E35" s="3" t="s">
        <v>24</v>
      </c>
      <c r="F35" s="3" t="s">
        <v>205</v>
      </c>
      <c r="G35" s="2">
        <v>48</v>
      </c>
      <c r="H35" s="2">
        <v>5.6</v>
      </c>
      <c r="I35" s="1" t="s">
        <v>302</v>
      </c>
      <c r="J35" s="46" t="s">
        <v>303</v>
      </c>
      <c r="K35" s="3" t="s">
        <v>218</v>
      </c>
      <c r="L35" s="3" t="s">
        <v>219</v>
      </c>
      <c r="M35" s="1" t="s">
        <v>304</v>
      </c>
      <c r="N35" s="56" t="s">
        <v>299</v>
      </c>
      <c r="O35" s="3" t="s">
        <v>305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9.5" customHeight="1" spans="1:26">
      <c r="A36" s="26" t="s">
        <v>150</v>
      </c>
      <c r="B36" s="3" t="s">
        <v>151</v>
      </c>
      <c r="C36" s="3" t="str">
        <f t="shared" si="0"/>
        <v>BTN2.2</v>
      </c>
      <c r="D36" s="3" t="s">
        <v>25</v>
      </c>
      <c r="E36" s="3" t="s">
        <v>64</v>
      </c>
      <c r="F36" s="3" t="s">
        <v>205</v>
      </c>
      <c r="G36" s="2">
        <v>57</v>
      </c>
      <c r="H36" s="2">
        <v>5</v>
      </c>
      <c r="I36" s="1" t="s">
        <v>306</v>
      </c>
      <c r="J36" s="1"/>
      <c r="K36" s="3" t="s">
        <v>37</v>
      </c>
      <c r="L36" s="3" t="s">
        <v>37</v>
      </c>
      <c r="M36" s="1" t="s">
        <v>307</v>
      </c>
      <c r="N36" s="56" t="s">
        <v>299</v>
      </c>
      <c r="O36" s="3" t="s">
        <v>224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9.5" customHeight="1" spans="1:26">
      <c r="A37" s="28" t="s">
        <v>62</v>
      </c>
      <c r="B37" s="3" t="s">
        <v>63</v>
      </c>
      <c r="C37" s="3" t="str">
        <f t="shared" si="0"/>
        <v>BTN2.2</v>
      </c>
      <c r="D37" s="3" t="s">
        <v>25</v>
      </c>
      <c r="E37" s="3" t="s">
        <v>64</v>
      </c>
      <c r="F37" s="3" t="s">
        <v>205</v>
      </c>
      <c r="G37" s="2">
        <v>69</v>
      </c>
      <c r="H37" s="2">
        <v>5.2</v>
      </c>
      <c r="I37" s="1" t="s">
        <v>308</v>
      </c>
      <c r="J37" s="1"/>
      <c r="K37" s="3" t="s">
        <v>37</v>
      </c>
      <c r="L37" s="3" t="s">
        <v>37</v>
      </c>
      <c r="M37" s="1" t="s">
        <v>309</v>
      </c>
      <c r="N37" s="56" t="s">
        <v>299</v>
      </c>
      <c r="O37" s="3" t="s">
        <v>224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9.5" customHeight="1" spans="1:26">
      <c r="A38" s="28" t="s">
        <v>50</v>
      </c>
      <c r="B38" s="3" t="s">
        <v>51</v>
      </c>
      <c r="C38" s="3" t="str">
        <f t="shared" si="0"/>
        <v>BTN2.1</v>
      </c>
      <c r="D38" s="3" t="s">
        <v>25</v>
      </c>
      <c r="E38" s="3" t="s">
        <v>24</v>
      </c>
      <c r="F38" s="3" t="s">
        <v>205</v>
      </c>
      <c r="G38" s="2">
        <v>74</v>
      </c>
      <c r="H38" s="2">
        <v>5.4</v>
      </c>
      <c r="I38" s="1" t="s">
        <v>310</v>
      </c>
      <c r="J38" s="1"/>
      <c r="K38" s="3" t="s">
        <v>37</v>
      </c>
      <c r="L38" s="3" t="s">
        <v>37</v>
      </c>
      <c r="M38" s="1" t="s">
        <v>311</v>
      </c>
      <c r="N38" s="56" t="s">
        <v>299</v>
      </c>
      <c r="O38" s="3" t="s">
        <v>224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9.5" customHeight="1" spans="1:26">
      <c r="A39" s="8" t="s">
        <v>96</v>
      </c>
      <c r="B39" s="3" t="s">
        <v>97</v>
      </c>
      <c r="C39" s="3" t="str">
        <f t="shared" si="0"/>
        <v>BTN2.2</v>
      </c>
      <c r="D39" s="3" t="s">
        <v>25</v>
      </c>
      <c r="E39" s="3" t="s">
        <v>64</v>
      </c>
      <c r="F39" s="3" t="s">
        <v>205</v>
      </c>
      <c r="G39" s="2">
        <v>82</v>
      </c>
      <c r="H39" s="2">
        <v>5.3</v>
      </c>
      <c r="I39" s="1" t="s">
        <v>312</v>
      </c>
      <c r="J39" s="1" t="s">
        <v>236</v>
      </c>
      <c r="K39" s="3" t="s">
        <v>37</v>
      </c>
      <c r="L39" s="3" t="s">
        <v>37</v>
      </c>
      <c r="M39" s="1" t="s">
        <v>313</v>
      </c>
      <c r="N39" s="56" t="s">
        <v>299</v>
      </c>
      <c r="O39" s="3" t="s">
        <v>224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9.5" customHeight="1" spans="1:26">
      <c r="A40" s="9" t="s">
        <v>93</v>
      </c>
      <c r="B40" s="10" t="s">
        <v>94</v>
      </c>
      <c r="C40" s="10" t="str">
        <f t="shared" si="0"/>
        <v>BTN2.2</v>
      </c>
      <c r="D40" s="10" t="s">
        <v>25</v>
      </c>
      <c r="E40" s="10" t="s">
        <v>64</v>
      </c>
      <c r="F40" s="10" t="s">
        <v>205</v>
      </c>
      <c r="G40" s="11">
        <v>92</v>
      </c>
      <c r="H40" s="11">
        <v>4.9</v>
      </c>
      <c r="I40" s="41" t="s">
        <v>314</v>
      </c>
      <c r="J40" s="41" t="s">
        <v>315</v>
      </c>
      <c r="K40" s="10" t="s">
        <v>37</v>
      </c>
      <c r="L40" s="10" t="s">
        <v>37</v>
      </c>
      <c r="M40" s="41" t="s">
        <v>316</v>
      </c>
      <c r="N40" s="57" t="s">
        <v>299</v>
      </c>
      <c r="O40" s="3" t="s">
        <v>224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9.5" customHeight="1" spans="1:26">
      <c r="A41" s="29" t="s">
        <v>165</v>
      </c>
      <c r="B41" s="6" t="s">
        <v>166</v>
      </c>
      <c r="C41" s="6" t="str">
        <f t="shared" si="0"/>
        <v>BTN2.1</v>
      </c>
      <c r="D41" s="6" t="s">
        <v>25</v>
      </c>
      <c r="E41" s="6" t="s">
        <v>24</v>
      </c>
      <c r="F41" s="6" t="s">
        <v>205</v>
      </c>
      <c r="G41" s="7">
        <v>45</v>
      </c>
      <c r="H41" s="7">
        <v>4.9</v>
      </c>
      <c r="I41" s="38" t="s">
        <v>317</v>
      </c>
      <c r="J41" s="38" t="s">
        <v>318</v>
      </c>
      <c r="K41" s="6" t="s">
        <v>26</v>
      </c>
      <c r="L41" s="6" t="s">
        <v>26</v>
      </c>
      <c r="M41" s="38" t="s">
        <v>319</v>
      </c>
      <c r="N41" s="58" t="s">
        <v>320</v>
      </c>
      <c r="O41" s="3" t="s">
        <v>224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9.5" customHeight="1" spans="1:26">
      <c r="A42" s="30" t="s">
        <v>47</v>
      </c>
      <c r="B42" s="3" t="s">
        <v>48</v>
      </c>
      <c r="C42" s="3" t="str">
        <f t="shared" si="0"/>
        <v>BTN2.1</v>
      </c>
      <c r="D42" s="3" t="s">
        <v>25</v>
      </c>
      <c r="E42" s="3" t="s">
        <v>24</v>
      </c>
      <c r="F42" s="3" t="s">
        <v>205</v>
      </c>
      <c r="G42" s="2">
        <v>58</v>
      </c>
      <c r="H42" s="2">
        <v>5.4</v>
      </c>
      <c r="I42" s="1" t="s">
        <v>321</v>
      </c>
      <c r="J42" s="1"/>
      <c r="K42" s="3" t="s">
        <v>26</v>
      </c>
      <c r="L42" s="3" t="s">
        <v>26</v>
      </c>
      <c r="M42" s="1" t="s">
        <v>322</v>
      </c>
      <c r="N42" s="59" t="s">
        <v>320</v>
      </c>
      <c r="O42" s="3" t="s">
        <v>224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9.5" customHeight="1" spans="1:26">
      <c r="A43" s="30" t="s">
        <v>72</v>
      </c>
      <c r="B43" s="3" t="s">
        <v>73</v>
      </c>
      <c r="C43" s="3" t="str">
        <f t="shared" si="0"/>
        <v>BTN2.1</v>
      </c>
      <c r="D43" s="3" t="s">
        <v>25</v>
      </c>
      <c r="E43" s="3" t="s">
        <v>24</v>
      </c>
      <c r="F43" s="3" t="s">
        <v>205</v>
      </c>
      <c r="G43" s="2">
        <v>67</v>
      </c>
      <c r="H43" s="2">
        <v>5.4</v>
      </c>
      <c r="I43" s="1" t="s">
        <v>323</v>
      </c>
      <c r="J43" s="1"/>
      <c r="K43" s="3" t="s">
        <v>26</v>
      </c>
      <c r="L43" s="3" t="s">
        <v>26</v>
      </c>
      <c r="M43" s="1" t="s">
        <v>324</v>
      </c>
      <c r="N43" s="59" t="s">
        <v>320</v>
      </c>
      <c r="O43" s="3" t="s">
        <v>224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9.5" customHeight="1" spans="1:26">
      <c r="A44" s="31" t="s">
        <v>22</v>
      </c>
      <c r="B44" s="10" t="s">
        <v>23</v>
      </c>
      <c r="C44" s="10" t="str">
        <f t="shared" si="0"/>
        <v>BTN2.1</v>
      </c>
      <c r="D44" s="10" t="s">
        <v>25</v>
      </c>
      <c r="E44" s="10" t="s">
        <v>24</v>
      </c>
      <c r="F44" s="10" t="s">
        <v>205</v>
      </c>
      <c r="G44" s="11">
        <v>90</v>
      </c>
      <c r="H44" s="11">
        <v>5.2</v>
      </c>
      <c r="I44" s="41" t="s">
        <v>325</v>
      </c>
      <c r="J44" s="41"/>
      <c r="K44" s="10" t="s">
        <v>26</v>
      </c>
      <c r="L44" s="10" t="s">
        <v>26</v>
      </c>
      <c r="M44" s="41" t="s">
        <v>326</v>
      </c>
      <c r="N44" s="60" t="s">
        <v>320</v>
      </c>
      <c r="O44" s="3" t="s">
        <v>224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9.5" hidden="1" customHeight="1" spans="1:26">
      <c r="A45" s="19" t="s">
        <v>327</v>
      </c>
      <c r="B45" s="19" t="s">
        <v>328</v>
      </c>
      <c r="C45" s="19" t="str">
        <f t="shared" si="0"/>
        <v>BTN2.1</v>
      </c>
      <c r="D45" s="19" t="s">
        <v>25</v>
      </c>
      <c r="E45" s="19" t="s">
        <v>24</v>
      </c>
      <c r="F45" s="19" t="s">
        <v>205</v>
      </c>
      <c r="G45" s="32">
        <v>24</v>
      </c>
      <c r="H45" s="32">
        <v>5.4</v>
      </c>
      <c r="I45" s="49" t="s">
        <v>329</v>
      </c>
      <c r="J45" s="49"/>
      <c r="K45" s="19" t="s">
        <v>219</v>
      </c>
      <c r="L45" s="19" t="s">
        <v>219</v>
      </c>
      <c r="M45" s="49" t="s">
        <v>330</v>
      </c>
      <c r="N45" s="61" t="s">
        <v>331</v>
      </c>
      <c r="O45" s="3" t="s">
        <v>224</v>
      </c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ht="19.5" hidden="1" customHeight="1" spans="1:26">
      <c r="A46" s="19" t="s">
        <v>332</v>
      </c>
      <c r="B46" s="19" t="s">
        <v>333</v>
      </c>
      <c r="C46" s="19" t="str">
        <f t="shared" si="0"/>
        <v>BTN2.1</v>
      </c>
      <c r="D46" s="19" t="s">
        <v>25</v>
      </c>
      <c r="E46" s="19" t="s">
        <v>24</v>
      </c>
      <c r="F46" s="19" t="s">
        <v>205</v>
      </c>
      <c r="G46" s="32">
        <v>24</v>
      </c>
      <c r="H46" s="32">
        <v>5.1</v>
      </c>
      <c r="I46" s="49" t="s">
        <v>235</v>
      </c>
      <c r="J46" s="49"/>
      <c r="K46" s="19" t="s">
        <v>219</v>
      </c>
      <c r="L46" s="19" t="s">
        <v>219</v>
      </c>
      <c r="M46" s="49" t="s">
        <v>334</v>
      </c>
      <c r="N46" s="61" t="s">
        <v>331</v>
      </c>
      <c r="O46" s="3" t="s">
        <v>224</v>
      </c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ht="19.5" customHeight="1" spans="1:26">
      <c r="A47" s="33" t="s">
        <v>162</v>
      </c>
      <c r="B47" s="6" t="s">
        <v>163</v>
      </c>
      <c r="C47" s="6" t="str">
        <f t="shared" si="0"/>
        <v>BTN2.1</v>
      </c>
      <c r="D47" s="6" t="s">
        <v>25</v>
      </c>
      <c r="E47" s="6" t="s">
        <v>24</v>
      </c>
      <c r="F47" s="6" t="s">
        <v>205</v>
      </c>
      <c r="G47" s="7">
        <v>60</v>
      </c>
      <c r="H47" s="7">
        <v>4.5</v>
      </c>
      <c r="I47" s="38" t="s">
        <v>235</v>
      </c>
      <c r="J47" s="38" t="s">
        <v>236</v>
      </c>
      <c r="K47" s="6" t="s">
        <v>219</v>
      </c>
      <c r="L47" s="6" t="s">
        <v>219</v>
      </c>
      <c r="M47" s="38" t="s">
        <v>335</v>
      </c>
      <c r="N47" s="62" t="s">
        <v>331</v>
      </c>
      <c r="O47" s="3" t="s">
        <v>224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9.5" customHeight="1" spans="1:26">
      <c r="A48" s="23" t="s">
        <v>336</v>
      </c>
      <c r="B48" s="3" t="s">
        <v>337</v>
      </c>
      <c r="C48" s="3" t="str">
        <f t="shared" si="0"/>
        <v>BTN2.2</v>
      </c>
      <c r="D48" s="3" t="s">
        <v>25</v>
      </c>
      <c r="E48" s="3" t="s">
        <v>64</v>
      </c>
      <c r="F48" s="3" t="s">
        <v>205</v>
      </c>
      <c r="G48" s="2">
        <v>71</v>
      </c>
      <c r="H48" s="2">
        <v>5.3</v>
      </c>
      <c r="I48" s="1" t="s">
        <v>338</v>
      </c>
      <c r="J48" s="1"/>
      <c r="K48" s="3" t="s">
        <v>219</v>
      </c>
      <c r="L48" s="3" t="s">
        <v>219</v>
      </c>
      <c r="M48" s="1" t="s">
        <v>339</v>
      </c>
      <c r="N48" s="63" t="s">
        <v>331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9.5" customHeight="1" spans="1:26">
      <c r="A49" s="23" t="s">
        <v>340</v>
      </c>
      <c r="B49" s="3" t="s">
        <v>341</v>
      </c>
      <c r="C49" s="3" t="str">
        <f t="shared" si="0"/>
        <v>BTN2.1</v>
      </c>
      <c r="D49" s="3" t="s">
        <v>25</v>
      </c>
      <c r="E49" s="3" t="s">
        <v>24</v>
      </c>
      <c r="F49" s="3" t="s">
        <v>205</v>
      </c>
      <c r="G49" s="2">
        <v>73</v>
      </c>
      <c r="H49" s="2">
        <v>5.5</v>
      </c>
      <c r="I49" s="1" t="s">
        <v>342</v>
      </c>
      <c r="J49" s="1"/>
      <c r="K49" s="3" t="s">
        <v>219</v>
      </c>
      <c r="L49" s="3" t="s">
        <v>219</v>
      </c>
      <c r="M49" s="1" t="s">
        <v>343</v>
      </c>
      <c r="N49" s="63" t="s">
        <v>331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9.5" customHeight="1" spans="1:26">
      <c r="A50" s="23" t="s">
        <v>344</v>
      </c>
      <c r="B50" s="3" t="s">
        <v>345</v>
      </c>
      <c r="C50" s="3" t="str">
        <f t="shared" si="0"/>
        <v>BTN2.1</v>
      </c>
      <c r="D50" s="3" t="s">
        <v>25</v>
      </c>
      <c r="E50" s="3" t="s">
        <v>24</v>
      </c>
      <c r="F50" s="3" t="s">
        <v>205</v>
      </c>
      <c r="G50" s="2">
        <v>79</v>
      </c>
      <c r="H50" s="2">
        <v>5</v>
      </c>
      <c r="I50" s="1" t="s">
        <v>346</v>
      </c>
      <c r="J50" s="1"/>
      <c r="K50" s="3" t="s">
        <v>219</v>
      </c>
      <c r="L50" s="3" t="s">
        <v>219</v>
      </c>
      <c r="M50" s="1" t="s">
        <v>347</v>
      </c>
      <c r="N50" s="63" t="s">
        <v>331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9.5" customHeight="1" spans="1:26">
      <c r="A51" s="23" t="s">
        <v>348</v>
      </c>
      <c r="B51" s="3" t="s">
        <v>349</v>
      </c>
      <c r="C51" s="3" t="str">
        <f t="shared" si="0"/>
        <v>BTN2.1</v>
      </c>
      <c r="D51" s="3" t="s">
        <v>25</v>
      </c>
      <c r="E51" s="3" t="s">
        <v>24</v>
      </c>
      <c r="F51" s="3" t="s">
        <v>205</v>
      </c>
      <c r="G51" s="2">
        <v>80</v>
      </c>
      <c r="H51" s="2">
        <v>5.8</v>
      </c>
      <c r="I51" s="1" t="s">
        <v>350</v>
      </c>
      <c r="J51" s="1"/>
      <c r="K51" s="3" t="s">
        <v>219</v>
      </c>
      <c r="L51" s="3" t="s">
        <v>219</v>
      </c>
      <c r="M51" s="1" t="s">
        <v>351</v>
      </c>
      <c r="N51" s="63" t="s">
        <v>331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9.5" customHeight="1" spans="1:26">
      <c r="A52" s="23" t="s">
        <v>352</v>
      </c>
      <c r="B52" s="3" t="s">
        <v>353</v>
      </c>
      <c r="C52" s="3" t="str">
        <f t="shared" si="0"/>
        <v>BTN2.2</v>
      </c>
      <c r="D52" s="3" t="s">
        <v>25</v>
      </c>
      <c r="E52" s="3" t="s">
        <v>64</v>
      </c>
      <c r="F52" s="3" t="s">
        <v>205</v>
      </c>
      <c r="G52" s="34">
        <v>80</v>
      </c>
      <c r="H52" s="2">
        <v>4.9</v>
      </c>
      <c r="I52" s="1" t="s">
        <v>354</v>
      </c>
      <c r="J52" s="1"/>
      <c r="K52" s="3" t="s">
        <v>219</v>
      </c>
      <c r="L52" s="3" t="s">
        <v>219</v>
      </c>
      <c r="M52" s="1" t="s">
        <v>355</v>
      </c>
      <c r="N52" s="63" t="s">
        <v>331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9.5" customHeight="1" spans="1:26">
      <c r="A53" s="16" t="s">
        <v>159</v>
      </c>
      <c r="B53" s="3" t="s">
        <v>160</v>
      </c>
      <c r="C53" s="3" t="str">
        <f t="shared" si="0"/>
        <v>BTN2.1</v>
      </c>
      <c r="D53" s="3" t="s">
        <v>25</v>
      </c>
      <c r="E53" s="3" t="s">
        <v>24</v>
      </c>
      <c r="F53" s="3" t="s">
        <v>205</v>
      </c>
      <c r="G53" s="2">
        <v>89</v>
      </c>
      <c r="H53" s="2">
        <v>4.7</v>
      </c>
      <c r="I53" s="1" t="s">
        <v>356</v>
      </c>
      <c r="J53" s="1"/>
      <c r="K53" s="3" t="s">
        <v>219</v>
      </c>
      <c r="L53" s="3" t="s">
        <v>219</v>
      </c>
      <c r="M53" s="1" t="s">
        <v>357</v>
      </c>
      <c r="N53" s="63" t="s">
        <v>331</v>
      </c>
      <c r="O53" s="3" t="s">
        <v>224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9.5" customHeight="1" spans="1:26">
      <c r="A54" s="23" t="s">
        <v>358</v>
      </c>
      <c r="B54" s="3" t="s">
        <v>359</v>
      </c>
      <c r="C54" s="3" t="str">
        <f t="shared" si="0"/>
        <v>BTN2.2</v>
      </c>
      <c r="D54" s="3" t="s">
        <v>25</v>
      </c>
      <c r="E54" s="3" t="s">
        <v>64</v>
      </c>
      <c r="F54" s="3" t="s">
        <v>205</v>
      </c>
      <c r="G54" s="2">
        <v>90</v>
      </c>
      <c r="H54" s="2" t="s">
        <v>194</v>
      </c>
      <c r="I54" s="1" t="s">
        <v>360</v>
      </c>
      <c r="J54" s="1" t="s">
        <v>361</v>
      </c>
      <c r="K54" s="3" t="s">
        <v>219</v>
      </c>
      <c r="L54" s="3" t="s">
        <v>219</v>
      </c>
      <c r="M54" s="1" t="s">
        <v>362</v>
      </c>
      <c r="N54" s="63" t="s">
        <v>331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9.5" customHeight="1" spans="1:26">
      <c r="A55" s="23" t="s">
        <v>171</v>
      </c>
      <c r="B55" s="3" t="s">
        <v>172</v>
      </c>
      <c r="C55" s="3" t="str">
        <f t="shared" si="0"/>
        <v>BTN2.1</v>
      </c>
      <c r="D55" s="3" t="s">
        <v>25</v>
      </c>
      <c r="E55" s="3" t="s">
        <v>24</v>
      </c>
      <c r="F55" s="3" t="s">
        <v>205</v>
      </c>
      <c r="G55" s="2">
        <v>92</v>
      </c>
      <c r="H55" s="2">
        <v>5.1</v>
      </c>
      <c r="I55" s="1" t="s">
        <v>363</v>
      </c>
      <c r="J55" s="1"/>
      <c r="K55" s="3" t="s">
        <v>219</v>
      </c>
      <c r="L55" s="3" t="s">
        <v>219</v>
      </c>
      <c r="M55" s="1" t="s">
        <v>364</v>
      </c>
      <c r="N55" s="63" t="s">
        <v>331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9.5" customHeight="1" spans="1:26">
      <c r="A56" s="23" t="s">
        <v>365</v>
      </c>
      <c r="B56" s="3" t="s">
        <v>366</v>
      </c>
      <c r="C56" s="3" t="str">
        <f t="shared" si="0"/>
        <v>BTN2.1</v>
      </c>
      <c r="D56" s="3" t="s">
        <v>25</v>
      </c>
      <c r="E56" s="3" t="s">
        <v>24</v>
      </c>
      <c r="F56" s="3" t="s">
        <v>205</v>
      </c>
      <c r="G56" s="2">
        <v>93</v>
      </c>
      <c r="H56" s="2">
        <v>5.6</v>
      </c>
      <c r="I56" s="1" t="s">
        <v>367</v>
      </c>
      <c r="J56" s="1"/>
      <c r="K56" s="3" t="s">
        <v>219</v>
      </c>
      <c r="L56" s="3" t="s">
        <v>219</v>
      </c>
      <c r="M56" s="1" t="s">
        <v>368</v>
      </c>
      <c r="N56" s="63" t="s">
        <v>331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9.5" customHeight="1" spans="1:26">
      <c r="A57" s="23" t="s">
        <v>369</v>
      </c>
      <c r="B57" s="3" t="s">
        <v>370</v>
      </c>
      <c r="C57" s="3" t="str">
        <f t="shared" si="0"/>
        <v>BTN2.1</v>
      </c>
      <c r="D57" s="3" t="s">
        <v>25</v>
      </c>
      <c r="E57" s="3" t="s">
        <v>24</v>
      </c>
      <c r="F57" s="3" t="s">
        <v>205</v>
      </c>
      <c r="G57" s="2">
        <v>99</v>
      </c>
      <c r="H57" s="2" t="s">
        <v>194</v>
      </c>
      <c r="I57" s="1" t="s">
        <v>371</v>
      </c>
      <c r="J57" s="1" t="s">
        <v>372</v>
      </c>
      <c r="K57" s="3" t="s">
        <v>219</v>
      </c>
      <c r="L57" s="3" t="s">
        <v>219</v>
      </c>
      <c r="M57" s="1" t="s">
        <v>373</v>
      </c>
      <c r="N57" s="63" t="s">
        <v>331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9.5" customHeight="1" spans="1:26">
      <c r="A58" s="22" t="s">
        <v>374</v>
      </c>
      <c r="B58" s="3" t="s">
        <v>375</v>
      </c>
      <c r="C58" s="3" t="str">
        <f t="shared" si="0"/>
        <v>BTN2.1</v>
      </c>
      <c r="D58" s="3" t="s">
        <v>25</v>
      </c>
      <c r="E58" s="3" t="s">
        <v>24</v>
      </c>
      <c r="F58" s="3" t="s">
        <v>205</v>
      </c>
      <c r="G58" s="2">
        <v>64</v>
      </c>
      <c r="H58" s="2">
        <v>6</v>
      </c>
      <c r="I58" s="1" t="s">
        <v>376</v>
      </c>
      <c r="J58" s="1"/>
      <c r="K58" s="3" t="s">
        <v>218</v>
      </c>
      <c r="L58" s="3" t="s">
        <v>219</v>
      </c>
      <c r="M58" s="1" t="s">
        <v>377</v>
      </c>
      <c r="N58" s="63" t="s">
        <v>331</v>
      </c>
      <c r="O58" s="103" t="s">
        <v>270</v>
      </c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9.5" customHeight="1" spans="1:26">
      <c r="A59" s="14" t="s">
        <v>147</v>
      </c>
      <c r="B59" s="3" t="s">
        <v>148</v>
      </c>
      <c r="C59" s="3" t="str">
        <f t="shared" si="0"/>
        <v>BTN2.2</v>
      </c>
      <c r="D59" s="3" t="s">
        <v>25</v>
      </c>
      <c r="E59" s="3" t="s">
        <v>64</v>
      </c>
      <c r="F59" s="3" t="s">
        <v>205</v>
      </c>
      <c r="G59" s="2">
        <v>75</v>
      </c>
      <c r="H59" s="2">
        <v>4.8</v>
      </c>
      <c r="I59" s="1" t="s">
        <v>378</v>
      </c>
      <c r="J59" s="1"/>
      <c r="K59" s="3" t="s">
        <v>218</v>
      </c>
      <c r="L59" s="3" t="s">
        <v>219</v>
      </c>
      <c r="M59" s="1" t="s">
        <v>379</v>
      </c>
      <c r="N59" s="63" t="s">
        <v>331</v>
      </c>
      <c r="O59" s="3" t="s">
        <v>224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9.5" customHeight="1" spans="1:26">
      <c r="A60" s="14" t="s">
        <v>143</v>
      </c>
      <c r="B60" s="3" t="s">
        <v>144</v>
      </c>
      <c r="C60" s="3" t="str">
        <f t="shared" si="0"/>
        <v>BTN2.2</v>
      </c>
      <c r="D60" s="3" t="s">
        <v>25</v>
      </c>
      <c r="E60" s="3" t="s">
        <v>64</v>
      </c>
      <c r="F60" s="3" t="s">
        <v>205</v>
      </c>
      <c r="G60" s="2">
        <v>96</v>
      </c>
      <c r="H60" s="2">
        <v>4.4</v>
      </c>
      <c r="I60" s="1" t="s">
        <v>380</v>
      </c>
      <c r="J60" s="1"/>
      <c r="K60" s="3" t="s">
        <v>381</v>
      </c>
      <c r="L60" s="3" t="s">
        <v>219</v>
      </c>
      <c r="M60" s="1" t="s">
        <v>382</v>
      </c>
      <c r="N60" s="63" t="s">
        <v>331</v>
      </c>
      <c r="O60" s="3" t="s">
        <v>224</v>
      </c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9.5" customHeight="1" spans="1:26">
      <c r="A61" s="35" t="s">
        <v>383</v>
      </c>
      <c r="B61" s="3" t="s">
        <v>384</v>
      </c>
      <c r="C61" s="3" t="str">
        <f t="shared" si="0"/>
        <v>BTN2.1</v>
      </c>
      <c r="D61" s="3" t="s">
        <v>25</v>
      </c>
      <c r="E61" s="3" t="s">
        <v>24</v>
      </c>
      <c r="F61" s="3" t="s">
        <v>205</v>
      </c>
      <c r="G61" s="2">
        <v>20</v>
      </c>
      <c r="H61" s="2">
        <v>5.9</v>
      </c>
      <c r="I61" s="1" t="s">
        <v>385</v>
      </c>
      <c r="J61" s="1"/>
      <c r="K61" s="3" t="s">
        <v>218</v>
      </c>
      <c r="L61" s="3" t="s">
        <v>219</v>
      </c>
      <c r="M61" s="1" t="s">
        <v>386</v>
      </c>
      <c r="N61" s="63" t="s">
        <v>331</v>
      </c>
      <c r="O61" s="45" t="s">
        <v>387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9.5" customHeight="1" spans="1:26">
      <c r="A62" s="35" t="s">
        <v>388</v>
      </c>
      <c r="B62" s="3" t="s">
        <v>389</v>
      </c>
      <c r="C62" s="3" t="str">
        <f t="shared" si="0"/>
        <v>BTN2.1</v>
      </c>
      <c r="D62" s="3" t="s">
        <v>25</v>
      </c>
      <c r="E62" s="3" t="s">
        <v>24</v>
      </c>
      <c r="F62" s="3" t="s">
        <v>205</v>
      </c>
      <c r="G62" s="2">
        <v>37</v>
      </c>
      <c r="H62" s="2">
        <v>4.8</v>
      </c>
      <c r="I62" s="1" t="s">
        <v>390</v>
      </c>
      <c r="J62" s="1"/>
      <c r="K62" s="3"/>
      <c r="L62" s="3" t="s">
        <v>219</v>
      </c>
      <c r="M62" s="1" t="s">
        <v>391</v>
      </c>
      <c r="N62" s="63" t="s">
        <v>331</v>
      </c>
      <c r="O62" s="45" t="s">
        <v>387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9.5" customHeight="1" spans="1:26">
      <c r="A63" s="23" t="s">
        <v>392</v>
      </c>
      <c r="B63" s="3" t="s">
        <v>393</v>
      </c>
      <c r="C63" s="3" t="str">
        <f t="shared" si="0"/>
        <v>BTN2.2</v>
      </c>
      <c r="D63" s="3" t="s">
        <v>25</v>
      </c>
      <c r="E63" s="3" t="s">
        <v>64</v>
      </c>
      <c r="F63" s="3" t="s">
        <v>205</v>
      </c>
      <c r="G63" s="2">
        <v>67</v>
      </c>
      <c r="H63" s="2">
        <v>5.6</v>
      </c>
      <c r="I63" s="1" t="s">
        <v>394</v>
      </c>
      <c r="J63" s="1" t="s">
        <v>395</v>
      </c>
      <c r="K63" s="3"/>
      <c r="L63" s="3" t="s">
        <v>219</v>
      </c>
      <c r="M63" s="1" t="s">
        <v>396</v>
      </c>
      <c r="N63" s="63" t="s">
        <v>331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9.5" customHeight="1" spans="1:26">
      <c r="A64" s="24" t="s">
        <v>397</v>
      </c>
      <c r="B64" s="10" t="s">
        <v>398</v>
      </c>
      <c r="C64" s="10" t="str">
        <f t="shared" si="0"/>
        <v>BTN2.2</v>
      </c>
      <c r="D64" s="10" t="s">
        <v>25</v>
      </c>
      <c r="E64" s="10" t="s">
        <v>64</v>
      </c>
      <c r="F64" s="10" t="s">
        <v>205</v>
      </c>
      <c r="G64" s="11">
        <v>86</v>
      </c>
      <c r="H64" s="11">
        <v>4.2</v>
      </c>
      <c r="I64" s="41" t="s">
        <v>399</v>
      </c>
      <c r="J64" s="41"/>
      <c r="K64" s="10"/>
      <c r="L64" s="10" t="s">
        <v>219</v>
      </c>
      <c r="M64" s="41"/>
      <c r="N64" s="65" t="s">
        <v>331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9.5" customHeight="1" spans="1:26">
      <c r="A65" s="66" t="s">
        <v>65</v>
      </c>
      <c r="B65" s="6" t="s">
        <v>66</v>
      </c>
      <c r="C65" s="6" t="str">
        <f t="shared" si="0"/>
        <v>no</v>
      </c>
      <c r="D65" s="6" t="s">
        <v>67</v>
      </c>
      <c r="E65" s="6" t="s">
        <v>67</v>
      </c>
      <c r="F65" s="6" t="s">
        <v>67</v>
      </c>
      <c r="G65" s="67">
        <v>0</v>
      </c>
      <c r="H65" s="67"/>
      <c r="I65" s="38" t="s">
        <v>400</v>
      </c>
      <c r="J65" s="38"/>
      <c r="K65" s="6" t="s">
        <v>37</v>
      </c>
      <c r="L65" s="6" t="s">
        <v>37</v>
      </c>
      <c r="M65" s="38" t="s">
        <v>401</v>
      </c>
      <c r="N65" s="77" t="s">
        <v>402</v>
      </c>
      <c r="O65" s="3" t="s">
        <v>224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9.5" customHeight="1" spans="1:26">
      <c r="A66" s="68" t="s">
        <v>133</v>
      </c>
      <c r="B66" s="3" t="s">
        <v>134</v>
      </c>
      <c r="C66" s="3" t="s">
        <v>403</v>
      </c>
      <c r="D66" s="69" t="s">
        <v>67</v>
      </c>
      <c r="E66" s="3" t="s">
        <v>195</v>
      </c>
      <c r="F66" s="3" t="s">
        <v>205</v>
      </c>
      <c r="G66" s="4">
        <v>0</v>
      </c>
      <c r="H66" s="4"/>
      <c r="I66" s="1" t="s">
        <v>404</v>
      </c>
      <c r="J66" s="1"/>
      <c r="K66" s="3" t="s">
        <v>37</v>
      </c>
      <c r="L66" s="3" t="s">
        <v>37</v>
      </c>
      <c r="M66" s="1" t="s">
        <v>405</v>
      </c>
      <c r="N66" s="78" t="s">
        <v>402</v>
      </c>
      <c r="O66" s="3" t="s">
        <v>406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9.5" customHeight="1" spans="1:26">
      <c r="A67" s="70" t="s">
        <v>111</v>
      </c>
      <c r="B67" s="3" t="s">
        <v>112</v>
      </c>
      <c r="C67" s="3" t="s">
        <v>194</v>
      </c>
      <c r="D67" s="3" t="s">
        <v>67</v>
      </c>
      <c r="E67" s="3" t="s">
        <v>195</v>
      </c>
      <c r="F67" s="3" t="s">
        <v>67</v>
      </c>
      <c r="G67" s="4">
        <v>0</v>
      </c>
      <c r="H67" s="4"/>
      <c r="I67" s="1" t="s">
        <v>407</v>
      </c>
      <c r="J67" s="1"/>
      <c r="K67" s="3" t="s">
        <v>37</v>
      </c>
      <c r="L67" s="3" t="s">
        <v>37</v>
      </c>
      <c r="M67" s="1" t="s">
        <v>408</v>
      </c>
      <c r="N67" s="78" t="s">
        <v>402</v>
      </c>
      <c r="O67" s="3" t="s">
        <v>224</v>
      </c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9.5" customHeight="1" spans="1:26">
      <c r="A68" s="70" t="s">
        <v>90</v>
      </c>
      <c r="B68" s="3" t="s">
        <v>91</v>
      </c>
      <c r="C68" s="3" t="s">
        <v>194</v>
      </c>
      <c r="D68" s="3" t="s">
        <v>67</v>
      </c>
      <c r="E68" s="3" t="s">
        <v>195</v>
      </c>
      <c r="F68" s="3" t="s">
        <v>67</v>
      </c>
      <c r="G68" s="4">
        <v>0</v>
      </c>
      <c r="H68" s="4"/>
      <c r="I68" s="1" t="s">
        <v>409</v>
      </c>
      <c r="J68" s="1"/>
      <c r="K68" s="3" t="s">
        <v>37</v>
      </c>
      <c r="L68" s="3" t="s">
        <v>37</v>
      </c>
      <c r="M68" s="1" t="s">
        <v>410</v>
      </c>
      <c r="N68" s="78" t="s">
        <v>402</v>
      </c>
      <c r="O68" s="3" t="s">
        <v>224</v>
      </c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9.5" customHeight="1" spans="1:26">
      <c r="A69" s="70" t="s">
        <v>84</v>
      </c>
      <c r="B69" s="3" t="s">
        <v>85</v>
      </c>
      <c r="C69" s="3" t="s">
        <v>194</v>
      </c>
      <c r="D69" s="3" t="s">
        <v>67</v>
      </c>
      <c r="E69" s="3" t="s">
        <v>195</v>
      </c>
      <c r="F69" s="3" t="s">
        <v>67</v>
      </c>
      <c r="G69" s="4">
        <v>0</v>
      </c>
      <c r="H69" s="4"/>
      <c r="I69" s="1" t="s">
        <v>411</v>
      </c>
      <c r="J69" s="1"/>
      <c r="K69" s="3" t="s">
        <v>37</v>
      </c>
      <c r="L69" s="3" t="s">
        <v>37</v>
      </c>
      <c r="M69" s="1" t="s">
        <v>412</v>
      </c>
      <c r="N69" s="78" t="s">
        <v>402</v>
      </c>
      <c r="O69" s="3" t="s">
        <v>224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9.5" customHeight="1" spans="1:26">
      <c r="A70" s="70" t="s">
        <v>127</v>
      </c>
      <c r="B70" s="3" t="s">
        <v>128</v>
      </c>
      <c r="C70" s="3" t="s">
        <v>194</v>
      </c>
      <c r="D70" s="3" t="s">
        <v>67</v>
      </c>
      <c r="E70" s="3" t="s">
        <v>195</v>
      </c>
      <c r="F70" s="3" t="s">
        <v>67</v>
      </c>
      <c r="G70" s="4">
        <v>0</v>
      </c>
      <c r="H70" s="4"/>
      <c r="I70" s="1" t="s">
        <v>413</v>
      </c>
      <c r="J70" s="1" t="s">
        <v>414</v>
      </c>
      <c r="K70" s="3" t="s">
        <v>37</v>
      </c>
      <c r="L70" s="3" t="s">
        <v>37</v>
      </c>
      <c r="M70" s="1" t="s">
        <v>415</v>
      </c>
      <c r="N70" s="78" t="s">
        <v>402</v>
      </c>
      <c r="O70" s="3" t="s">
        <v>224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9.5" customHeight="1" spans="1:26">
      <c r="A71" s="71" t="s">
        <v>124</v>
      </c>
      <c r="B71" s="10" t="s">
        <v>125</v>
      </c>
      <c r="C71" s="10" t="s">
        <v>194</v>
      </c>
      <c r="D71" s="10" t="s">
        <v>67</v>
      </c>
      <c r="E71" s="10" t="s">
        <v>195</v>
      </c>
      <c r="F71" s="10" t="s">
        <v>67</v>
      </c>
      <c r="G71" s="72">
        <v>0</v>
      </c>
      <c r="H71" s="72"/>
      <c r="I71" s="41" t="s">
        <v>416</v>
      </c>
      <c r="J71" s="41"/>
      <c r="K71" s="10" t="s">
        <v>37</v>
      </c>
      <c r="L71" s="10" t="s">
        <v>37</v>
      </c>
      <c r="M71" s="41" t="s">
        <v>417</v>
      </c>
      <c r="N71" s="79" t="s">
        <v>402</v>
      </c>
      <c r="O71" s="3" t="s">
        <v>224</v>
      </c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9.5" customHeight="1" spans="1:26">
      <c r="A72" s="73" t="s">
        <v>120</v>
      </c>
      <c r="B72" s="6" t="s">
        <v>121</v>
      </c>
      <c r="C72" s="6" t="s">
        <v>403</v>
      </c>
      <c r="D72" s="6" t="s">
        <v>67</v>
      </c>
      <c r="E72" s="6" t="s">
        <v>195</v>
      </c>
      <c r="F72" s="6" t="s">
        <v>205</v>
      </c>
      <c r="G72" s="67">
        <v>0</v>
      </c>
      <c r="H72" s="67"/>
      <c r="I72" s="38" t="s">
        <v>418</v>
      </c>
      <c r="J72" s="38"/>
      <c r="K72" s="6" t="s">
        <v>26</v>
      </c>
      <c r="L72" s="6" t="s">
        <v>26</v>
      </c>
      <c r="M72" s="38" t="s">
        <v>347</v>
      </c>
      <c r="N72" s="80" t="s">
        <v>419</v>
      </c>
      <c r="O72" s="3" t="s">
        <v>420</v>
      </c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9.5" customHeight="1" spans="1:26">
      <c r="A73" s="70" t="s">
        <v>78</v>
      </c>
      <c r="B73" s="3" t="s">
        <v>79</v>
      </c>
      <c r="C73" s="3" t="s">
        <v>194</v>
      </c>
      <c r="D73" s="3" t="s">
        <v>67</v>
      </c>
      <c r="E73" s="3" t="s">
        <v>195</v>
      </c>
      <c r="F73" s="3" t="s">
        <v>67</v>
      </c>
      <c r="G73" s="4">
        <v>0</v>
      </c>
      <c r="H73" s="4"/>
      <c r="I73" s="1" t="s">
        <v>421</v>
      </c>
      <c r="J73" s="1"/>
      <c r="K73" s="3" t="s">
        <v>26</v>
      </c>
      <c r="L73" s="3" t="s">
        <v>26</v>
      </c>
      <c r="M73" s="1" t="s">
        <v>422</v>
      </c>
      <c r="N73" s="81" t="s">
        <v>419</v>
      </c>
      <c r="O73" s="3" t="s">
        <v>224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9.5" customHeight="1" spans="1:26">
      <c r="A74" s="70" t="s">
        <v>117</v>
      </c>
      <c r="B74" s="3" t="s">
        <v>118</v>
      </c>
      <c r="C74" s="3" t="s">
        <v>403</v>
      </c>
      <c r="D74" s="3" t="s">
        <v>67</v>
      </c>
      <c r="E74" s="3" t="s">
        <v>195</v>
      </c>
      <c r="F74" s="3" t="s">
        <v>67</v>
      </c>
      <c r="G74" s="4">
        <v>0</v>
      </c>
      <c r="H74" s="4"/>
      <c r="I74" s="1" t="s">
        <v>423</v>
      </c>
      <c r="J74" s="1" t="s">
        <v>361</v>
      </c>
      <c r="K74" s="3" t="s">
        <v>26</v>
      </c>
      <c r="L74" s="3" t="s">
        <v>26</v>
      </c>
      <c r="M74" s="1" t="s">
        <v>424</v>
      </c>
      <c r="N74" s="81" t="s">
        <v>419</v>
      </c>
      <c r="O74" s="3" t="s">
        <v>224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9.5" customHeight="1" spans="1:26">
      <c r="A75" s="74" t="s">
        <v>425</v>
      </c>
      <c r="B75" s="3" t="s">
        <v>426</v>
      </c>
      <c r="C75" s="3" t="s">
        <v>194</v>
      </c>
      <c r="D75" s="3" t="s">
        <v>67</v>
      </c>
      <c r="E75" s="3" t="s">
        <v>195</v>
      </c>
      <c r="F75" s="3" t="s">
        <v>67</v>
      </c>
      <c r="G75" s="4">
        <v>0</v>
      </c>
      <c r="H75" s="4"/>
      <c r="I75" s="34" t="s">
        <v>235</v>
      </c>
      <c r="J75" s="1" t="s">
        <v>427</v>
      </c>
      <c r="K75" s="3" t="s">
        <v>26</v>
      </c>
      <c r="L75" s="3" t="s">
        <v>26</v>
      </c>
      <c r="M75" s="1" t="s">
        <v>428</v>
      </c>
      <c r="N75" s="81" t="s">
        <v>419</v>
      </c>
      <c r="O75" s="3" t="s">
        <v>429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9.5" customHeight="1" spans="1:26">
      <c r="A76" s="70" t="s">
        <v>99</v>
      </c>
      <c r="B76" s="3" t="s">
        <v>100</v>
      </c>
      <c r="C76" s="3" t="s">
        <v>194</v>
      </c>
      <c r="D76" s="3" t="s">
        <v>67</v>
      </c>
      <c r="E76" s="3" t="s">
        <v>195</v>
      </c>
      <c r="F76" s="3" t="s">
        <v>67</v>
      </c>
      <c r="G76" s="4">
        <v>0</v>
      </c>
      <c r="H76" s="4"/>
      <c r="I76" s="1" t="s">
        <v>235</v>
      </c>
      <c r="J76" s="1" t="s">
        <v>430</v>
      </c>
      <c r="K76" s="3" t="s">
        <v>26</v>
      </c>
      <c r="L76" s="3" t="s">
        <v>26</v>
      </c>
      <c r="M76" s="1" t="s">
        <v>431</v>
      </c>
      <c r="N76" s="81" t="s">
        <v>419</v>
      </c>
      <c r="O76" s="3" t="s">
        <v>224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9.5" customHeight="1" spans="1:26">
      <c r="A77" s="70" t="s">
        <v>114</v>
      </c>
      <c r="B77" s="3" t="s">
        <v>115</v>
      </c>
      <c r="C77" s="3" t="s">
        <v>194</v>
      </c>
      <c r="D77" s="3" t="s">
        <v>67</v>
      </c>
      <c r="E77" s="3" t="s">
        <v>195</v>
      </c>
      <c r="F77" s="3" t="s">
        <v>67</v>
      </c>
      <c r="G77" s="4">
        <v>0</v>
      </c>
      <c r="H77" s="4"/>
      <c r="I77" s="1" t="s">
        <v>432</v>
      </c>
      <c r="J77" s="1"/>
      <c r="K77" s="3" t="s">
        <v>26</v>
      </c>
      <c r="L77" s="3" t="s">
        <v>26</v>
      </c>
      <c r="M77" s="1" t="s">
        <v>433</v>
      </c>
      <c r="N77" s="81" t="s">
        <v>419</v>
      </c>
      <c r="O77" s="3" t="s">
        <v>224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9.5" customHeight="1" spans="1:26">
      <c r="A78" s="70" t="s">
        <v>87</v>
      </c>
      <c r="B78" s="3" t="s">
        <v>88</v>
      </c>
      <c r="C78" s="3" t="s">
        <v>194</v>
      </c>
      <c r="D78" s="3" t="s">
        <v>67</v>
      </c>
      <c r="E78" s="3" t="s">
        <v>195</v>
      </c>
      <c r="F78" s="3" t="s">
        <v>67</v>
      </c>
      <c r="G78" s="4">
        <v>0</v>
      </c>
      <c r="H78" s="4"/>
      <c r="I78" s="1" t="s">
        <v>434</v>
      </c>
      <c r="J78" s="1"/>
      <c r="K78" s="3" t="s">
        <v>26</v>
      </c>
      <c r="L78" s="3" t="s">
        <v>26</v>
      </c>
      <c r="M78" s="1" t="s">
        <v>412</v>
      </c>
      <c r="N78" s="81" t="s">
        <v>419</v>
      </c>
      <c r="O78" s="3" t="s">
        <v>224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9.5" customHeight="1" spans="1:26">
      <c r="A79" s="71" t="s">
        <v>130</v>
      </c>
      <c r="B79" s="10" t="s">
        <v>131</v>
      </c>
      <c r="C79" s="10" t="s">
        <v>403</v>
      </c>
      <c r="D79" s="10" t="s">
        <v>67</v>
      </c>
      <c r="E79" s="10" t="s">
        <v>195</v>
      </c>
      <c r="F79" s="10" t="s">
        <v>67</v>
      </c>
      <c r="G79" s="72">
        <v>0</v>
      </c>
      <c r="H79" s="72"/>
      <c r="I79" s="41" t="s">
        <v>435</v>
      </c>
      <c r="J79" s="41" t="s">
        <v>436</v>
      </c>
      <c r="K79" s="10" t="s">
        <v>26</v>
      </c>
      <c r="L79" s="10" t="s">
        <v>26</v>
      </c>
      <c r="M79" s="82" t="s">
        <v>437</v>
      </c>
      <c r="N79" s="83" t="s">
        <v>419</v>
      </c>
      <c r="O79" s="3" t="s">
        <v>224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9.5" customHeight="1" spans="1:26">
      <c r="A80" s="3" t="s">
        <v>438</v>
      </c>
      <c r="B80" s="3" t="s">
        <v>439</v>
      </c>
      <c r="C80" s="3" t="s">
        <v>194</v>
      </c>
      <c r="D80" s="3" t="s">
        <v>440</v>
      </c>
      <c r="E80" s="3" t="s">
        <v>195</v>
      </c>
      <c r="F80" s="3" t="s">
        <v>67</v>
      </c>
      <c r="G80" s="4"/>
      <c r="H80" s="4"/>
      <c r="I80" s="1" t="s">
        <v>441</v>
      </c>
      <c r="J80" s="1"/>
      <c r="K80" s="3" t="s">
        <v>37</v>
      </c>
      <c r="L80" s="3" t="s">
        <v>37</v>
      </c>
      <c r="M80" s="1" t="s">
        <v>442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9.5" customHeight="1" spans="1:26">
      <c r="A81" s="3" t="s">
        <v>443</v>
      </c>
      <c r="B81" s="3" t="s">
        <v>444</v>
      </c>
      <c r="C81" s="3" t="s">
        <v>440</v>
      </c>
      <c r="D81" s="3" t="s">
        <v>440</v>
      </c>
      <c r="E81" s="3" t="s">
        <v>445</v>
      </c>
      <c r="F81" s="3" t="s">
        <v>205</v>
      </c>
      <c r="G81" s="2">
        <v>87</v>
      </c>
      <c r="H81" s="34">
        <v>6</v>
      </c>
      <c r="I81" s="1" t="s">
        <v>446</v>
      </c>
      <c r="J81" s="1"/>
      <c r="K81" s="3" t="s">
        <v>26</v>
      </c>
      <c r="L81" s="3" t="s">
        <v>26</v>
      </c>
      <c r="M81" s="1" t="s">
        <v>447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9.5" customHeight="1" spans="1:26">
      <c r="A82" s="3" t="s">
        <v>448</v>
      </c>
      <c r="B82" s="3" t="s">
        <v>449</v>
      </c>
      <c r="C82" s="3" t="s">
        <v>403</v>
      </c>
      <c r="D82" s="3" t="s">
        <v>440</v>
      </c>
      <c r="E82" s="3" t="s">
        <v>195</v>
      </c>
      <c r="F82" s="3" t="s">
        <v>205</v>
      </c>
      <c r="G82" s="4"/>
      <c r="H82" s="4"/>
      <c r="I82" s="1" t="s">
        <v>450</v>
      </c>
      <c r="J82" s="1"/>
      <c r="K82" s="3"/>
      <c r="L82" s="3"/>
      <c r="M82" s="1" t="s">
        <v>451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9.5" customHeight="1" spans="1:26">
      <c r="A83" s="3" t="s">
        <v>452</v>
      </c>
      <c r="B83" s="3" t="s">
        <v>453</v>
      </c>
      <c r="C83" s="3" t="s">
        <v>194</v>
      </c>
      <c r="D83" s="3" t="s">
        <v>440</v>
      </c>
      <c r="E83" s="3" t="s">
        <v>195</v>
      </c>
      <c r="F83" s="3" t="s">
        <v>67</v>
      </c>
      <c r="G83" s="4"/>
      <c r="H83" s="4"/>
      <c r="I83" s="1" t="s">
        <v>454</v>
      </c>
      <c r="J83" s="1"/>
      <c r="K83" s="3"/>
      <c r="L83" s="3"/>
      <c r="M83" s="1" t="s">
        <v>455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9.5" customHeight="1" spans="1:26">
      <c r="A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9.5" customHeight="1" spans="1:26">
      <c r="A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9.5" customHeight="1" spans="1:26">
      <c r="A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9.5" customHeight="1" spans="1:26">
      <c r="A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9.5" customHeight="1" spans="1:26">
      <c r="A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9.5" customHeight="1" spans="1:26">
      <c r="A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9.5" customHeight="1" spans="1:26">
      <c r="A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9.5" customHeight="1" spans="1:26">
      <c r="A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9.5" customHeight="1" spans="1:26">
      <c r="A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9.5" customHeight="1" spans="1:26">
      <c r="A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9.5" customHeight="1" spans="1:26">
      <c r="A94" s="3"/>
      <c r="B94" s="75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9.5" customHeight="1" spans="1:26">
      <c r="A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9.5" customHeight="1" spans="1:26">
      <c r="A96" s="3"/>
      <c r="B96" s="75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9.5" customHeight="1" spans="1:26">
      <c r="A97" s="3"/>
      <c r="B97" s="75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9.5" customHeight="1" spans="1:26">
      <c r="A98" s="3"/>
      <c r="B98" s="75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9.5" customHeight="1" spans="1:26">
      <c r="A99" s="3"/>
      <c r="B99" s="75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9.5" customHeight="1" spans="1:26">
      <c r="A100" s="3"/>
      <c r="B100" s="76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9.5" customHeight="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9.5" customHeight="1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9.5" customHeight="1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9.5" customHeight="1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9.5" customHeight="1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9.5" customHeight="1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9.5" customHeight="1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9.5" customHeight="1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9.5" customHeight="1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9.5" customHeight="1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9.5" customHeight="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9.5" customHeight="1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9.5" customHeight="1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9.5" customHeight="1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9.5" customHeight="1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9.5" customHeight="1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9.5" customHeight="1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9.5" customHeight="1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9.5" customHeight="1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9.5" customHeight="1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9.5" customHeight="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9.5" customHeight="1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9.5" customHeight="1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9.5" customHeight="1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9.5" customHeight="1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9.5" customHeight="1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9.5" customHeight="1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9.5" customHeight="1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9.5" customHeight="1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9.5" customHeight="1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9.5" customHeight="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9.5" customHeight="1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9.5" customHeight="1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9.5" customHeight="1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9.5" customHeight="1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9.5" customHeight="1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9.5" customHeight="1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9.5" customHeight="1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9.5" customHeight="1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9.5" customHeight="1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9.5" customHeight="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9.5" customHeight="1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9.5" customHeight="1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9.5" customHeight="1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9.5" customHeight="1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9.5" customHeight="1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9.5" customHeight="1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9.5" customHeight="1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9.5" customHeight="1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9.5" customHeight="1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9.5" customHeight="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9.5" customHeight="1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9.5" customHeight="1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9.5" customHeight="1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9.5" customHeight="1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9.5" customHeight="1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9.5" customHeight="1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9.5" customHeight="1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9.5" customHeight="1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9.5" customHeight="1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9.5" customHeight="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9.5" customHeight="1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9.5" customHeight="1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9.5" customHeight="1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9.5" customHeight="1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9.5" customHeight="1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9.5" customHeight="1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9.5" customHeight="1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9.5" customHeight="1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9.5" customHeight="1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9.5" customHeight="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9.5" customHeight="1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9.5" customHeight="1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9.5" customHeight="1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9.5" customHeight="1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9.5" customHeight="1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9.5" customHeight="1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9.5" customHeight="1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9.5" customHeight="1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9.5" customHeight="1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9.5" customHeight="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9.5" customHeight="1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9.5" customHeight="1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9.5" customHeight="1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9.5" customHeight="1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9.5" customHeight="1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9.5" customHeight="1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9.5" customHeight="1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9.5" customHeight="1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9.5" customHeight="1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9.5" customHeight="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9.5" customHeight="1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9.5" customHeight="1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9.5" customHeight="1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9.5" customHeight="1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9.5" customHeight="1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9.5" customHeight="1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9.5" customHeight="1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9.5" customHeight="1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9.5" customHeight="1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9.5" customHeight="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9.5" customHeight="1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9.5" customHeight="1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9.5" customHeight="1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9.5" customHeight="1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9.5" customHeight="1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9.5" customHeight="1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9.5" customHeight="1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9.5" customHeight="1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9.5" customHeight="1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9.5" customHeight="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9.5" customHeight="1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9.5" customHeight="1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9.5" customHeight="1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9.5" customHeight="1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9.5" customHeight="1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9.5" customHeight="1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9.5" customHeight="1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9.5" customHeight="1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9.5" customHeight="1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9.5" customHeight="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9.5" customHeight="1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9.5" customHeight="1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9.5" customHeight="1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9.5" customHeight="1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9.5" customHeight="1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9.5" customHeight="1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9.5" customHeight="1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9.5" customHeight="1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9.5" customHeight="1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9.5" customHeight="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9.5" customHeight="1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9.5" customHeight="1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9.5" customHeight="1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9.5" customHeight="1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9.5" customHeight="1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9.5" customHeight="1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9.5" customHeight="1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9.5" customHeight="1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9.5" customHeight="1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9.5" customHeight="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9.5" customHeight="1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9.5" customHeight="1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9.5" customHeight="1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9.5" customHeight="1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9.5" customHeight="1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9.5" customHeight="1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9.5" customHeight="1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9.5" customHeight="1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9.5" customHeight="1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9.5" customHeight="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9.5" customHeight="1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9.5" customHeight="1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9.5" customHeight="1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9.5" customHeight="1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9.5" customHeight="1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9.5" customHeight="1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9.5" customHeight="1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9.5" customHeight="1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9.5" customHeight="1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9.5" customHeight="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9.5" customHeight="1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9.5" customHeight="1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9.5" customHeight="1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9.5" customHeight="1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9.5" customHeight="1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9.5" customHeight="1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9.5" customHeight="1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9.5" customHeight="1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9.5" customHeight="1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9.5" customHeight="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9.5" customHeight="1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9.5" customHeight="1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9.5" customHeight="1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9.5" customHeight="1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9.5" customHeight="1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9.5" customHeight="1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9.5" customHeight="1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9.5" customHeight="1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9.5" customHeight="1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9.5" customHeight="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9.5" customHeight="1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9.5" customHeight="1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9.5" customHeight="1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9.5" customHeight="1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9.5" customHeight="1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9.5" customHeight="1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9.5" customHeight="1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9.5" customHeight="1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9.5" customHeight="1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9.5" customHeight="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9.5" customHeight="1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9.5" customHeight="1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9.5" customHeight="1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9.5" customHeight="1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9.5" customHeight="1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9.5" customHeight="1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9.5" customHeight="1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9.5" customHeight="1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9.5" customHeight="1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9.5" customHeight="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9.5" customHeight="1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9.5" customHeight="1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9.5" customHeight="1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9.5" customHeight="1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9.5" customHeight="1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9.5" customHeight="1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9.5" customHeight="1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9.5" customHeight="1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9.5" customHeight="1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9.5" customHeight="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9.5" customHeight="1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9.5" customHeight="1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9.5" customHeight="1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9.5" customHeight="1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9.5" customHeight="1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9.5" customHeight="1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9.5" customHeight="1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9.5" customHeight="1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9.5" customHeight="1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9.5" customHeight="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9.5" customHeight="1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9.5" customHeight="1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9.5" customHeight="1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9.5" customHeight="1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9.5" customHeight="1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9.5" customHeight="1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9.5" customHeight="1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9.5" customHeight="1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9.5" customHeight="1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9.5" customHeight="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9.5" customHeight="1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9.5" customHeight="1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9.5" customHeight="1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9.5" customHeight="1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9.5" customHeight="1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9.5" customHeight="1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9.5" customHeight="1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9.5" customHeight="1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9.5" customHeight="1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9.5" customHeight="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9.5" customHeight="1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9.5" customHeight="1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9.5" customHeight="1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9.5" customHeight="1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9.5" customHeight="1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9.5" customHeight="1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9.5" customHeight="1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9.5" customHeight="1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9.5" customHeight="1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9.5" customHeight="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9.5" customHeight="1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9.5" customHeight="1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9.5" customHeight="1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9.5" customHeight="1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9.5" customHeight="1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9.5" customHeight="1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9.5" customHeight="1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9.5" customHeight="1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9.5" customHeight="1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9.5" customHeight="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9.5" customHeight="1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9.5" customHeight="1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9.5" customHeight="1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9.5" customHeight="1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9.5" customHeight="1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9.5" customHeight="1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9.5" customHeight="1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9.5" customHeight="1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9.5" customHeight="1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9.5" customHeight="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9.5" customHeight="1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9.5" customHeight="1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9.5" customHeight="1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9.5" customHeight="1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9.5" customHeight="1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9.5" customHeight="1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9.5" customHeight="1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9.5" customHeight="1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9.5" customHeight="1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9.5" customHeight="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9.5" customHeight="1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9.5" customHeight="1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9.5" customHeight="1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9.5" customHeight="1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9.5" customHeight="1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9.5" customHeight="1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9.5" customHeight="1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9.5" customHeight="1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9.5" customHeight="1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9.5" customHeight="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9.5" customHeight="1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9.5" customHeight="1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9.5" customHeight="1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9.5" customHeight="1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9.5" customHeight="1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9.5" customHeight="1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9.5" customHeight="1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9.5" customHeight="1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9.5" customHeight="1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9.5" customHeight="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9.5" customHeight="1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9.5" customHeight="1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9.5" customHeight="1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9.5" customHeight="1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9.5" customHeight="1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9.5" customHeight="1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9.5" customHeight="1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9.5" customHeight="1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9.5" customHeight="1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9.5" customHeight="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9.5" customHeight="1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9.5" customHeight="1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9.5" customHeight="1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9.5" customHeight="1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9.5" customHeight="1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9.5" customHeight="1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9.5" customHeight="1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9.5" customHeight="1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9.5" customHeight="1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9.5" customHeight="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9.5" customHeight="1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9.5" customHeight="1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9.5" customHeight="1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9.5" customHeight="1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9.5" customHeight="1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9.5" customHeight="1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9.5" customHeight="1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9.5" customHeight="1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9.5" customHeight="1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9.5" customHeight="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9.5" customHeight="1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9.5" customHeight="1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9.5" customHeight="1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9.5" customHeight="1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9.5" customHeight="1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9.5" customHeight="1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9.5" customHeight="1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9.5" customHeight="1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9.5" customHeight="1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9.5" customHeight="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9.5" customHeight="1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9.5" customHeight="1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9.5" customHeight="1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9.5" customHeight="1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9.5" customHeight="1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9.5" customHeight="1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9.5" customHeight="1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9.5" customHeight="1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9.5" customHeight="1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9.5" customHeight="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9.5" customHeight="1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9.5" customHeight="1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9.5" customHeight="1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9.5" customHeight="1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9.5" customHeight="1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9.5" customHeight="1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9.5" customHeight="1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9.5" customHeight="1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9.5" customHeight="1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9.5" customHeight="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9.5" customHeight="1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9.5" customHeight="1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9.5" customHeight="1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9.5" customHeight="1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9.5" customHeight="1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9.5" customHeight="1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9.5" customHeight="1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9.5" customHeight="1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9.5" customHeight="1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9.5" customHeight="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9.5" customHeight="1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9.5" customHeight="1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9.5" customHeight="1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9.5" customHeight="1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9.5" customHeight="1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9.5" customHeight="1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9.5" customHeight="1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9.5" customHeight="1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9.5" customHeight="1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9.5" customHeight="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9.5" customHeight="1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9.5" customHeight="1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9.5" customHeight="1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9.5" customHeight="1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9.5" customHeight="1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9.5" customHeight="1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9.5" customHeight="1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9.5" customHeight="1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9.5" customHeight="1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9.5" customHeight="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9.5" customHeight="1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9.5" customHeight="1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9.5" customHeight="1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9.5" customHeight="1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9.5" customHeight="1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9.5" customHeight="1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9.5" customHeight="1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9.5" customHeight="1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9.5" customHeight="1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9.5" customHeight="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9.5" customHeight="1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9.5" customHeight="1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9.5" customHeight="1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9.5" customHeight="1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9.5" customHeight="1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9.5" customHeight="1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9.5" customHeight="1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9.5" customHeight="1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9.5" customHeight="1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9.5" customHeight="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9.5" customHeight="1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9.5" customHeight="1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9.5" customHeight="1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9.5" customHeight="1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9.5" customHeight="1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9.5" customHeight="1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9.5" customHeight="1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9.5" customHeight="1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9.5" customHeight="1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9.5" customHeight="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9.5" customHeight="1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9.5" customHeight="1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9.5" customHeight="1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9.5" customHeight="1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9.5" customHeight="1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9.5" customHeight="1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9.5" customHeight="1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9.5" customHeight="1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9.5" customHeight="1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9.5" customHeight="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9.5" customHeight="1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9.5" customHeight="1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9.5" customHeight="1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9.5" customHeight="1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9.5" customHeight="1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9.5" customHeight="1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9.5" customHeight="1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9.5" customHeight="1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9.5" customHeight="1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9.5" customHeight="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9.5" customHeight="1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9.5" customHeight="1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9.5" customHeight="1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9.5" customHeight="1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9.5" customHeight="1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9.5" customHeight="1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9.5" customHeight="1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9.5" customHeight="1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9.5" customHeight="1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9.5" customHeight="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9.5" customHeight="1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9.5" customHeight="1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9.5" customHeight="1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9.5" customHeight="1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9.5" customHeight="1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9.5" customHeight="1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9.5" customHeight="1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9.5" customHeight="1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9.5" customHeight="1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9.5" customHeight="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9.5" customHeight="1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9.5" customHeight="1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9.5" customHeight="1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9.5" customHeight="1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9.5" customHeight="1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9.5" customHeight="1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9.5" customHeight="1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9.5" customHeight="1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9.5" customHeight="1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9.5" customHeight="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9.5" customHeight="1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9.5" customHeight="1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9.5" customHeight="1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9.5" customHeight="1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9.5" customHeight="1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9.5" customHeight="1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9.5" customHeight="1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9.5" customHeight="1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9.5" customHeight="1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9.5" customHeight="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9.5" customHeight="1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9.5" customHeight="1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9.5" customHeight="1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9.5" customHeight="1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9.5" customHeight="1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9.5" customHeight="1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9.5" customHeight="1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9.5" customHeight="1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9.5" customHeight="1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9.5" customHeight="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9.5" customHeight="1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9.5" customHeight="1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9.5" customHeight="1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9.5" customHeight="1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9.5" customHeight="1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9.5" customHeight="1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9.5" customHeight="1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9.5" customHeight="1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9.5" customHeight="1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9.5" customHeight="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9.5" customHeight="1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9.5" customHeight="1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9.5" customHeight="1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9.5" customHeight="1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9.5" customHeight="1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9.5" customHeight="1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9.5" customHeight="1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9.5" customHeight="1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9.5" customHeight="1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9.5" customHeight="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9.5" customHeight="1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9.5" customHeight="1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9.5" customHeight="1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9.5" customHeight="1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9.5" customHeight="1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9.5" customHeight="1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9.5" customHeight="1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9.5" customHeight="1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9.5" customHeight="1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9.5" customHeight="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9.5" customHeight="1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9.5" customHeight="1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9.5" customHeight="1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9.5" customHeight="1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9.5" customHeight="1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9.5" customHeight="1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9.5" customHeight="1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9.5" customHeight="1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9.5" customHeight="1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9.5" customHeight="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9.5" customHeight="1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9.5" customHeight="1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9.5" customHeight="1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9.5" customHeight="1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9.5" customHeight="1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9.5" customHeight="1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9.5" customHeight="1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9.5" customHeight="1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9.5" customHeight="1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9.5" customHeight="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9.5" customHeight="1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9.5" customHeight="1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9.5" customHeight="1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9.5" customHeight="1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9.5" customHeight="1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9.5" customHeight="1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9.5" customHeight="1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9.5" customHeight="1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9.5" customHeight="1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9.5" customHeight="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9.5" customHeight="1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9.5" customHeight="1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9.5" customHeight="1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9.5" customHeight="1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9.5" customHeight="1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9.5" customHeight="1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9.5" customHeight="1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9.5" customHeight="1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9.5" customHeight="1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9.5" customHeight="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9.5" customHeight="1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9.5" customHeight="1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9.5" customHeight="1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9.5" customHeight="1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9.5" customHeight="1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9.5" customHeight="1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9.5" customHeight="1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9.5" customHeight="1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9.5" customHeight="1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9.5" customHeight="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9.5" customHeight="1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9.5" customHeight="1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9.5" customHeight="1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9.5" customHeight="1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9.5" customHeight="1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9.5" customHeight="1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9.5" customHeight="1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9.5" customHeight="1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9.5" customHeight="1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9.5" customHeight="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9.5" customHeight="1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9.5" customHeight="1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9.5" customHeight="1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9.5" customHeight="1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9.5" customHeight="1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9.5" customHeight="1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9.5" customHeight="1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9.5" customHeight="1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9.5" customHeight="1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9.5" customHeight="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9.5" customHeight="1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9.5" customHeight="1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9.5" customHeight="1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9.5" customHeight="1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9.5" customHeight="1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9.5" customHeight="1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9.5" customHeight="1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9.5" customHeight="1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9.5" customHeight="1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9.5" customHeight="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9.5" customHeight="1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9.5" customHeight="1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9.5" customHeight="1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9.5" customHeight="1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9.5" customHeight="1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9.5" customHeight="1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9.5" customHeight="1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9.5" customHeight="1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9.5" customHeight="1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9.5" customHeight="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9.5" customHeight="1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9.5" customHeight="1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9.5" customHeight="1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9.5" customHeight="1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9.5" customHeight="1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9.5" customHeight="1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9.5" customHeight="1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9.5" customHeight="1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9.5" customHeight="1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9.5" customHeight="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9.5" customHeight="1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9.5" customHeight="1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9.5" customHeight="1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9.5" customHeight="1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9.5" customHeight="1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9.5" customHeight="1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9.5" customHeight="1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9.5" customHeight="1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9.5" customHeight="1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9.5" customHeight="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9.5" customHeight="1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9.5" customHeight="1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9.5" customHeight="1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9.5" customHeight="1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9.5" customHeight="1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9.5" customHeight="1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9.5" customHeight="1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9.5" customHeight="1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9.5" customHeight="1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9.5" customHeight="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9.5" customHeight="1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9.5" customHeight="1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9.5" customHeight="1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9.5" customHeight="1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9.5" customHeight="1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9.5" customHeight="1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9.5" customHeight="1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9.5" customHeight="1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9.5" customHeight="1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9.5" customHeight="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9.5" customHeight="1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9.5" customHeight="1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9.5" customHeight="1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9.5" customHeight="1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9.5" customHeight="1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9.5" customHeight="1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9.5" customHeight="1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9.5" customHeight="1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9.5" customHeight="1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9.5" customHeight="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9.5" customHeight="1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9.5" customHeight="1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9.5" customHeight="1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9.5" customHeight="1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9.5" customHeight="1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9.5" customHeight="1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9.5" customHeight="1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9.5" customHeight="1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9.5" customHeight="1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9.5" customHeight="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9.5" customHeight="1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9.5" customHeight="1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9.5" customHeight="1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9.5" customHeight="1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9.5" customHeight="1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9.5" customHeight="1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9.5" customHeight="1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9.5" customHeight="1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9.5" customHeight="1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9.5" customHeight="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9.5" customHeight="1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9.5" customHeight="1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9.5" customHeight="1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9.5" customHeight="1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9.5" customHeight="1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9.5" customHeight="1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9.5" customHeight="1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9.5" customHeight="1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9.5" customHeight="1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9.5" customHeight="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9.5" customHeight="1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9.5" customHeight="1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9.5" customHeight="1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9.5" customHeight="1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9.5" customHeight="1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9.5" customHeight="1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9.5" customHeight="1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9.5" customHeight="1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9.5" customHeight="1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9.5" customHeight="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9.5" customHeight="1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9.5" customHeight="1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9.5" customHeight="1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9.5" customHeight="1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9.5" customHeight="1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9.5" customHeight="1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9.5" customHeight="1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9.5" customHeight="1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9.5" customHeight="1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9.5" customHeight="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9.5" customHeight="1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9.5" customHeight="1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9.5" customHeight="1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9.5" customHeight="1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9.5" customHeight="1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9.5" customHeight="1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9.5" customHeight="1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9.5" customHeight="1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9.5" customHeight="1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9.5" customHeight="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9.5" customHeight="1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9.5" customHeight="1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9.5" customHeight="1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9.5" customHeight="1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9.5" customHeight="1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9.5" customHeight="1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9.5" customHeight="1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9.5" customHeight="1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9.5" customHeight="1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9.5" customHeight="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9.5" customHeight="1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9.5" customHeight="1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9.5" customHeight="1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9.5" customHeight="1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9.5" customHeight="1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9.5" customHeight="1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9.5" customHeight="1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9.5" customHeight="1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9.5" customHeight="1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9.5" customHeight="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9.5" customHeight="1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9.5" customHeight="1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9.5" customHeight="1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9.5" customHeight="1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9.5" customHeight="1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9.5" customHeight="1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9.5" customHeight="1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9.5" customHeight="1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9.5" customHeight="1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9.5" customHeight="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9.5" customHeight="1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9.5" customHeight="1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9.5" customHeight="1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9.5" customHeight="1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9.5" customHeight="1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9.5" customHeight="1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9.5" customHeight="1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9.5" customHeight="1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9.5" customHeight="1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9.5" customHeight="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9.5" customHeight="1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9.5" customHeight="1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9.5" customHeight="1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9.5" customHeight="1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9.5" customHeight="1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9.5" customHeight="1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9.5" customHeight="1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9.5" customHeight="1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9.5" customHeight="1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9.5" customHeight="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9.5" customHeight="1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9.5" customHeight="1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9.5" customHeight="1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9.5" customHeight="1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9.5" customHeight="1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9.5" customHeight="1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9.5" customHeight="1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9.5" customHeight="1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9.5" customHeight="1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9.5" customHeight="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9.5" customHeight="1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9.5" customHeight="1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9.5" customHeight="1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9.5" customHeight="1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9.5" customHeight="1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9.5" customHeight="1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9.5" customHeight="1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9.5" customHeight="1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9.5" customHeight="1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9.5" customHeight="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9.5" customHeight="1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9.5" customHeight="1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9.5" customHeight="1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9.5" customHeight="1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9.5" customHeight="1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9.5" customHeight="1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9.5" customHeight="1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9.5" customHeight="1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9.5" customHeight="1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9.5" customHeight="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9.5" customHeight="1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9.5" customHeight="1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9.5" customHeight="1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9.5" customHeight="1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9.5" customHeight="1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9.5" customHeight="1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9.5" customHeight="1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9.5" customHeight="1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9.5" customHeight="1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9.5" customHeight="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9.5" customHeight="1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9.5" customHeight="1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9.5" customHeight="1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9.5" customHeight="1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9.5" customHeight="1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9.5" customHeight="1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9.5" customHeight="1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9.5" customHeight="1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9.5" customHeight="1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9.5" customHeight="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9.5" customHeight="1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9.5" customHeight="1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9.5" customHeight="1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9.5" customHeight="1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9.5" customHeight="1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9.5" customHeight="1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9.5" customHeight="1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9.5" customHeight="1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9.5" customHeight="1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9.5" customHeight="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9.5" customHeight="1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9.5" customHeight="1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9.5" customHeight="1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9.5" customHeight="1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9.5" customHeight="1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9.5" customHeight="1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9.5" customHeight="1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9.5" customHeight="1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9.5" customHeight="1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9.5" customHeight="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9.5" customHeight="1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9.5" customHeight="1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9.5" customHeight="1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9.5" customHeight="1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9.5" customHeight="1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9.5" customHeight="1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9.5" customHeight="1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9.5" customHeight="1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9.5" customHeight="1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9.5" customHeight="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9.5" customHeight="1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9.5" customHeight="1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9.5" customHeight="1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9.5" customHeight="1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9.5" customHeight="1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9.5" customHeight="1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9.5" customHeight="1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9.5" customHeight="1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9.5" customHeight="1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9.5" customHeight="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9.5" customHeight="1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9.5" customHeight="1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9.5" customHeight="1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9.5" customHeight="1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9.5" customHeight="1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9.5" customHeight="1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9.5" customHeight="1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9.5" customHeight="1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9.5" customHeight="1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9.5" customHeight="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9.5" customHeight="1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9.5" customHeight="1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9.5" customHeight="1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9.5" customHeight="1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9.5" customHeight="1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9.5" customHeight="1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9.5" customHeight="1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9.5" customHeight="1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9.5" customHeight="1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9.5" customHeight="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9.5" customHeight="1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9.5" customHeight="1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9.5" customHeight="1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9.5" customHeight="1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9.5" customHeight="1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9.5" customHeight="1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9.5" customHeight="1" spans="1:26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9.5" customHeight="1" spans="1:26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9.5" customHeight="1" spans="1:26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9.5" customHeight="1" spans="1:26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9.5" customHeight="1" spans="1:26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9.5" customHeight="1" spans="1:26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9.5" customHeight="1" spans="1:26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9.5" customHeight="1" spans="1:26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9.5" customHeight="1" spans="1:2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9.5" customHeight="1" spans="1:26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9.5" customHeight="1" spans="1:26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9.5" customHeight="1" spans="1:26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9.5" customHeight="1" spans="1:26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G1:G83">
    <cfRule type="colorScale" priority="1">
      <colorScale>
        <cfvo type="min"/>
        <cfvo type="percentile" val="50"/>
        <cfvo type="max"/>
        <color rgb="FF2A6099"/>
        <color rgb="FFFFD7D7"/>
        <color rgb="FFFF0000"/>
      </colorScale>
    </cfRule>
  </conditionalFormatting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weibel_results</vt:lpstr>
      <vt:lpstr>Magadan23_collection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Mayorova</dc:creator>
  <cp:lastModifiedBy>google1599737165</cp:lastModifiedBy>
  <dcterms:created xsi:type="dcterms:W3CDTF">2026-02-17T11:12:00Z</dcterms:created>
  <dcterms:modified xsi:type="dcterms:W3CDTF">2026-03-17T08:34:45Z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F594870CB11C4EF9B9BDD72103A0E7B6_13</vt:lpwstr>
  </property>
  <property fmtid="{D5CDD505-2E9C-101B-9397-08002B2CF9AE}" pid="3" name="KSOProductBuildVer">
    <vt:lpwstr>1049-12.2.0.23196</vt:lpwstr>
  </property>
</Properties>
</file>