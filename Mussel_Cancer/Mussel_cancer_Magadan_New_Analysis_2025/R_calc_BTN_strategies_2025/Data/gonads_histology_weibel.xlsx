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weibel_results" sheetId="1" r:id="rId1"/>
    <sheet name="Magadan23_collection" sheetId="2" r:id="rId2"/>
  </sheets>
  <definedNames>
    <definedName name="_xlnm._FilterDatabase" localSheetId="0" hidden="1">weibel_results!$A$1:$X$50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<sst xmlns="http://schemas.openxmlformats.org/spreadsheetml/2006/main" count="1548" uniqueCount="514">
  <si>
    <t>Set</t>
  </si>
  <si>
    <t>Year</t>
  </si>
  <si>
    <t>Site_code</t>
  </si>
  <si>
    <t>ID</t>
  </si>
  <si>
    <t>ID_2</t>
  </si>
  <si>
    <t>ID_ENG</t>
  </si>
  <si>
    <t>BTN_class</t>
  </si>
  <si>
    <t>BTN_class_1_or_2</t>
  </si>
  <si>
    <t>Aneuploidy_rate</t>
  </si>
  <si>
    <t>Sex</t>
  </si>
  <si>
    <t>Sex_2</t>
  </si>
  <si>
    <t>Selector</t>
  </si>
  <si>
    <t>Discription</t>
  </si>
  <si>
    <t>connective tissue + DN (grid points) 40x</t>
  </si>
  <si>
    <t>gonadal tissue (grid points) 40x</t>
  </si>
  <si>
    <t>количество полей 40x</t>
  </si>
  <si>
    <t>размер поля (пикс) 40x</t>
  </si>
  <si>
    <t>размер поля (мкм) 40x</t>
  </si>
  <si>
    <t>Tishue_grid</t>
  </si>
  <si>
    <t>Gonad_grid</t>
  </si>
  <si>
    <t>Fields_number</t>
  </si>
  <si>
    <t>Filld_size_pix</t>
  </si>
  <si>
    <t>Firld_size_mkm</t>
  </si>
  <si>
    <t>Gonad_prop</t>
  </si>
  <si>
    <t>Магадан_2023</t>
  </si>
  <si>
    <t>ZHEM</t>
  </si>
  <si>
    <t>B29</t>
  </si>
  <si>
    <t>ЖЕМ_Б29</t>
  </si>
  <si>
    <t>JEM_B29</t>
  </si>
  <si>
    <t>BTN2.1</t>
  </si>
  <si>
    <t>BTN2</t>
  </si>
  <si>
    <t>м</t>
  </si>
  <si>
    <t>в соед. ткани много неопластических клеток, ацинусы маленькие, видны сперматиды, зона сперматоцитов совсем узкая</t>
  </si>
  <si>
    <t>4000x2997</t>
  </si>
  <si>
    <t>355.26x266.19</t>
  </si>
  <si>
    <t>710.52x532.38</t>
  </si>
  <si>
    <t>A28</t>
  </si>
  <si>
    <t>ЖЕМ_А28</t>
  </si>
  <si>
    <t>JEM_A28</t>
  </si>
  <si>
    <t>BTN1</t>
  </si>
  <si>
    <t>неопластических клеток совсем немного в соед. ткани, в ацинусах преобладает зона спермиев, в большинстве ацинусов спермии лежат разреженно, сперматоциты только в отдельных скоплениях</t>
  </si>
  <si>
    <t>UM</t>
  </si>
  <si>
    <t>B4</t>
  </si>
  <si>
    <t>УМ_Б4</t>
  </si>
  <si>
    <t>UM_B4</t>
  </si>
  <si>
    <t>ж</t>
  </si>
  <si>
    <t xml:space="preserve">в соед.ткани есть отдельные скопления неопластических клеток, редкие ацинусы совсем маленькие, в них оогонии и маленькие превителогенные ооциты, </t>
  </si>
  <si>
    <t>360.88x270.4</t>
  </si>
  <si>
    <t>TIKH</t>
  </si>
  <si>
    <t>A22</t>
  </si>
  <si>
    <t>ТИХ_А22</t>
  </si>
  <si>
    <t>TIH_A22</t>
  </si>
  <si>
    <t>В соед.ткани есть небольшие скопления неопластических клеток, ацинусы "пустые", до 5 шт ооцитов на срез, пространство между ооцитами заполнено стромой, ооциты растущие, видны оогонии, есть единичные маленькие превителогенные ооциты</t>
  </si>
  <si>
    <t>SVET</t>
  </si>
  <si>
    <t>C18</t>
  </si>
  <si>
    <t>СВ_В18</t>
  </si>
  <si>
    <t>SV_V18</t>
  </si>
  <si>
    <t>x3 (ж?)</t>
  </si>
  <si>
    <t>В мантии преобладает соединительная ткань (везикулярные клетки в основном), неопластические клетки распределены диффузно, но есть и скопления. Малочисленные ацинусы пустые, в них есть гониальные клетки (больше похожи на оогонии), в некоторых ацинусах присутствуют гранулоциты.Интересно, что скопления гониев сильно ассиметричны - расположены ближе к внутренней стороне мантии.</t>
  </si>
  <si>
    <t>C7</t>
  </si>
  <si>
    <t>СВ_В7</t>
  </si>
  <si>
    <t>SV_V7</t>
  </si>
  <si>
    <t>В соед.ткани много неопластических клеток. Есть и эозинофилы. Много везикулярных клеток. Ацинусы пустые (как посленерестовые), сперматоцитов не видно, есть только очень узкая зона сперматид и пустота внутри.</t>
  </si>
  <si>
    <t>ON</t>
  </si>
  <si>
    <t>B7</t>
  </si>
  <si>
    <t>ОН_Б7</t>
  </si>
  <si>
    <t>ON_B7</t>
  </si>
  <si>
    <t>В мантии преобладает соединительная ткань (очень много везикулярных клеток), неопластические клетки распределены диффузно. Ацинусы очень маленькие, в них только оогонии и единичные ооциты.</t>
  </si>
  <si>
    <t>OLA</t>
  </si>
  <si>
    <t>C10</t>
  </si>
  <si>
    <t>ОЛА_В10</t>
  </si>
  <si>
    <t>OLA_V10</t>
  </si>
  <si>
    <t>В мантии преобладает соединительная ткань (в основном адипогранулярные клетки, между которыми есть небольшие скопления неопластических базофилов), ацинусы очень маленькие, в них есть немного сперматогониев и иногда совсем немного сперматид. В мантии есть лакуны с базофилами.</t>
  </si>
  <si>
    <t>B30</t>
  </si>
  <si>
    <t>ОЛА_Б30</t>
  </si>
  <si>
    <t>OLA_B30</t>
  </si>
  <si>
    <t>В мантии преобладает соединительная ткань (в основном адипогранулярные клетки), ацинусы очень маленькие, в них есть немного сперматогониев и иногда совсем немного сперматид. В мантии есть большие скопления неопластических клеток.</t>
  </si>
  <si>
    <t>B27</t>
  </si>
  <si>
    <t>ОЛА_Б27</t>
  </si>
  <si>
    <t>OLA_B27</t>
  </si>
  <si>
    <t>В мантии преобладает соединительная ткань (в основном адипогранулярные клетки), ацинусы  маленькие, в них есть немного сперматогониев, сперматоцитов и иногда совсем немного сперматид. В мантии совсем немного неопластических клеток.</t>
  </si>
  <si>
    <t>MAR</t>
  </si>
  <si>
    <t>B28</t>
  </si>
  <si>
    <t>МАР2_Б28</t>
  </si>
  <si>
    <t>MAR-II_B28</t>
  </si>
  <si>
    <t>BTN2.2</t>
  </si>
  <si>
    <t>MAM</t>
  </si>
  <si>
    <t>A24</t>
  </si>
  <si>
    <t>МАМ_А24</t>
  </si>
  <si>
    <t>MAM_A24</t>
  </si>
  <si>
    <t>no</t>
  </si>
  <si>
    <t>Соединительной ткани между ацинусами очень мало (адипогранулярные клетки). Ацинусы плотно наполнены ооцитами разного размера (вителогенными).</t>
  </si>
  <si>
    <t>KAR</t>
  </si>
  <si>
    <t>A32</t>
  </si>
  <si>
    <t>КАР_А32</t>
  </si>
  <si>
    <t>KAR_A32</t>
  </si>
  <si>
    <t>Соединительной ткани между ацинусами мало. В соед.ткани есть совсем немного эозинофилов и неопластических базофилов. В ацинусах преобладает зона сперматид и сперматозоидов.</t>
  </si>
  <si>
    <t>КАР_А22</t>
  </si>
  <si>
    <t>KAR_A22</t>
  </si>
  <si>
    <t>В мантии преобладает соединительная ткань, очень много неопластических базофилов, распределенных диффузно. Ацинусы полупустые (похожи на посленерестовые), в них немного сперматозоидов, в просвете некоторых ацинусов есть гранулоциты.</t>
  </si>
  <si>
    <t>KHOL</t>
  </si>
  <si>
    <t>D19</t>
  </si>
  <si>
    <t>ХОЛ_Д19</t>
  </si>
  <si>
    <t>HOL_D19</t>
  </si>
  <si>
    <t>В соед.ткани есть совсем немного неопластических базофилов. Преобладают адипогранулярные клетки, есть скопления мелких везикулярных клеток. В ацинусах ооциты (вителогенные) разного размера лежат не плотно, есть немного превителогенных ооцитов.</t>
  </si>
  <si>
    <t>D8</t>
  </si>
  <si>
    <t>ХОЛ_Д8</t>
  </si>
  <si>
    <t>HOL_D8</t>
  </si>
  <si>
    <t>В соед.ткани мантии преобладают адипогранулярные клетки, есть скопления везикулярных клеток, встречаются эозинофилы. В ацинусах преобладает зона сперматид и сперматозоидов (клетки лежат плотно), но и зона сперматоцитов заметная.</t>
  </si>
  <si>
    <t>B16</t>
  </si>
  <si>
    <t>МАР2_Б16</t>
  </si>
  <si>
    <t>MAR-II_B16</t>
  </si>
  <si>
    <t>в соед.ткани преобладают адипогранулярные клетки, неопластических базофилов совсем немного (небольшие очаги), ацинусы очень маленькие, в них видны оогонии и маленькие превителогенные ооциты.</t>
  </si>
  <si>
    <t>C30</t>
  </si>
  <si>
    <t>КАР_В30</t>
  </si>
  <si>
    <t>KAR_V30</t>
  </si>
  <si>
    <t>Соединительной ткани почти нет, ацинусы заполнены в основном зрелыми и растущими ооцитами, превителогенных ооцитов мало</t>
  </si>
  <si>
    <t>B21</t>
  </si>
  <si>
    <t>КАР_Б21</t>
  </si>
  <si>
    <t>KAR_B21</t>
  </si>
  <si>
    <t>Соединительной ткани почти нет, ацинусы плотно заполнены спермиями, сперматоцитов и сперматид зона очень узкой полоской</t>
  </si>
  <si>
    <t>КАР_Б4</t>
  </si>
  <si>
    <t>KAR_B4</t>
  </si>
  <si>
    <t>Соединительной ткани почти нет, ацинусы заполнены в основном зрелыми и растущими ооцитами</t>
  </si>
  <si>
    <t>B3</t>
  </si>
  <si>
    <t>КАР_Б3</t>
  </si>
  <si>
    <t>KAR_B3</t>
  </si>
  <si>
    <t>В соед.ткани очень много неопластических базофилов, за ними даже не видно границ адипогранулярных клеток, везикулярных клеток нет, в ацинусах небольшое количество зрелых ооцитов</t>
  </si>
  <si>
    <t>A19</t>
  </si>
  <si>
    <t>КАР_А19</t>
  </si>
  <si>
    <t>KAR_A19</t>
  </si>
  <si>
    <t>В соед.ткани очень много неопластических базофилов, они расположены между адипогранулярных клеток, везикулярных клеток нет, в ацинусах зрелые ооциты</t>
  </si>
  <si>
    <t>C24</t>
  </si>
  <si>
    <t>ЖЕМ_В24</t>
  </si>
  <si>
    <t>JEM_V24</t>
  </si>
  <si>
    <t>Соединительной ткани почти нет, ацинусы плотно заполнены спермиями,  зона сперматоцитов и сперматид очень узкой полоской</t>
  </si>
  <si>
    <t>A1</t>
  </si>
  <si>
    <t>ЖЕМ_А1</t>
  </si>
  <si>
    <t>JEM_A1</t>
  </si>
  <si>
    <t>В соед.ткани совсем немного неопластических базофилов, они расположены между адипогранулярных клеток, везикулярных клеток нет, в ацинусах зрелые ооциты</t>
  </si>
  <si>
    <t>C2</t>
  </si>
  <si>
    <t>ХОЛ_В2</t>
  </si>
  <si>
    <t>HOL_V2</t>
  </si>
  <si>
    <t>В соединительной ткани есть скопления неопластических базофилов, ацинусы очень маленькие, с трудом можно различить оогонии, пол был определен по единственному ооциту буквально</t>
  </si>
  <si>
    <t>B31</t>
  </si>
  <si>
    <t>ОЛА_Б31</t>
  </si>
  <si>
    <t>OLA_B31</t>
  </si>
  <si>
    <t>В соед.ткани очень редко встречаются неопластические базофилы, в ацинусах сперматиды и сперсатоциты примерно поровну</t>
  </si>
  <si>
    <t>C17</t>
  </si>
  <si>
    <t>СВ_В17</t>
  </si>
  <si>
    <t>SV_V17</t>
  </si>
  <si>
    <t>В ацинусах в основном маленькие превителогенные ооциты</t>
  </si>
  <si>
    <t>C23</t>
  </si>
  <si>
    <t>СВ_В23</t>
  </si>
  <si>
    <t>SV_V23</t>
  </si>
  <si>
    <t>В ацинусах зона сперматоцитов чуть менбше зоны спермиенв, стадия созревания</t>
  </si>
  <si>
    <t>A18</t>
  </si>
  <si>
    <t>ТИХ_А18</t>
  </si>
  <si>
    <t>TIH_A18</t>
  </si>
  <si>
    <t>В соед.ткани есть небольшое количество базофилов!!! и эозинофилов, ацинусы зрелые, заполнены спермиями, сперматоцитов практически не видною</t>
  </si>
  <si>
    <t>ТИХ_А24</t>
  </si>
  <si>
    <t>TIH_A24</t>
  </si>
  <si>
    <t>DN</t>
  </si>
  <si>
    <t>В соед.ткани очень большое количество базофилов!!! В ацинусах преобладают сперматиды</t>
  </si>
  <si>
    <t>B6</t>
  </si>
  <si>
    <t>УМ_Б6</t>
  </si>
  <si>
    <t>UM_B6</t>
  </si>
  <si>
    <t>В соед.ткани есть немного мелких базофилов, довольно много диффузно расположенных эозинофилов, в ацинусах в основном зрелые ооциты, немного превителогенных</t>
  </si>
  <si>
    <t>B19</t>
  </si>
  <si>
    <t>УМ_Б19</t>
  </si>
  <si>
    <t>UM_B19</t>
  </si>
  <si>
    <t>В соед.ткани есть немного эозинофилов, в ацинусах в основном зрелые ооциты, немного превителогенных</t>
  </si>
  <si>
    <t>NUK-I</t>
  </si>
  <si>
    <t>НЮК_В23</t>
  </si>
  <si>
    <t>NUK_V23</t>
  </si>
  <si>
    <t>ацинусы в стадии роста, в них в основном сперматоциты и сперматогонии</t>
  </si>
  <si>
    <t>B23</t>
  </si>
  <si>
    <t>ОЛА_Б23</t>
  </si>
  <si>
    <t>OLA_B23</t>
  </si>
  <si>
    <t>с</t>
  </si>
  <si>
    <t>есть скопления базофилов!!! в пищеварительной железе, ацинусы маленькие с превителогенными маленькими ооцитами</t>
  </si>
  <si>
    <t>A6</t>
  </si>
  <si>
    <t>КАР_А6</t>
  </si>
  <si>
    <t>KAR_A6</t>
  </si>
  <si>
    <t>в ацинусах зрелые ооциты, в соединительной ткани единичные неопластические базофилы</t>
  </si>
  <si>
    <t>C20</t>
  </si>
  <si>
    <t>КАР_В20</t>
  </si>
  <si>
    <t>KAR_V20</t>
  </si>
  <si>
    <t>Неопластические клетки в соединительной ткани встречаются очень редко, но есть скопления гранулярных гемоцитов, ацинусы небольшие, в них есть и сперматоциты и спермии</t>
  </si>
  <si>
    <t>C4</t>
  </si>
  <si>
    <t>МАР2_В4</t>
  </si>
  <si>
    <t>MAR-II_V4</t>
  </si>
  <si>
    <t>x3</t>
  </si>
  <si>
    <t>В соединительной ткани очень много неопластических базофилов, они находятся между адипогранулярных клеток, а также образуют скопления, относительно много эозинофильных везикулярных клеток, ацинусы плохо различимы, пол определить невозможно</t>
  </si>
  <si>
    <t>МАР2_В30</t>
  </si>
  <si>
    <t>MAR-II_V30</t>
  </si>
  <si>
    <t>В соединительной ткани очень много неопластических базофилов, они находятся между адипогранулярных клеток, а также образуют скопления, есть зоны, в которых адипогранулярные клетки неразличимы (структура соединительной ткани разрушена), ацинусы плохо различимы, пол определить невозможно</t>
  </si>
  <si>
    <t>B24</t>
  </si>
  <si>
    <t>ОЛА_Б24</t>
  </si>
  <si>
    <t>OLA_B24</t>
  </si>
  <si>
    <t>В соединительной ткани есть скопления неопластических базофилов, в ацинусах только есть только немного оогониев, пол был определен единичным разрушающимся ооцитам, в мантии есть пустоты (лакуны)</t>
  </si>
  <si>
    <t>B2</t>
  </si>
  <si>
    <t>ОН_Б2</t>
  </si>
  <si>
    <t>ON_B2</t>
  </si>
  <si>
    <t>Неопластические базофилы образуют небольшие скопления в лакунах в мантии; в ацинусах небольшое количество зрелых ооцитов, есть ацинусы с деградирующими ооцитами; в соединительной ткани относительно много везикулярных клеток</t>
  </si>
  <si>
    <t>ОН_Б4</t>
  </si>
  <si>
    <t>ON_B4</t>
  </si>
  <si>
    <t>Неопластические базофилы образуют небольшие скопления в лакунах в мантии; ацинусы плохо различимы, пол определен по нескольким спермиям</t>
  </si>
  <si>
    <t>A20</t>
  </si>
  <si>
    <t>СВ_А20</t>
  </si>
  <si>
    <t>SV_A20</t>
  </si>
  <si>
    <t>Неопластических базофилов очень много в мантии (сильно больше чем адипогранулярных), они образуют как плотные скопления, так и находятся в пустотах-лакунах; ацинусы трудно различимы, в них очень редко можно увидеть гониальные клетки, в просвете ацинусов видны гранулярные клетки (то ли гемоциты, то ли вспомогательные клетки, может быть клетки Сертоли), пол определить невозможно</t>
  </si>
  <si>
    <t>B15</t>
  </si>
  <si>
    <t>СВ_Б15</t>
  </si>
  <si>
    <t>SV_B15</t>
  </si>
  <si>
    <t>Неопластические базофилы образуют небольшие скопления в лакунах в мантии; в соединительной ткани относительно много везикулярных клеток; ацинусы трудно различимы, пол определить не возможно (больше похоже на самца)</t>
  </si>
  <si>
    <t>B10</t>
  </si>
  <si>
    <t>ТИХ_Б10</t>
  </si>
  <si>
    <t>TIH_B10</t>
  </si>
  <si>
    <t>Неопластических базофилов в мантии совсем немного, ацинусы зрелые (преобладают спермии и сперматиды), в соединительной ткани очень много везикулярных клеток</t>
  </si>
  <si>
    <t>VES</t>
  </si>
  <si>
    <t>23</t>
  </si>
  <si>
    <t>ВЕС_23</t>
  </si>
  <si>
    <t>VES_23</t>
  </si>
  <si>
    <t>Неопластических базофилов в мантии очень мало (единичные клетки), соединительная ткань вокруг ацинусов состоит практически только из адипогранулярных клеток; интересно, что в разных зонах мантии ацинусы в различной степени зрелости: есть и готовые к вымету и находящиеся на стадии размножения сперматоцитов.</t>
  </si>
  <si>
    <t>39</t>
  </si>
  <si>
    <t>ВЕС_39</t>
  </si>
  <si>
    <t>VES_39</t>
  </si>
  <si>
    <t>Неопластических базофилов очень много в мантии, они образуют как плотные скопления, так и находятся в пустотах-лакунах; много везикулярных клеток; ацинусы трудно различимы, в них даже нет гониальных клеток, в просвете ацинусов пустое пространство, иногда видны гранулярные гемоциты, пол невозможно определить</t>
  </si>
  <si>
    <t>51</t>
  </si>
  <si>
    <t>ВЕС_51</t>
  </si>
  <si>
    <t>VES_51</t>
  </si>
  <si>
    <t>Неопластических базофилов немного в мантии, небольшие скопления между адипогранулярных клеток; много везикулярных клеток; ацинусы трудно различимы, в них даже нет гониальных клеток, в просвете ацинусов пустое пространство, иногда видны гранулярные гемоциты, пол невозможно определить</t>
  </si>
  <si>
    <t>144</t>
  </si>
  <si>
    <t>ВЕС_144</t>
  </si>
  <si>
    <t>VES_144</t>
  </si>
  <si>
    <t>Неопластических базофилов нет мантии, ацинусы заполнены сперматоцитами и немного спермиями, на срезах лишь небольшой фрагмент гонад</t>
  </si>
  <si>
    <t>148</t>
  </si>
  <si>
    <t>ВЕС_148</t>
  </si>
  <si>
    <t>VES_148</t>
  </si>
  <si>
    <t>Мантия сплошь заполнена неопластическими базофилами, даже адипогранулярных клеток практически не видно, ацинусы плохо различимы, сплющены, в ацинусах присутствуют в небольшом количестве гранулоциты и совсем немного сперматид и спермиев</t>
  </si>
  <si>
    <t>BTN_1_or_2</t>
  </si>
  <si>
    <t>BTN</t>
  </si>
  <si>
    <t>есть признаки неоплазии</t>
  </si>
  <si>
    <t>Aneuploidy_n</t>
  </si>
  <si>
    <t>Коментарий Фроловой</t>
  </si>
  <si>
    <t>примечание</t>
  </si>
  <si>
    <t>sex</t>
  </si>
  <si>
    <t>пол</t>
  </si>
  <si>
    <t>снята гистология</t>
  </si>
  <si>
    <t>КАР_В28</t>
  </si>
  <si>
    <t>KAR_V28</t>
  </si>
  <si>
    <t>NA</t>
  </si>
  <si>
    <t>?</t>
  </si>
  <si>
    <t>нет стекла</t>
  </si>
  <si>
    <t>не снят, нет препарата</t>
  </si>
  <si>
    <t>ЖЕМ_В21</t>
  </si>
  <si>
    <t>JEM_V21</t>
  </si>
  <si>
    <t>нет срезов</t>
  </si>
  <si>
    <t>нет препарата</t>
  </si>
  <si>
    <t>ВЕС_81</t>
  </si>
  <si>
    <t>VES_81</t>
  </si>
  <si>
    <t>BTN2.2/BTN1 ?</t>
  </si>
  <si>
    <t>yes</t>
  </si>
  <si>
    <t>П.ж. - в соед. Ткани немного базоф. Клеток (как №1), но но есть крупные скопления эозинофилов в соед. Ткани между трубочками и протоками, а также в просвете трубочек. Мантия – небольшие скопления эозинофилов. Жабры – в некоторых участках скопления базофильных клеток как в №1.</t>
  </si>
  <si>
    <t>крупные базофилы, много эозинофилов, скопления в разных местах</t>
  </si>
  <si>
    <t>ТИХ_В14</t>
  </si>
  <si>
    <t>TIH_V14</t>
  </si>
  <si>
    <t>BTN2.1/BTN1 ?</t>
  </si>
  <si>
    <t>В п.ж., жабрах, мантии не очень много базоф.кл.</t>
  </si>
  <si>
    <t>Ошибка: два стекла №44 разного пола, скорее всего №44.1 повтор для №43 (промеры TIH_V14(wrong)), №44.2 – правильное стекло (промеры TIH_V14)</t>
  </si>
  <si>
    <t>44.1 – самка, базофилов немного, митозы редко, клетки крупные, цитоплазмы много; 44.2 – самец, базофилы крупные, митозов мало, цитоплазмы много, ядра круглые; скорее всего 44.1 на самом деле 43</t>
  </si>
  <si>
    <t>ЖЕМ_А4</t>
  </si>
  <si>
    <t>JEM_A4</t>
  </si>
  <si>
    <t>BTN1/BTN2.1 ?</t>
  </si>
  <si>
    <t>П.ж., жабры, мантия – очень плотно соединительная ткань заполнена базофильными клетками (№1), среди них немало эозинофильных клеток.</t>
  </si>
  <si>
    <t>хз (ж?)</t>
  </si>
  <si>
    <t>хз</t>
  </si>
  <si>
    <t>крупные базофилы, но немного, много цитоплазмы у базофилов, базофилы часто не круглые, а каплевидные, есть скопления эозинофилов</t>
  </si>
  <si>
    <t>~норма</t>
  </si>
  <si>
    <t>базофилов скорее некрупных  мало, митозов нет</t>
  </si>
  <si>
    <t>BTN1-F</t>
  </si>
  <si>
    <t>посчитано</t>
  </si>
  <si>
    <t>П.ж. - небольшие скопления базоф клеток (как в №1), жабры и мантия в норме</t>
  </si>
  <si>
    <t>скорее крупные базофилы</t>
  </si>
  <si>
    <t>П.ж., жабры, мантия – тоже самое</t>
  </si>
  <si>
    <t>базофилов не много, они скорее некрупные, митозов мало</t>
  </si>
  <si>
    <t>То же самое, но в меньшей степени</t>
  </si>
  <si>
    <t>рак с гаметами</t>
  </si>
  <si>
    <t>скорее мелкие базофилы без цитоплазмы</t>
  </si>
  <si>
    <t>не слишком много скорее крупных (разных) базофилов, часто гексагональных, митозов немного, цитоплазмы много, ядра неправильной формы</t>
  </si>
  <si>
    <t>довольно много баз.кл. В соед. Ткани п.ж., жабрах, мантии</t>
  </si>
  <si>
    <t>базофилы скорее некрупные, цитоплазмы неочень много, много эозинофилов среди базофилов, встречаются предположительно ювенилы (ядра крупнее эозинофильных)</t>
  </si>
  <si>
    <t>То же самое</t>
  </si>
  <si>
    <t>неверный масштаб снимков</t>
  </si>
  <si>
    <t>базофилов мало, митозов нет</t>
  </si>
  <si>
    <t>BTN1-M</t>
  </si>
  <si>
    <t>В мантии и жабрах в соед. Ткани большое количество эозинофильных клеток. В п.ж. немного базофильных и эозинофильных клеток.</t>
  </si>
  <si>
    <t>есть немного скорее мелких базофилов, митозы очень редко</t>
  </si>
  <si>
    <t>Норма?</t>
  </si>
  <si>
    <t>очень мало базофилов (эозинофилов и то больше) в редких очагах в мантии, базофилы крупные, с большим объемом цитоплазмы, есть митозы. Базофилы есть в протоках гонад среди сперматозоидов.</t>
  </si>
  <si>
    <t>П.ж., жабры, мантия – норма</t>
  </si>
  <si>
    <t>почти норма, есть скопления эозинофилов (в основном в жабрах), базофилы редко попадаются</t>
  </si>
  <si>
    <t>П.ж., жабры. Норма, но в жабрах "вздутия" как в №7</t>
  </si>
  <si>
    <t>Есть немного базофилов</t>
  </si>
  <si>
    <t>посчитано, но на срезах слишком маленький кусочек мантии</t>
  </si>
  <si>
    <t>Норма, п.ж., жабры (необычные "вздутия" на некоторых участках нитей), мантия</t>
  </si>
  <si>
    <t>снять еще</t>
  </si>
  <si>
    <t>норма. Базофилы (очень мало) с мелкими ядрами</t>
  </si>
  <si>
    <t>П.ж., жабры, мантия – скопления базоф. кл. (как в №1) и немного эозиноф., хороший препарат</t>
  </si>
  <si>
    <t>крупные базофилы в жабрах</t>
  </si>
  <si>
    <t>не очень много в п.ж., жабрах, мантии</t>
  </si>
  <si>
    <t>скорее некрупные (примерно как в 46) базофилы, в цитоплазме есть светлые вакуоли, митозы редко, в мышцах тоже есть базофилы</t>
  </si>
  <si>
    <t>Жабры, мантия как и №1, нет срезов п.ж.</t>
  </si>
  <si>
    <t>то же самое, но менее плотно располагаются клетки</t>
  </si>
  <si>
    <t xml:space="preserve">базофилы скорее некрупные </t>
  </si>
  <si>
    <t>очень много баз.кл. В жабрах, мантии, немного в п.ж., оч.много в мышце</t>
  </si>
  <si>
    <t>скорее некрупные базофилы, митозы редко, базофилы есть в мышцах</t>
  </si>
  <si>
    <t>К23_8</t>
  </si>
  <si>
    <t>K23_8</t>
  </si>
  <si>
    <t>п.ж. - небольшое количество в соед.ткани, базоф.клетки с  круглым, плотным, крупным ядром. Небольшой участокм мантии с плотными скоплениями д.быть эозиноф.клеток. Жабры  - немного базоф.клеток с плотным крупным ядром и эозинофильных кл. 2. П.ж., жабры то же самое, и есть округлые образования, выпуклые из эпителия с плотнорасположенными непонятными клетками. Мантия – эоз. И базоф.клетки образуют скопления и врозь</t>
  </si>
  <si>
    <t>72.1 - немного мелких базофилов, есть митозы; 72.2 – немного мелких базофилов, видимо в гонадах ацинусы пустые</t>
  </si>
  <si>
    <t>BTN1-x3</t>
  </si>
  <si>
    <t>Много мелких базофилов, бывают двухядерные, митозы единично (очень редко). Эозинофилов очень мало</t>
  </si>
  <si>
    <t>ОН_Б30</t>
  </si>
  <si>
    <t>ON_B30</t>
  </si>
  <si>
    <t>п.ж. нет на срезах, небольшой участок мантии забит базоф.клетками.  В жабрах очень много базоф. Клеток</t>
  </si>
  <si>
    <t>много скорее мелких базофилов, есть митозы</t>
  </si>
  <si>
    <t>---</t>
  </si>
  <si>
    <t>ТИХ_А10</t>
  </si>
  <si>
    <t>TIH_A10</t>
  </si>
  <si>
    <t>П.ж. - соед. Ткань между трубочками заполнена базофильными клетками (как в №1), эозинофилы тоже есть. Жабры – в основании много базофилов. Мантия – заполнена базофилами и эозинофилами.</t>
  </si>
  <si>
    <t>мелкие базофилы, есть митозы</t>
  </si>
  <si>
    <t>ТИХ_В5</t>
  </si>
  <si>
    <t>TIH_V5</t>
  </si>
  <si>
    <t>Препарат плохой, особенножабры</t>
  </si>
  <si>
    <t>базофилы скорее некрупные,  паразиты? Митозов нет, эозинофилов очень мало</t>
  </si>
  <si>
    <t>ОЛА_Б11</t>
  </si>
  <si>
    <t>OLA_B11</t>
  </si>
  <si>
    <t>В мантии много базоф.клеток, но еще больше эозинофильных, которые образуют плотные скопления (похоже на синцитий). В жабрах очень много базоф.кл. В п.ж. немного базоф.клеток (маленький участок)</t>
  </si>
  <si>
    <t>супер рак</t>
  </si>
  <si>
    <t>много мелких базофилов, митозов нет, практически нет эозинофилов</t>
  </si>
  <si>
    <t>ЖЕМ_В23</t>
  </si>
  <si>
    <t>JEM_V23</t>
  </si>
  <si>
    <t>скорее всего самка, много некрупных базофилов (мало цитоплазмы), митозы очень редкие</t>
  </si>
  <si>
    <t>ВЕС_80</t>
  </si>
  <si>
    <t>VES_80</t>
  </si>
  <si>
    <t>BTN1_Am</t>
  </si>
  <si>
    <t>Есть только жабры. В сохранившихся участках жабер плотные скопления базофильных клеток в соед. Ткани. Как в №1</t>
  </si>
  <si>
    <t>ошибка: не те файлы (51)?</t>
  </si>
  <si>
    <t>мелкие базофилы в жабрах,</t>
  </si>
  <si>
    <t>ТИХ_А21</t>
  </si>
  <si>
    <t>TIH_A21</t>
  </si>
  <si>
    <t>П.ж., жабры, мантия, ротовая лопасть – как №1, но в меньшей степени</t>
  </si>
  <si>
    <t>крупные базофилы даже в мышцах, гонад нет</t>
  </si>
  <si>
    <t>П.ж., жабры, мантия – то же самое. В мантии меньше.</t>
  </si>
  <si>
    <t>базофилов не много, они скорее некрупные, митозы единичные</t>
  </si>
  <si>
    <t>BTN2-F</t>
  </si>
  <si>
    <t>П.ж., жабры, мантия – в соед. Ткани содержатся базофильные клетки, но не "гипер"</t>
  </si>
  <si>
    <t>много (или нет?) базофилов, много митозов (меньше чем в 38), базофилы скорее крупные, цитоплазмы мало, базофилы неравномерно распределены, есть и скопления плотные</t>
  </si>
  <si>
    <t>Плохо сохранен материал. П.ж., жабры, небольшой участок мантии. В мантии небольшие скопления эозинофилов, по видимому, была норма</t>
  </si>
  <si>
    <t>переснять и перемерить</t>
  </si>
  <si>
    <t>норма? Паразиты? (голубые базофильные нити) грибы?, единичные базофилы</t>
  </si>
  <si>
    <t>посчитано, но плохой препарат</t>
  </si>
  <si>
    <t>Жабры, мантия – то же самое, п.ж. нет на срезах</t>
  </si>
  <si>
    <t>базофилы скорее крупные, митозов нет</t>
  </si>
  <si>
    <t>п.ж. - забита базоф.кл, сравнительно много митозов. Жабры и мантия – очень много базоф.клеток.</t>
  </si>
  <si>
    <t>много скорее крупных базофилов, есть митозы</t>
  </si>
  <si>
    <t>Жабры и мантия, в которых больше скопления эозинофилов и менее базофильных клеток как №1</t>
  </si>
  <si>
    <t>много эозинофилов, крупные базофилы, есть митозы много</t>
  </si>
  <si>
    <t>То же самое, на этих препаратах есть митозы</t>
  </si>
  <si>
    <t>много скорее некрупных базофилов (мало цитоплазмы), есть митозы, встретилась двухядерная клетка</t>
  </si>
  <si>
    <t xml:space="preserve">П.ж., жабры и мантия забиты баз.клетками </t>
  </si>
  <si>
    <t>умерла от рака</t>
  </si>
  <si>
    <t>много скорее некрупных базофилов, цитоплазмы мало, есть митозы</t>
  </si>
  <si>
    <t>п.ж. с большим скоплением базоф. кл. На некоторых участках соед.ткани плотно ими забита. В жабрах – базофильные и эозиноф.клетки (много). Мантия – без скоплений, по краю скопления баз.клеток</t>
  </si>
  <si>
    <t>рак с кр кл ранняя стадия</t>
  </si>
  <si>
    <t>не очень много скорее некрупных базофилов (но есть и крупные), с относительно большим объемом цитоплазмы, базофилы локализованы очень неравномрно</t>
  </si>
  <si>
    <t>BTN2-M</t>
  </si>
  <si>
    <t>Мантия – в соед.ткани базоф.кл. С круглым крупным ядром, есть скопления из эозиноф.клеток. Вэтих скоплениях клетки располагаются плотно друг к другу, ядра в них разной величины, в наиболее крупных ядрах видно ядрышко и хроматиновые глыбки. Встречаются митозы в соед. Ткани. Жабры – то же самое. П.ж. - забита этими клетками, больше эозинофильных.</t>
  </si>
  <si>
    <t>мелкие базофилы (немного), много эозинофилов, есть митозы (редко)</t>
  </si>
  <si>
    <t>В п.ж., жабрах, мантии очень много эозинофильных и базофильных клеток.</t>
  </si>
  <si>
    <t>много скорее мелких базофилов, есть скопления эозинофилов, есть митозы</t>
  </si>
  <si>
    <t>Мантия заполнена базоф. И эоз.клетками. Сравнительно много митозов. Жабры – то же, что и мантия. Также и п.ж.</t>
  </si>
  <si>
    <t>много базофилов (разные), скорее крупные, много цитоплазмы, много митозов</t>
  </si>
  <si>
    <t>К23_43</t>
  </si>
  <si>
    <t>K23_43</t>
  </si>
  <si>
    <t>П.ж., жабры, мантия. В соед тканимного базоф.клеток (но не столько как у у забитых этими клетками особей)</t>
  </si>
  <si>
    <t>П.ж. - крупные базофилы, много цитоплазмы, базофилов не много, митозы единичные. Мантия – крупные базофилы, митозы редко. Жабры – базофилы крупные, цитоплазмы много. (з стекла было)</t>
  </si>
  <si>
    <t>BTN2-x3</t>
  </si>
  <si>
    <t>К23_49</t>
  </si>
  <si>
    <t>K23_49</t>
  </si>
  <si>
    <t>Может быть самка?  Базофилов немного, митозов нет, базофилы не очень крупные, базофилы часто неправильной формы, плохо видна граница ядра</t>
  </si>
  <si>
    <t>много крупных базофилов, митозы очень редкие</t>
  </si>
  <si>
    <t>МАР2_В21</t>
  </si>
  <si>
    <t>MAR-II_V21</t>
  </si>
  <si>
    <t>П.ж., жабры, мантия – забиты базоф. Клетками</t>
  </si>
  <si>
    <t>много скорее некрупных базофилов (мало цитоплазмы), много митозов. Может быть самка?</t>
  </si>
  <si>
    <t>СВ_В3</t>
  </si>
  <si>
    <t>SV_V3</t>
  </si>
  <si>
    <t>хороший препарат, в п.ж., жабрах, мантии (небольшой участок) соед.ткань плотно забита базоф.клетками, можно рассмотреть структуру ядер, встречаются митозы. Всоед. Ткани мантии много эозинофилов</t>
  </si>
  <si>
    <t>много крупных базофилов, цитоплазмы много, есть много митозов</t>
  </si>
  <si>
    <t>ХОЛ_Г24</t>
  </si>
  <si>
    <t>HOL_G24</t>
  </si>
  <si>
    <t>П.ж. - мощное заполнение базофилами и эозинофилами. Мантия и жабры тоже заполнены этими клетками.</t>
  </si>
  <si>
    <t>крупные базофилы, есть митозы</t>
  </si>
  <si>
    <t>ПОРТ_А30</t>
  </si>
  <si>
    <t>PORT_A30</t>
  </si>
  <si>
    <t>П.ж. - есть скопления базофильных клеток, как №1 с примесью эозинофильных. В жабрах и мантии тоже.</t>
  </si>
  <si>
    <t>крупные базофилы, есть митозы, единичные двуядерные</t>
  </si>
  <si>
    <t>ОН_А20</t>
  </si>
  <si>
    <t>ON_A20</t>
  </si>
  <si>
    <t>П.ж. - между трубочками заполнена базоф. Клетками (№1), Ж. И мантии – нет.</t>
  </si>
  <si>
    <t>крупные базофилы между ацинусами</t>
  </si>
  <si>
    <t>П.ж., жабры и мантия забиты баз.клетками с разными ядрами: плотными плотными крупными и с хорошо видимой структурой. Встречаются эозинофилы (немного), встречаются митозы</t>
  </si>
  <si>
    <t>очень много базофилов (скорее некрупных), но есть и отдельные крупные (разные размеры), эозинофилов практически нет</t>
  </si>
  <si>
    <t>МАМ_А4</t>
  </si>
  <si>
    <t>MAM_A4</t>
  </si>
  <si>
    <t>32.1. В п.ж., мантии и жабрах мощные, плотные скопления базофильных клеток. (№1)</t>
  </si>
  <si>
    <t>могут быть перепутаны – 32</t>
  </si>
  <si>
    <t>очень много крупных базофилов, есть митозы</t>
  </si>
  <si>
    <t>хороший препарат, можно рассмотреть морфологию разных клеток с плотным и менее плотным ядром и др. Виды клеток. В мантии, жабрах много, но значительно реже расположены базофильные клетки (в №1 они заполняют всю соед. Ткань), в п.ж. их нет.</t>
  </si>
  <si>
    <t>Скорее круплые базофилы (цитоплазма выражена), есть митозы, двуядерные?</t>
  </si>
  <si>
    <t>ХОЛ_В21</t>
  </si>
  <si>
    <t>HOL_V21</t>
  </si>
  <si>
    <t>П.ж. забита базоф.кл. И эозиноф. В жабрах и мантии тоже очень много</t>
  </si>
  <si>
    <t>крупные базофилы, цитоплазмы много, есть митозы, в скопленях клетки гексагональные, есть скопления эозинофилов</t>
  </si>
  <si>
    <t>ОЛА_Б19</t>
  </si>
  <si>
    <t>OLA_B19</t>
  </si>
  <si>
    <t>П.ж., жабры, мантия, хороший препарат – можно рассмотреть морфологию</t>
  </si>
  <si>
    <t>рак с пузырями</t>
  </si>
  <si>
    <t>разные базофилы, есть многоядерные много, есть сегментоядерные – апоптоз?, есть фагоцитоз, нет митозов, участки инфильтрации эозинофилами, странные многоядерные штуки (фагоцитоз?)</t>
  </si>
  <si>
    <t>НЮК_В31</t>
  </si>
  <si>
    <t>NUK_V31</t>
  </si>
  <si>
    <t>В п.ж. есть базоф. Клетки, но не так много как в №33. Мантии и жабер нет.</t>
  </si>
  <si>
    <t>базофилов немного, крупные базофилы, есть митозы, нет гонад</t>
  </si>
  <si>
    <t>П.ж., жабры, мантия сильно забиты базоф. Клетками, как в №1</t>
  </si>
  <si>
    <t>крупные базофилы, есть митозы, единичные двуядерные, странные выпячивания цитоплазмы базофилов</t>
  </si>
  <si>
    <t>В п.ж., жабрах и мантии очень! Плотно заполнена соед. Ткань базофил. кл. (№1), среди них видны эозинофилы</t>
  </si>
  <si>
    <t>хз (м?)</t>
  </si>
  <si>
    <t>крупные базофилы, есть митозы, есть выпячивания цитоплазмы у базо- и эозинофилов</t>
  </si>
  <si>
    <t>ВЕС_2</t>
  </si>
  <si>
    <t>VES_2</t>
  </si>
  <si>
    <t>Норма. Материал плохо зафиксирован. П.ж., жабры, мантия.</t>
  </si>
  <si>
    <t>Мало базофилов, митозы есть, пузыри</t>
  </si>
  <si>
    <t>на срезах слишком маленький кусочек мантии</t>
  </si>
  <si>
    <t>ОЛА_Б22</t>
  </si>
  <si>
    <t>OLA_B22</t>
  </si>
  <si>
    <t>П.ж. - норма, жабер и мантии нет</t>
  </si>
  <si>
    <t>пж: есть эозинофилы, редко базофилы, прозрачные пузыри – паразиты? Есть двухъядерные гемоциты</t>
  </si>
  <si>
    <t>ВЕС_9</t>
  </si>
  <si>
    <t>VES_9</t>
  </si>
  <si>
    <t>на срезах есть жабры, То же, что и №1</t>
  </si>
  <si>
    <t>Не 59</t>
  </si>
  <si>
    <t>Скорее круплые базофилы</t>
  </si>
  <si>
    <t>ХОЛ_Г21</t>
  </si>
  <si>
    <t>HOL_G21</t>
  </si>
  <si>
    <t>П.ж., жабры, мантия, ротовая лопасть "забиты" темными базофильными клетками с круглым и овальным ядром. Ядро очень плотное, структура ядра не видна. Цитоплазмы немного. Между этими клетками находятся эозинофильные (слабо окрашены эозином) с мелким круглым ядром.</t>
  </si>
  <si>
    <t>Норма. П.ж.,мантия и жабры.</t>
  </si>
  <si>
    <t>норма, только скопления эозинофилов</t>
  </si>
  <si>
    <t>noBTN-F</t>
  </si>
  <si>
    <t>unknown</t>
  </si>
  <si>
    <t>П.ж. - в просветах желудка, некоторых трубочек, к – ка, протоках – скопления базофильных клеток (№1) и реже эозинофильных. Жабры, мантия – норма</t>
  </si>
  <si>
    <t>базофилы скорее мелкие в основном в плотных скоплениях, полунорма?</t>
  </si>
  <si>
    <t>посчитано, базофилы в скоплениях внутри трубочек пвж, ацинусы маленькие, с превителогенными ооцитами</t>
  </si>
  <si>
    <t>П.ж. в норме. В мантии немного базоф кл., а в жабрах значительное количество.</t>
  </si>
  <si>
    <t>норма? В жабрах много мелких базофилов, которые больше похожи на ювенилов с мелким ядром</t>
  </si>
  <si>
    <t>П.ж., мантия – норма. Вжабрах очень много эозиноф.клеток с мелкими ядрами.</t>
  </si>
  <si>
    <t>скорее всего норма, много эозинофилов в жабрах и много мелких базофилов с мелкими ядрами (скорее всего это ювенилы), п.ж. и гонады – норма</t>
  </si>
  <si>
    <t>П.ж., жабры, мантия – норма.</t>
  </si>
  <si>
    <t>Норма. Не снят</t>
  </si>
  <si>
    <t>Мантия – норма. п.ж. и жабер нет на срезах.</t>
  </si>
  <si>
    <t>Гермафродит?</t>
  </si>
  <si>
    <t>Норма. не снят. Не гермафродит</t>
  </si>
  <si>
    <t>1.п.ж. - норма, в мантии и жабрах, по моему больше, чем обычно эозиноф.клеток. 2. есть только мантия, в которой скопления эозиноф.клеток</t>
  </si>
  <si>
    <t>Норма. Есть только маленькие базофилы с маленьким ядром (ювенилы?) Гонады – базофилов нет, но есть скопления эозинофилов, много ооцитов разного размера, в т.ч. маленьких.</t>
  </si>
  <si>
    <t>Мантия с большим скоплением эоз. И базофильных клеток</t>
  </si>
  <si>
    <t>noBTN-M</t>
  </si>
  <si>
    <t>посчитано, на срезах сильная неоплазия</t>
  </si>
  <si>
    <t>П.ж., жабры, мантия – норма, немного скоплений эозинофилов между мужскими ацинусами.</t>
  </si>
  <si>
    <t>норма, только эозинофилы</t>
  </si>
  <si>
    <t>32.2, п.ж., мантия, жабры – норма</t>
  </si>
  <si>
    <t>мало базофилов, митозов нет, (между ацинусами гонад)</t>
  </si>
  <si>
    <t>ОЛА_А25</t>
  </si>
  <si>
    <t>OLA_A25</t>
  </si>
  <si>
    <t>рак круг кл агрегировались</t>
  </si>
  <si>
    <t>скорее всего норма, есть только мелкие базофилы с мелкими ядрами (скорее всего ювенильные)</t>
  </si>
  <si>
    <t>гонад мало на срезах</t>
  </si>
  <si>
    <t>слабый рак, засер спермиями</t>
  </si>
  <si>
    <t>Норма, немного эозинофилов и возможно ювенилов</t>
  </si>
  <si>
    <t>То же самое, кроме жабер?</t>
  </si>
  <si>
    <t>норма, эозинофилы и ювенилы немного</t>
  </si>
  <si>
    <t>то же самое</t>
  </si>
  <si>
    <t>В п.ж. единичные базоф.клетки, но вокруг желудка – скопления.</t>
  </si>
  <si>
    <t>круг кл в мантии но не в гонадах</t>
  </si>
  <si>
    <t>Почему-то мало снимков, скорее норма, базофилы часто двуядерные. Крупные клетки в мантии – скорее всего сперматоциты первого порядка, в ацинусах сперматозоидов очень мало, но зона сперматоцитов очень большая. Кроме того, попадаются 2х и 3х ядерные клетки. Может быть нарушение гаметогенеза? Или гонадный рак (но нет митозов)</t>
  </si>
  <si>
    <t>ВЕС_32</t>
  </si>
  <si>
    <t>VES_32</t>
  </si>
  <si>
    <t>strange</t>
  </si>
  <si>
    <t>Плохо сохранен материал, особенно п.ж, Похоже норма.</t>
  </si>
  <si>
    <t>плохой препарат, норма? Есть участок с мелкими базофилами паразиты?</t>
  </si>
  <si>
    <t>ВЕС_72</t>
  </si>
  <si>
    <t>VES_72</t>
  </si>
  <si>
    <t>?no</t>
  </si>
  <si>
    <t>По-моему, не профиксирован материал испорчен. Но видно, что так же как и №1, "забит" клетками с круглым плотным ядром</t>
  </si>
  <si>
    <t>Плохой препарат. Очень много скорее некрупных базофилов, митозы неразличимы (двуядерные?) Хроматин не различим совсем</t>
  </si>
  <si>
    <t>ВЕС_150</t>
  </si>
  <si>
    <t>VES_150</t>
  </si>
  <si>
    <t>П.ж., небольшой участок жабер – как и №1</t>
  </si>
  <si>
    <t>много мелких базофилов, пузыри единичные</t>
  </si>
  <si>
    <t>ВЕС_16</t>
  </si>
  <si>
    <t>VES_16</t>
  </si>
  <si>
    <t>Материал испорчен, скорее всего была норма.</t>
  </si>
  <si>
    <t>плохой препарат, не снят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</si>
</sst>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0"/>
      <color rgb="FFFF8000"/>
      <name val="Arial"/>
      <charset val="134"/>
    </font>
    <font>
      <sz val="11"/>
      <color theme="1"/>
      <name val="Calibri"/>
      <charset val="204"/>
    </font>
    <font>
      <sz val="11"/>
      <name val="Calibri"/>
      <charset val="204"/>
    </font>
    <font>
      <sz val="11"/>
      <color rgb="FFC00000"/>
      <name val="Calibri"/>
      <charset val="134"/>
    </font>
    <font>
      <sz val="10"/>
      <color rgb="FFC00000"/>
      <name val="Arial"/>
      <charset val="134"/>
    </font>
    <font>
      <sz val="10"/>
      <color rgb="FFC9211E"/>
      <name val="Arial"/>
      <charset val="134"/>
    </font>
    <font>
      <b/>
      <sz val="11"/>
      <color rgb="FFC00000"/>
      <name val="Calibri"/>
      <charset val="134"/>
    </font>
    <font>
      <sz val="11"/>
      <name val="Calibri"/>
      <charset val="20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9"/>
        <bgColor rgb="FFFFFF00"/>
      </patternFill>
    </fill>
    <fill>
      <patternFill patternType="solid">
        <fgColor rgb="FFFFC6C6"/>
        <bgColor rgb="FFFFC6C6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rgb="FFFEF2CB"/>
      </patternFill>
    </fill>
    <fill>
      <patternFill patternType="solid">
        <fgColor rgb="FFC5D3FF"/>
        <bgColor rgb="FFC5D3FF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92D050"/>
      </patternFill>
    </fill>
    <fill>
      <patternFill patternType="solid">
        <fgColor theme="9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rgb="FF92D050"/>
        <bgColor rgb="FF92D050"/>
      </patternFill>
    </fill>
    <fill>
      <patternFill patternType="solid">
        <fgColor rgb="FFFCE5CD"/>
        <bgColor rgb="FFFCE5CD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rgb="FFF6B26B"/>
      </patternFill>
    </fill>
    <fill>
      <patternFill patternType="solid">
        <fgColor rgb="FF92D050"/>
        <bgColor rgb="FFFFFF00"/>
      </patternFill>
    </fill>
    <fill>
      <patternFill patternType="solid">
        <fgColor rgb="FFA3DBFF"/>
        <bgColor rgb="FFA3DBFF"/>
      </patternFill>
    </fill>
    <fill>
      <patternFill patternType="solid">
        <fgColor rgb="FFA5A5A5"/>
        <bgColor rgb="FFA5A5A5"/>
      </patternFill>
    </fill>
    <fill>
      <patternFill patternType="solid">
        <fgColor rgb="FF93C47D"/>
        <bgColor rgb="FF93C47D"/>
      </patternFill>
    </fill>
    <fill>
      <patternFill patternType="solid">
        <fgColor rgb="FFDC3939"/>
        <bgColor rgb="FFDC3939"/>
      </patternFill>
    </fill>
    <fill>
      <patternFill patternType="solid">
        <fgColor rgb="FFB7B7B7"/>
        <bgColor rgb="FFB7B7B7"/>
      </patternFill>
    </fill>
    <fill>
      <patternFill patternType="solid">
        <fgColor rgb="FF227ACB"/>
        <bgColor rgb="FF227ACB"/>
      </patternFill>
    </fill>
    <fill>
      <patternFill patternType="solid">
        <fgColor theme="0"/>
        <bgColor theme="0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7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8" borderId="14" applyNumberFormat="0" applyAlignment="0" applyProtection="0">
      <alignment vertical="center"/>
    </xf>
    <xf numFmtId="0" fontId="22" fillId="29" borderId="15" applyNumberFormat="0" applyAlignment="0" applyProtection="0">
      <alignment vertical="center"/>
    </xf>
    <xf numFmtId="0" fontId="23" fillId="29" borderId="14" applyNumberFormat="0" applyAlignment="0" applyProtection="0">
      <alignment vertical="center"/>
    </xf>
    <xf numFmtId="0" fontId="24" fillId="30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1" fillId="52" borderId="0" applyNumberFormat="0" applyBorder="0" applyAlignment="0" applyProtection="0">
      <alignment vertical="center"/>
    </xf>
    <xf numFmtId="0" fontId="30" fillId="53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</cellStyleXfs>
  <cellXfs count="104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1" fillId="2" borderId="1" xfId="0" applyFont="1" applyFill="1" applyBorder="1"/>
    <xf numFmtId="0" fontId="1" fillId="0" borderId="2" xfId="0" applyFont="1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3" xfId="0" applyFont="1" applyFill="1" applyBorder="1"/>
    <xf numFmtId="0" fontId="1" fillId="4" borderId="4" xfId="0" applyFont="1" applyFill="1" applyBorder="1"/>
    <xf numFmtId="0" fontId="1" fillId="3" borderId="5" xfId="0" applyFont="1" applyFill="1" applyBorder="1"/>
    <xf numFmtId="0" fontId="1" fillId="4" borderId="6" xfId="0" applyFont="1" applyFill="1" applyBorder="1"/>
    <xf numFmtId="0" fontId="1" fillId="0" borderId="7" xfId="0" applyFont="1" applyBorder="1"/>
    <xf numFmtId="0" fontId="2" fillId="0" borderId="7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3" borderId="8" xfId="0" applyFont="1" applyFill="1" applyBorder="1"/>
    <xf numFmtId="0" fontId="1" fillId="5" borderId="1" xfId="0" applyFont="1" applyFill="1" applyBorder="1"/>
    <xf numFmtId="0" fontId="1" fillId="6" borderId="3" xfId="0" applyFont="1" applyFill="1" applyBorder="1"/>
    <xf numFmtId="0" fontId="1" fillId="7" borderId="4" xfId="0" applyFont="1" applyFill="1" applyBorder="1"/>
    <xf numFmtId="0" fontId="1" fillId="6" borderId="5" xfId="0" applyFont="1" applyFill="1" applyBorder="1"/>
    <xf numFmtId="0" fontId="1" fillId="8" borderId="4" xfId="0" applyFont="1" applyFill="1" applyBorder="1"/>
    <xf numFmtId="0" fontId="4" fillId="9" borderId="0" xfId="0" applyFont="1" applyFill="1"/>
    <xf numFmtId="0" fontId="1" fillId="10" borderId="0" xfId="0" applyFont="1" applyFill="1" applyBorder="1" applyAlignment="1">
      <alignment wrapText="1"/>
    </xf>
    <xf numFmtId="0" fontId="1" fillId="11" borderId="4" xfId="0" applyFont="1" applyFill="1" applyBorder="1"/>
    <xf numFmtId="0" fontId="1" fillId="12" borderId="4" xfId="0" applyFont="1" applyFill="1" applyBorder="1"/>
    <xf numFmtId="0" fontId="1" fillId="2" borderId="4" xfId="0" applyFont="1" applyFill="1" applyBorder="1"/>
    <xf numFmtId="0" fontId="5" fillId="0" borderId="0" xfId="0" applyFont="1"/>
    <xf numFmtId="0" fontId="1" fillId="11" borderId="6" xfId="0" applyFont="1" applyFill="1" applyBorder="1"/>
    <xf numFmtId="0" fontId="1" fillId="6" borderId="8" xfId="0" applyFont="1" applyFill="1" applyBorder="1"/>
    <xf numFmtId="0" fontId="6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13" borderId="0" xfId="0" applyFont="1" applyFill="1" applyBorder="1"/>
    <xf numFmtId="0" fontId="1" fillId="14" borderId="1" xfId="0" applyFont="1" applyFill="1" applyBorder="1"/>
    <xf numFmtId="0" fontId="1" fillId="13" borderId="3" xfId="0" applyFont="1" applyFill="1" applyBorder="1"/>
    <xf numFmtId="0" fontId="1" fillId="15" borderId="4" xfId="0" applyFont="1" applyFill="1" applyBorder="1"/>
    <xf numFmtId="0" fontId="1" fillId="13" borderId="5" xfId="0" applyFont="1" applyFill="1" applyBorder="1"/>
    <xf numFmtId="0" fontId="4" fillId="9" borderId="0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1" fillId="13" borderId="8" xfId="0" applyFont="1" applyFill="1" applyBorder="1"/>
    <xf numFmtId="0" fontId="5" fillId="4" borderId="1" xfId="0" applyFont="1" applyFill="1" applyBorder="1"/>
    <xf numFmtId="0" fontId="1" fillId="16" borderId="3" xfId="0" applyFont="1" applyFill="1" applyBorder="1" applyAlignment="1">
      <alignment wrapText="1"/>
    </xf>
    <xf numFmtId="0" fontId="5" fillId="17" borderId="4" xfId="0" applyFont="1" applyFill="1" applyBorder="1"/>
    <xf numFmtId="0" fontId="1" fillId="16" borderId="5" xfId="0" applyFont="1" applyFill="1" applyBorder="1" applyAlignment="1">
      <alignment wrapText="1"/>
    </xf>
    <xf numFmtId="0" fontId="5" fillId="12" borderId="4" xfId="0" applyFont="1" applyFill="1" applyBorder="1"/>
    <xf numFmtId="0" fontId="5" fillId="4" borderId="4" xfId="0" applyFont="1" applyFill="1" applyBorder="1"/>
    <xf numFmtId="0" fontId="1" fillId="16" borderId="8" xfId="0" applyFont="1" applyFill="1" applyBorder="1" applyAlignment="1">
      <alignment wrapText="1"/>
    </xf>
    <xf numFmtId="0" fontId="1" fillId="18" borderId="1" xfId="0" applyFont="1" applyFill="1" applyBorder="1"/>
    <xf numFmtId="0" fontId="1" fillId="19" borderId="3" xfId="0" applyFont="1" applyFill="1" applyBorder="1" applyAlignment="1">
      <alignment wrapText="1"/>
    </xf>
    <xf numFmtId="0" fontId="1" fillId="14" borderId="4" xfId="0" applyFont="1" applyFill="1" applyBorder="1"/>
    <xf numFmtId="0" fontId="1" fillId="19" borderId="5" xfId="0" applyFont="1" applyFill="1" applyBorder="1" applyAlignment="1">
      <alignment wrapText="1"/>
    </xf>
    <xf numFmtId="0" fontId="1" fillId="14" borderId="6" xfId="0" applyFont="1" applyFill="1" applyBorder="1"/>
    <xf numFmtId="0" fontId="1" fillId="19" borderId="8" xfId="0" applyFont="1" applyFill="1" applyBorder="1" applyAlignment="1">
      <alignment wrapText="1"/>
    </xf>
    <xf numFmtId="0" fontId="7" fillId="0" borderId="0" xfId="0" applyFont="1"/>
    <xf numFmtId="0" fontId="6" fillId="20" borderId="0" xfId="0" applyFont="1" applyFill="1" applyBorder="1"/>
    <xf numFmtId="0" fontId="1" fillId="8" borderId="1" xfId="0" applyFont="1" applyFill="1" applyBorder="1"/>
    <xf numFmtId="0" fontId="1" fillId="20" borderId="3" xfId="0" applyFont="1" applyFill="1" applyBorder="1"/>
    <xf numFmtId="0" fontId="1" fillId="20" borderId="5" xfId="0" applyFont="1" applyFill="1" applyBorder="1"/>
    <xf numFmtId="0" fontId="8" fillId="0" borderId="0" xfId="0" applyFont="1" applyAlignment="1">
      <alignment wrapText="1"/>
    </xf>
    <xf numFmtId="0" fontId="1" fillId="9" borderId="0" xfId="0" applyFont="1" applyFill="1"/>
    <xf numFmtId="0" fontId="1" fillId="0" borderId="0" xfId="0" applyFont="1" applyFill="1" applyBorder="1"/>
    <xf numFmtId="0" fontId="1" fillId="20" borderId="8" xfId="0" applyFont="1" applyFill="1" applyBorder="1"/>
    <xf numFmtId="0" fontId="1" fillId="21" borderId="1" xfId="0" applyFont="1" applyFill="1" applyBorder="1"/>
    <xf numFmtId="0" fontId="2" fillId="0" borderId="2" xfId="0" applyFont="1" applyBorder="1"/>
    <xf numFmtId="0" fontId="1" fillId="22" borderId="3" xfId="0" applyFont="1" applyFill="1" applyBorder="1" applyAlignment="1">
      <alignment wrapText="1"/>
    </xf>
    <xf numFmtId="0" fontId="1" fillId="23" borderId="4" xfId="0" applyFont="1" applyFill="1" applyBorder="1"/>
    <xf numFmtId="0" fontId="9" fillId="0" borderId="0" xfId="0" applyFont="1"/>
    <xf numFmtId="0" fontId="1" fillId="22" borderId="5" xfId="0" applyFont="1" applyFill="1" applyBorder="1" applyAlignment="1">
      <alignment wrapText="1"/>
    </xf>
    <xf numFmtId="0" fontId="1" fillId="21" borderId="4" xfId="0" applyFont="1" applyFill="1" applyBorder="1"/>
    <xf numFmtId="0" fontId="1" fillId="21" borderId="6" xfId="0" applyFont="1" applyFill="1" applyBorder="1"/>
    <xf numFmtId="0" fontId="2" fillId="0" borderId="7" xfId="0" applyFont="1" applyBorder="1"/>
    <xf numFmtId="0" fontId="1" fillId="22" borderId="8" xfId="0" applyFont="1" applyFill="1" applyBorder="1" applyAlignment="1">
      <alignment wrapText="1"/>
    </xf>
    <xf numFmtId="0" fontId="1" fillId="23" borderId="1" xfId="0" applyFont="1" applyFill="1" applyBorder="1"/>
    <xf numFmtId="0" fontId="6" fillId="24" borderId="3" xfId="0" applyFont="1" applyFill="1" applyBorder="1" applyAlignment="1">
      <alignment wrapText="1"/>
    </xf>
    <xf numFmtId="0" fontId="1" fillId="24" borderId="5" xfId="0" applyFont="1" applyFill="1" applyBorder="1" applyAlignment="1">
      <alignment wrapText="1"/>
    </xf>
    <xf numFmtId="0" fontId="6" fillId="25" borderId="4" xfId="0" applyFont="1" applyFill="1" applyBorder="1"/>
    <xf numFmtId="0" fontId="1" fillId="26" borderId="7" xfId="0" applyFont="1" applyFill="1" applyBorder="1" applyAlignment="1">
      <alignment wrapText="1"/>
    </xf>
    <xf numFmtId="0" fontId="1" fillId="24" borderId="8" xfId="0" applyFont="1" applyFill="1" applyBorder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0" fontId="0" fillId="0" borderId="0" xfId="0" applyFont="1" applyBorder="1" applyAlignment="1"/>
    <xf numFmtId="0" fontId="10" fillId="0" borderId="0" xfId="0" applyFont="1" applyFill="1" applyBorder="1" applyAlignment="1"/>
    <xf numFmtId="0" fontId="1" fillId="0" borderId="0" xfId="0" applyFont="1" applyBorder="1" applyAlignment="1">
      <alignment wrapText="1" readingOrder="1"/>
    </xf>
    <xf numFmtId="0" fontId="1" fillId="0" borderId="0" xfId="0" applyFont="1" applyBorder="1" applyAlignment="1">
      <alignment wrapText="1"/>
    </xf>
    <xf numFmtId="0" fontId="0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" fillId="0" borderId="0" xfId="0" applyFont="1" applyBorder="1"/>
    <xf numFmtId="0" fontId="0" fillId="0" borderId="0" xfId="0" applyFill="1" applyBorder="1" applyAlignment="1"/>
    <xf numFmtId="0" fontId="0" fillId="0" borderId="0" xfId="0" applyFont="1" applyBorder="1"/>
    <xf numFmtId="0" fontId="5" fillId="0" borderId="0" xfId="0" applyFont="1" applyFill="1" applyBorder="1"/>
    <xf numFmtId="0" fontId="11" fillId="0" borderId="0" xfId="0" applyFont="1" applyBorder="1"/>
    <xf numFmtId="2" fontId="1" fillId="0" borderId="0" xfId="0" applyNumberFormat="1" applyFont="1" applyBorder="1"/>
    <xf numFmtId="0" fontId="12" fillId="0" borderId="0" xfId="0" applyFont="1" applyBorder="1" applyAlignment="1"/>
    <xf numFmtId="0" fontId="4" fillId="0" borderId="0" xfId="0" applyFont="1" applyBorder="1" applyAlignment="1">
      <alignment wrapText="1" readingOrder="1"/>
    </xf>
    <xf numFmtId="0" fontId="1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Border="1"/>
    <xf numFmtId="0" fontId="12" fillId="0" borderId="0" xfId="0" applyFont="1" applyBorder="1"/>
    <xf numFmtId="0" fontId="1" fillId="0" borderId="0" xfId="0" applyFont="1" applyBorder="1" quotePrefix="1"/>
    <xf numFmtId="0" fontId="4" fillId="9" borderId="0" xfId="0" applyFont="1" applyFill="1" applyBorder="1" quotePrefix="1"/>
    <xf numFmtId="0" fontId="1" fillId="9" borderId="0" xfId="0" applyFont="1" applyFill="1" quotePrefix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tabSelected="1" zoomScale="85" zoomScaleNormal="85" workbookViewId="0">
      <selection activeCell="D51" sqref="D51"/>
    </sheetView>
  </sheetViews>
  <sheetFormatPr defaultColWidth="14.4259259259259" defaultRowHeight="15" customHeight="1"/>
  <cols>
    <col min="1" max="4" width="14.7777777777778" style="84" customWidth="1"/>
    <col min="5" max="5" width="15.712962962963" style="85" customWidth="1"/>
    <col min="6" max="6" width="14.1388888888889" style="84" customWidth="1"/>
    <col min="7" max="8" width="11.8518518518519" style="84" customWidth="1"/>
    <col min="9" max="12" width="8.71296296296296" style="84" customWidth="1"/>
    <col min="13" max="13" width="72" style="86" customWidth="1"/>
    <col min="14" max="15" width="11.4259259259259" style="84" hidden="1" customWidth="1"/>
    <col min="16" max="16" width="8.71296296296296" style="84" hidden="1" customWidth="1"/>
    <col min="17" max="17" width="10.1388888888889" style="84" hidden="1" customWidth="1"/>
    <col min="18" max="18" width="15" style="84" hidden="1" customWidth="1"/>
    <col min="19" max="19" width="13.287037037037" style="84" customWidth="1"/>
    <col min="20" max="20" width="11.1388888888889" style="84" customWidth="1"/>
    <col min="21" max="21" width="8.71296296296296" style="84" customWidth="1"/>
    <col min="22" max="22" width="11.712962962963" style="84" customWidth="1"/>
    <col min="23" max="23" width="13.4259259259259" style="84" customWidth="1"/>
    <col min="24" max="29" width="8.71296296296296" style="84" customWidth="1"/>
    <col min="30" max="16384" width="14.4259259259259" style="84"/>
  </cols>
  <sheetData>
    <row r="1" ht="57.6" spans="1:24">
      <c r="A1" s="87" t="s">
        <v>0</v>
      </c>
      <c r="B1" s="87" t="s">
        <v>1</v>
      </c>
      <c r="C1" s="88" t="s">
        <v>2</v>
      </c>
      <c r="D1" s="88" t="s">
        <v>3</v>
      </c>
      <c r="E1" s="89" t="s">
        <v>4</v>
      </c>
      <c r="F1" s="87" t="s">
        <v>5</v>
      </c>
      <c r="G1" s="87" t="s">
        <v>6</v>
      </c>
      <c r="H1" s="87" t="s">
        <v>7</v>
      </c>
      <c r="I1" s="90" t="s">
        <v>8</v>
      </c>
      <c r="J1" s="87" t="s">
        <v>9</v>
      </c>
      <c r="K1" s="87" t="s">
        <v>10</v>
      </c>
      <c r="L1" s="87" t="s">
        <v>11</v>
      </c>
      <c r="M1" s="86" t="s">
        <v>12</v>
      </c>
      <c r="N1" s="91" t="s">
        <v>13</v>
      </c>
      <c r="O1" s="91" t="s">
        <v>14</v>
      </c>
      <c r="P1" s="87" t="s">
        <v>15</v>
      </c>
      <c r="Q1" s="87" t="s">
        <v>16</v>
      </c>
      <c r="R1" s="87" t="s">
        <v>17</v>
      </c>
      <c r="S1" s="91" t="s">
        <v>18</v>
      </c>
      <c r="T1" s="91" t="s">
        <v>19</v>
      </c>
      <c r="U1" s="87" t="s">
        <v>20</v>
      </c>
      <c r="V1" s="87" t="s">
        <v>21</v>
      </c>
      <c r="W1" s="87" t="s">
        <v>22</v>
      </c>
      <c r="X1" s="87" t="s">
        <v>23</v>
      </c>
    </row>
    <row r="2" ht="48" customHeight="1" spans="1:24">
      <c r="A2" s="92" t="s">
        <v>24</v>
      </c>
      <c r="B2" s="92">
        <v>2023</v>
      </c>
      <c r="C2" s="93" t="s">
        <v>25</v>
      </c>
      <c r="D2" s="94" t="s">
        <v>26</v>
      </c>
      <c r="E2" s="95" t="s">
        <v>27</v>
      </c>
      <c r="F2" s="94" t="s">
        <v>28</v>
      </c>
      <c r="G2" s="94" t="s">
        <v>29</v>
      </c>
      <c r="H2" s="94" t="s">
        <v>30</v>
      </c>
      <c r="I2" s="94">
        <v>90</v>
      </c>
      <c r="J2" s="94" t="s">
        <v>31</v>
      </c>
      <c r="K2" s="94" t="s">
        <v>31</v>
      </c>
      <c r="L2" s="94">
        <v>1</v>
      </c>
      <c r="M2" s="86" t="s">
        <v>32</v>
      </c>
      <c r="N2" s="96">
        <v>1928</v>
      </c>
      <c r="O2" s="96">
        <v>162</v>
      </c>
      <c r="P2" s="94">
        <v>5</v>
      </c>
      <c r="Q2" s="94" t="s">
        <v>33</v>
      </c>
      <c r="R2" s="94" t="s">
        <v>34</v>
      </c>
      <c r="S2" s="96">
        <v>1978</v>
      </c>
      <c r="T2" s="96">
        <v>75</v>
      </c>
      <c r="U2" s="94">
        <v>5</v>
      </c>
      <c r="V2" s="94" t="s">
        <v>33</v>
      </c>
      <c r="W2" s="94" t="s">
        <v>35</v>
      </c>
      <c r="X2" s="97">
        <f>T2/(S2+T2)</f>
        <v>0.0365319045299562</v>
      </c>
    </row>
    <row r="3" ht="48.75" customHeight="1" spans="1:24">
      <c r="A3" s="92" t="s">
        <v>24</v>
      </c>
      <c r="B3" s="92">
        <v>2023</v>
      </c>
      <c r="C3" s="93" t="s">
        <v>25</v>
      </c>
      <c r="D3" s="94" t="s">
        <v>36</v>
      </c>
      <c r="E3" s="95" t="s">
        <v>37</v>
      </c>
      <c r="F3" s="94" t="s">
        <v>38</v>
      </c>
      <c r="G3" s="94" t="s">
        <v>39</v>
      </c>
      <c r="H3" s="94" t="s">
        <v>39</v>
      </c>
      <c r="I3" s="94">
        <v>13</v>
      </c>
      <c r="J3" s="94" t="s">
        <v>31</v>
      </c>
      <c r="K3" s="94" t="s">
        <v>31</v>
      </c>
      <c r="L3" s="94"/>
      <c r="M3" s="86" t="s">
        <v>40</v>
      </c>
      <c r="N3" s="96">
        <v>654</v>
      </c>
      <c r="O3" s="96">
        <v>960</v>
      </c>
      <c r="P3" s="94">
        <v>4</v>
      </c>
      <c r="Q3" s="94" t="s">
        <v>33</v>
      </c>
      <c r="R3" s="94" t="s">
        <v>34</v>
      </c>
      <c r="S3" s="96">
        <v>490</v>
      </c>
      <c r="T3" s="96">
        <v>641</v>
      </c>
      <c r="U3" s="94">
        <v>3</v>
      </c>
      <c r="V3" s="94" t="s">
        <v>33</v>
      </c>
      <c r="W3" s="94" t="s">
        <v>35</v>
      </c>
      <c r="X3" s="97">
        <f t="shared" ref="X3:X50" si="0">T3/(S3+T3)</f>
        <v>0.566755083996463</v>
      </c>
    </row>
    <row r="4" ht="54.75" customHeight="1" spans="1:24">
      <c r="A4" s="92" t="s">
        <v>24</v>
      </c>
      <c r="B4" s="92">
        <v>2023</v>
      </c>
      <c r="C4" s="93" t="s">
        <v>41</v>
      </c>
      <c r="D4" s="94" t="s">
        <v>42</v>
      </c>
      <c r="E4" s="95" t="s">
        <v>43</v>
      </c>
      <c r="F4" s="94" t="s">
        <v>44</v>
      </c>
      <c r="G4" s="94" t="s">
        <v>39</v>
      </c>
      <c r="H4" s="94" t="s">
        <v>39</v>
      </c>
      <c r="I4" s="94">
        <v>98</v>
      </c>
      <c r="J4" s="94" t="s">
        <v>45</v>
      </c>
      <c r="K4" s="94" t="s">
        <v>45</v>
      </c>
      <c r="L4" s="94"/>
      <c r="M4" s="86" t="s">
        <v>46</v>
      </c>
      <c r="N4" s="96">
        <v>735</v>
      </c>
      <c r="O4" s="96">
        <v>56</v>
      </c>
      <c r="P4" s="94">
        <v>2</v>
      </c>
      <c r="Q4" s="94" t="s">
        <v>33</v>
      </c>
      <c r="R4" s="94" t="s">
        <v>47</v>
      </c>
      <c r="S4" s="96">
        <v>406</v>
      </c>
      <c r="T4" s="96">
        <v>12</v>
      </c>
      <c r="U4" s="94">
        <v>1</v>
      </c>
      <c r="V4" s="94" t="s">
        <v>33</v>
      </c>
      <c r="W4" s="94" t="s">
        <v>35</v>
      </c>
      <c r="X4" s="97">
        <f t="shared" si="0"/>
        <v>0.0287081339712919</v>
      </c>
    </row>
    <row r="5" ht="59.25" customHeight="1" spans="1:24">
      <c r="A5" s="92" t="s">
        <v>24</v>
      </c>
      <c r="B5" s="92">
        <v>2023</v>
      </c>
      <c r="C5" s="93" t="s">
        <v>48</v>
      </c>
      <c r="D5" s="94" t="s">
        <v>49</v>
      </c>
      <c r="E5" s="95" t="s">
        <v>50</v>
      </c>
      <c r="F5" s="94" t="s">
        <v>51</v>
      </c>
      <c r="G5" s="94" t="s">
        <v>39</v>
      </c>
      <c r="H5" s="94" t="s">
        <v>39</v>
      </c>
      <c r="I5" s="94">
        <v>77</v>
      </c>
      <c r="J5" s="94" t="s">
        <v>45</v>
      </c>
      <c r="K5" s="94" t="s">
        <v>45</v>
      </c>
      <c r="L5" s="94"/>
      <c r="M5" s="86" t="s">
        <v>52</v>
      </c>
      <c r="N5" s="96">
        <v>1550</v>
      </c>
      <c r="O5" s="96">
        <v>934</v>
      </c>
      <c r="P5" s="94">
        <v>6</v>
      </c>
      <c r="Q5" s="94" t="s">
        <v>33</v>
      </c>
      <c r="R5" s="94" t="s">
        <v>34</v>
      </c>
      <c r="S5" s="96">
        <v>983</v>
      </c>
      <c r="T5" s="96">
        <v>320</v>
      </c>
      <c r="U5" s="94">
        <v>4</v>
      </c>
      <c r="V5" s="94" t="s">
        <v>33</v>
      </c>
      <c r="W5" s="94" t="s">
        <v>35</v>
      </c>
      <c r="X5" s="97">
        <f t="shared" si="0"/>
        <v>0.245587106676899</v>
      </c>
    </row>
    <row r="6" ht="102.75" customHeight="1" spans="1:24">
      <c r="A6" s="92" t="s">
        <v>24</v>
      </c>
      <c r="B6" s="92">
        <v>2023</v>
      </c>
      <c r="C6" s="93" t="s">
        <v>53</v>
      </c>
      <c r="D6" s="94" t="s">
        <v>54</v>
      </c>
      <c r="E6" s="95" t="s">
        <v>55</v>
      </c>
      <c r="F6" s="94" t="s">
        <v>56</v>
      </c>
      <c r="G6" s="94" t="s">
        <v>39</v>
      </c>
      <c r="H6" s="94" t="s">
        <v>39</v>
      </c>
      <c r="I6" s="94">
        <v>53</v>
      </c>
      <c r="J6" s="94" t="s">
        <v>57</v>
      </c>
      <c r="K6" s="94" t="s">
        <v>45</v>
      </c>
      <c r="L6" s="94"/>
      <c r="M6" s="86" t="s">
        <v>58</v>
      </c>
      <c r="N6" s="96">
        <v>1805</v>
      </c>
      <c r="O6" s="96">
        <v>215</v>
      </c>
      <c r="P6" s="94">
        <v>5</v>
      </c>
      <c r="Q6" s="94" t="s">
        <v>33</v>
      </c>
      <c r="R6" s="94" t="s">
        <v>47</v>
      </c>
      <c r="S6" s="96">
        <v>477</v>
      </c>
      <c r="T6" s="96">
        <v>19</v>
      </c>
      <c r="U6" s="94">
        <v>2</v>
      </c>
      <c r="V6" s="94" t="s">
        <v>33</v>
      </c>
      <c r="X6" s="97">
        <f t="shared" si="0"/>
        <v>0.0383064516129032</v>
      </c>
    </row>
    <row r="7" ht="80.25" customHeight="1" spans="1:24">
      <c r="A7" s="92" t="s">
        <v>24</v>
      </c>
      <c r="B7" s="92">
        <v>2023</v>
      </c>
      <c r="C7" s="93" t="s">
        <v>53</v>
      </c>
      <c r="D7" s="94" t="s">
        <v>59</v>
      </c>
      <c r="E7" s="95" t="s">
        <v>60</v>
      </c>
      <c r="F7" s="94" t="s">
        <v>61</v>
      </c>
      <c r="G7" s="94" t="s">
        <v>29</v>
      </c>
      <c r="H7" s="94" t="s">
        <v>30</v>
      </c>
      <c r="I7" s="94">
        <v>58</v>
      </c>
      <c r="J7" s="94" t="s">
        <v>31</v>
      </c>
      <c r="K7" s="94" t="s">
        <v>31</v>
      </c>
      <c r="L7" s="94">
        <v>1</v>
      </c>
      <c r="M7" s="86" t="s">
        <v>62</v>
      </c>
      <c r="N7" s="96">
        <v>858</v>
      </c>
      <c r="O7" s="96">
        <v>396</v>
      </c>
      <c r="P7" s="94">
        <v>3</v>
      </c>
      <c r="Q7" s="94" t="s">
        <v>33</v>
      </c>
      <c r="R7" s="94" t="s">
        <v>34</v>
      </c>
      <c r="S7" s="96">
        <v>976</v>
      </c>
      <c r="T7" s="96">
        <v>209</v>
      </c>
      <c r="U7" s="94">
        <v>3</v>
      </c>
      <c r="V7" s="94" t="s">
        <v>33</v>
      </c>
      <c r="W7" s="94" t="s">
        <v>35</v>
      </c>
      <c r="X7" s="97">
        <f t="shared" si="0"/>
        <v>0.176371308016878</v>
      </c>
    </row>
    <row r="8" ht="69" customHeight="1" spans="1:24">
      <c r="A8" s="92" t="s">
        <v>24</v>
      </c>
      <c r="B8" s="92">
        <v>2023</v>
      </c>
      <c r="C8" s="93" t="s">
        <v>63</v>
      </c>
      <c r="D8" s="94" t="s">
        <v>64</v>
      </c>
      <c r="E8" s="95" t="s">
        <v>65</v>
      </c>
      <c r="F8" s="94" t="s">
        <v>66</v>
      </c>
      <c r="G8" s="94" t="s">
        <v>29</v>
      </c>
      <c r="H8" s="94" t="s">
        <v>30</v>
      </c>
      <c r="I8" s="94">
        <v>74</v>
      </c>
      <c r="J8" s="94" t="s">
        <v>45</v>
      </c>
      <c r="K8" s="94" t="s">
        <v>45</v>
      </c>
      <c r="L8" s="94"/>
      <c r="M8" s="86" t="s">
        <v>67</v>
      </c>
      <c r="N8" s="96">
        <v>1556</v>
      </c>
      <c r="O8" s="96">
        <v>101</v>
      </c>
      <c r="P8" s="94">
        <v>4</v>
      </c>
      <c r="Q8" s="94" t="s">
        <v>33</v>
      </c>
      <c r="R8" s="94" t="s">
        <v>47</v>
      </c>
      <c r="S8" s="96">
        <v>2096</v>
      </c>
      <c r="T8" s="96">
        <v>49</v>
      </c>
      <c r="U8" s="94">
        <v>6</v>
      </c>
      <c r="V8" s="94" t="s">
        <v>33</v>
      </c>
      <c r="X8" s="97">
        <f t="shared" si="0"/>
        <v>0.0228438228438228</v>
      </c>
    </row>
    <row r="9" ht="73.5" customHeight="1" spans="1:24">
      <c r="A9" s="92" t="s">
        <v>24</v>
      </c>
      <c r="B9" s="92">
        <v>2023</v>
      </c>
      <c r="C9" s="93" t="s">
        <v>68</v>
      </c>
      <c r="D9" s="94" t="s">
        <v>69</v>
      </c>
      <c r="E9" s="95" t="s">
        <v>70</v>
      </c>
      <c r="F9" s="94" t="s">
        <v>71</v>
      </c>
      <c r="G9" s="94" t="s">
        <v>39</v>
      </c>
      <c r="H9" s="94" t="s">
        <v>39</v>
      </c>
      <c r="I9" s="94">
        <v>62</v>
      </c>
      <c r="J9" s="94" t="s">
        <v>31</v>
      </c>
      <c r="K9" s="94" t="s">
        <v>31</v>
      </c>
      <c r="L9" s="94"/>
      <c r="M9" s="86" t="s">
        <v>72</v>
      </c>
      <c r="N9" s="96">
        <v>1435</v>
      </c>
      <c r="O9" s="96">
        <v>83</v>
      </c>
      <c r="P9" s="94">
        <v>4</v>
      </c>
      <c r="Q9" s="94" t="s">
        <v>33</v>
      </c>
      <c r="R9" s="94" t="s">
        <v>47</v>
      </c>
      <c r="S9" s="96">
        <v>933</v>
      </c>
      <c r="T9" s="96">
        <v>44</v>
      </c>
      <c r="U9" s="94">
        <v>5</v>
      </c>
      <c r="V9" s="94" t="s">
        <v>33</v>
      </c>
      <c r="X9" s="97">
        <f t="shared" si="0"/>
        <v>0.04503582395087</v>
      </c>
    </row>
    <row r="10" ht="61.5" customHeight="1" spans="1:24">
      <c r="A10" s="92" t="s">
        <v>24</v>
      </c>
      <c r="B10" s="92">
        <v>2023</v>
      </c>
      <c r="C10" s="93" t="s">
        <v>68</v>
      </c>
      <c r="D10" s="94" t="s">
        <v>73</v>
      </c>
      <c r="E10" s="95" t="s">
        <v>74</v>
      </c>
      <c r="F10" s="94" t="s">
        <v>75</v>
      </c>
      <c r="G10" s="94" t="s">
        <v>39</v>
      </c>
      <c r="H10" s="94" t="s">
        <v>39</v>
      </c>
      <c r="I10" s="94">
        <v>94</v>
      </c>
      <c r="J10" s="94" t="s">
        <v>31</v>
      </c>
      <c r="K10" s="94" t="s">
        <v>31</v>
      </c>
      <c r="L10" s="94">
        <v>1</v>
      </c>
      <c r="M10" s="86" t="s">
        <v>76</v>
      </c>
      <c r="N10" s="96">
        <v>1330</v>
      </c>
      <c r="O10" s="96">
        <v>51</v>
      </c>
      <c r="P10" s="94">
        <v>4</v>
      </c>
      <c r="Q10" s="94" t="s">
        <v>33</v>
      </c>
      <c r="R10" s="94" t="s">
        <v>47</v>
      </c>
      <c r="S10" s="96">
        <v>917</v>
      </c>
      <c r="T10" s="96">
        <v>32</v>
      </c>
      <c r="U10" s="94">
        <v>4</v>
      </c>
      <c r="V10" s="94" t="s">
        <v>33</v>
      </c>
      <c r="X10" s="97">
        <f t="shared" si="0"/>
        <v>0.0337197049525817</v>
      </c>
    </row>
    <row r="11" ht="69.75" customHeight="1" spans="1:24">
      <c r="A11" s="92" t="s">
        <v>24</v>
      </c>
      <c r="B11" s="92">
        <v>2023</v>
      </c>
      <c r="C11" s="93" t="s">
        <v>68</v>
      </c>
      <c r="D11" s="94" t="s">
        <v>77</v>
      </c>
      <c r="E11" s="95" t="s">
        <v>78</v>
      </c>
      <c r="F11" s="94" t="s">
        <v>79</v>
      </c>
      <c r="G11" s="94" t="s">
        <v>39</v>
      </c>
      <c r="H11" s="94" t="s">
        <v>39</v>
      </c>
      <c r="I11" s="94">
        <v>50</v>
      </c>
      <c r="J11" s="94" t="s">
        <v>31</v>
      </c>
      <c r="K11" s="94" t="s">
        <v>31</v>
      </c>
      <c r="L11" s="94"/>
      <c r="M11" s="86" t="s">
        <v>80</v>
      </c>
      <c r="N11" s="96">
        <v>1086</v>
      </c>
      <c r="O11" s="96">
        <v>146</v>
      </c>
      <c r="P11" s="94">
        <v>3</v>
      </c>
      <c r="Q11" s="94" t="s">
        <v>33</v>
      </c>
      <c r="R11" s="94" t="s">
        <v>34</v>
      </c>
      <c r="S11" s="96">
        <v>887</v>
      </c>
      <c r="T11" s="96">
        <v>135</v>
      </c>
      <c r="U11" s="94">
        <v>3</v>
      </c>
      <c r="V11" s="94" t="s">
        <v>33</v>
      </c>
      <c r="W11" s="94" t="s">
        <v>35</v>
      </c>
      <c r="X11" s="97">
        <f t="shared" si="0"/>
        <v>0.132093933463796</v>
      </c>
    </row>
    <row r="12" ht="68.25" customHeight="1" spans="1:24">
      <c r="A12" s="92" t="s">
        <v>24</v>
      </c>
      <c r="B12" s="92">
        <v>2023</v>
      </c>
      <c r="C12" s="93" t="s">
        <v>81</v>
      </c>
      <c r="D12" s="92" t="s">
        <v>82</v>
      </c>
      <c r="E12" s="95" t="s">
        <v>83</v>
      </c>
      <c r="F12" s="92" t="s">
        <v>84</v>
      </c>
      <c r="G12" s="94" t="s">
        <v>85</v>
      </c>
      <c r="H12" s="94" t="s">
        <v>30</v>
      </c>
      <c r="I12" s="94">
        <v>69</v>
      </c>
      <c r="J12" s="94" t="s">
        <v>45</v>
      </c>
      <c r="K12" s="94" t="s">
        <v>45</v>
      </c>
      <c r="L12" s="94"/>
      <c r="M12" s="86" t="s">
        <v>67</v>
      </c>
      <c r="N12" s="96">
        <v>1275</v>
      </c>
      <c r="O12" s="96">
        <v>27</v>
      </c>
      <c r="P12" s="94">
        <v>4</v>
      </c>
      <c r="Q12" s="94" t="s">
        <v>33</v>
      </c>
      <c r="R12" s="94" t="s">
        <v>47</v>
      </c>
      <c r="S12" s="96">
        <v>407</v>
      </c>
      <c r="T12" s="96">
        <v>11</v>
      </c>
      <c r="U12" s="94">
        <v>1</v>
      </c>
      <c r="V12" s="94" t="s">
        <v>33</v>
      </c>
      <c r="X12" s="97">
        <f t="shared" si="0"/>
        <v>0.0263157894736842</v>
      </c>
    </row>
    <row r="13" ht="46.5" customHeight="1" spans="1:24">
      <c r="A13" s="92" t="s">
        <v>24</v>
      </c>
      <c r="B13" s="92">
        <v>2023</v>
      </c>
      <c r="C13" s="93" t="s">
        <v>86</v>
      </c>
      <c r="D13" s="94" t="s">
        <v>87</v>
      </c>
      <c r="E13" s="95" t="s">
        <v>88</v>
      </c>
      <c r="F13" s="94" t="s">
        <v>89</v>
      </c>
      <c r="G13" s="94" t="s">
        <v>90</v>
      </c>
      <c r="H13" s="94" t="s">
        <v>90</v>
      </c>
      <c r="I13" s="94">
        <v>0</v>
      </c>
      <c r="J13" s="94" t="s">
        <v>45</v>
      </c>
      <c r="K13" s="94" t="s">
        <v>45</v>
      </c>
      <c r="L13" s="94"/>
      <c r="M13" s="86" t="s">
        <v>91</v>
      </c>
      <c r="N13" s="96">
        <v>258</v>
      </c>
      <c r="O13" s="96">
        <v>1745</v>
      </c>
      <c r="P13" s="94">
        <v>5</v>
      </c>
      <c r="Q13" s="94" t="s">
        <v>33</v>
      </c>
      <c r="R13" s="94" t="s">
        <v>34</v>
      </c>
      <c r="S13" s="96">
        <v>292</v>
      </c>
      <c r="T13" s="96">
        <v>1487</v>
      </c>
      <c r="U13" s="94">
        <v>5</v>
      </c>
      <c r="V13" s="94" t="s">
        <v>33</v>
      </c>
      <c r="W13" s="94" t="s">
        <v>35</v>
      </c>
      <c r="X13" s="97">
        <f t="shared" si="0"/>
        <v>0.835862844294547</v>
      </c>
    </row>
    <row r="14" ht="45.75" customHeight="1" spans="1:24">
      <c r="A14" s="92" t="s">
        <v>24</v>
      </c>
      <c r="B14" s="92">
        <v>2023</v>
      </c>
      <c r="C14" s="93" t="s">
        <v>92</v>
      </c>
      <c r="D14" s="92" t="s">
        <v>93</v>
      </c>
      <c r="E14" s="95" t="s">
        <v>94</v>
      </c>
      <c r="F14" s="92" t="s">
        <v>95</v>
      </c>
      <c r="G14" s="94" t="s">
        <v>39</v>
      </c>
      <c r="H14" s="94" t="s">
        <v>39</v>
      </c>
      <c r="I14" s="94">
        <v>12</v>
      </c>
      <c r="J14" s="94" t="s">
        <v>31</v>
      </c>
      <c r="K14" s="94" t="s">
        <v>31</v>
      </c>
      <c r="L14" s="94"/>
      <c r="M14" s="86" t="s">
        <v>96</v>
      </c>
      <c r="N14" s="96">
        <v>606</v>
      </c>
      <c r="O14" s="96">
        <v>1066</v>
      </c>
      <c r="P14" s="94">
        <v>4</v>
      </c>
      <c r="Q14" s="94" t="s">
        <v>33</v>
      </c>
      <c r="R14" s="94" t="s">
        <v>34</v>
      </c>
      <c r="S14" s="96">
        <v>472</v>
      </c>
      <c r="T14" s="96">
        <v>1187</v>
      </c>
      <c r="U14" s="94">
        <v>4</v>
      </c>
      <c r="V14" s="94" t="s">
        <v>33</v>
      </c>
      <c r="W14" s="94" t="s">
        <v>35</v>
      </c>
      <c r="X14" s="97">
        <f t="shared" si="0"/>
        <v>0.715491259795057</v>
      </c>
    </row>
    <row r="15" ht="69.75" customHeight="1" spans="1:24">
      <c r="A15" s="92" t="s">
        <v>24</v>
      </c>
      <c r="B15" s="92">
        <v>2023</v>
      </c>
      <c r="C15" s="93" t="s">
        <v>92</v>
      </c>
      <c r="D15" s="92" t="s">
        <v>49</v>
      </c>
      <c r="E15" s="95" t="s">
        <v>97</v>
      </c>
      <c r="F15" s="92" t="s">
        <v>98</v>
      </c>
      <c r="G15" s="94" t="s">
        <v>29</v>
      </c>
      <c r="H15" s="94" t="s">
        <v>30</v>
      </c>
      <c r="I15" s="94">
        <v>67</v>
      </c>
      <c r="J15" s="94" t="s">
        <v>31</v>
      </c>
      <c r="K15" s="94" t="s">
        <v>31</v>
      </c>
      <c r="L15" s="94">
        <v>1</v>
      </c>
      <c r="M15" s="86" t="s">
        <v>99</v>
      </c>
      <c r="N15" s="96">
        <v>1780</v>
      </c>
      <c r="O15" s="96">
        <v>688</v>
      </c>
      <c r="P15" s="94">
        <v>6</v>
      </c>
      <c r="Q15" s="94" t="s">
        <v>33</v>
      </c>
      <c r="R15" s="94" t="s">
        <v>34</v>
      </c>
      <c r="S15" s="96">
        <v>1677</v>
      </c>
      <c r="T15" s="96">
        <v>402</v>
      </c>
      <c r="U15" s="94">
        <v>5</v>
      </c>
      <c r="V15" s="94" t="s">
        <v>33</v>
      </c>
      <c r="W15" s="94" t="s">
        <v>35</v>
      </c>
      <c r="X15" s="97">
        <f t="shared" si="0"/>
        <v>0.193362193362193</v>
      </c>
    </row>
    <row r="16" ht="71.25" customHeight="1" spans="1:24">
      <c r="A16" s="92" t="s">
        <v>24</v>
      </c>
      <c r="B16" s="92">
        <v>2023</v>
      </c>
      <c r="C16" s="93" t="s">
        <v>100</v>
      </c>
      <c r="D16" s="92" t="s">
        <v>101</v>
      </c>
      <c r="E16" s="95" t="s">
        <v>102</v>
      </c>
      <c r="F16" s="92" t="s">
        <v>103</v>
      </c>
      <c r="G16" s="94" t="s">
        <v>39</v>
      </c>
      <c r="H16" s="94" t="s">
        <v>39</v>
      </c>
      <c r="I16" s="94">
        <v>34</v>
      </c>
      <c r="J16" s="94" t="s">
        <v>45</v>
      </c>
      <c r="K16" s="94" t="s">
        <v>45</v>
      </c>
      <c r="L16" s="94"/>
      <c r="M16" s="86" t="s">
        <v>104</v>
      </c>
      <c r="N16" s="96">
        <v>1667</v>
      </c>
      <c r="O16" s="96">
        <v>1036</v>
      </c>
      <c r="P16" s="94">
        <v>7</v>
      </c>
      <c r="Q16" s="94" t="s">
        <v>33</v>
      </c>
      <c r="R16" s="94" t="s">
        <v>47</v>
      </c>
      <c r="S16" s="96">
        <v>1247</v>
      </c>
      <c r="T16" s="96">
        <v>366</v>
      </c>
      <c r="U16" s="94">
        <v>4</v>
      </c>
      <c r="V16" s="94" t="s">
        <v>33</v>
      </c>
      <c r="W16" s="94" t="s">
        <v>35</v>
      </c>
      <c r="X16" s="97">
        <f t="shared" si="0"/>
        <v>0.226906385616863</v>
      </c>
    </row>
    <row r="17" ht="71.25" customHeight="1" spans="1:24">
      <c r="A17" s="92" t="s">
        <v>24</v>
      </c>
      <c r="B17" s="92">
        <v>2023</v>
      </c>
      <c r="C17" s="93" t="s">
        <v>100</v>
      </c>
      <c r="D17" s="92" t="s">
        <v>105</v>
      </c>
      <c r="E17" s="95" t="s">
        <v>106</v>
      </c>
      <c r="F17" s="92" t="s">
        <v>107</v>
      </c>
      <c r="G17" s="94" t="s">
        <v>90</v>
      </c>
      <c r="H17" s="94" t="s">
        <v>90</v>
      </c>
      <c r="I17" s="94">
        <v>0</v>
      </c>
      <c r="J17" s="94" t="s">
        <v>31</v>
      </c>
      <c r="K17" s="94" t="s">
        <v>31</v>
      </c>
      <c r="L17" s="94"/>
      <c r="M17" s="86" t="s">
        <v>108</v>
      </c>
      <c r="N17" s="96">
        <v>1593</v>
      </c>
      <c r="O17" s="96">
        <v>915</v>
      </c>
      <c r="P17" s="94">
        <v>6</v>
      </c>
      <c r="Q17" s="94" t="s">
        <v>33</v>
      </c>
      <c r="R17" s="94" t="s">
        <v>47</v>
      </c>
      <c r="S17" s="96">
        <v>1931</v>
      </c>
      <c r="T17" s="96">
        <v>1319</v>
      </c>
      <c r="U17" s="94">
        <v>8</v>
      </c>
      <c r="V17" s="94" t="s">
        <v>33</v>
      </c>
      <c r="W17" s="94" t="s">
        <v>35</v>
      </c>
      <c r="X17" s="97">
        <f t="shared" si="0"/>
        <v>0.405846153846154</v>
      </c>
    </row>
    <row r="18" ht="43.2" spans="1:24">
      <c r="A18" s="92" t="s">
        <v>24</v>
      </c>
      <c r="B18" s="92">
        <v>2023</v>
      </c>
      <c r="C18" s="93" t="s">
        <v>81</v>
      </c>
      <c r="D18" s="92" t="s">
        <v>109</v>
      </c>
      <c r="E18" s="95" t="s">
        <v>110</v>
      </c>
      <c r="F18" s="92" t="s">
        <v>111</v>
      </c>
      <c r="G18" s="94" t="s">
        <v>85</v>
      </c>
      <c r="H18" s="94" t="s">
        <v>30</v>
      </c>
      <c r="I18" s="94">
        <v>17</v>
      </c>
      <c r="J18" s="94" t="s">
        <v>45</v>
      </c>
      <c r="K18" s="94" t="s">
        <v>45</v>
      </c>
      <c r="L18" s="94"/>
      <c r="M18" s="86" t="s">
        <v>112</v>
      </c>
      <c r="N18" s="96"/>
      <c r="O18" s="96"/>
      <c r="S18" s="96">
        <v>1204</v>
      </c>
      <c r="T18" s="96">
        <v>130</v>
      </c>
      <c r="U18" s="94">
        <v>4</v>
      </c>
      <c r="V18" s="94" t="s">
        <v>33</v>
      </c>
      <c r="W18" s="94" t="s">
        <v>35</v>
      </c>
      <c r="X18" s="97">
        <f t="shared" si="0"/>
        <v>0.0974512743628186</v>
      </c>
    </row>
    <row r="19" ht="28.8" spans="1:24">
      <c r="A19" s="92" t="s">
        <v>24</v>
      </c>
      <c r="B19" s="92">
        <v>2023</v>
      </c>
      <c r="C19" s="93" t="s">
        <v>92</v>
      </c>
      <c r="D19" s="92" t="s">
        <v>113</v>
      </c>
      <c r="E19" s="95" t="s">
        <v>114</v>
      </c>
      <c r="F19" s="92" t="s">
        <v>115</v>
      </c>
      <c r="G19" s="92" t="s">
        <v>90</v>
      </c>
      <c r="H19" s="92" t="s">
        <v>90</v>
      </c>
      <c r="I19" s="94">
        <v>0</v>
      </c>
      <c r="J19" s="94" t="s">
        <v>45</v>
      </c>
      <c r="K19" s="94" t="s">
        <v>45</v>
      </c>
      <c r="L19" s="94"/>
      <c r="M19" s="86" t="s">
        <v>116</v>
      </c>
      <c r="N19" s="96"/>
      <c r="O19" s="96"/>
      <c r="S19" s="96">
        <v>108</v>
      </c>
      <c r="T19" s="96">
        <v>1015</v>
      </c>
      <c r="U19" s="94">
        <v>3</v>
      </c>
      <c r="V19" s="94" t="s">
        <v>33</v>
      </c>
      <c r="W19" s="94" t="s">
        <v>35</v>
      </c>
      <c r="X19" s="97">
        <f t="shared" si="0"/>
        <v>0.903829029385574</v>
      </c>
    </row>
    <row r="20" ht="28.8" spans="1:24">
      <c r="A20" s="92" t="s">
        <v>24</v>
      </c>
      <c r="B20" s="92">
        <v>2023</v>
      </c>
      <c r="C20" s="93" t="s">
        <v>92</v>
      </c>
      <c r="D20" s="92" t="s">
        <v>117</v>
      </c>
      <c r="E20" s="95" t="s">
        <v>118</v>
      </c>
      <c r="F20" s="92" t="s">
        <v>119</v>
      </c>
      <c r="G20" s="92" t="s">
        <v>90</v>
      </c>
      <c r="H20" s="92" t="s">
        <v>90</v>
      </c>
      <c r="I20" s="94">
        <v>0</v>
      </c>
      <c r="J20" s="94" t="s">
        <v>31</v>
      </c>
      <c r="K20" s="94" t="s">
        <v>31</v>
      </c>
      <c r="L20" s="94"/>
      <c r="M20" s="86" t="s">
        <v>120</v>
      </c>
      <c r="N20" s="96"/>
      <c r="O20" s="96"/>
      <c r="S20" s="96">
        <v>53</v>
      </c>
      <c r="T20" s="96">
        <v>1614</v>
      </c>
      <c r="U20" s="94">
        <v>4</v>
      </c>
      <c r="V20" s="94" t="s">
        <v>33</v>
      </c>
      <c r="W20" s="94" t="s">
        <v>35</v>
      </c>
      <c r="X20" s="97">
        <f t="shared" si="0"/>
        <v>0.968206358728254</v>
      </c>
    </row>
    <row r="21" ht="15.75" customHeight="1" spans="1:24">
      <c r="A21" s="92" t="s">
        <v>24</v>
      </c>
      <c r="B21" s="92">
        <v>2023</v>
      </c>
      <c r="C21" s="93" t="s">
        <v>92</v>
      </c>
      <c r="D21" s="92" t="s">
        <v>42</v>
      </c>
      <c r="E21" s="95" t="s">
        <v>121</v>
      </c>
      <c r="F21" s="92" t="s">
        <v>122</v>
      </c>
      <c r="G21" s="92" t="s">
        <v>90</v>
      </c>
      <c r="H21" s="92" t="s">
        <v>90</v>
      </c>
      <c r="I21" s="94">
        <v>0</v>
      </c>
      <c r="J21" s="94" t="s">
        <v>45</v>
      </c>
      <c r="K21" s="94" t="s">
        <v>45</v>
      </c>
      <c r="L21" s="94"/>
      <c r="M21" s="86" t="s">
        <v>123</v>
      </c>
      <c r="N21" s="96"/>
      <c r="O21" s="96"/>
      <c r="S21" s="96">
        <v>140</v>
      </c>
      <c r="T21" s="96">
        <v>1944</v>
      </c>
      <c r="U21" s="94">
        <v>5</v>
      </c>
      <c r="V21" s="94" t="s">
        <v>33</v>
      </c>
      <c r="W21" s="94" t="s">
        <v>35</v>
      </c>
      <c r="X21" s="97">
        <f t="shared" si="0"/>
        <v>0.932821497120921</v>
      </c>
    </row>
    <row r="22" ht="15.75" customHeight="1" spans="1:24">
      <c r="A22" s="92" t="s">
        <v>24</v>
      </c>
      <c r="B22" s="92">
        <v>2023</v>
      </c>
      <c r="C22" s="93" t="s">
        <v>92</v>
      </c>
      <c r="D22" s="92" t="s">
        <v>124</v>
      </c>
      <c r="E22" s="95" t="s">
        <v>125</v>
      </c>
      <c r="F22" s="92" t="s">
        <v>126</v>
      </c>
      <c r="G22" s="94" t="s">
        <v>85</v>
      </c>
      <c r="H22" s="94" t="s">
        <v>30</v>
      </c>
      <c r="I22" s="94">
        <v>92</v>
      </c>
      <c r="J22" s="94" t="s">
        <v>45</v>
      </c>
      <c r="K22" s="94" t="s">
        <v>45</v>
      </c>
      <c r="L22" s="94"/>
      <c r="M22" s="86" t="s">
        <v>127</v>
      </c>
      <c r="N22" s="96"/>
      <c r="O22" s="96"/>
      <c r="S22" s="96">
        <v>2170</v>
      </c>
      <c r="T22" s="96">
        <v>890</v>
      </c>
      <c r="U22" s="94">
        <v>8</v>
      </c>
      <c r="V22" s="94" t="s">
        <v>33</v>
      </c>
      <c r="W22" s="94" t="s">
        <v>35</v>
      </c>
      <c r="X22" s="97">
        <f t="shared" si="0"/>
        <v>0.290849673202614</v>
      </c>
    </row>
    <row r="23" ht="15.75" customHeight="1" spans="1:24">
      <c r="A23" s="92" t="s">
        <v>24</v>
      </c>
      <c r="B23" s="92">
        <v>2023</v>
      </c>
      <c r="C23" s="93" t="s">
        <v>92</v>
      </c>
      <c r="D23" s="92" t="s">
        <v>128</v>
      </c>
      <c r="E23" s="95" t="s">
        <v>129</v>
      </c>
      <c r="F23" s="92" t="s">
        <v>130</v>
      </c>
      <c r="G23" s="94" t="s">
        <v>85</v>
      </c>
      <c r="H23" s="94" t="s">
        <v>30</v>
      </c>
      <c r="I23" s="94">
        <v>82</v>
      </c>
      <c r="J23" s="94" t="s">
        <v>45</v>
      </c>
      <c r="K23" s="94" t="s">
        <v>45</v>
      </c>
      <c r="L23" s="94">
        <v>1</v>
      </c>
      <c r="M23" s="86" t="s">
        <v>131</v>
      </c>
      <c r="N23" s="96"/>
      <c r="O23" s="96"/>
      <c r="S23" s="96">
        <v>1201</v>
      </c>
      <c r="T23" s="96">
        <v>829</v>
      </c>
      <c r="U23" s="94">
        <v>5</v>
      </c>
      <c r="V23" s="94" t="s">
        <v>33</v>
      </c>
      <c r="W23" s="94" t="s">
        <v>35</v>
      </c>
      <c r="X23" s="97">
        <f t="shared" si="0"/>
        <v>0.408374384236453</v>
      </c>
    </row>
    <row r="24" ht="15.75" customHeight="1" spans="1:24">
      <c r="A24" s="92" t="s">
        <v>24</v>
      </c>
      <c r="B24" s="92">
        <v>2023</v>
      </c>
      <c r="C24" s="93" t="s">
        <v>25</v>
      </c>
      <c r="D24" s="92" t="s">
        <v>132</v>
      </c>
      <c r="E24" s="95" t="s">
        <v>133</v>
      </c>
      <c r="F24" s="92" t="s">
        <v>134</v>
      </c>
      <c r="G24" s="92" t="s">
        <v>90</v>
      </c>
      <c r="H24" s="92" t="s">
        <v>90</v>
      </c>
      <c r="I24" s="94">
        <v>0</v>
      </c>
      <c r="J24" s="94" t="s">
        <v>31</v>
      </c>
      <c r="K24" s="94" t="s">
        <v>31</v>
      </c>
      <c r="L24" s="94"/>
      <c r="M24" s="86" t="s">
        <v>135</v>
      </c>
      <c r="N24" s="96"/>
      <c r="O24" s="96"/>
      <c r="S24" s="96">
        <v>150</v>
      </c>
      <c r="T24" s="96">
        <v>1516</v>
      </c>
      <c r="U24" s="94">
        <v>4</v>
      </c>
      <c r="V24" s="94" t="s">
        <v>33</v>
      </c>
      <c r="W24" s="94" t="s">
        <v>35</v>
      </c>
      <c r="X24" s="97">
        <f t="shared" si="0"/>
        <v>0.909963985594238</v>
      </c>
    </row>
    <row r="25" ht="15.75" customHeight="1" spans="1:24">
      <c r="A25" s="92" t="s">
        <v>24</v>
      </c>
      <c r="B25" s="92">
        <v>2023</v>
      </c>
      <c r="C25" s="93" t="s">
        <v>25</v>
      </c>
      <c r="D25" s="92" t="s">
        <v>136</v>
      </c>
      <c r="E25" s="95" t="s">
        <v>137</v>
      </c>
      <c r="F25" s="92" t="s">
        <v>138</v>
      </c>
      <c r="G25" s="94" t="s">
        <v>39</v>
      </c>
      <c r="H25" s="94" t="s">
        <v>39</v>
      </c>
      <c r="I25" s="94">
        <v>51</v>
      </c>
      <c r="J25" s="94" t="s">
        <v>45</v>
      </c>
      <c r="K25" s="94" t="s">
        <v>45</v>
      </c>
      <c r="L25" s="94"/>
      <c r="M25" s="86" t="s">
        <v>139</v>
      </c>
      <c r="N25" s="96"/>
      <c r="O25" s="96"/>
      <c r="S25" s="96">
        <v>685</v>
      </c>
      <c r="T25" s="96">
        <v>1237</v>
      </c>
      <c r="U25" s="94">
        <v>5</v>
      </c>
      <c r="V25" s="94" t="s">
        <v>33</v>
      </c>
      <c r="W25" s="94" t="s">
        <v>35</v>
      </c>
      <c r="X25" s="97">
        <f t="shared" si="0"/>
        <v>0.64360041623309</v>
      </c>
    </row>
    <row r="26" ht="15.75" customHeight="1" spans="1:24">
      <c r="A26" s="92" t="s">
        <v>24</v>
      </c>
      <c r="B26" s="92">
        <v>2023</v>
      </c>
      <c r="C26" s="93" t="s">
        <v>100</v>
      </c>
      <c r="D26" s="92" t="s">
        <v>140</v>
      </c>
      <c r="E26" s="95" t="s">
        <v>141</v>
      </c>
      <c r="F26" s="92" t="s">
        <v>142</v>
      </c>
      <c r="G26" s="94" t="s">
        <v>39</v>
      </c>
      <c r="H26" s="94" t="s">
        <v>39</v>
      </c>
      <c r="I26" s="94">
        <v>91</v>
      </c>
      <c r="J26" s="94" t="s">
        <v>45</v>
      </c>
      <c r="K26" s="94" t="s">
        <v>45</v>
      </c>
      <c r="L26" s="94"/>
      <c r="M26" s="86" t="s">
        <v>143</v>
      </c>
      <c r="N26" s="96"/>
      <c r="O26" s="96"/>
      <c r="S26" s="96">
        <v>1460</v>
      </c>
      <c r="T26" s="96">
        <v>74</v>
      </c>
      <c r="U26" s="94">
        <v>4</v>
      </c>
      <c r="V26" s="94" t="s">
        <v>33</v>
      </c>
      <c r="W26" s="94" t="s">
        <v>35</v>
      </c>
      <c r="X26" s="97">
        <f t="shared" si="0"/>
        <v>0.0482398956975228</v>
      </c>
    </row>
    <row r="27" ht="15.75" customHeight="1" spans="1:24">
      <c r="A27" s="92" t="s">
        <v>24</v>
      </c>
      <c r="B27" s="92">
        <v>2023</v>
      </c>
      <c r="C27" s="93" t="s">
        <v>68</v>
      </c>
      <c r="D27" s="92" t="s">
        <v>144</v>
      </c>
      <c r="E27" s="95" t="s">
        <v>145</v>
      </c>
      <c r="F27" s="92" t="s">
        <v>146</v>
      </c>
      <c r="G27" s="94" t="s">
        <v>39</v>
      </c>
      <c r="H27" s="94" t="s">
        <v>39</v>
      </c>
      <c r="I27" s="94">
        <v>15</v>
      </c>
      <c r="J27" s="94" t="s">
        <v>31</v>
      </c>
      <c r="K27" s="94" t="s">
        <v>31</v>
      </c>
      <c r="L27" s="94"/>
      <c r="M27" s="86" t="s">
        <v>147</v>
      </c>
      <c r="N27" s="96"/>
      <c r="O27" s="96"/>
      <c r="S27" s="96">
        <v>1117</v>
      </c>
      <c r="T27" s="96">
        <v>423</v>
      </c>
      <c r="U27" s="94">
        <v>4</v>
      </c>
      <c r="V27" s="94" t="s">
        <v>33</v>
      </c>
      <c r="W27" s="94" t="s">
        <v>35</v>
      </c>
      <c r="X27" s="97">
        <f t="shared" si="0"/>
        <v>0.274675324675325</v>
      </c>
    </row>
    <row r="28" ht="15.75" customHeight="1" spans="1:24">
      <c r="A28" s="92" t="s">
        <v>24</v>
      </c>
      <c r="B28" s="92">
        <v>2023</v>
      </c>
      <c r="C28" s="93" t="s">
        <v>53</v>
      </c>
      <c r="D28" s="92" t="s">
        <v>148</v>
      </c>
      <c r="E28" s="95" t="s">
        <v>149</v>
      </c>
      <c r="F28" s="92" t="s">
        <v>150</v>
      </c>
      <c r="G28" s="92" t="s">
        <v>90</v>
      </c>
      <c r="H28" s="92" t="s">
        <v>90</v>
      </c>
      <c r="I28" s="94">
        <v>0</v>
      </c>
      <c r="J28" s="94" t="s">
        <v>45</v>
      </c>
      <c r="K28" s="94" t="s">
        <v>45</v>
      </c>
      <c r="L28" s="94"/>
      <c r="M28" s="86" t="s">
        <v>151</v>
      </c>
      <c r="N28" s="96"/>
      <c r="O28" s="96"/>
      <c r="S28" s="96">
        <v>351</v>
      </c>
      <c r="T28" s="96">
        <v>149</v>
      </c>
      <c r="U28" s="94">
        <v>3</v>
      </c>
      <c r="V28" s="94" t="s">
        <v>33</v>
      </c>
      <c r="W28" s="94" t="s">
        <v>35</v>
      </c>
      <c r="X28" s="97">
        <f t="shared" si="0"/>
        <v>0.298</v>
      </c>
    </row>
    <row r="29" ht="15.75" customHeight="1" spans="1:24">
      <c r="A29" s="92" t="s">
        <v>24</v>
      </c>
      <c r="B29" s="92">
        <v>2023</v>
      </c>
      <c r="C29" s="93" t="s">
        <v>53</v>
      </c>
      <c r="D29" s="92" t="s">
        <v>152</v>
      </c>
      <c r="E29" s="95" t="s">
        <v>153</v>
      </c>
      <c r="F29" s="92" t="s">
        <v>154</v>
      </c>
      <c r="G29" s="92" t="s">
        <v>90</v>
      </c>
      <c r="H29" s="92" t="s">
        <v>90</v>
      </c>
      <c r="I29" s="94">
        <v>0</v>
      </c>
      <c r="J29" s="94" t="s">
        <v>31</v>
      </c>
      <c r="K29" s="94" t="s">
        <v>31</v>
      </c>
      <c r="L29" s="94"/>
      <c r="M29" s="86" t="s">
        <v>155</v>
      </c>
      <c r="N29" s="96"/>
      <c r="O29" s="96"/>
      <c r="S29" s="96">
        <v>296</v>
      </c>
      <c r="T29" s="96">
        <v>1752</v>
      </c>
      <c r="U29" s="94">
        <v>5</v>
      </c>
      <c r="V29" s="94" t="s">
        <v>33</v>
      </c>
      <c r="W29" s="94" t="s">
        <v>35</v>
      </c>
      <c r="X29" s="97">
        <f t="shared" si="0"/>
        <v>0.85546875</v>
      </c>
    </row>
    <row r="30" ht="15.75" customHeight="1" spans="1:24">
      <c r="A30" s="92" t="s">
        <v>24</v>
      </c>
      <c r="B30" s="92">
        <v>2023</v>
      </c>
      <c r="C30" s="93" t="s">
        <v>48</v>
      </c>
      <c r="D30" s="92" t="s">
        <v>156</v>
      </c>
      <c r="E30" s="95" t="s">
        <v>157</v>
      </c>
      <c r="F30" s="92" t="s">
        <v>158</v>
      </c>
      <c r="G30" s="92" t="s">
        <v>90</v>
      </c>
      <c r="H30" s="92" t="s">
        <v>90</v>
      </c>
      <c r="I30" s="94">
        <v>0</v>
      </c>
      <c r="J30" s="94" t="s">
        <v>31</v>
      </c>
      <c r="K30" s="94" t="s">
        <v>31</v>
      </c>
      <c r="L30" s="94"/>
      <c r="M30" s="86" t="s">
        <v>159</v>
      </c>
      <c r="N30" s="96"/>
      <c r="O30" s="96"/>
      <c r="S30" s="96">
        <v>361</v>
      </c>
      <c r="T30" s="96">
        <v>2108</v>
      </c>
      <c r="U30" s="94">
        <v>6</v>
      </c>
      <c r="V30" s="94" t="s">
        <v>33</v>
      </c>
      <c r="W30" s="94" t="s">
        <v>35</v>
      </c>
      <c r="X30" s="97">
        <f t="shared" si="0"/>
        <v>0.853786958282706</v>
      </c>
    </row>
    <row r="31" ht="15.75" customHeight="1" spans="1:24">
      <c r="A31" s="92" t="s">
        <v>24</v>
      </c>
      <c r="B31" s="92">
        <v>2023</v>
      </c>
      <c r="C31" s="93" t="s">
        <v>48</v>
      </c>
      <c r="D31" s="92" t="s">
        <v>87</v>
      </c>
      <c r="E31" s="95" t="s">
        <v>160</v>
      </c>
      <c r="F31" s="92" t="s">
        <v>161</v>
      </c>
      <c r="G31" s="92" t="s">
        <v>162</v>
      </c>
      <c r="H31" s="92" t="s">
        <v>90</v>
      </c>
      <c r="I31" s="94">
        <v>0</v>
      </c>
      <c r="J31" s="94" t="s">
        <v>31</v>
      </c>
      <c r="K31" s="94" t="s">
        <v>31</v>
      </c>
      <c r="L31" s="94"/>
      <c r="M31" s="86" t="s">
        <v>163</v>
      </c>
      <c r="N31" s="96"/>
      <c r="O31" s="96"/>
      <c r="S31" s="96">
        <v>618</v>
      </c>
      <c r="T31" s="96">
        <v>232</v>
      </c>
      <c r="U31" s="94">
        <v>3</v>
      </c>
      <c r="V31" s="94" t="s">
        <v>33</v>
      </c>
      <c r="W31" s="94" t="s">
        <v>35</v>
      </c>
      <c r="X31" s="97">
        <f t="shared" si="0"/>
        <v>0.272941176470588</v>
      </c>
    </row>
    <row r="32" ht="15.75" customHeight="1" spans="1:24">
      <c r="A32" s="92" t="s">
        <v>24</v>
      </c>
      <c r="B32" s="92">
        <v>2023</v>
      </c>
      <c r="C32" s="93" t="s">
        <v>41</v>
      </c>
      <c r="D32" s="92" t="s">
        <v>164</v>
      </c>
      <c r="E32" s="95" t="s">
        <v>165</v>
      </c>
      <c r="F32" s="92" t="s">
        <v>166</v>
      </c>
      <c r="G32" s="92" t="s">
        <v>90</v>
      </c>
      <c r="H32" s="92" t="s">
        <v>90</v>
      </c>
      <c r="I32" s="94">
        <v>0</v>
      </c>
      <c r="J32" s="94" t="s">
        <v>45</v>
      </c>
      <c r="K32" s="94" t="s">
        <v>45</v>
      </c>
      <c r="L32" s="94"/>
      <c r="M32" s="86" t="s">
        <v>167</v>
      </c>
      <c r="N32" s="96"/>
      <c r="O32" s="96"/>
      <c r="S32" s="96">
        <v>757</v>
      </c>
      <c r="T32" s="96">
        <v>904</v>
      </c>
      <c r="U32" s="94">
        <v>4</v>
      </c>
      <c r="V32" s="94" t="s">
        <v>33</v>
      </c>
      <c r="W32" s="94" t="s">
        <v>35</v>
      </c>
      <c r="X32" s="97">
        <f t="shared" si="0"/>
        <v>0.54425045153522</v>
      </c>
    </row>
    <row r="33" ht="15.75" customHeight="1" spans="1:24">
      <c r="A33" s="92" t="s">
        <v>24</v>
      </c>
      <c r="B33" s="92">
        <v>2023</v>
      </c>
      <c r="C33" s="93" t="s">
        <v>41</v>
      </c>
      <c r="D33" s="92" t="s">
        <v>168</v>
      </c>
      <c r="E33" s="95" t="s">
        <v>169</v>
      </c>
      <c r="F33" s="92" t="s">
        <v>170</v>
      </c>
      <c r="G33" s="92" t="s">
        <v>90</v>
      </c>
      <c r="H33" s="92" t="s">
        <v>90</v>
      </c>
      <c r="I33" s="94">
        <v>0</v>
      </c>
      <c r="J33" s="94" t="s">
        <v>45</v>
      </c>
      <c r="K33" s="94" t="s">
        <v>45</v>
      </c>
      <c r="L33" s="94"/>
      <c r="M33" s="86" t="s">
        <v>171</v>
      </c>
      <c r="N33" s="96"/>
      <c r="O33" s="96"/>
      <c r="S33" s="96">
        <v>488</v>
      </c>
      <c r="T33" s="96">
        <v>1181</v>
      </c>
      <c r="U33" s="94">
        <v>4</v>
      </c>
      <c r="V33" s="94" t="s">
        <v>33</v>
      </c>
      <c r="W33" s="94" t="s">
        <v>35</v>
      </c>
      <c r="X33" s="97">
        <f t="shared" si="0"/>
        <v>0.70760934691432</v>
      </c>
    </row>
    <row r="34" ht="15.75" customHeight="1" spans="1:24">
      <c r="A34" s="92" t="s">
        <v>24</v>
      </c>
      <c r="B34" s="92">
        <v>2023</v>
      </c>
      <c r="C34" s="93" t="s">
        <v>172</v>
      </c>
      <c r="D34" s="92" t="s">
        <v>152</v>
      </c>
      <c r="E34" s="95" t="s">
        <v>173</v>
      </c>
      <c r="F34" s="92" t="s">
        <v>174</v>
      </c>
      <c r="G34" s="92" t="s">
        <v>90</v>
      </c>
      <c r="H34" s="92" t="s">
        <v>90</v>
      </c>
      <c r="I34" s="94">
        <v>0</v>
      </c>
      <c r="J34" s="94" t="s">
        <v>31</v>
      </c>
      <c r="K34" s="94" t="s">
        <v>31</v>
      </c>
      <c r="L34" s="94"/>
      <c r="M34" s="86" t="s">
        <v>175</v>
      </c>
      <c r="N34" s="96"/>
      <c r="O34" s="96"/>
      <c r="S34" s="96">
        <v>1411</v>
      </c>
      <c r="T34" s="96">
        <v>314</v>
      </c>
      <c r="U34" s="94">
        <v>5</v>
      </c>
      <c r="V34" s="94" t="s">
        <v>33</v>
      </c>
      <c r="W34" s="94" t="s">
        <v>35</v>
      </c>
      <c r="X34" s="97">
        <f t="shared" si="0"/>
        <v>0.182028985507246</v>
      </c>
    </row>
    <row r="35" ht="15.75" customHeight="1" spans="1:24">
      <c r="A35" s="92" t="s">
        <v>24</v>
      </c>
      <c r="B35" s="92">
        <v>2023</v>
      </c>
      <c r="C35" s="93" t="s">
        <v>68</v>
      </c>
      <c r="D35" s="92" t="s">
        <v>176</v>
      </c>
      <c r="E35" s="95" t="s">
        <v>177</v>
      </c>
      <c r="F35" s="92" t="s">
        <v>178</v>
      </c>
      <c r="G35" s="92" t="s">
        <v>90</v>
      </c>
      <c r="H35" s="92" t="s">
        <v>90</v>
      </c>
      <c r="I35" s="94">
        <v>0</v>
      </c>
      <c r="J35" s="94" t="s">
        <v>179</v>
      </c>
      <c r="K35" s="94" t="s">
        <v>45</v>
      </c>
      <c r="L35" s="94"/>
      <c r="M35" s="86" t="s">
        <v>180</v>
      </c>
      <c r="N35" s="96"/>
      <c r="O35" s="96"/>
      <c r="S35" s="96">
        <v>537</v>
      </c>
      <c r="T35" s="96">
        <v>173</v>
      </c>
      <c r="U35" s="94">
        <v>4</v>
      </c>
      <c r="V35" s="94" t="s">
        <v>33</v>
      </c>
      <c r="W35" s="94" t="s">
        <v>35</v>
      </c>
      <c r="X35" s="97">
        <f t="shared" si="0"/>
        <v>0.243661971830986</v>
      </c>
    </row>
    <row r="36" ht="38.25" customHeight="1" spans="1:24">
      <c r="A36" s="92" t="s">
        <v>24</v>
      </c>
      <c r="B36" s="92">
        <v>2023</v>
      </c>
      <c r="C36" s="93" t="s">
        <v>92</v>
      </c>
      <c r="D36" s="92" t="s">
        <v>181</v>
      </c>
      <c r="E36" s="95" t="s">
        <v>182</v>
      </c>
      <c r="F36" s="92" t="s">
        <v>183</v>
      </c>
      <c r="G36" s="94" t="s">
        <v>39</v>
      </c>
      <c r="H36" s="94" t="s">
        <v>39</v>
      </c>
      <c r="I36" s="98">
        <v>30</v>
      </c>
      <c r="J36" s="94" t="s">
        <v>45</v>
      </c>
      <c r="K36" s="94" t="s">
        <v>45</v>
      </c>
      <c r="L36" s="94"/>
      <c r="M36" s="99" t="s">
        <v>184</v>
      </c>
      <c r="N36" s="96"/>
      <c r="O36" s="96"/>
      <c r="S36" s="96">
        <v>312</v>
      </c>
      <c r="T36" s="96">
        <v>1772</v>
      </c>
      <c r="U36" s="98">
        <v>5</v>
      </c>
      <c r="V36" s="94" t="s">
        <v>33</v>
      </c>
      <c r="W36" s="94" t="s">
        <v>35</v>
      </c>
      <c r="X36" s="97">
        <f t="shared" si="0"/>
        <v>0.850287907869482</v>
      </c>
    </row>
    <row r="37" ht="49.5" customHeight="1" spans="1:24">
      <c r="A37" s="92" t="s">
        <v>24</v>
      </c>
      <c r="B37" s="92">
        <v>2023</v>
      </c>
      <c r="C37" s="93" t="s">
        <v>92</v>
      </c>
      <c r="D37" s="92" t="s">
        <v>185</v>
      </c>
      <c r="E37" s="95" t="s">
        <v>186</v>
      </c>
      <c r="F37" s="92" t="s">
        <v>187</v>
      </c>
      <c r="G37" s="94" t="s">
        <v>39</v>
      </c>
      <c r="H37" s="94" t="s">
        <v>39</v>
      </c>
      <c r="I37" s="84">
        <v>10</v>
      </c>
      <c r="J37" s="94" t="s">
        <v>31</v>
      </c>
      <c r="K37" s="94" t="s">
        <v>31</v>
      </c>
      <c r="L37" s="94"/>
      <c r="M37" s="86" t="s">
        <v>188</v>
      </c>
      <c r="N37" s="96"/>
      <c r="O37" s="96"/>
      <c r="S37" s="96">
        <v>1481</v>
      </c>
      <c r="T37" s="96">
        <v>209</v>
      </c>
      <c r="U37" s="84">
        <v>7</v>
      </c>
      <c r="V37" s="94" t="s">
        <v>33</v>
      </c>
      <c r="W37" s="94" t="s">
        <v>35</v>
      </c>
      <c r="X37" s="97">
        <f t="shared" si="0"/>
        <v>0.123668639053254</v>
      </c>
    </row>
    <row r="38" ht="66" customHeight="1" spans="1:24">
      <c r="A38" s="92" t="s">
        <v>24</v>
      </c>
      <c r="B38" s="92">
        <v>2023</v>
      </c>
      <c r="C38" s="93" t="s">
        <v>81</v>
      </c>
      <c r="D38" s="92" t="s">
        <v>189</v>
      </c>
      <c r="E38" s="95" t="s">
        <v>190</v>
      </c>
      <c r="F38" s="92" t="s">
        <v>191</v>
      </c>
      <c r="G38" s="94" t="s">
        <v>85</v>
      </c>
      <c r="H38" s="94" t="s">
        <v>30</v>
      </c>
      <c r="I38" s="84">
        <v>96</v>
      </c>
      <c r="J38" s="84" t="s">
        <v>192</v>
      </c>
      <c r="K38" s="84" t="s">
        <v>192</v>
      </c>
      <c r="L38" s="84">
        <v>1</v>
      </c>
      <c r="M38" s="86" t="s">
        <v>193</v>
      </c>
      <c r="N38" s="96"/>
      <c r="O38" s="96"/>
      <c r="S38" s="96">
        <v>1223</v>
      </c>
      <c r="T38" s="96">
        <v>7</v>
      </c>
      <c r="U38" s="84">
        <v>3</v>
      </c>
      <c r="V38" s="94" t="s">
        <v>33</v>
      </c>
      <c r="W38" s="94" t="s">
        <v>35</v>
      </c>
      <c r="X38" s="97">
        <f t="shared" si="0"/>
        <v>0.00569105691056911</v>
      </c>
    </row>
    <row r="39" ht="78" customHeight="1" spans="1:24">
      <c r="A39" s="92" t="s">
        <v>24</v>
      </c>
      <c r="B39" s="92">
        <v>2023</v>
      </c>
      <c r="C39" s="93" t="s">
        <v>81</v>
      </c>
      <c r="D39" s="92" t="s">
        <v>113</v>
      </c>
      <c r="E39" s="95" t="s">
        <v>194</v>
      </c>
      <c r="F39" s="92" t="s">
        <v>195</v>
      </c>
      <c r="G39" s="94" t="s">
        <v>85</v>
      </c>
      <c r="H39" s="92" t="s">
        <v>30</v>
      </c>
      <c r="I39" s="92">
        <v>75</v>
      </c>
      <c r="J39" s="84" t="s">
        <v>192</v>
      </c>
      <c r="K39" s="84" t="s">
        <v>192</v>
      </c>
      <c r="L39" s="84">
        <v>1</v>
      </c>
      <c r="M39" s="99" t="s">
        <v>196</v>
      </c>
      <c r="N39" s="96"/>
      <c r="O39" s="96"/>
      <c r="S39" s="96">
        <v>2603</v>
      </c>
      <c r="T39" s="96">
        <v>70</v>
      </c>
      <c r="U39" s="84">
        <v>7</v>
      </c>
      <c r="V39" s="94" t="s">
        <v>33</v>
      </c>
      <c r="W39" s="94" t="s">
        <v>35</v>
      </c>
      <c r="X39" s="97">
        <f t="shared" si="0"/>
        <v>0.0261878039655817</v>
      </c>
    </row>
    <row r="40" ht="56.25" customHeight="1" spans="1:24">
      <c r="A40" s="92" t="s">
        <v>24</v>
      </c>
      <c r="B40" s="92">
        <v>2023</v>
      </c>
      <c r="C40" s="93" t="s">
        <v>68</v>
      </c>
      <c r="D40" s="92" t="s">
        <v>197</v>
      </c>
      <c r="E40" s="95" t="s">
        <v>198</v>
      </c>
      <c r="F40" s="92" t="s">
        <v>199</v>
      </c>
      <c r="G40" s="94" t="s">
        <v>85</v>
      </c>
      <c r="H40" s="92" t="s">
        <v>30</v>
      </c>
      <c r="I40" s="92">
        <v>57</v>
      </c>
      <c r="J40" s="94" t="s">
        <v>45</v>
      </c>
      <c r="K40" s="94" t="s">
        <v>45</v>
      </c>
      <c r="L40" s="94"/>
      <c r="M40" s="86" t="s">
        <v>200</v>
      </c>
      <c r="N40" s="96"/>
      <c r="O40" s="96"/>
      <c r="S40" s="96">
        <v>3639</v>
      </c>
      <c r="T40" s="96">
        <v>363</v>
      </c>
      <c r="U40" s="84">
        <v>12</v>
      </c>
      <c r="V40" s="94" t="s">
        <v>33</v>
      </c>
      <c r="W40" s="94" t="s">
        <v>35</v>
      </c>
      <c r="X40" s="97">
        <f t="shared" si="0"/>
        <v>0.0907046476761619</v>
      </c>
    </row>
    <row r="41" ht="63.75" customHeight="1" spans="1:24">
      <c r="A41" s="92" t="s">
        <v>24</v>
      </c>
      <c r="B41" s="92">
        <v>2023</v>
      </c>
      <c r="C41" s="93" t="s">
        <v>63</v>
      </c>
      <c r="D41" s="92" t="s">
        <v>201</v>
      </c>
      <c r="E41" s="95" t="s">
        <v>202</v>
      </c>
      <c r="F41" s="92" t="s">
        <v>203</v>
      </c>
      <c r="G41" s="92" t="s">
        <v>85</v>
      </c>
      <c r="H41" s="92" t="s">
        <v>30</v>
      </c>
      <c r="I41" s="100">
        <v>31</v>
      </c>
      <c r="J41" s="94" t="s">
        <v>45</v>
      </c>
      <c r="K41" s="94" t="s">
        <v>45</v>
      </c>
      <c r="L41" s="94"/>
      <c r="M41" s="99" t="s">
        <v>204</v>
      </c>
      <c r="N41" s="96"/>
      <c r="O41" s="96"/>
      <c r="S41" s="96">
        <v>2516</v>
      </c>
      <c r="T41" s="96">
        <v>553</v>
      </c>
      <c r="U41" s="84">
        <v>9</v>
      </c>
      <c r="V41" s="94" t="s">
        <v>33</v>
      </c>
      <c r="W41" s="94" t="s">
        <v>35</v>
      </c>
      <c r="X41" s="97">
        <f t="shared" si="0"/>
        <v>0.1801889866406</v>
      </c>
    </row>
    <row r="42" ht="66.75" customHeight="1" spans="1:24">
      <c r="A42" s="92" t="s">
        <v>24</v>
      </c>
      <c r="B42" s="92">
        <v>2023</v>
      </c>
      <c r="C42" s="93" t="s">
        <v>63</v>
      </c>
      <c r="D42" s="92" t="s">
        <v>42</v>
      </c>
      <c r="E42" s="95" t="s">
        <v>205</v>
      </c>
      <c r="F42" s="92" t="s">
        <v>206</v>
      </c>
      <c r="G42" s="92" t="s">
        <v>39</v>
      </c>
      <c r="H42" s="92" t="s">
        <v>39</v>
      </c>
      <c r="I42" s="101">
        <v>94</v>
      </c>
      <c r="J42" s="94" t="s">
        <v>31</v>
      </c>
      <c r="K42" s="94" t="s">
        <v>31</v>
      </c>
      <c r="L42" s="94"/>
      <c r="M42" s="99" t="s">
        <v>207</v>
      </c>
      <c r="N42" s="96"/>
      <c r="O42" s="96"/>
      <c r="S42" s="96">
        <v>1134</v>
      </c>
      <c r="T42" s="96">
        <v>56</v>
      </c>
      <c r="U42" s="84">
        <v>4</v>
      </c>
      <c r="V42" s="94" t="s">
        <v>33</v>
      </c>
      <c r="W42" s="94" t="s">
        <v>35</v>
      </c>
      <c r="X42" s="97">
        <f t="shared" si="0"/>
        <v>0.0470588235294118</v>
      </c>
    </row>
    <row r="43" ht="78.75" customHeight="1" spans="1:24">
      <c r="A43" s="102" t="s">
        <v>24</v>
      </c>
      <c r="B43" s="92">
        <v>2023</v>
      </c>
      <c r="C43" s="93" t="s">
        <v>53</v>
      </c>
      <c r="D43" s="92" t="s">
        <v>208</v>
      </c>
      <c r="E43" s="95" t="s">
        <v>209</v>
      </c>
      <c r="F43" s="92" t="s">
        <v>210</v>
      </c>
      <c r="G43" s="92" t="s">
        <v>85</v>
      </c>
      <c r="H43" s="92" t="s">
        <v>30</v>
      </c>
      <c r="I43" s="101">
        <v>89</v>
      </c>
      <c r="J43" s="84" t="s">
        <v>192</v>
      </c>
      <c r="K43" s="84" t="s">
        <v>192</v>
      </c>
      <c r="L43" s="84">
        <v>1</v>
      </c>
      <c r="M43" s="99" t="s">
        <v>211</v>
      </c>
      <c r="N43" s="96"/>
      <c r="O43" s="96"/>
      <c r="S43" s="96">
        <v>1488</v>
      </c>
      <c r="T43" s="96">
        <v>14</v>
      </c>
      <c r="U43" s="84">
        <v>4</v>
      </c>
      <c r="V43" s="94" t="s">
        <v>33</v>
      </c>
      <c r="W43" s="94" t="s">
        <v>35</v>
      </c>
      <c r="X43" s="97">
        <f t="shared" si="0"/>
        <v>0.00932090545938748</v>
      </c>
    </row>
    <row r="44" ht="74.25" customHeight="1" spans="1:24">
      <c r="A44" s="92" t="s">
        <v>24</v>
      </c>
      <c r="B44" s="92">
        <v>2023</v>
      </c>
      <c r="C44" s="93" t="s">
        <v>53</v>
      </c>
      <c r="D44" s="92" t="s">
        <v>212</v>
      </c>
      <c r="E44" s="95" t="s">
        <v>213</v>
      </c>
      <c r="F44" s="92" t="s">
        <v>214</v>
      </c>
      <c r="G44" s="103" t="s">
        <v>29</v>
      </c>
      <c r="H44" s="92" t="s">
        <v>30</v>
      </c>
      <c r="I44" s="101">
        <v>60</v>
      </c>
      <c r="J44" s="84" t="s">
        <v>192</v>
      </c>
      <c r="K44" s="84" t="s">
        <v>192</v>
      </c>
      <c r="M44" s="99" t="s">
        <v>215</v>
      </c>
      <c r="N44" s="96"/>
      <c r="O44" s="96"/>
      <c r="S44" s="96">
        <v>1012</v>
      </c>
      <c r="T44" s="96">
        <v>33</v>
      </c>
      <c r="U44" s="84">
        <v>4</v>
      </c>
      <c r="V44" s="94" t="s">
        <v>33</v>
      </c>
      <c r="W44" s="94" t="s">
        <v>35</v>
      </c>
      <c r="X44" s="97">
        <f t="shared" si="0"/>
        <v>0.0315789473684211</v>
      </c>
    </row>
    <row r="45" ht="50.25" customHeight="1" spans="1:24">
      <c r="A45" s="92" t="s">
        <v>24</v>
      </c>
      <c r="B45" s="92">
        <v>2023</v>
      </c>
      <c r="C45" s="93" t="s">
        <v>48</v>
      </c>
      <c r="D45" s="92" t="s">
        <v>216</v>
      </c>
      <c r="E45" s="95" t="s">
        <v>217</v>
      </c>
      <c r="F45" s="92" t="s">
        <v>218</v>
      </c>
      <c r="G45" s="103" t="s">
        <v>29</v>
      </c>
      <c r="H45" s="92" t="s">
        <v>30</v>
      </c>
      <c r="I45" s="101">
        <v>45</v>
      </c>
      <c r="J45" s="94" t="s">
        <v>31</v>
      </c>
      <c r="K45" s="94" t="s">
        <v>31</v>
      </c>
      <c r="L45" s="94"/>
      <c r="M45" s="99" t="s">
        <v>219</v>
      </c>
      <c r="N45" s="96"/>
      <c r="O45" s="96"/>
      <c r="S45" s="96">
        <v>2010</v>
      </c>
      <c r="T45" s="96">
        <v>628</v>
      </c>
      <c r="U45" s="84">
        <v>9</v>
      </c>
      <c r="V45" s="94" t="s">
        <v>33</v>
      </c>
      <c r="W45" s="94" t="s">
        <v>35</v>
      </c>
      <c r="X45" s="97">
        <f t="shared" si="0"/>
        <v>0.23805913570887</v>
      </c>
    </row>
    <row r="46" ht="77.25" customHeight="1" spans="1:24">
      <c r="A46" s="92" t="s">
        <v>24</v>
      </c>
      <c r="B46" s="92">
        <v>2023</v>
      </c>
      <c r="C46" s="93" t="s">
        <v>220</v>
      </c>
      <c r="D46" s="104" t="s">
        <v>221</v>
      </c>
      <c r="E46" s="95" t="s">
        <v>222</v>
      </c>
      <c r="F46" s="92" t="s">
        <v>223</v>
      </c>
      <c r="G46" s="92" t="s">
        <v>39</v>
      </c>
      <c r="H46" s="92" t="s">
        <v>39</v>
      </c>
      <c r="I46" s="101">
        <v>43</v>
      </c>
      <c r="J46" s="94" t="s">
        <v>31</v>
      </c>
      <c r="K46" s="94" t="s">
        <v>31</v>
      </c>
      <c r="L46" s="94"/>
      <c r="M46" s="99" t="s">
        <v>224</v>
      </c>
      <c r="N46" s="96"/>
      <c r="O46" s="96"/>
      <c r="S46" s="96">
        <v>1072</v>
      </c>
      <c r="T46" s="96">
        <v>1205</v>
      </c>
      <c r="U46" s="84">
        <v>6</v>
      </c>
      <c r="V46" s="94" t="s">
        <v>33</v>
      </c>
      <c r="W46" s="94" t="s">
        <v>35</v>
      </c>
      <c r="X46" s="97">
        <f t="shared" si="0"/>
        <v>0.529205094422486</v>
      </c>
    </row>
    <row r="47" ht="78.75" customHeight="1" spans="1:24">
      <c r="A47" s="92" t="s">
        <v>24</v>
      </c>
      <c r="B47" s="92">
        <v>2023</v>
      </c>
      <c r="C47" s="93" t="s">
        <v>220</v>
      </c>
      <c r="D47" s="104" t="s">
        <v>225</v>
      </c>
      <c r="E47" s="95" t="s">
        <v>226</v>
      </c>
      <c r="F47" s="92" t="s">
        <v>227</v>
      </c>
      <c r="G47" s="103" t="s">
        <v>29</v>
      </c>
      <c r="H47" s="92" t="s">
        <v>30</v>
      </c>
      <c r="I47" s="101">
        <v>92</v>
      </c>
      <c r="J47" s="84" t="s">
        <v>192</v>
      </c>
      <c r="K47" s="84" t="s">
        <v>192</v>
      </c>
      <c r="L47" s="84">
        <v>1</v>
      </c>
      <c r="M47" s="99" t="s">
        <v>228</v>
      </c>
      <c r="N47" s="96"/>
      <c r="O47" s="96"/>
      <c r="S47" s="96">
        <v>2307</v>
      </c>
      <c r="T47" s="96">
        <v>67</v>
      </c>
      <c r="U47" s="84">
        <v>6</v>
      </c>
      <c r="V47" s="94" t="s">
        <v>33</v>
      </c>
      <c r="W47" s="94" t="s">
        <v>35</v>
      </c>
      <c r="X47" s="97">
        <f t="shared" si="0"/>
        <v>0.0282224094355518</v>
      </c>
    </row>
    <row r="48" ht="77.25" customHeight="1" spans="1:24">
      <c r="A48" s="92" t="s">
        <v>24</v>
      </c>
      <c r="B48" s="92">
        <v>2023</v>
      </c>
      <c r="C48" s="93" t="s">
        <v>220</v>
      </c>
      <c r="D48" s="104" t="s">
        <v>229</v>
      </c>
      <c r="E48" s="95" t="s">
        <v>230</v>
      </c>
      <c r="F48" s="92" t="s">
        <v>231</v>
      </c>
      <c r="G48" s="103" t="s">
        <v>29</v>
      </c>
      <c r="H48" s="92" t="s">
        <v>30</v>
      </c>
      <c r="I48" s="101">
        <v>48</v>
      </c>
      <c r="J48" s="84" t="s">
        <v>192</v>
      </c>
      <c r="K48" s="84" t="s">
        <v>192</v>
      </c>
      <c r="M48" s="99" t="s">
        <v>232</v>
      </c>
      <c r="N48" s="96"/>
      <c r="O48" s="96"/>
      <c r="S48" s="96">
        <v>1791</v>
      </c>
      <c r="T48" s="96">
        <v>60</v>
      </c>
      <c r="U48" s="84">
        <v>5</v>
      </c>
      <c r="V48" s="94" t="s">
        <v>33</v>
      </c>
      <c r="W48" s="94" t="s">
        <v>35</v>
      </c>
      <c r="X48" s="97">
        <f t="shared" si="0"/>
        <v>0.0324149108589951</v>
      </c>
    </row>
    <row r="49" ht="52.5" customHeight="1" spans="1:24">
      <c r="A49" s="92" t="s">
        <v>24</v>
      </c>
      <c r="B49" s="92">
        <v>2023</v>
      </c>
      <c r="C49" s="93" t="s">
        <v>220</v>
      </c>
      <c r="D49" s="104" t="s">
        <v>233</v>
      </c>
      <c r="E49" s="95" t="s">
        <v>234</v>
      </c>
      <c r="F49" s="92" t="s">
        <v>235</v>
      </c>
      <c r="G49" s="92" t="s">
        <v>39</v>
      </c>
      <c r="H49" s="92" t="s">
        <v>39</v>
      </c>
      <c r="I49" s="101">
        <v>16</v>
      </c>
      <c r="J49" s="94" t="s">
        <v>31</v>
      </c>
      <c r="K49" s="94" t="s">
        <v>31</v>
      </c>
      <c r="L49" s="94"/>
      <c r="M49" s="99" t="s">
        <v>236</v>
      </c>
      <c r="N49" s="96"/>
      <c r="O49" s="96"/>
      <c r="S49" s="96">
        <v>217</v>
      </c>
      <c r="T49" s="96">
        <v>208</v>
      </c>
      <c r="U49" s="84">
        <v>2</v>
      </c>
      <c r="V49" s="94" t="s">
        <v>33</v>
      </c>
      <c r="W49" s="94" t="s">
        <v>35</v>
      </c>
      <c r="X49" s="97">
        <f t="shared" si="0"/>
        <v>0.489411764705882</v>
      </c>
    </row>
    <row r="50" ht="68.25" customHeight="1" spans="1:24">
      <c r="A50" s="92" t="s">
        <v>24</v>
      </c>
      <c r="B50" s="92">
        <v>2023</v>
      </c>
      <c r="C50" s="93" t="s">
        <v>220</v>
      </c>
      <c r="D50" s="104" t="s">
        <v>237</v>
      </c>
      <c r="E50" s="95" t="s">
        <v>238</v>
      </c>
      <c r="F50" s="92" t="s">
        <v>239</v>
      </c>
      <c r="G50" s="92" t="s">
        <v>39</v>
      </c>
      <c r="H50" s="92" t="s">
        <v>39</v>
      </c>
      <c r="I50" s="101">
        <v>91</v>
      </c>
      <c r="J50" s="94" t="s">
        <v>31</v>
      </c>
      <c r="K50" s="94" t="s">
        <v>31</v>
      </c>
      <c r="L50" s="94">
        <v>1</v>
      </c>
      <c r="M50" s="86" t="s">
        <v>240</v>
      </c>
      <c r="N50" s="96"/>
      <c r="O50" s="96"/>
      <c r="S50" s="96">
        <v>1708</v>
      </c>
      <c r="T50" s="96">
        <v>169</v>
      </c>
      <c r="U50" s="84">
        <v>5</v>
      </c>
      <c r="V50" s="94" t="s">
        <v>33</v>
      </c>
      <c r="W50" s="94" t="s">
        <v>35</v>
      </c>
      <c r="X50" s="97">
        <f t="shared" si="0"/>
        <v>0.0900372935535429</v>
      </c>
    </row>
    <row r="51" ht="15.75" customHeight="1" spans="1:24">
      <c r="E51" s="95"/>
      <c r="N51" s="96"/>
      <c r="O51" s="96"/>
      <c r="S51" s="96"/>
      <c r="T51" s="96"/>
    </row>
    <row r="52" ht="15.75" customHeight="1" spans="1:24">
      <c r="E52" s="95"/>
      <c r="N52" s="96"/>
      <c r="O52" s="96"/>
      <c r="S52" s="96"/>
      <c r="T52" s="96"/>
    </row>
    <row r="53" ht="15.75" customHeight="1" spans="1:24">
      <c r="E53" s="95"/>
      <c r="N53" s="96"/>
      <c r="O53" s="96"/>
      <c r="S53" s="96"/>
      <c r="T53" s="96"/>
    </row>
    <row r="54" ht="15.75" customHeight="1" spans="1:24">
      <c r="E54" s="95"/>
      <c r="N54" s="96"/>
      <c r="O54" s="96"/>
      <c r="S54" s="96"/>
      <c r="T54" s="96"/>
    </row>
    <row r="55" ht="15.75" customHeight="1" spans="1:24">
      <c r="E55" s="95"/>
      <c r="N55" s="96"/>
      <c r="O55" s="96"/>
      <c r="S55" s="96"/>
      <c r="T55" s="96"/>
    </row>
    <row r="56" ht="15.75" customHeight="1" spans="1:24">
      <c r="E56" s="95"/>
      <c r="J56" s="92"/>
      <c r="N56" s="96"/>
      <c r="O56" s="96"/>
      <c r="S56" s="96"/>
      <c r="T56" s="96"/>
    </row>
    <row r="57" ht="15.75" customHeight="1" spans="1:24">
      <c r="E57" s="95"/>
      <c r="N57" s="96"/>
      <c r="O57" s="96"/>
      <c r="S57" s="96"/>
      <c r="T57" s="96"/>
    </row>
    <row r="58" ht="15.75" customHeight="1" spans="1:24">
      <c r="E58" s="95"/>
      <c r="N58" s="96"/>
      <c r="O58" s="96"/>
      <c r="S58" s="96"/>
      <c r="T58" s="96"/>
    </row>
    <row r="59" ht="15.75" customHeight="1" spans="1:24">
      <c r="E59" s="95"/>
      <c r="N59" s="96"/>
      <c r="O59" s="96"/>
      <c r="S59" s="96"/>
      <c r="T59" s="96"/>
    </row>
    <row r="60" ht="15.75" customHeight="1" spans="1:24">
      <c r="E60" s="95"/>
      <c r="N60" s="96"/>
      <c r="O60" s="96"/>
      <c r="S60" s="96"/>
      <c r="T60" s="96"/>
    </row>
    <row r="61" ht="15.75" customHeight="1" spans="1:24">
      <c r="E61" s="95"/>
      <c r="N61" s="96"/>
      <c r="O61" s="96"/>
      <c r="S61" s="96"/>
      <c r="T61" s="96"/>
    </row>
    <row r="62" ht="15.75" customHeight="1" spans="1:24">
      <c r="E62" s="95"/>
      <c r="N62" s="96"/>
      <c r="O62" s="96"/>
      <c r="S62" s="96"/>
      <c r="T62" s="96"/>
    </row>
    <row r="63" ht="15.75" customHeight="1" spans="1:24">
      <c r="E63" s="95"/>
      <c r="N63" s="96"/>
      <c r="O63" s="96"/>
      <c r="S63" s="96"/>
      <c r="T63" s="96"/>
    </row>
    <row r="64" ht="15.75" customHeight="1" spans="1:24">
      <c r="E64" s="95"/>
      <c r="N64" s="96"/>
      <c r="O64" s="96"/>
      <c r="S64" s="96"/>
      <c r="T64" s="96"/>
    </row>
    <row r="65" ht="15.75" customHeight="1" spans="5:20">
      <c r="E65" s="95"/>
      <c r="N65" s="96"/>
      <c r="O65" s="96"/>
      <c r="S65" s="96"/>
      <c r="T65" s="96"/>
    </row>
    <row r="66" ht="15.75" customHeight="1" spans="5:20">
      <c r="E66" s="95"/>
      <c r="N66" s="96"/>
      <c r="O66" s="96"/>
      <c r="S66" s="96"/>
      <c r="T66" s="96"/>
    </row>
    <row r="67" ht="15.75" customHeight="1" spans="5:20">
      <c r="E67" s="95"/>
      <c r="N67" s="96"/>
      <c r="O67" s="96"/>
      <c r="S67" s="96"/>
      <c r="T67" s="96"/>
    </row>
    <row r="68" ht="15.75" customHeight="1" spans="5:20">
      <c r="E68" s="95"/>
      <c r="N68" s="96"/>
      <c r="O68" s="96"/>
      <c r="S68" s="96"/>
      <c r="T68" s="96"/>
    </row>
    <row r="69" ht="15.75" customHeight="1" spans="5:20">
      <c r="E69" s="95"/>
      <c r="N69" s="96"/>
      <c r="O69" s="96"/>
      <c r="S69" s="96"/>
      <c r="T69" s="96"/>
    </row>
    <row r="70" ht="15.75" customHeight="1" spans="5:20">
      <c r="E70" s="95"/>
      <c r="N70" s="96"/>
      <c r="O70" s="96"/>
      <c r="S70" s="96"/>
      <c r="T70" s="96"/>
    </row>
    <row r="71" ht="15.75" customHeight="1" spans="5:20">
      <c r="E71" s="95"/>
      <c r="N71" s="96"/>
      <c r="O71" s="96"/>
      <c r="S71" s="96"/>
      <c r="T71" s="96"/>
    </row>
    <row r="72" ht="15.75" customHeight="1" spans="5:20">
      <c r="E72" s="95"/>
      <c r="N72" s="96"/>
      <c r="O72" s="96"/>
      <c r="S72" s="96"/>
      <c r="T72" s="96"/>
    </row>
    <row r="73" ht="15.75" customHeight="1" spans="5:20">
      <c r="E73" s="95"/>
      <c r="N73" s="96"/>
      <c r="O73" s="96"/>
      <c r="S73" s="96"/>
      <c r="T73" s="96"/>
    </row>
    <row r="74" ht="15.75" customHeight="1" spans="5:20">
      <c r="E74" s="95"/>
      <c r="N74" s="96"/>
      <c r="O74" s="96"/>
      <c r="S74" s="96"/>
      <c r="T74" s="96"/>
    </row>
    <row r="75" ht="15.75" customHeight="1" spans="5:20">
      <c r="E75" s="95"/>
      <c r="N75" s="96"/>
      <c r="O75" s="96"/>
      <c r="S75" s="96"/>
      <c r="T75" s="96"/>
    </row>
    <row r="76" ht="15.75" customHeight="1" spans="5:20">
      <c r="E76" s="95"/>
      <c r="N76" s="96"/>
      <c r="O76" s="96"/>
      <c r="S76" s="96"/>
      <c r="T76" s="96"/>
    </row>
    <row r="77" ht="15.75" customHeight="1" spans="5:20">
      <c r="E77" s="95"/>
      <c r="N77" s="96"/>
      <c r="O77" s="96"/>
      <c r="S77" s="96"/>
      <c r="T77" s="96"/>
    </row>
    <row r="78" ht="15.75" customHeight="1" spans="5:20">
      <c r="E78" s="95"/>
      <c r="N78" s="96"/>
      <c r="O78" s="96"/>
      <c r="S78" s="96"/>
      <c r="T78" s="96"/>
    </row>
    <row r="79" ht="15.75" customHeight="1" spans="5:20">
      <c r="E79" s="95"/>
      <c r="N79" s="96"/>
      <c r="O79" s="96"/>
      <c r="S79" s="96"/>
      <c r="T79" s="96"/>
    </row>
    <row r="80" ht="15.75" customHeight="1" spans="5:20">
      <c r="E80" s="95"/>
      <c r="N80" s="96"/>
      <c r="O80" s="96"/>
      <c r="S80" s="96"/>
      <c r="T80" s="96"/>
    </row>
    <row r="81" ht="15.75" customHeight="1" spans="5:20">
      <c r="E81" s="95"/>
      <c r="N81" s="96"/>
      <c r="O81" s="96"/>
      <c r="S81" s="96"/>
      <c r="T81" s="96"/>
    </row>
    <row r="82" ht="15.75" customHeight="1" spans="5:20">
      <c r="E82" s="95"/>
      <c r="N82" s="96"/>
      <c r="O82" s="96"/>
      <c r="S82" s="96"/>
      <c r="T82" s="96"/>
    </row>
    <row r="83" ht="15.75" customHeight="1" spans="5:20">
      <c r="E83" s="95"/>
      <c r="N83" s="96"/>
      <c r="O83" s="96"/>
      <c r="S83" s="96"/>
      <c r="T83" s="96"/>
    </row>
    <row r="84" ht="15.75" customHeight="1" spans="5:20">
      <c r="E84" s="95"/>
      <c r="N84" s="96"/>
      <c r="O84" s="96"/>
      <c r="S84" s="96"/>
      <c r="T84" s="96"/>
    </row>
    <row r="85" ht="15.75" customHeight="1" spans="5:20">
      <c r="E85" s="95"/>
      <c r="N85" s="96"/>
      <c r="O85" s="96"/>
      <c r="S85" s="96"/>
      <c r="T85" s="96"/>
    </row>
    <row r="86" ht="15.75" customHeight="1" spans="5:20">
      <c r="E86" s="95"/>
      <c r="N86" s="96"/>
      <c r="O86" s="96"/>
      <c r="S86" s="96"/>
      <c r="T86" s="96"/>
    </row>
    <row r="87" ht="15.75" customHeight="1" spans="5:20">
      <c r="E87" s="95"/>
      <c r="N87" s="96"/>
      <c r="O87" s="96"/>
      <c r="S87" s="96"/>
      <c r="T87" s="96"/>
    </row>
    <row r="88" ht="15.75" customHeight="1" spans="5:20">
      <c r="E88" s="95"/>
      <c r="N88" s="96"/>
      <c r="O88" s="96"/>
      <c r="S88" s="96"/>
      <c r="T88" s="96"/>
    </row>
    <row r="89" ht="15.75" customHeight="1" spans="5:20">
      <c r="E89" s="95"/>
      <c r="N89" s="96"/>
      <c r="O89" s="96"/>
      <c r="S89" s="96"/>
      <c r="T89" s="96"/>
    </row>
    <row r="90" ht="15.75" customHeight="1" spans="5:20">
      <c r="E90" s="95"/>
      <c r="N90" s="96"/>
      <c r="O90" s="96"/>
      <c r="S90" s="96"/>
      <c r="T90" s="96"/>
    </row>
    <row r="91" ht="15.75" customHeight="1" spans="5:20">
      <c r="E91" s="95"/>
      <c r="N91" s="96"/>
      <c r="O91" s="96"/>
      <c r="S91" s="96"/>
      <c r="T91" s="96"/>
    </row>
    <row r="92" ht="15.75" customHeight="1" spans="5:20">
      <c r="E92" s="95"/>
      <c r="N92" s="96"/>
      <c r="O92" s="96"/>
      <c r="S92" s="96"/>
      <c r="T92" s="96"/>
    </row>
    <row r="93" ht="15.75" customHeight="1" spans="5:20">
      <c r="E93" s="95"/>
      <c r="N93" s="96"/>
      <c r="O93" s="96"/>
      <c r="S93" s="96"/>
      <c r="T93" s="96"/>
    </row>
    <row r="94" ht="15.75" customHeight="1" spans="5:20">
      <c r="E94" s="95"/>
      <c r="N94" s="96"/>
      <c r="O94" s="96"/>
      <c r="S94" s="96"/>
      <c r="T94" s="96"/>
    </row>
    <row r="95" ht="15.75" customHeight="1" spans="5:20">
      <c r="E95" s="95"/>
      <c r="N95" s="96"/>
      <c r="O95" s="96"/>
      <c r="S95" s="96"/>
      <c r="T95" s="96"/>
    </row>
    <row r="96" ht="15.75" customHeight="1" spans="5:20">
      <c r="E96" s="95"/>
      <c r="N96" s="96"/>
      <c r="O96" s="96"/>
      <c r="S96" s="96"/>
      <c r="T96" s="96"/>
    </row>
    <row r="97" ht="15.75" customHeight="1" spans="5:20">
      <c r="E97" s="95"/>
      <c r="N97" s="96"/>
      <c r="O97" s="96"/>
      <c r="S97" s="96"/>
      <c r="T97" s="96"/>
    </row>
    <row r="98" ht="15.75" customHeight="1" spans="5:20">
      <c r="E98" s="95"/>
      <c r="N98" s="96"/>
      <c r="O98" s="96"/>
      <c r="S98" s="96"/>
      <c r="T98" s="96"/>
    </row>
    <row r="99" ht="15.75" customHeight="1" spans="5:20">
      <c r="E99" s="95"/>
      <c r="N99" s="96"/>
      <c r="O99" s="96"/>
      <c r="S99" s="96"/>
      <c r="T99" s="96"/>
    </row>
    <row r="100" ht="15.75" customHeight="1" spans="5:20">
      <c r="E100" s="95"/>
      <c r="N100" s="96"/>
      <c r="O100" s="96"/>
      <c r="S100" s="96"/>
      <c r="T100" s="96"/>
    </row>
    <row r="101" ht="15.75" customHeight="1" spans="5:20">
      <c r="E101" s="95"/>
      <c r="N101" s="96"/>
      <c r="O101" s="96"/>
      <c r="S101" s="96"/>
      <c r="T101" s="96"/>
    </row>
    <row r="102" ht="15.75" customHeight="1" spans="5:20">
      <c r="E102" s="95"/>
      <c r="N102" s="96"/>
      <c r="O102" s="96"/>
      <c r="S102" s="96"/>
      <c r="T102" s="96"/>
    </row>
    <row r="103" ht="15.75" customHeight="1" spans="5:20">
      <c r="E103" s="95"/>
      <c r="N103" s="96"/>
      <c r="O103" s="96"/>
      <c r="S103" s="96"/>
      <c r="T103" s="96"/>
    </row>
    <row r="104" ht="15.75" customHeight="1" spans="5:20">
      <c r="E104" s="95"/>
      <c r="N104" s="96"/>
      <c r="O104" s="96"/>
      <c r="S104" s="96"/>
      <c r="T104" s="96"/>
    </row>
    <row r="105" ht="15.75" customHeight="1" spans="5:20">
      <c r="E105" s="95"/>
      <c r="N105" s="96"/>
      <c r="O105" s="96"/>
      <c r="S105" s="96"/>
      <c r="T105" s="96"/>
    </row>
    <row r="106" ht="15.75" customHeight="1" spans="5:20">
      <c r="E106" s="95"/>
      <c r="N106" s="96"/>
      <c r="O106" s="96"/>
      <c r="S106" s="96"/>
      <c r="T106" s="96"/>
    </row>
    <row r="107" ht="15.75" customHeight="1" spans="5:20">
      <c r="E107" s="95"/>
      <c r="N107" s="96"/>
      <c r="O107" s="96"/>
      <c r="S107" s="96"/>
      <c r="T107" s="96"/>
    </row>
    <row r="108" ht="15.75" customHeight="1" spans="5:20">
      <c r="E108" s="95"/>
      <c r="N108" s="96"/>
      <c r="O108" s="96"/>
      <c r="S108" s="96"/>
      <c r="T108" s="96"/>
    </row>
    <row r="109" ht="15.75" customHeight="1" spans="5:20">
      <c r="E109" s="95"/>
      <c r="N109" s="96"/>
      <c r="O109" s="96"/>
      <c r="S109" s="96"/>
      <c r="T109" s="96"/>
    </row>
    <row r="110" ht="15.75" customHeight="1" spans="5:20">
      <c r="E110" s="95"/>
      <c r="N110" s="96"/>
      <c r="O110" s="96"/>
      <c r="S110" s="96"/>
      <c r="T110" s="96"/>
    </row>
    <row r="111" ht="15.75" customHeight="1" spans="5:20">
      <c r="E111" s="95"/>
      <c r="N111" s="96"/>
      <c r="O111" s="96"/>
      <c r="S111" s="96"/>
      <c r="T111" s="96"/>
    </row>
    <row r="112" ht="15.75" customHeight="1" spans="5:20">
      <c r="E112" s="95"/>
      <c r="N112" s="96"/>
      <c r="O112" s="96"/>
      <c r="S112" s="96"/>
      <c r="T112" s="96"/>
    </row>
    <row r="113" ht="15.75" customHeight="1" spans="5:20">
      <c r="E113" s="95"/>
      <c r="N113" s="96"/>
      <c r="O113" s="96"/>
      <c r="S113" s="96"/>
      <c r="T113" s="96"/>
    </row>
    <row r="114" ht="15.75" customHeight="1" spans="5:20">
      <c r="E114" s="95"/>
      <c r="N114" s="96"/>
      <c r="O114" s="96"/>
      <c r="S114" s="96"/>
      <c r="T114" s="96"/>
    </row>
    <row r="115" ht="15.75" customHeight="1" spans="5:20">
      <c r="E115" s="95"/>
      <c r="N115" s="96"/>
      <c r="O115" s="96"/>
      <c r="S115" s="96"/>
      <c r="T115" s="96"/>
    </row>
    <row r="116" ht="15.75" customHeight="1" spans="5:20">
      <c r="E116" s="95"/>
      <c r="N116" s="96"/>
      <c r="O116" s="96"/>
      <c r="S116" s="96"/>
      <c r="T116" s="96"/>
    </row>
    <row r="117" ht="15.75" customHeight="1" spans="5:20">
      <c r="E117" s="95"/>
      <c r="N117" s="96"/>
      <c r="O117" s="96"/>
      <c r="S117" s="96"/>
      <c r="T117" s="96"/>
    </row>
    <row r="118" ht="15.75" customHeight="1" spans="5:20">
      <c r="E118" s="95"/>
      <c r="N118" s="96"/>
      <c r="O118" s="96"/>
      <c r="S118" s="96"/>
      <c r="T118" s="96"/>
    </row>
    <row r="119" ht="15.75" customHeight="1" spans="5:20">
      <c r="E119" s="95"/>
      <c r="N119" s="96"/>
      <c r="O119" s="96"/>
      <c r="S119" s="96"/>
      <c r="T119" s="96"/>
    </row>
    <row r="120" ht="15.75" customHeight="1" spans="5:20">
      <c r="E120" s="95"/>
      <c r="N120" s="96"/>
      <c r="O120" s="96"/>
      <c r="S120" s="96"/>
      <c r="T120" s="96"/>
    </row>
    <row r="121" ht="15.75" customHeight="1" spans="5:20">
      <c r="E121" s="95"/>
      <c r="N121" s="96"/>
      <c r="O121" s="96"/>
      <c r="S121" s="96"/>
      <c r="T121" s="96"/>
    </row>
    <row r="122" ht="15.75" customHeight="1" spans="5:20">
      <c r="E122" s="95"/>
      <c r="N122" s="96"/>
      <c r="O122" s="96"/>
      <c r="S122" s="96"/>
      <c r="T122" s="96"/>
    </row>
    <row r="123" ht="15.75" customHeight="1" spans="5:20">
      <c r="E123" s="95"/>
      <c r="N123" s="96"/>
      <c r="O123" s="96"/>
      <c r="S123" s="96"/>
      <c r="T123" s="96"/>
    </row>
    <row r="124" ht="15.75" customHeight="1" spans="5:20">
      <c r="E124" s="95"/>
      <c r="N124" s="96"/>
      <c r="O124" s="96"/>
      <c r="S124" s="96"/>
      <c r="T124" s="96"/>
    </row>
    <row r="125" ht="15.75" customHeight="1" spans="5:20">
      <c r="E125" s="95"/>
      <c r="N125" s="96"/>
      <c r="O125" s="96"/>
      <c r="S125" s="96"/>
      <c r="T125" s="96"/>
    </row>
    <row r="126" ht="15.75" customHeight="1" spans="5:20">
      <c r="E126" s="95"/>
      <c r="N126" s="96"/>
      <c r="O126" s="96"/>
      <c r="S126" s="96"/>
      <c r="T126" s="96"/>
    </row>
    <row r="127" ht="15.75" customHeight="1" spans="5:20">
      <c r="E127" s="95"/>
      <c r="N127" s="96"/>
      <c r="O127" s="96"/>
      <c r="S127" s="96"/>
      <c r="T127" s="96"/>
    </row>
    <row r="128" ht="15.75" customHeight="1" spans="5:20">
      <c r="E128" s="95"/>
      <c r="N128" s="96"/>
      <c r="O128" s="96"/>
      <c r="S128" s="96"/>
      <c r="T128" s="96"/>
    </row>
    <row r="129" ht="15.75" customHeight="1" spans="5:20">
      <c r="E129" s="95"/>
      <c r="N129" s="96"/>
      <c r="O129" s="96"/>
      <c r="S129" s="96"/>
      <c r="T129" s="96"/>
    </row>
    <row r="130" ht="15.75" customHeight="1" spans="5:20">
      <c r="E130" s="95"/>
      <c r="N130" s="96"/>
      <c r="O130" s="96"/>
      <c r="S130" s="96"/>
      <c r="T130" s="96"/>
    </row>
    <row r="131" ht="15.75" customHeight="1" spans="5:20">
      <c r="E131" s="95"/>
      <c r="N131" s="96"/>
      <c r="O131" s="96"/>
      <c r="S131" s="96"/>
      <c r="T131" s="96"/>
    </row>
    <row r="132" ht="15.75" customHeight="1" spans="5:20">
      <c r="E132" s="95"/>
      <c r="N132" s="96"/>
      <c r="O132" s="96"/>
      <c r="S132" s="96"/>
      <c r="T132" s="96"/>
    </row>
    <row r="133" ht="15.75" customHeight="1" spans="5:20">
      <c r="E133" s="95"/>
      <c r="N133" s="96"/>
      <c r="O133" s="96"/>
      <c r="S133" s="96"/>
      <c r="T133" s="96"/>
    </row>
    <row r="134" ht="15.75" customHeight="1" spans="5:20">
      <c r="E134" s="95"/>
      <c r="N134" s="96"/>
      <c r="O134" s="96"/>
      <c r="S134" s="96"/>
      <c r="T134" s="96"/>
    </row>
    <row r="135" ht="15.75" customHeight="1" spans="5:20">
      <c r="E135" s="95"/>
      <c r="N135" s="96"/>
      <c r="O135" s="96"/>
      <c r="S135" s="96"/>
      <c r="T135" s="96"/>
    </row>
    <row r="136" ht="15.75" customHeight="1" spans="5:20">
      <c r="E136" s="95"/>
      <c r="N136" s="96"/>
      <c r="O136" s="96"/>
      <c r="S136" s="96"/>
      <c r="T136" s="96"/>
    </row>
    <row r="137" ht="15.75" customHeight="1" spans="5:20">
      <c r="E137" s="95"/>
      <c r="N137" s="96"/>
      <c r="O137" s="96"/>
      <c r="S137" s="96"/>
      <c r="T137" s="96"/>
    </row>
    <row r="138" ht="15.75" customHeight="1" spans="5:20">
      <c r="E138" s="95"/>
      <c r="N138" s="96"/>
      <c r="O138" s="96"/>
      <c r="S138" s="96"/>
      <c r="T138" s="96"/>
    </row>
    <row r="139" ht="15.75" customHeight="1" spans="5:20">
      <c r="E139" s="95"/>
      <c r="N139" s="96"/>
      <c r="O139" s="96"/>
      <c r="S139" s="96"/>
      <c r="T139" s="96"/>
    </row>
    <row r="140" ht="15.75" customHeight="1" spans="5:20">
      <c r="E140" s="95"/>
      <c r="N140" s="96"/>
      <c r="O140" s="96"/>
      <c r="S140" s="96"/>
      <c r="T140" s="96"/>
    </row>
    <row r="141" ht="15.75" customHeight="1" spans="5:20">
      <c r="E141" s="95"/>
      <c r="N141" s="96"/>
      <c r="O141" s="96"/>
      <c r="S141" s="96"/>
      <c r="T141" s="96"/>
    </row>
    <row r="142" ht="15.75" customHeight="1" spans="5:20">
      <c r="E142" s="95"/>
      <c r="N142" s="96"/>
      <c r="O142" s="96"/>
      <c r="S142" s="96"/>
      <c r="T142" s="96"/>
    </row>
    <row r="143" ht="15.75" customHeight="1" spans="5:20">
      <c r="E143" s="95"/>
      <c r="N143" s="96"/>
      <c r="O143" s="96"/>
      <c r="S143" s="96"/>
      <c r="T143" s="96"/>
    </row>
    <row r="144" ht="15.75" customHeight="1" spans="5:20">
      <c r="E144" s="95"/>
      <c r="N144" s="96"/>
      <c r="O144" s="96"/>
      <c r="S144" s="96"/>
      <c r="T144" s="96"/>
    </row>
    <row r="145" ht="15.75" customHeight="1" spans="5:20">
      <c r="E145" s="95"/>
      <c r="N145" s="96"/>
      <c r="O145" s="96"/>
      <c r="S145" s="96"/>
      <c r="T145" s="96"/>
    </row>
    <row r="146" ht="15.75" customHeight="1" spans="5:20">
      <c r="E146" s="95"/>
      <c r="N146" s="96"/>
      <c r="O146" s="96"/>
      <c r="S146" s="96"/>
      <c r="T146" s="96"/>
    </row>
    <row r="147" ht="15.75" customHeight="1" spans="5:20">
      <c r="E147" s="95"/>
      <c r="N147" s="96"/>
      <c r="O147" s="96"/>
      <c r="S147" s="96"/>
      <c r="T147" s="96"/>
    </row>
    <row r="148" ht="15.75" customHeight="1" spans="5:20">
      <c r="E148" s="95"/>
      <c r="N148" s="96"/>
      <c r="O148" s="96"/>
      <c r="S148" s="96"/>
      <c r="T148" s="96"/>
    </row>
    <row r="149" ht="15.75" customHeight="1" spans="5:20">
      <c r="E149" s="95"/>
      <c r="N149" s="96"/>
      <c r="O149" s="96"/>
      <c r="S149" s="96"/>
      <c r="T149" s="96"/>
    </row>
    <row r="150" ht="15.75" customHeight="1" spans="5:20">
      <c r="E150" s="95"/>
      <c r="N150" s="96"/>
      <c r="O150" s="96"/>
      <c r="S150" s="96"/>
      <c r="T150" s="96"/>
    </row>
    <row r="151" ht="15.75" customHeight="1" spans="5:20">
      <c r="E151" s="95"/>
      <c r="N151" s="96"/>
      <c r="O151" s="96"/>
      <c r="S151" s="96"/>
      <c r="T151" s="96"/>
    </row>
    <row r="152" ht="15.75" customHeight="1" spans="5:20">
      <c r="E152" s="95"/>
      <c r="N152" s="96"/>
      <c r="O152" s="96"/>
      <c r="S152" s="96"/>
      <c r="T152" s="96"/>
    </row>
    <row r="153" ht="15.75" customHeight="1" spans="5:20">
      <c r="E153" s="95"/>
      <c r="N153" s="96"/>
      <c r="O153" s="96"/>
      <c r="S153" s="96"/>
      <c r="T153" s="96"/>
    </row>
    <row r="154" ht="15.75" customHeight="1" spans="5:20">
      <c r="E154" s="95"/>
      <c r="N154" s="96"/>
      <c r="O154" s="96"/>
      <c r="S154" s="96"/>
      <c r="T154" s="96"/>
    </row>
    <row r="155" ht="15.75" customHeight="1" spans="5:20">
      <c r="E155" s="95"/>
      <c r="N155" s="96"/>
      <c r="O155" s="96"/>
      <c r="S155" s="96"/>
      <c r="T155" s="96"/>
    </row>
    <row r="156" ht="15.75" customHeight="1" spans="5:20">
      <c r="E156" s="95"/>
      <c r="N156" s="96"/>
      <c r="O156" s="96"/>
      <c r="S156" s="96"/>
      <c r="T156" s="96"/>
    </row>
    <row r="157" ht="15.75" customHeight="1" spans="5:20">
      <c r="E157" s="95"/>
      <c r="N157" s="96"/>
      <c r="O157" s="96"/>
      <c r="S157" s="96"/>
      <c r="T157" s="96"/>
    </row>
    <row r="158" ht="15.75" customHeight="1" spans="5:20">
      <c r="E158" s="95"/>
      <c r="N158" s="96"/>
      <c r="O158" s="96"/>
      <c r="S158" s="96"/>
      <c r="T158" s="96"/>
    </row>
    <row r="159" ht="15.75" customHeight="1" spans="5:20">
      <c r="E159" s="95"/>
      <c r="N159" s="96"/>
      <c r="O159" s="96"/>
      <c r="S159" s="96"/>
      <c r="T159" s="96"/>
    </row>
    <row r="160" ht="15.75" customHeight="1" spans="5:20">
      <c r="E160" s="95"/>
      <c r="N160" s="96"/>
      <c r="O160" s="96"/>
      <c r="S160" s="96"/>
      <c r="T160" s="96"/>
    </row>
    <row r="161" ht="15.75" customHeight="1" spans="5:20">
      <c r="E161" s="95"/>
      <c r="N161" s="96"/>
      <c r="O161" s="96"/>
      <c r="S161" s="96"/>
      <c r="T161" s="96"/>
    </row>
    <row r="162" ht="15.75" customHeight="1" spans="5:20">
      <c r="E162" s="95"/>
      <c r="N162" s="96"/>
      <c r="O162" s="96"/>
      <c r="S162" s="96"/>
      <c r="T162" s="96"/>
    </row>
    <row r="163" ht="15.75" customHeight="1" spans="5:20">
      <c r="E163" s="95"/>
      <c r="N163" s="96"/>
      <c r="O163" s="96"/>
      <c r="S163" s="96"/>
      <c r="T163" s="96"/>
    </row>
    <row r="164" ht="15.75" customHeight="1" spans="5:20">
      <c r="E164" s="95"/>
      <c r="N164" s="96"/>
      <c r="O164" s="96"/>
      <c r="S164" s="96"/>
      <c r="T164" s="96"/>
    </row>
    <row r="165" ht="15.75" customHeight="1" spans="5:20">
      <c r="E165" s="95"/>
      <c r="N165" s="96"/>
      <c r="O165" s="96"/>
      <c r="S165" s="96"/>
      <c r="T165" s="96"/>
    </row>
    <row r="166" ht="15.75" customHeight="1" spans="5:20">
      <c r="E166" s="95"/>
      <c r="N166" s="96"/>
      <c r="O166" s="96"/>
      <c r="S166" s="96"/>
      <c r="T166" s="96"/>
    </row>
    <row r="167" ht="15.75" customHeight="1" spans="5:20">
      <c r="E167" s="95"/>
      <c r="N167" s="96"/>
      <c r="O167" s="96"/>
      <c r="S167" s="96"/>
      <c r="T167" s="96"/>
    </row>
    <row r="168" ht="15.75" customHeight="1" spans="5:20">
      <c r="E168" s="95"/>
      <c r="N168" s="96"/>
      <c r="O168" s="96"/>
      <c r="S168" s="96"/>
      <c r="T168" s="96"/>
    </row>
    <row r="169" ht="15.75" customHeight="1" spans="5:20">
      <c r="E169" s="95"/>
      <c r="N169" s="96"/>
      <c r="O169" s="96"/>
      <c r="S169" s="96"/>
      <c r="T169" s="96"/>
    </row>
    <row r="170" ht="15.75" customHeight="1" spans="5:20">
      <c r="E170" s="95"/>
      <c r="N170" s="96"/>
      <c r="O170" s="96"/>
      <c r="S170" s="96"/>
      <c r="T170" s="96"/>
    </row>
    <row r="171" ht="15.75" customHeight="1" spans="5:20">
      <c r="E171" s="95"/>
      <c r="N171" s="96"/>
      <c r="O171" s="96"/>
      <c r="S171" s="96"/>
      <c r="T171" s="96"/>
    </row>
    <row r="172" ht="15.75" customHeight="1" spans="5:20">
      <c r="E172" s="95"/>
      <c r="N172" s="96"/>
      <c r="O172" s="96"/>
      <c r="S172" s="96"/>
      <c r="T172" s="96"/>
    </row>
    <row r="173" ht="15.75" customHeight="1" spans="5:20">
      <c r="E173" s="95"/>
      <c r="N173" s="96"/>
      <c r="O173" s="96"/>
      <c r="S173" s="96"/>
      <c r="T173" s="96"/>
    </row>
    <row r="174" ht="15.75" customHeight="1" spans="5:20">
      <c r="E174" s="95"/>
      <c r="N174" s="96"/>
      <c r="O174" s="96"/>
      <c r="S174" s="96"/>
      <c r="T174" s="96"/>
    </row>
    <row r="175" ht="15.75" customHeight="1" spans="5:20">
      <c r="E175" s="95"/>
      <c r="N175" s="96"/>
      <c r="O175" s="96"/>
      <c r="S175" s="96"/>
      <c r="T175" s="96"/>
    </row>
    <row r="176" ht="15.75" customHeight="1" spans="5:20">
      <c r="E176" s="95"/>
      <c r="N176" s="96"/>
      <c r="O176" s="96"/>
      <c r="S176" s="96"/>
      <c r="T176" s="96"/>
    </row>
    <row r="177" ht="15.75" customHeight="1" spans="5:20">
      <c r="E177" s="95"/>
      <c r="N177" s="96"/>
      <c r="O177" s="96"/>
      <c r="S177" s="96"/>
      <c r="T177" s="96"/>
    </row>
    <row r="178" ht="15.75" customHeight="1" spans="5:20">
      <c r="E178" s="95"/>
      <c r="N178" s="96"/>
      <c r="O178" s="96"/>
      <c r="S178" s="96"/>
      <c r="T178" s="96"/>
    </row>
    <row r="179" ht="15.75" customHeight="1" spans="5:20">
      <c r="E179" s="95"/>
      <c r="N179" s="96"/>
      <c r="O179" s="96"/>
      <c r="S179" s="96"/>
      <c r="T179" s="96"/>
    </row>
    <row r="180" ht="15.75" customHeight="1" spans="5:20">
      <c r="E180" s="95"/>
      <c r="N180" s="96"/>
      <c r="O180" s="96"/>
      <c r="S180" s="96"/>
      <c r="T180" s="96"/>
    </row>
    <row r="181" ht="15.75" customHeight="1" spans="5:20">
      <c r="E181" s="95"/>
      <c r="N181" s="96"/>
      <c r="O181" s="96"/>
      <c r="S181" s="96"/>
      <c r="T181" s="96"/>
    </row>
    <row r="182" ht="15.75" customHeight="1" spans="5:20">
      <c r="E182" s="95"/>
      <c r="N182" s="96"/>
      <c r="O182" s="96"/>
      <c r="S182" s="96"/>
      <c r="T182" s="96"/>
    </row>
    <row r="183" ht="15.75" customHeight="1" spans="5:20">
      <c r="E183" s="95"/>
      <c r="N183" s="96"/>
      <c r="O183" s="96"/>
      <c r="S183" s="96"/>
      <c r="T183" s="96"/>
    </row>
    <row r="184" ht="15.75" customHeight="1" spans="5:20">
      <c r="E184" s="95"/>
      <c r="N184" s="96"/>
      <c r="O184" s="96"/>
      <c r="S184" s="96"/>
      <c r="T184" s="96"/>
    </row>
    <row r="185" ht="15.75" customHeight="1" spans="5:20">
      <c r="E185" s="95"/>
      <c r="N185" s="96"/>
      <c r="O185" s="96"/>
      <c r="S185" s="96"/>
      <c r="T185" s="96"/>
    </row>
    <row r="186" ht="15.75" customHeight="1" spans="5:20">
      <c r="E186" s="95"/>
      <c r="N186" s="96"/>
      <c r="O186" s="96"/>
      <c r="S186" s="96"/>
      <c r="T186" s="96"/>
    </row>
    <row r="187" ht="15.75" customHeight="1" spans="5:20">
      <c r="E187" s="95"/>
      <c r="N187" s="96"/>
      <c r="O187" s="96"/>
      <c r="S187" s="96"/>
      <c r="T187" s="96"/>
    </row>
    <row r="188" ht="15.75" customHeight="1" spans="5:20">
      <c r="E188" s="95"/>
      <c r="N188" s="96"/>
      <c r="O188" s="96"/>
      <c r="S188" s="96"/>
      <c r="T188" s="96"/>
    </row>
    <row r="189" ht="15.75" customHeight="1" spans="5:20">
      <c r="E189" s="95"/>
      <c r="N189" s="96"/>
      <c r="O189" s="96"/>
      <c r="S189" s="96"/>
      <c r="T189" s="96"/>
    </row>
    <row r="190" ht="15.75" customHeight="1" spans="5:20">
      <c r="E190" s="95"/>
      <c r="N190" s="96"/>
      <c r="O190" s="96"/>
      <c r="S190" s="96"/>
      <c r="T190" s="96"/>
    </row>
    <row r="191" ht="15.75" customHeight="1" spans="5:20">
      <c r="E191" s="95"/>
      <c r="N191" s="96"/>
      <c r="O191" s="96"/>
      <c r="S191" s="96"/>
      <c r="T191" s="96"/>
    </row>
    <row r="192" ht="15.75" customHeight="1" spans="5:20">
      <c r="E192" s="95"/>
      <c r="N192" s="96"/>
      <c r="O192" s="96"/>
      <c r="S192" s="96"/>
      <c r="T192" s="96"/>
    </row>
    <row r="193" ht="15.75" customHeight="1" spans="5:20">
      <c r="E193" s="95"/>
      <c r="N193" s="96"/>
      <c r="O193" s="96"/>
      <c r="S193" s="96"/>
      <c r="T193" s="96"/>
    </row>
    <row r="194" ht="15.75" customHeight="1" spans="5:20">
      <c r="E194" s="95"/>
      <c r="N194" s="96"/>
      <c r="O194" s="96"/>
      <c r="S194" s="96"/>
      <c r="T194" s="96"/>
    </row>
    <row r="195" ht="15.75" customHeight="1" spans="5:20">
      <c r="E195" s="95"/>
      <c r="N195" s="96"/>
      <c r="O195" s="96"/>
      <c r="S195" s="96"/>
      <c r="T195" s="96"/>
    </row>
    <row r="196" ht="15.75" customHeight="1" spans="5:20">
      <c r="E196" s="95"/>
      <c r="N196" s="96"/>
      <c r="O196" s="96"/>
      <c r="S196" s="96"/>
      <c r="T196" s="96"/>
    </row>
    <row r="197" ht="15.75" customHeight="1" spans="5:20">
      <c r="E197" s="95"/>
      <c r="N197" s="96"/>
      <c r="O197" s="96"/>
      <c r="S197" s="96"/>
      <c r="T197" s="96"/>
    </row>
    <row r="198" ht="15.75" customHeight="1" spans="5:20">
      <c r="E198" s="95"/>
      <c r="N198" s="96"/>
      <c r="O198" s="96"/>
      <c r="S198" s="96"/>
      <c r="T198" s="96"/>
    </row>
    <row r="199" ht="15.75" customHeight="1" spans="5:20">
      <c r="E199" s="95"/>
      <c r="N199" s="96"/>
      <c r="O199" s="96"/>
      <c r="S199" s="96"/>
      <c r="T199" s="96"/>
    </row>
    <row r="200" ht="15.75" customHeight="1" spans="5:20">
      <c r="E200" s="95"/>
      <c r="N200" s="96"/>
      <c r="O200" s="96"/>
      <c r="S200" s="96"/>
      <c r="T200" s="96"/>
    </row>
    <row r="201" ht="15.75" customHeight="1" spans="5:20">
      <c r="E201" s="95"/>
      <c r="N201" s="96"/>
      <c r="O201" s="96"/>
      <c r="S201" s="96"/>
      <c r="T201" s="96"/>
    </row>
    <row r="202" ht="15.75" customHeight="1" spans="5:20">
      <c r="E202" s="95"/>
      <c r="N202" s="96"/>
      <c r="O202" s="96"/>
      <c r="S202" s="96"/>
      <c r="T202" s="96"/>
    </row>
    <row r="203" ht="15.75" customHeight="1" spans="5:20">
      <c r="E203" s="95"/>
      <c r="N203" s="96"/>
      <c r="O203" s="96"/>
      <c r="S203" s="96"/>
      <c r="T203" s="96"/>
    </row>
    <row r="204" ht="15.75" customHeight="1" spans="5:20">
      <c r="E204" s="95"/>
      <c r="N204" s="96"/>
      <c r="O204" s="96"/>
      <c r="S204" s="96"/>
      <c r="T204" s="96"/>
    </row>
    <row r="205" ht="15.75" customHeight="1" spans="5:20">
      <c r="E205" s="95"/>
      <c r="N205" s="96"/>
      <c r="O205" s="96"/>
      <c r="S205" s="96"/>
      <c r="T205" s="96"/>
    </row>
    <row r="206" ht="15.75" customHeight="1" spans="5:20">
      <c r="E206" s="95"/>
      <c r="N206" s="96"/>
      <c r="O206" s="96"/>
      <c r="S206" s="96"/>
      <c r="T206" s="96"/>
    </row>
    <row r="207" ht="15.75" customHeight="1" spans="5:20">
      <c r="E207" s="95"/>
      <c r="N207" s="96"/>
      <c r="O207" s="96"/>
      <c r="S207" s="96"/>
      <c r="T207" s="96"/>
    </row>
    <row r="208" ht="15.75" customHeight="1" spans="5:20">
      <c r="E208" s="95"/>
      <c r="N208" s="96"/>
      <c r="O208" s="96"/>
      <c r="S208" s="96"/>
      <c r="T208" s="96"/>
    </row>
    <row r="209" ht="15.75" customHeight="1" spans="5:20">
      <c r="E209" s="95"/>
      <c r="N209" s="96"/>
      <c r="O209" s="96"/>
      <c r="S209" s="96"/>
      <c r="T209" s="96"/>
    </row>
    <row r="210" ht="15.75" customHeight="1" spans="5:20">
      <c r="E210" s="95"/>
      <c r="N210" s="96"/>
      <c r="O210" s="96"/>
      <c r="S210" s="96"/>
      <c r="T210" s="96"/>
    </row>
    <row r="211" ht="15.75" customHeight="1" spans="5:20">
      <c r="E211" s="95"/>
      <c r="N211" s="96"/>
      <c r="O211" s="96"/>
      <c r="S211" s="96"/>
      <c r="T211" s="96"/>
    </row>
    <row r="212" ht="15.75" customHeight="1" spans="5:20">
      <c r="E212" s="95"/>
      <c r="N212" s="96"/>
      <c r="O212" s="96"/>
      <c r="S212" s="96"/>
      <c r="T212" s="96"/>
    </row>
    <row r="213" ht="15.75" customHeight="1" spans="5:20">
      <c r="E213" s="95"/>
      <c r="N213" s="96"/>
      <c r="O213" s="96"/>
      <c r="S213" s="96"/>
      <c r="T213" s="96"/>
    </row>
    <row r="214" ht="15.75" customHeight="1" spans="5:20">
      <c r="E214" s="95"/>
      <c r="N214" s="96"/>
      <c r="O214" s="96"/>
      <c r="S214" s="96"/>
      <c r="T214" s="96"/>
    </row>
    <row r="215" ht="15.75" customHeight="1" spans="5:20">
      <c r="E215" s="95"/>
      <c r="N215" s="96"/>
      <c r="O215" s="96"/>
      <c r="S215" s="96"/>
      <c r="T215" s="96"/>
    </row>
    <row r="216" ht="15.75" customHeight="1" spans="5:20">
      <c r="E216" s="95"/>
      <c r="N216" s="96"/>
      <c r="O216" s="96"/>
      <c r="S216" s="96"/>
      <c r="T216" s="96"/>
    </row>
    <row r="217" ht="15.75" customHeight="1" spans="5:20">
      <c r="E217" s="95"/>
      <c r="N217" s="96"/>
      <c r="O217" s="96"/>
      <c r="S217" s="96"/>
      <c r="T217" s="96"/>
    </row>
    <row r="218" ht="15.75" customHeight="1" spans="5:20">
      <c r="E218" s="95"/>
      <c r="N218" s="96"/>
      <c r="O218" s="96"/>
      <c r="S218" s="96"/>
      <c r="T218" s="96"/>
    </row>
    <row r="219" ht="15.75" customHeight="1" spans="5:20">
      <c r="E219" s="95"/>
      <c r="N219" s="96"/>
      <c r="O219" s="96"/>
      <c r="S219" s="96"/>
      <c r="T219" s="96"/>
    </row>
    <row r="220" ht="15.75" customHeight="1" spans="5:20">
      <c r="E220" s="95"/>
      <c r="N220" s="96"/>
      <c r="O220" s="96"/>
      <c r="S220" s="96"/>
      <c r="T220" s="96"/>
    </row>
    <row r="221" ht="15.75" customHeight="1" spans="5:20">
      <c r="E221" s="95"/>
      <c r="N221" s="96"/>
      <c r="O221" s="96"/>
      <c r="S221" s="96"/>
      <c r="T221" s="96"/>
    </row>
    <row r="222" ht="15.75" customHeight="1" spans="5:20">
      <c r="E222" s="95"/>
      <c r="N222" s="96"/>
      <c r="O222" s="96"/>
      <c r="S222" s="96"/>
      <c r="T222" s="96"/>
    </row>
    <row r="223" ht="15.75" customHeight="1" spans="5:20">
      <c r="E223" s="95"/>
      <c r="N223" s="96"/>
      <c r="O223" s="96"/>
      <c r="S223" s="96"/>
      <c r="T223" s="96"/>
    </row>
    <row r="224" ht="15.75" customHeight="1" spans="5:20">
      <c r="E224" s="95"/>
      <c r="N224" s="96"/>
      <c r="O224" s="96"/>
      <c r="S224" s="96"/>
      <c r="T224" s="96"/>
    </row>
    <row r="225" ht="15.75" customHeight="1" spans="5:20">
      <c r="E225" s="95"/>
      <c r="N225" s="96"/>
      <c r="O225" s="96"/>
      <c r="S225" s="96"/>
      <c r="T225" s="96"/>
    </row>
    <row r="226" ht="15.75" customHeight="1" spans="5:20">
      <c r="E226" s="95"/>
      <c r="N226" s="96"/>
      <c r="O226" s="96"/>
      <c r="S226" s="96"/>
      <c r="T226" s="96"/>
    </row>
    <row r="227" ht="15.75" customHeight="1" spans="5:20">
      <c r="E227" s="95"/>
      <c r="N227" s="96"/>
      <c r="O227" s="96"/>
      <c r="S227" s="96"/>
      <c r="T227" s="96"/>
    </row>
    <row r="228" ht="15.75" customHeight="1" spans="5:20">
      <c r="E228" s="95"/>
      <c r="N228" s="96"/>
      <c r="O228" s="96"/>
      <c r="S228" s="96"/>
      <c r="T228" s="96"/>
    </row>
    <row r="229" ht="15.75" customHeight="1" spans="5:20">
      <c r="E229" s="95"/>
      <c r="N229" s="96"/>
      <c r="O229" s="96"/>
      <c r="S229" s="96"/>
      <c r="T229" s="96"/>
    </row>
    <row r="230" ht="15.75" customHeight="1" spans="5:20">
      <c r="E230" s="95"/>
      <c r="N230" s="96"/>
      <c r="O230" s="96"/>
      <c r="S230" s="96"/>
      <c r="T230" s="96"/>
    </row>
    <row r="231" ht="15.75" customHeight="1" spans="5:20">
      <c r="E231" s="95"/>
      <c r="N231" s="96"/>
      <c r="O231" s="96"/>
      <c r="S231" s="96"/>
      <c r="T231" s="96"/>
    </row>
    <row r="232" ht="15.75" customHeight="1" spans="5:20">
      <c r="E232" s="95"/>
      <c r="N232" s="96"/>
      <c r="O232" s="96"/>
      <c r="S232" s="96"/>
      <c r="T232" s="96"/>
    </row>
    <row r="233" ht="15.75" customHeight="1" spans="5:20">
      <c r="E233" s="95"/>
      <c r="N233" s="96"/>
      <c r="O233" s="96"/>
      <c r="S233" s="96"/>
      <c r="T233" s="96"/>
    </row>
    <row r="234" ht="15.75" customHeight="1" spans="5:20">
      <c r="E234" s="95"/>
      <c r="N234" s="96"/>
      <c r="O234" s="96"/>
      <c r="S234" s="96"/>
      <c r="T234" s="96"/>
    </row>
    <row r="235" ht="15.75" customHeight="1" spans="5:20">
      <c r="E235" s="95"/>
      <c r="N235" s="96"/>
      <c r="O235" s="96"/>
      <c r="S235" s="96"/>
      <c r="T235" s="96"/>
    </row>
    <row r="236" ht="15.75" customHeight="1" spans="5:20">
      <c r="E236" s="95"/>
      <c r="N236" s="96"/>
      <c r="O236" s="96"/>
      <c r="S236" s="96"/>
      <c r="T236" s="96"/>
    </row>
    <row r="237" ht="15.75" customHeight="1" spans="5:20">
      <c r="E237" s="95"/>
      <c r="N237" s="96"/>
      <c r="O237" s="96"/>
      <c r="S237" s="96"/>
      <c r="T237" s="96"/>
    </row>
    <row r="238" ht="15.75" customHeight="1" spans="5:20">
      <c r="E238" s="95"/>
      <c r="N238" s="96"/>
      <c r="O238" s="96"/>
      <c r="S238" s="96"/>
      <c r="T238" s="96"/>
    </row>
    <row r="239" ht="15.75" customHeight="1" spans="5:20">
      <c r="E239" s="95"/>
      <c r="N239" s="96"/>
      <c r="O239" s="96"/>
      <c r="S239" s="96"/>
      <c r="T239" s="96"/>
    </row>
    <row r="240" ht="15.75" customHeight="1" spans="5:20">
      <c r="E240" s="95"/>
      <c r="N240" s="96"/>
      <c r="O240" s="96"/>
      <c r="S240" s="96"/>
      <c r="T240" s="96"/>
    </row>
    <row r="241" ht="15.75" customHeight="1" spans="5:20">
      <c r="E241" s="95"/>
      <c r="N241" s="96"/>
      <c r="O241" s="96"/>
      <c r="S241" s="96"/>
      <c r="T241" s="96"/>
    </row>
    <row r="242" ht="15.75" customHeight="1" spans="5:20">
      <c r="E242" s="95"/>
      <c r="N242" s="96"/>
      <c r="O242" s="96"/>
      <c r="S242" s="96"/>
      <c r="T242" s="96"/>
    </row>
    <row r="243" ht="15.75" customHeight="1" spans="5:20">
      <c r="E243" s="95"/>
      <c r="N243" s="96"/>
      <c r="O243" s="96"/>
      <c r="S243" s="96"/>
      <c r="T243" s="96"/>
    </row>
    <row r="244" ht="15.75" customHeight="1" spans="5:20">
      <c r="E244" s="95"/>
      <c r="N244" s="96"/>
      <c r="O244" s="96"/>
      <c r="S244" s="96"/>
      <c r="T244" s="96"/>
    </row>
    <row r="245" ht="15.75" customHeight="1" spans="5:20">
      <c r="E245" s="95"/>
      <c r="N245" s="96"/>
      <c r="O245" s="96"/>
      <c r="S245" s="96"/>
      <c r="T245" s="96"/>
    </row>
    <row r="246" ht="15.75" customHeight="1" spans="5:20">
      <c r="E246" s="95"/>
      <c r="N246" s="96"/>
      <c r="O246" s="96"/>
      <c r="S246" s="96"/>
      <c r="T246" s="96"/>
    </row>
    <row r="247" ht="15.75" customHeight="1" spans="5:20">
      <c r="E247" s="95"/>
      <c r="N247" s="96"/>
      <c r="O247" s="96"/>
      <c r="S247" s="96"/>
      <c r="T247" s="96"/>
    </row>
    <row r="248" ht="15.75" customHeight="1" spans="5:20">
      <c r="E248" s="95"/>
      <c r="N248" s="96"/>
      <c r="O248" s="96"/>
      <c r="S248" s="96"/>
      <c r="T248" s="96"/>
    </row>
    <row r="249" ht="15.75" customHeight="1" spans="5:20">
      <c r="E249" s="95"/>
      <c r="N249" s="96"/>
      <c r="O249" s="96"/>
      <c r="S249" s="96"/>
      <c r="T249" s="96"/>
    </row>
    <row r="250" ht="15.75" customHeight="1" spans="5:20">
      <c r="E250" s="95"/>
      <c r="N250" s="96"/>
      <c r="O250" s="96"/>
      <c r="S250" s="96"/>
      <c r="T250" s="96"/>
    </row>
    <row r="251" ht="15.75" customHeight="1" spans="5:20">
      <c r="E251" s="95"/>
      <c r="N251" s="96"/>
      <c r="O251" s="96"/>
      <c r="S251" s="96"/>
      <c r="T251" s="96"/>
    </row>
    <row r="252" ht="15.75" customHeight="1" spans="5:20">
      <c r="E252" s="95"/>
      <c r="N252" s="96"/>
      <c r="O252" s="96"/>
      <c r="S252" s="96"/>
      <c r="T252" s="96"/>
    </row>
    <row r="253" ht="15.75" customHeight="1" spans="5:20">
      <c r="E253" s="95"/>
      <c r="N253" s="96"/>
      <c r="O253" s="96"/>
      <c r="S253" s="96"/>
      <c r="T253" s="96"/>
    </row>
    <row r="254" ht="15.75" customHeight="1" spans="5:20">
      <c r="E254" s="95"/>
      <c r="N254" s="96"/>
      <c r="O254" s="96"/>
      <c r="S254" s="96"/>
      <c r="T254" s="96"/>
    </row>
    <row r="255" ht="15.75" customHeight="1" spans="5:20">
      <c r="E255" s="95"/>
      <c r="N255" s="96"/>
      <c r="O255" s="96"/>
      <c r="S255" s="96"/>
      <c r="T255" s="96"/>
    </row>
    <row r="256" ht="15.75" customHeight="1" spans="5:20">
      <c r="E256" s="95"/>
      <c r="N256" s="96"/>
      <c r="O256" s="96"/>
      <c r="S256" s="96"/>
      <c r="T256" s="96"/>
    </row>
    <row r="257" ht="15.75" customHeight="1" spans="5:20">
      <c r="E257" s="95"/>
      <c r="N257" s="96"/>
      <c r="O257" s="96"/>
      <c r="S257" s="96"/>
      <c r="T257" s="96"/>
    </row>
    <row r="258" ht="15.75" customHeight="1" spans="5:20">
      <c r="E258" s="95"/>
      <c r="N258" s="96"/>
      <c r="O258" s="96"/>
      <c r="S258" s="96"/>
      <c r="T258" s="96"/>
    </row>
    <row r="259" ht="15.75" customHeight="1" spans="5:20">
      <c r="E259" s="95"/>
      <c r="N259" s="96"/>
      <c r="O259" s="96"/>
      <c r="S259" s="96"/>
      <c r="T259" s="96"/>
    </row>
    <row r="260" ht="15.75" customHeight="1" spans="5:20">
      <c r="E260" s="95"/>
      <c r="N260" s="96"/>
      <c r="O260" s="96"/>
      <c r="S260" s="96"/>
      <c r="T260" s="96"/>
    </row>
    <row r="261" ht="15.75" customHeight="1" spans="5:20">
      <c r="E261" s="95"/>
      <c r="N261" s="96"/>
      <c r="O261" s="96"/>
      <c r="S261" s="96"/>
      <c r="T261" s="96"/>
    </row>
    <row r="262" ht="15.75" customHeight="1" spans="5:20">
      <c r="E262" s="95"/>
      <c r="N262" s="96"/>
      <c r="O262" s="96"/>
      <c r="S262" s="96"/>
      <c r="T262" s="96"/>
    </row>
    <row r="263" ht="15.75" customHeight="1" spans="5:20">
      <c r="E263" s="95"/>
      <c r="N263" s="96"/>
      <c r="O263" s="96"/>
      <c r="S263" s="96"/>
      <c r="T263" s="96"/>
    </row>
    <row r="264" ht="15.75" customHeight="1" spans="5:20">
      <c r="E264" s="95"/>
      <c r="N264" s="96"/>
      <c r="O264" s="96"/>
      <c r="S264" s="96"/>
      <c r="T264" s="96"/>
    </row>
    <row r="265" ht="15.75" customHeight="1" spans="5:20">
      <c r="E265" s="95"/>
      <c r="N265" s="96"/>
      <c r="O265" s="96"/>
      <c r="S265" s="96"/>
      <c r="T265" s="96"/>
    </row>
    <row r="266" ht="15.75" customHeight="1" spans="5:20">
      <c r="E266" s="95"/>
      <c r="N266" s="96"/>
      <c r="O266" s="96"/>
      <c r="S266" s="96"/>
      <c r="T266" s="96"/>
    </row>
    <row r="267" ht="15.75" customHeight="1" spans="5:20">
      <c r="E267" s="95"/>
      <c r="N267" s="96"/>
      <c r="O267" s="96"/>
      <c r="S267" s="96"/>
      <c r="T267" s="96"/>
    </row>
    <row r="268" ht="15.75" customHeight="1" spans="5:20">
      <c r="E268" s="95"/>
      <c r="N268" s="96"/>
      <c r="O268" s="96"/>
      <c r="S268" s="96"/>
      <c r="T268" s="96"/>
    </row>
    <row r="269" ht="15.75" customHeight="1" spans="5:20">
      <c r="E269" s="95"/>
      <c r="N269" s="96"/>
      <c r="O269" s="96"/>
      <c r="S269" s="96"/>
      <c r="T269" s="96"/>
    </row>
    <row r="270" ht="15.75" customHeight="1" spans="5:20">
      <c r="E270" s="95"/>
      <c r="N270" s="96"/>
      <c r="O270" s="96"/>
      <c r="S270" s="96"/>
      <c r="T270" s="96"/>
    </row>
    <row r="271" ht="15.75" customHeight="1" spans="5:20">
      <c r="E271" s="95"/>
      <c r="N271" s="96"/>
      <c r="O271" s="96"/>
      <c r="S271" s="96"/>
      <c r="T271" s="96"/>
    </row>
    <row r="272" ht="15.75" customHeight="1" spans="5:20">
      <c r="E272" s="95"/>
      <c r="N272" s="96"/>
      <c r="O272" s="96"/>
      <c r="S272" s="96"/>
      <c r="T272" s="96"/>
    </row>
    <row r="273" ht="15.75" customHeight="1" spans="5:20">
      <c r="E273" s="95"/>
      <c r="N273" s="96"/>
      <c r="O273" s="96"/>
      <c r="S273" s="96"/>
      <c r="T273" s="96"/>
    </row>
    <row r="274" ht="15.75" customHeight="1" spans="5:20">
      <c r="E274" s="95"/>
      <c r="N274" s="96"/>
      <c r="O274" s="96"/>
      <c r="S274" s="96"/>
      <c r="T274" s="96"/>
    </row>
    <row r="275" ht="15.75" customHeight="1" spans="5:20">
      <c r="E275" s="95"/>
      <c r="N275" s="96"/>
      <c r="O275" s="96"/>
      <c r="S275" s="96"/>
      <c r="T275" s="96"/>
    </row>
    <row r="276" ht="15.75" customHeight="1" spans="5:20">
      <c r="E276" s="95"/>
      <c r="N276" s="96"/>
      <c r="O276" s="96"/>
      <c r="S276" s="96"/>
      <c r="T276" s="96"/>
    </row>
    <row r="277" ht="15.75" customHeight="1" spans="5:20">
      <c r="E277" s="95"/>
      <c r="N277" s="96"/>
      <c r="O277" s="96"/>
      <c r="S277" s="96"/>
      <c r="T277" s="96"/>
    </row>
    <row r="278" ht="15.75" customHeight="1" spans="5:20">
      <c r="E278" s="95"/>
      <c r="N278" s="96"/>
      <c r="O278" s="96"/>
      <c r="S278" s="96"/>
      <c r="T278" s="96"/>
    </row>
    <row r="279" ht="15.75" customHeight="1" spans="5:20">
      <c r="E279" s="95"/>
      <c r="N279" s="96"/>
      <c r="O279" s="96"/>
      <c r="S279" s="96"/>
      <c r="T279" s="96"/>
    </row>
    <row r="280" ht="15.75" customHeight="1" spans="5:20">
      <c r="E280" s="95"/>
      <c r="N280" s="96"/>
      <c r="O280" s="96"/>
      <c r="S280" s="96"/>
      <c r="T280" s="96"/>
    </row>
    <row r="281" ht="15.75" customHeight="1" spans="5:20">
      <c r="E281" s="95"/>
      <c r="N281" s="96"/>
      <c r="O281" s="96"/>
      <c r="S281" s="96"/>
      <c r="T281" s="96"/>
    </row>
    <row r="282" ht="15.75" customHeight="1" spans="5:20">
      <c r="E282" s="95"/>
      <c r="N282" s="96"/>
      <c r="O282" s="96"/>
      <c r="S282" s="96"/>
      <c r="T282" s="96"/>
    </row>
    <row r="283" ht="15.75" customHeight="1" spans="5:20">
      <c r="E283" s="95"/>
      <c r="N283" s="96"/>
      <c r="O283" s="96"/>
      <c r="S283" s="96"/>
      <c r="T283" s="96"/>
    </row>
    <row r="284" ht="15.75" customHeight="1" spans="5:20">
      <c r="E284" s="95"/>
      <c r="N284" s="96"/>
      <c r="O284" s="96"/>
      <c r="S284" s="96"/>
      <c r="T284" s="96"/>
    </row>
    <row r="285" ht="15.75" customHeight="1" spans="5:20">
      <c r="E285" s="95"/>
      <c r="N285" s="96"/>
      <c r="O285" s="96"/>
      <c r="S285" s="96"/>
      <c r="T285" s="96"/>
    </row>
    <row r="286" ht="15.75" customHeight="1" spans="5:20">
      <c r="E286" s="95"/>
      <c r="N286" s="96"/>
      <c r="O286" s="96"/>
      <c r="S286" s="96"/>
      <c r="T286" s="96"/>
    </row>
    <row r="287" ht="15.75" customHeight="1" spans="5:20">
      <c r="E287" s="95"/>
      <c r="N287" s="96"/>
      <c r="O287" s="96"/>
      <c r="S287" s="96"/>
      <c r="T287" s="96"/>
    </row>
    <row r="288" ht="15.75" customHeight="1" spans="5:20">
      <c r="E288" s="95"/>
      <c r="N288" s="96"/>
      <c r="O288" s="96"/>
      <c r="S288" s="96"/>
      <c r="T288" s="96"/>
    </row>
    <row r="289" ht="15.75" customHeight="1" spans="5:20">
      <c r="E289" s="95"/>
      <c r="N289" s="96"/>
      <c r="O289" s="96"/>
      <c r="S289" s="96"/>
      <c r="T289" s="96"/>
    </row>
    <row r="290" ht="15.75" customHeight="1" spans="5:20">
      <c r="E290" s="95"/>
      <c r="N290" s="96"/>
      <c r="O290" s="96"/>
      <c r="S290" s="96"/>
      <c r="T290" s="96"/>
    </row>
    <row r="291" ht="15.75" customHeight="1" spans="5:20">
      <c r="E291" s="95"/>
      <c r="N291" s="96"/>
      <c r="O291" s="96"/>
      <c r="S291" s="96"/>
      <c r="T291" s="96"/>
    </row>
    <row r="292" ht="15.75" customHeight="1" spans="5:20">
      <c r="E292" s="95"/>
      <c r="N292" s="96"/>
      <c r="O292" s="96"/>
      <c r="S292" s="96"/>
      <c r="T292" s="96"/>
    </row>
    <row r="293" ht="15.75" customHeight="1" spans="5:20">
      <c r="E293" s="95"/>
      <c r="N293" s="96"/>
      <c r="O293" s="96"/>
      <c r="S293" s="96"/>
      <c r="T293" s="96"/>
    </row>
    <row r="294" ht="15.75" customHeight="1" spans="5:20">
      <c r="E294" s="95"/>
      <c r="N294" s="96"/>
      <c r="O294" s="96"/>
      <c r="S294" s="96"/>
      <c r="T294" s="96"/>
    </row>
    <row r="295" ht="15.75" customHeight="1" spans="5:20">
      <c r="E295" s="95"/>
      <c r="N295" s="96"/>
      <c r="O295" s="96"/>
      <c r="S295" s="96"/>
      <c r="T295" s="96"/>
    </row>
    <row r="296" ht="15.75" customHeight="1" spans="5:20">
      <c r="E296" s="95"/>
      <c r="N296" s="96"/>
      <c r="O296" s="96"/>
      <c r="S296" s="96"/>
      <c r="T296" s="96"/>
    </row>
    <row r="297" ht="15.75" customHeight="1" spans="5:20">
      <c r="E297" s="95"/>
      <c r="N297" s="96"/>
      <c r="O297" s="96"/>
      <c r="S297" s="96"/>
      <c r="T297" s="96"/>
    </row>
    <row r="298" ht="15.75" customHeight="1" spans="5:20">
      <c r="E298" s="95"/>
      <c r="N298" s="96"/>
      <c r="O298" s="96"/>
      <c r="S298" s="96"/>
      <c r="T298" s="96"/>
    </row>
    <row r="299" ht="15.75" customHeight="1" spans="5:20">
      <c r="E299" s="95"/>
      <c r="N299" s="96"/>
      <c r="O299" s="96"/>
      <c r="S299" s="96"/>
      <c r="T299" s="96"/>
    </row>
    <row r="300" ht="15.75" customHeight="1" spans="5:20">
      <c r="E300" s="95"/>
      <c r="N300" s="96"/>
      <c r="O300" s="96"/>
      <c r="S300" s="96"/>
      <c r="T300" s="96"/>
    </row>
    <row r="301" ht="15.75" customHeight="1" spans="5:20">
      <c r="E301" s="95"/>
      <c r="N301" s="96"/>
      <c r="O301" s="96"/>
      <c r="S301" s="96"/>
      <c r="T301" s="96"/>
    </row>
    <row r="302" ht="15.75" customHeight="1" spans="5:20">
      <c r="E302" s="95"/>
      <c r="N302" s="96"/>
      <c r="O302" s="96"/>
      <c r="S302" s="96"/>
      <c r="T302" s="96"/>
    </row>
    <row r="303" ht="15.75" customHeight="1" spans="5:20">
      <c r="E303" s="95"/>
      <c r="N303" s="96"/>
      <c r="O303" s="96"/>
      <c r="S303" s="96"/>
      <c r="T303" s="96"/>
    </row>
    <row r="304" ht="15.75" customHeight="1" spans="5:20">
      <c r="E304" s="95"/>
      <c r="N304" s="96"/>
      <c r="O304" s="96"/>
      <c r="S304" s="96"/>
      <c r="T304" s="96"/>
    </row>
    <row r="305" ht="15.75" customHeight="1" spans="5:20">
      <c r="E305" s="95"/>
      <c r="N305" s="96"/>
      <c r="O305" s="96"/>
      <c r="S305" s="96"/>
      <c r="T305" s="96"/>
    </row>
    <row r="306" ht="15.75" customHeight="1" spans="5:20">
      <c r="E306" s="95"/>
      <c r="N306" s="96"/>
      <c r="O306" s="96"/>
      <c r="S306" s="96"/>
      <c r="T306" s="96"/>
    </row>
    <row r="307" ht="15.75" customHeight="1" spans="5:20">
      <c r="E307" s="95"/>
      <c r="N307" s="96"/>
      <c r="O307" s="96"/>
      <c r="S307" s="96"/>
      <c r="T307" s="96"/>
    </row>
    <row r="308" ht="15.75" customHeight="1" spans="5:20">
      <c r="E308" s="95"/>
      <c r="N308" s="96"/>
      <c r="O308" s="96"/>
      <c r="S308" s="96"/>
      <c r="T308" s="96"/>
    </row>
    <row r="309" ht="15.75" customHeight="1" spans="5:20">
      <c r="E309" s="95"/>
      <c r="N309" s="96"/>
      <c r="O309" s="96"/>
      <c r="S309" s="96"/>
      <c r="T309" s="96"/>
    </row>
    <row r="310" ht="15.75" customHeight="1" spans="5:20">
      <c r="E310" s="95"/>
      <c r="N310" s="96"/>
      <c r="O310" s="96"/>
      <c r="S310" s="96"/>
      <c r="T310" s="96"/>
    </row>
    <row r="311" ht="15.75" customHeight="1" spans="5:20">
      <c r="E311" s="95"/>
      <c r="N311" s="96"/>
      <c r="O311" s="96"/>
      <c r="S311" s="96"/>
      <c r="T311" s="96"/>
    </row>
    <row r="312" ht="15.75" customHeight="1" spans="5:20">
      <c r="E312" s="95"/>
      <c r="N312" s="96"/>
      <c r="O312" s="96"/>
      <c r="S312" s="96"/>
      <c r="T312" s="96"/>
    </row>
    <row r="313" ht="15.75" customHeight="1" spans="5:20">
      <c r="E313" s="95"/>
      <c r="N313" s="96"/>
      <c r="O313" s="96"/>
      <c r="S313" s="96"/>
      <c r="T313" s="96"/>
    </row>
    <row r="314" ht="15.75" customHeight="1" spans="5:20">
      <c r="E314" s="95"/>
      <c r="N314" s="96"/>
      <c r="O314" s="96"/>
      <c r="S314" s="96"/>
      <c r="T314" s="96"/>
    </row>
    <row r="315" ht="15.75" customHeight="1" spans="5:20">
      <c r="E315" s="95"/>
      <c r="N315" s="96"/>
      <c r="O315" s="96"/>
      <c r="S315" s="96"/>
      <c r="T315" s="96"/>
    </row>
    <row r="316" ht="15.75" customHeight="1" spans="5:20">
      <c r="E316" s="95"/>
      <c r="N316" s="96"/>
      <c r="O316" s="96"/>
      <c r="S316" s="96"/>
      <c r="T316" s="96"/>
    </row>
    <row r="317" ht="15.75" customHeight="1" spans="5:20">
      <c r="E317" s="95"/>
      <c r="N317" s="96"/>
      <c r="O317" s="96"/>
      <c r="S317" s="96"/>
      <c r="T317" s="96"/>
    </row>
    <row r="318" ht="15.75" customHeight="1" spans="5:20">
      <c r="E318" s="95"/>
      <c r="N318" s="96"/>
      <c r="O318" s="96"/>
      <c r="S318" s="96"/>
      <c r="T318" s="96"/>
    </row>
    <row r="319" ht="15.75" customHeight="1" spans="5:20">
      <c r="E319" s="95"/>
      <c r="N319" s="96"/>
      <c r="O319" s="96"/>
      <c r="S319" s="96"/>
      <c r="T319" s="96"/>
    </row>
    <row r="320" ht="15.75" customHeight="1" spans="5:20">
      <c r="E320" s="95"/>
      <c r="N320" s="96"/>
      <c r="O320" s="96"/>
      <c r="S320" s="96"/>
      <c r="T320" s="96"/>
    </row>
    <row r="321" ht="15.75" customHeight="1" spans="5:20">
      <c r="E321" s="95"/>
      <c r="N321" s="96"/>
      <c r="O321" s="96"/>
      <c r="S321" s="96"/>
      <c r="T321" s="96"/>
    </row>
    <row r="322" ht="15.75" customHeight="1" spans="5:20">
      <c r="E322" s="95"/>
      <c r="N322" s="96"/>
      <c r="O322" s="96"/>
      <c r="S322" s="96"/>
      <c r="T322" s="96"/>
    </row>
    <row r="323" ht="15.75" customHeight="1" spans="5:20">
      <c r="E323" s="95"/>
      <c r="N323" s="96"/>
      <c r="O323" s="96"/>
      <c r="S323" s="96"/>
      <c r="T323" s="96"/>
    </row>
    <row r="324" ht="15.75" customHeight="1" spans="5:20">
      <c r="E324" s="95"/>
      <c r="N324" s="96"/>
      <c r="O324" s="96"/>
      <c r="S324" s="96"/>
      <c r="T324" s="96"/>
    </row>
    <row r="325" ht="15.75" customHeight="1" spans="5:20">
      <c r="E325" s="95"/>
      <c r="N325" s="96"/>
      <c r="O325" s="96"/>
      <c r="S325" s="96"/>
      <c r="T325" s="96"/>
    </row>
    <row r="326" ht="15.75" customHeight="1" spans="5:20">
      <c r="E326" s="95"/>
      <c r="N326" s="96"/>
      <c r="O326" s="96"/>
      <c r="S326" s="96"/>
      <c r="T326" s="96"/>
    </row>
    <row r="327" ht="15.75" customHeight="1" spans="5:20">
      <c r="E327" s="95"/>
      <c r="N327" s="96"/>
      <c r="O327" s="96"/>
      <c r="S327" s="96"/>
      <c r="T327" s="96"/>
    </row>
    <row r="328" ht="15.75" customHeight="1" spans="5:20">
      <c r="E328" s="95"/>
      <c r="N328" s="96"/>
      <c r="O328" s="96"/>
      <c r="S328" s="96"/>
      <c r="T328" s="96"/>
    </row>
    <row r="329" ht="15.75" customHeight="1" spans="5:20">
      <c r="E329" s="95"/>
      <c r="N329" s="96"/>
      <c r="O329" s="96"/>
      <c r="S329" s="96"/>
      <c r="T329" s="96"/>
    </row>
    <row r="330" ht="15.75" customHeight="1" spans="5:20">
      <c r="E330" s="95"/>
      <c r="N330" s="96"/>
      <c r="O330" s="96"/>
      <c r="S330" s="96"/>
      <c r="T330" s="96"/>
    </row>
    <row r="331" ht="15.75" customHeight="1" spans="5:20">
      <c r="E331" s="95"/>
      <c r="N331" s="96"/>
      <c r="O331" s="96"/>
      <c r="S331" s="96"/>
      <c r="T331" s="96"/>
    </row>
    <row r="332" ht="15.75" customHeight="1" spans="5:20">
      <c r="E332" s="95"/>
      <c r="N332" s="96"/>
      <c r="O332" s="96"/>
      <c r="S332" s="96"/>
      <c r="T332" s="96"/>
    </row>
    <row r="333" ht="15.75" customHeight="1" spans="5:20">
      <c r="E333" s="95"/>
      <c r="N333" s="96"/>
      <c r="O333" s="96"/>
      <c r="S333" s="96"/>
      <c r="T333" s="96"/>
    </row>
    <row r="334" ht="15.75" customHeight="1" spans="5:20">
      <c r="E334" s="95"/>
      <c r="N334" s="96"/>
      <c r="O334" s="96"/>
      <c r="S334" s="96"/>
      <c r="T334" s="96"/>
    </row>
    <row r="335" ht="15.75" customHeight="1" spans="5:20">
      <c r="E335" s="95"/>
      <c r="N335" s="96"/>
      <c r="O335" s="96"/>
      <c r="S335" s="96"/>
      <c r="T335" s="96"/>
    </row>
    <row r="336" ht="15.75" customHeight="1" spans="5:20">
      <c r="E336" s="95"/>
      <c r="N336" s="96"/>
      <c r="O336" s="96"/>
      <c r="S336" s="96"/>
      <c r="T336" s="96"/>
    </row>
    <row r="337" ht="15.75" customHeight="1" spans="5:20">
      <c r="E337" s="95"/>
      <c r="N337" s="96"/>
      <c r="O337" s="96"/>
      <c r="S337" s="96"/>
      <c r="T337" s="96"/>
    </row>
    <row r="338" ht="15.75" customHeight="1" spans="5:20">
      <c r="E338" s="95"/>
      <c r="N338" s="96"/>
      <c r="O338" s="96"/>
      <c r="S338" s="96"/>
      <c r="T338" s="96"/>
    </row>
    <row r="339" ht="15.75" customHeight="1" spans="5:20">
      <c r="E339" s="95"/>
      <c r="N339" s="96"/>
      <c r="O339" s="96"/>
      <c r="S339" s="96"/>
      <c r="T339" s="96"/>
    </row>
    <row r="340" ht="15.75" customHeight="1" spans="5:20">
      <c r="E340" s="95"/>
      <c r="N340" s="96"/>
      <c r="O340" s="96"/>
      <c r="S340" s="96"/>
      <c r="T340" s="96"/>
    </row>
    <row r="341" ht="15.75" customHeight="1" spans="5:20">
      <c r="E341" s="95"/>
      <c r="N341" s="96"/>
      <c r="O341" s="96"/>
      <c r="S341" s="96"/>
      <c r="T341" s="96"/>
    </row>
    <row r="342" ht="15.75" customHeight="1" spans="5:20">
      <c r="E342" s="95"/>
      <c r="N342" s="96"/>
      <c r="O342" s="96"/>
      <c r="S342" s="96"/>
      <c r="T342" s="96"/>
    </row>
    <row r="343" ht="15.75" customHeight="1" spans="5:20">
      <c r="E343" s="95"/>
      <c r="N343" s="96"/>
      <c r="O343" s="96"/>
      <c r="S343" s="96"/>
      <c r="T343" s="96"/>
    </row>
    <row r="344" ht="15.75" customHeight="1" spans="5:20">
      <c r="E344" s="95"/>
      <c r="N344" s="96"/>
      <c r="O344" s="96"/>
      <c r="S344" s="96"/>
      <c r="T344" s="96"/>
    </row>
    <row r="345" ht="15.75" customHeight="1" spans="5:20">
      <c r="E345" s="95"/>
      <c r="N345" s="96"/>
      <c r="O345" s="96"/>
      <c r="S345" s="96"/>
      <c r="T345" s="96"/>
    </row>
    <row r="346" ht="15.75" customHeight="1" spans="5:20">
      <c r="E346" s="95"/>
      <c r="N346" s="96"/>
      <c r="O346" s="96"/>
      <c r="S346" s="96"/>
      <c r="T346" s="96"/>
    </row>
    <row r="347" ht="15.75" customHeight="1" spans="5:20">
      <c r="E347" s="95"/>
      <c r="N347" s="96"/>
      <c r="O347" s="96"/>
      <c r="S347" s="96"/>
      <c r="T347" s="96"/>
    </row>
    <row r="348" ht="15.75" customHeight="1" spans="5:20">
      <c r="E348" s="95"/>
      <c r="N348" s="96"/>
      <c r="O348" s="96"/>
      <c r="S348" s="96"/>
      <c r="T348" s="96"/>
    </row>
    <row r="349" ht="15.75" customHeight="1" spans="5:20">
      <c r="E349" s="95"/>
      <c r="N349" s="96"/>
      <c r="O349" s="96"/>
      <c r="S349" s="96"/>
      <c r="T349" s="96"/>
    </row>
    <row r="350" ht="15.75" customHeight="1" spans="5:20">
      <c r="E350" s="95"/>
      <c r="N350" s="96"/>
      <c r="O350" s="96"/>
      <c r="S350" s="96"/>
      <c r="T350" s="96"/>
    </row>
    <row r="351" ht="15.75" customHeight="1" spans="5:20">
      <c r="E351" s="95"/>
      <c r="N351" s="96"/>
      <c r="O351" s="96"/>
      <c r="S351" s="96"/>
      <c r="T351" s="96"/>
    </row>
    <row r="352" ht="15.75" customHeight="1" spans="5:20">
      <c r="E352" s="95"/>
      <c r="N352" s="96"/>
      <c r="O352" s="96"/>
      <c r="S352" s="96"/>
      <c r="T352" s="96"/>
    </row>
    <row r="353" ht="15.75" customHeight="1" spans="5:20">
      <c r="E353" s="95"/>
      <c r="N353" s="96"/>
      <c r="O353" s="96"/>
      <c r="S353" s="96"/>
      <c r="T353" s="96"/>
    </row>
    <row r="354" ht="15.75" customHeight="1" spans="5:20">
      <c r="E354" s="95"/>
      <c r="N354" s="96"/>
      <c r="O354" s="96"/>
      <c r="S354" s="96"/>
      <c r="T354" s="96"/>
    </row>
    <row r="355" ht="15.75" customHeight="1" spans="5:20">
      <c r="E355" s="95"/>
      <c r="N355" s="96"/>
      <c r="O355" s="96"/>
      <c r="S355" s="96"/>
      <c r="T355" s="96"/>
    </row>
    <row r="356" ht="15.75" customHeight="1" spans="5:20">
      <c r="E356" s="95"/>
      <c r="N356" s="96"/>
      <c r="O356" s="96"/>
      <c r="S356" s="96"/>
      <c r="T356" s="96"/>
    </row>
    <row r="357" ht="15.75" customHeight="1" spans="5:20">
      <c r="E357" s="95"/>
      <c r="N357" s="96"/>
      <c r="O357" s="96"/>
      <c r="S357" s="96"/>
      <c r="T357" s="96"/>
    </row>
    <row r="358" ht="15.75" customHeight="1" spans="5:20">
      <c r="E358" s="95"/>
      <c r="N358" s="96"/>
      <c r="O358" s="96"/>
      <c r="S358" s="96"/>
      <c r="T358" s="96"/>
    </row>
    <row r="359" ht="15.75" customHeight="1" spans="5:20">
      <c r="E359" s="95"/>
      <c r="N359" s="96"/>
      <c r="O359" s="96"/>
      <c r="S359" s="96"/>
      <c r="T359" s="96"/>
    </row>
    <row r="360" ht="15.75" customHeight="1" spans="5:20">
      <c r="E360" s="95"/>
      <c r="N360" s="96"/>
      <c r="O360" s="96"/>
      <c r="S360" s="96"/>
      <c r="T360" s="96"/>
    </row>
    <row r="361" ht="15.75" customHeight="1" spans="5:20">
      <c r="E361" s="95"/>
      <c r="N361" s="96"/>
      <c r="O361" s="96"/>
      <c r="S361" s="96"/>
      <c r="T361" s="96"/>
    </row>
    <row r="362" ht="15.75" customHeight="1" spans="5:20">
      <c r="E362" s="95"/>
      <c r="N362" s="96"/>
      <c r="O362" s="96"/>
      <c r="S362" s="96"/>
      <c r="T362" s="96"/>
    </row>
    <row r="363" ht="15.75" customHeight="1" spans="5:20">
      <c r="E363" s="95"/>
      <c r="N363" s="96"/>
      <c r="O363" s="96"/>
      <c r="S363" s="96"/>
      <c r="T363" s="96"/>
    </row>
    <row r="364" ht="15.75" customHeight="1" spans="5:20">
      <c r="E364" s="95"/>
      <c r="N364" s="96"/>
      <c r="O364" s="96"/>
      <c r="S364" s="96"/>
      <c r="T364" s="96"/>
    </row>
    <row r="365" ht="15.75" customHeight="1" spans="5:20">
      <c r="E365" s="95"/>
      <c r="N365" s="96"/>
      <c r="O365" s="96"/>
      <c r="S365" s="96"/>
      <c r="T365" s="96"/>
    </row>
    <row r="366" ht="15.75" customHeight="1" spans="5:20">
      <c r="E366" s="95"/>
      <c r="N366" s="96"/>
      <c r="O366" s="96"/>
      <c r="S366" s="96"/>
      <c r="T366" s="96"/>
    </row>
    <row r="367" ht="15.75" customHeight="1" spans="5:20">
      <c r="E367" s="95"/>
      <c r="N367" s="96"/>
      <c r="O367" s="96"/>
      <c r="S367" s="96"/>
      <c r="T367" s="96"/>
    </row>
    <row r="368" ht="15.75" customHeight="1" spans="5:20">
      <c r="E368" s="95"/>
      <c r="N368" s="96"/>
      <c r="O368" s="96"/>
      <c r="S368" s="96"/>
      <c r="T368" s="96"/>
    </row>
    <row r="369" ht="15.75" customHeight="1" spans="5:20">
      <c r="E369" s="95"/>
      <c r="N369" s="96"/>
      <c r="O369" s="96"/>
      <c r="S369" s="96"/>
      <c r="T369" s="96"/>
    </row>
    <row r="370" ht="15.75" customHeight="1" spans="5:20">
      <c r="E370" s="95"/>
      <c r="N370" s="96"/>
      <c r="O370" s="96"/>
      <c r="S370" s="96"/>
      <c r="T370" s="96"/>
    </row>
    <row r="371" ht="15.75" customHeight="1" spans="5:20">
      <c r="E371" s="95"/>
      <c r="N371" s="96"/>
      <c r="O371" s="96"/>
      <c r="S371" s="96"/>
      <c r="T371" s="96"/>
    </row>
    <row r="372" ht="15.75" customHeight="1" spans="5:20">
      <c r="E372" s="95"/>
      <c r="N372" s="96"/>
      <c r="O372" s="96"/>
      <c r="S372" s="96"/>
      <c r="T372" s="96"/>
    </row>
    <row r="373" ht="15.75" customHeight="1" spans="5:20">
      <c r="E373" s="95"/>
      <c r="N373" s="96"/>
      <c r="O373" s="96"/>
      <c r="S373" s="96"/>
      <c r="T373" s="96"/>
    </row>
    <row r="374" ht="15.75" customHeight="1" spans="5:20">
      <c r="E374" s="95"/>
      <c r="N374" s="96"/>
      <c r="O374" s="96"/>
      <c r="S374" s="96"/>
      <c r="T374" s="96"/>
    </row>
    <row r="375" ht="15.75" customHeight="1" spans="5:20">
      <c r="E375" s="95"/>
      <c r="N375" s="96"/>
      <c r="O375" s="96"/>
      <c r="S375" s="96"/>
      <c r="T375" s="96"/>
    </row>
    <row r="376" ht="15.75" customHeight="1" spans="5:20">
      <c r="E376" s="95"/>
      <c r="N376" s="96"/>
      <c r="O376" s="96"/>
      <c r="S376" s="96"/>
      <c r="T376" s="96"/>
    </row>
    <row r="377" ht="15.75" customHeight="1" spans="5:20">
      <c r="E377" s="95"/>
      <c r="N377" s="96"/>
      <c r="O377" s="96"/>
      <c r="S377" s="96"/>
      <c r="T377" s="96"/>
    </row>
    <row r="378" ht="15.75" customHeight="1" spans="5:20">
      <c r="E378" s="95"/>
      <c r="N378" s="96"/>
      <c r="O378" s="96"/>
      <c r="S378" s="96"/>
      <c r="T378" s="96"/>
    </row>
    <row r="379" ht="15.75" customHeight="1" spans="5:20">
      <c r="E379" s="95"/>
      <c r="N379" s="96"/>
      <c r="O379" s="96"/>
      <c r="S379" s="96"/>
      <c r="T379" s="96"/>
    </row>
    <row r="380" ht="15.75" customHeight="1" spans="5:20">
      <c r="E380" s="95"/>
      <c r="N380" s="96"/>
      <c r="O380" s="96"/>
      <c r="S380" s="96"/>
      <c r="T380" s="96"/>
    </row>
    <row r="381" ht="15.75" customHeight="1" spans="5:20">
      <c r="E381" s="95"/>
      <c r="N381" s="96"/>
      <c r="O381" s="96"/>
      <c r="S381" s="96"/>
      <c r="T381" s="96"/>
    </row>
    <row r="382" ht="15.75" customHeight="1" spans="5:20">
      <c r="E382" s="95"/>
      <c r="N382" s="96"/>
      <c r="O382" s="96"/>
      <c r="S382" s="96"/>
      <c r="T382" s="96"/>
    </row>
    <row r="383" ht="15.75" customHeight="1" spans="5:20">
      <c r="E383" s="95"/>
      <c r="N383" s="96"/>
      <c r="O383" s="96"/>
      <c r="S383" s="96"/>
      <c r="T383" s="96"/>
    </row>
    <row r="384" ht="15.75" customHeight="1" spans="5:20">
      <c r="E384" s="95"/>
      <c r="N384" s="96"/>
      <c r="O384" s="96"/>
      <c r="S384" s="96"/>
      <c r="T384" s="96"/>
    </row>
    <row r="385" ht="15.75" customHeight="1" spans="5:20">
      <c r="E385" s="95"/>
      <c r="N385" s="96"/>
      <c r="O385" s="96"/>
      <c r="S385" s="96"/>
      <c r="T385" s="96"/>
    </row>
    <row r="386" ht="15.75" customHeight="1" spans="5:20">
      <c r="E386" s="95"/>
      <c r="N386" s="96"/>
      <c r="O386" s="96"/>
      <c r="S386" s="96"/>
      <c r="T386" s="96"/>
    </row>
    <row r="387" ht="15.75" customHeight="1" spans="5:20">
      <c r="E387" s="95"/>
      <c r="N387" s="96"/>
      <c r="O387" s="96"/>
      <c r="S387" s="96"/>
      <c r="T387" s="96"/>
    </row>
    <row r="388" ht="15.75" customHeight="1" spans="5:20">
      <c r="E388" s="95"/>
      <c r="N388" s="96"/>
      <c r="O388" s="96"/>
      <c r="S388" s="96"/>
      <c r="T388" s="96"/>
    </row>
    <row r="389" ht="15.75" customHeight="1" spans="5:20">
      <c r="E389" s="95"/>
      <c r="N389" s="96"/>
      <c r="O389" s="96"/>
      <c r="S389" s="96"/>
      <c r="T389" s="96"/>
    </row>
    <row r="390" ht="15.75" customHeight="1" spans="5:20">
      <c r="E390" s="95"/>
      <c r="N390" s="96"/>
      <c r="O390" s="96"/>
      <c r="S390" s="96"/>
      <c r="T390" s="96"/>
    </row>
    <row r="391" ht="15.75" customHeight="1" spans="5:20">
      <c r="E391" s="95"/>
      <c r="N391" s="96"/>
      <c r="O391" s="96"/>
      <c r="S391" s="96"/>
      <c r="T391" s="96"/>
    </row>
    <row r="392" ht="15.75" customHeight="1" spans="5:20">
      <c r="E392" s="95"/>
      <c r="N392" s="96"/>
      <c r="O392" s="96"/>
      <c r="S392" s="96"/>
      <c r="T392" s="96"/>
    </row>
    <row r="393" ht="15.75" customHeight="1" spans="5:20">
      <c r="E393" s="95"/>
      <c r="N393" s="96"/>
      <c r="O393" s="96"/>
      <c r="S393" s="96"/>
      <c r="T393" s="96"/>
    </row>
    <row r="394" ht="15.75" customHeight="1" spans="5:20">
      <c r="E394" s="95"/>
      <c r="N394" s="96"/>
      <c r="O394" s="96"/>
      <c r="S394" s="96"/>
      <c r="T394" s="96"/>
    </row>
    <row r="395" ht="15.75" customHeight="1" spans="5:20">
      <c r="E395" s="95"/>
      <c r="N395" s="96"/>
      <c r="O395" s="96"/>
      <c r="S395" s="96"/>
      <c r="T395" s="96"/>
    </row>
    <row r="396" ht="15.75" customHeight="1" spans="5:20">
      <c r="E396" s="95"/>
      <c r="N396" s="96"/>
      <c r="O396" s="96"/>
      <c r="S396" s="96"/>
      <c r="T396" s="96"/>
    </row>
    <row r="397" ht="15.75" customHeight="1" spans="5:20">
      <c r="E397" s="95"/>
      <c r="N397" s="96"/>
      <c r="O397" s="96"/>
      <c r="S397" s="96"/>
      <c r="T397" s="96"/>
    </row>
    <row r="398" ht="15.75" customHeight="1" spans="5:20">
      <c r="E398" s="95"/>
      <c r="N398" s="96"/>
      <c r="O398" s="96"/>
      <c r="S398" s="96"/>
      <c r="T398" s="96"/>
    </row>
    <row r="399" ht="15.75" customHeight="1" spans="5:20">
      <c r="E399" s="95"/>
      <c r="N399" s="96"/>
      <c r="O399" s="96"/>
      <c r="S399" s="96"/>
      <c r="T399" s="96"/>
    </row>
    <row r="400" ht="15.75" customHeight="1" spans="5:20">
      <c r="E400" s="95"/>
      <c r="N400" s="96"/>
      <c r="O400" s="96"/>
      <c r="S400" s="96"/>
      <c r="T400" s="96"/>
    </row>
    <row r="401" ht="15.75" customHeight="1" spans="5:20">
      <c r="E401" s="95"/>
      <c r="N401" s="96"/>
      <c r="O401" s="96"/>
      <c r="S401" s="96"/>
      <c r="T401" s="96"/>
    </row>
    <row r="402" ht="15.75" customHeight="1" spans="5:20">
      <c r="E402" s="95"/>
      <c r="N402" s="96"/>
      <c r="O402" s="96"/>
      <c r="S402" s="96"/>
      <c r="T402" s="96"/>
    </row>
    <row r="403" ht="15.75" customHeight="1" spans="5:20">
      <c r="E403" s="95"/>
      <c r="N403" s="96"/>
      <c r="O403" s="96"/>
      <c r="S403" s="96"/>
      <c r="T403" s="96"/>
    </row>
    <row r="404" ht="15.75" customHeight="1" spans="5:20">
      <c r="E404" s="95"/>
      <c r="N404" s="96"/>
      <c r="O404" s="96"/>
      <c r="S404" s="96"/>
      <c r="T404" s="96"/>
    </row>
    <row r="405" ht="15.75" customHeight="1" spans="5:20">
      <c r="E405" s="95"/>
      <c r="N405" s="96"/>
      <c r="O405" s="96"/>
      <c r="S405" s="96"/>
      <c r="T405" s="96"/>
    </row>
    <row r="406" ht="15.75" customHeight="1" spans="5:20">
      <c r="E406" s="95"/>
      <c r="N406" s="96"/>
      <c r="O406" s="96"/>
      <c r="S406" s="96"/>
      <c r="T406" s="96"/>
    </row>
    <row r="407" ht="15.75" customHeight="1" spans="5:20">
      <c r="E407" s="95"/>
      <c r="N407" s="96"/>
      <c r="O407" s="96"/>
      <c r="S407" s="96"/>
      <c r="T407" s="96"/>
    </row>
    <row r="408" ht="15.75" customHeight="1" spans="5:20">
      <c r="E408" s="95"/>
      <c r="N408" s="96"/>
      <c r="O408" s="96"/>
      <c r="S408" s="96"/>
      <c r="T408" s="96"/>
    </row>
    <row r="409" ht="15.75" customHeight="1" spans="5:20">
      <c r="E409" s="95"/>
      <c r="N409" s="96"/>
      <c r="O409" s="96"/>
      <c r="S409" s="96"/>
      <c r="T409" s="96"/>
    </row>
    <row r="410" ht="15.75" customHeight="1" spans="5:20">
      <c r="E410" s="95"/>
      <c r="N410" s="96"/>
      <c r="O410" s="96"/>
      <c r="S410" s="96"/>
      <c r="T410" s="96"/>
    </row>
    <row r="411" ht="15.75" customHeight="1" spans="5:20">
      <c r="E411" s="95"/>
      <c r="N411" s="96"/>
      <c r="O411" s="96"/>
      <c r="S411" s="96"/>
      <c r="T411" s="96"/>
    </row>
    <row r="412" ht="15.75" customHeight="1" spans="5:20">
      <c r="E412" s="95"/>
      <c r="N412" s="96"/>
      <c r="O412" s="96"/>
      <c r="S412" s="96"/>
      <c r="T412" s="96"/>
    </row>
    <row r="413" ht="15.75" customHeight="1" spans="5:20">
      <c r="E413" s="95"/>
      <c r="N413" s="96"/>
      <c r="O413" s="96"/>
      <c r="S413" s="96"/>
      <c r="T413" s="96"/>
    </row>
    <row r="414" ht="15.75" customHeight="1" spans="5:20">
      <c r="E414" s="95"/>
      <c r="N414" s="96"/>
      <c r="O414" s="96"/>
      <c r="S414" s="96"/>
      <c r="T414" s="96"/>
    </row>
    <row r="415" ht="15.75" customHeight="1" spans="5:20">
      <c r="E415" s="95"/>
      <c r="N415" s="96"/>
      <c r="O415" s="96"/>
      <c r="S415" s="96"/>
      <c r="T415" s="96"/>
    </row>
    <row r="416" ht="15.75" customHeight="1" spans="5:20">
      <c r="E416" s="95"/>
      <c r="N416" s="96"/>
      <c r="O416" s="96"/>
      <c r="S416" s="96"/>
      <c r="T416" s="96"/>
    </row>
    <row r="417" ht="15.75" customHeight="1" spans="5:20">
      <c r="E417" s="95"/>
      <c r="N417" s="96"/>
      <c r="O417" s="96"/>
      <c r="S417" s="96"/>
      <c r="T417" s="96"/>
    </row>
    <row r="418" ht="15.75" customHeight="1" spans="5:20">
      <c r="E418" s="95"/>
      <c r="N418" s="96"/>
      <c r="O418" s="96"/>
      <c r="S418" s="96"/>
      <c r="T418" s="96"/>
    </row>
    <row r="419" ht="15.75" customHeight="1" spans="5:20">
      <c r="E419" s="95"/>
      <c r="N419" s="96"/>
      <c r="O419" s="96"/>
      <c r="S419" s="96"/>
      <c r="T419" s="96"/>
    </row>
    <row r="420" ht="15.75" customHeight="1" spans="5:20">
      <c r="E420" s="95"/>
      <c r="N420" s="96"/>
      <c r="O420" s="96"/>
      <c r="S420" s="96"/>
      <c r="T420" s="96"/>
    </row>
    <row r="421" ht="15.75" customHeight="1" spans="5:20">
      <c r="E421" s="95"/>
      <c r="N421" s="96"/>
      <c r="O421" s="96"/>
      <c r="S421" s="96"/>
      <c r="T421" s="96"/>
    </row>
    <row r="422" ht="15.75" customHeight="1" spans="5:20">
      <c r="E422" s="95"/>
      <c r="N422" s="96"/>
      <c r="O422" s="96"/>
      <c r="S422" s="96"/>
      <c r="T422" s="96"/>
    </row>
    <row r="423" ht="15.75" customHeight="1" spans="5:20">
      <c r="E423" s="95"/>
      <c r="N423" s="96"/>
      <c r="O423" s="96"/>
      <c r="S423" s="96"/>
      <c r="T423" s="96"/>
    </row>
    <row r="424" ht="15.75" customHeight="1" spans="5:20">
      <c r="E424" s="95"/>
      <c r="N424" s="96"/>
      <c r="O424" s="96"/>
      <c r="S424" s="96"/>
      <c r="T424" s="96"/>
    </row>
    <row r="425" ht="15.75" customHeight="1" spans="5:20">
      <c r="E425" s="95"/>
      <c r="N425" s="96"/>
      <c r="O425" s="96"/>
      <c r="S425" s="96"/>
      <c r="T425" s="96"/>
    </row>
    <row r="426" ht="15.75" customHeight="1" spans="5:20">
      <c r="E426" s="95"/>
      <c r="N426" s="96"/>
      <c r="O426" s="96"/>
      <c r="S426" s="96"/>
      <c r="T426" s="96"/>
    </row>
    <row r="427" ht="15.75" customHeight="1" spans="5:20">
      <c r="E427" s="95"/>
      <c r="N427" s="96"/>
      <c r="O427" s="96"/>
      <c r="S427" s="96"/>
      <c r="T427" s="96"/>
    </row>
    <row r="428" ht="15.75" customHeight="1" spans="5:20">
      <c r="E428" s="95"/>
      <c r="N428" s="96"/>
      <c r="O428" s="96"/>
      <c r="S428" s="96"/>
      <c r="T428" s="96"/>
    </row>
    <row r="429" ht="15.75" customHeight="1" spans="5:20">
      <c r="E429" s="95"/>
      <c r="N429" s="96"/>
      <c r="O429" s="96"/>
      <c r="S429" s="96"/>
      <c r="T429" s="96"/>
    </row>
    <row r="430" ht="15.75" customHeight="1" spans="5:20">
      <c r="E430" s="95"/>
      <c r="N430" s="96"/>
      <c r="O430" s="96"/>
      <c r="S430" s="96"/>
      <c r="T430" s="96"/>
    </row>
    <row r="431" ht="15.75" customHeight="1" spans="5:20">
      <c r="E431" s="95"/>
      <c r="N431" s="96"/>
      <c r="O431" s="96"/>
      <c r="S431" s="96"/>
      <c r="T431" s="96"/>
    </row>
    <row r="432" ht="15.75" customHeight="1" spans="5:20">
      <c r="E432" s="95"/>
      <c r="N432" s="96"/>
      <c r="O432" s="96"/>
      <c r="S432" s="96"/>
      <c r="T432" s="96"/>
    </row>
    <row r="433" ht="15.75" customHeight="1" spans="5:20">
      <c r="E433" s="95"/>
      <c r="N433" s="96"/>
      <c r="O433" s="96"/>
      <c r="S433" s="96"/>
      <c r="T433" s="96"/>
    </row>
    <row r="434" ht="15.75" customHeight="1" spans="5:20">
      <c r="E434" s="95"/>
      <c r="N434" s="96"/>
      <c r="O434" s="96"/>
      <c r="S434" s="96"/>
      <c r="T434" s="96"/>
    </row>
    <row r="435" ht="15.75" customHeight="1" spans="5:20">
      <c r="E435" s="95"/>
      <c r="N435" s="96"/>
      <c r="O435" s="96"/>
      <c r="S435" s="96"/>
      <c r="T435" s="96"/>
    </row>
    <row r="436" ht="15.75" customHeight="1" spans="5:20">
      <c r="E436" s="95"/>
      <c r="N436" s="96"/>
      <c r="O436" s="96"/>
      <c r="S436" s="96"/>
      <c r="T436" s="96"/>
    </row>
    <row r="437" ht="15.75" customHeight="1" spans="5:20">
      <c r="E437" s="95"/>
      <c r="N437" s="96"/>
      <c r="O437" s="96"/>
      <c r="S437" s="96"/>
      <c r="T437" s="96"/>
    </row>
    <row r="438" ht="15.75" customHeight="1" spans="5:20">
      <c r="E438" s="95"/>
      <c r="N438" s="96"/>
      <c r="O438" s="96"/>
      <c r="S438" s="96"/>
      <c r="T438" s="96"/>
    </row>
    <row r="439" ht="15.75" customHeight="1" spans="5:20">
      <c r="E439" s="95"/>
      <c r="N439" s="96"/>
      <c r="O439" s="96"/>
      <c r="S439" s="96"/>
      <c r="T439" s="96"/>
    </row>
    <row r="440" ht="15.75" customHeight="1" spans="5:20">
      <c r="E440" s="95"/>
      <c r="N440" s="96"/>
      <c r="O440" s="96"/>
      <c r="S440" s="96"/>
      <c r="T440" s="96"/>
    </row>
    <row r="441" ht="15.75" customHeight="1" spans="5:20">
      <c r="E441" s="95"/>
      <c r="N441" s="96"/>
      <c r="O441" s="96"/>
      <c r="S441" s="96"/>
      <c r="T441" s="96"/>
    </row>
    <row r="442" ht="15.75" customHeight="1" spans="5:20">
      <c r="E442" s="95"/>
      <c r="N442" s="96"/>
      <c r="O442" s="96"/>
      <c r="S442" s="96"/>
      <c r="T442" s="96"/>
    </row>
    <row r="443" ht="15.75" customHeight="1" spans="5:20">
      <c r="E443" s="95"/>
      <c r="N443" s="96"/>
      <c r="O443" s="96"/>
      <c r="S443" s="96"/>
      <c r="T443" s="96"/>
    </row>
    <row r="444" ht="15.75" customHeight="1" spans="5:20">
      <c r="E444" s="95"/>
      <c r="N444" s="96"/>
      <c r="O444" s="96"/>
      <c r="S444" s="96"/>
      <c r="T444" s="96"/>
    </row>
    <row r="445" ht="15.75" customHeight="1" spans="5:20">
      <c r="E445" s="95"/>
      <c r="N445" s="96"/>
      <c r="O445" s="96"/>
      <c r="S445" s="96"/>
      <c r="T445" s="96"/>
    </row>
    <row r="446" ht="15.75" customHeight="1" spans="5:20">
      <c r="E446" s="95"/>
      <c r="N446" s="96"/>
      <c r="O446" s="96"/>
      <c r="S446" s="96"/>
      <c r="T446" s="96"/>
    </row>
    <row r="447" ht="15.75" customHeight="1" spans="5:20">
      <c r="E447" s="95"/>
      <c r="N447" s="96"/>
      <c r="O447" s="96"/>
      <c r="S447" s="96"/>
      <c r="T447" s="96"/>
    </row>
    <row r="448" ht="15.75" customHeight="1" spans="5:20">
      <c r="E448" s="95"/>
      <c r="N448" s="96"/>
      <c r="O448" s="96"/>
      <c r="S448" s="96"/>
      <c r="T448" s="96"/>
    </row>
    <row r="449" ht="15.75" customHeight="1" spans="5:20">
      <c r="E449" s="95"/>
      <c r="N449" s="96"/>
      <c r="O449" s="96"/>
      <c r="S449" s="96"/>
      <c r="T449" s="96"/>
    </row>
    <row r="450" ht="15.75" customHeight="1" spans="5:20">
      <c r="E450" s="95"/>
      <c r="N450" s="96"/>
      <c r="O450" s="96"/>
      <c r="S450" s="96"/>
      <c r="T450" s="96"/>
    </row>
    <row r="451" ht="15.75" customHeight="1" spans="5:20">
      <c r="E451" s="95"/>
      <c r="N451" s="96"/>
      <c r="O451" s="96"/>
      <c r="S451" s="96"/>
      <c r="T451" s="96"/>
    </row>
    <row r="452" ht="15.75" customHeight="1" spans="5:20">
      <c r="E452" s="95"/>
      <c r="N452" s="96"/>
      <c r="O452" s="96"/>
      <c r="S452" s="96"/>
      <c r="T452" s="96"/>
    </row>
    <row r="453" ht="15.75" customHeight="1" spans="5:20">
      <c r="E453" s="95"/>
      <c r="N453" s="96"/>
      <c r="O453" s="96"/>
      <c r="S453" s="96"/>
      <c r="T453" s="96"/>
    </row>
    <row r="454" ht="15.75" customHeight="1" spans="5:20">
      <c r="E454" s="95"/>
      <c r="N454" s="96"/>
      <c r="O454" s="96"/>
      <c r="S454" s="96"/>
      <c r="T454" s="96"/>
    </row>
    <row r="455" ht="15.75" customHeight="1" spans="5:20">
      <c r="E455" s="95"/>
      <c r="N455" s="96"/>
      <c r="O455" s="96"/>
      <c r="S455" s="96"/>
      <c r="T455" s="96"/>
    </row>
    <row r="456" ht="15.75" customHeight="1" spans="5:20">
      <c r="E456" s="95"/>
      <c r="N456" s="96"/>
      <c r="O456" s="96"/>
      <c r="S456" s="96"/>
      <c r="T456" s="96"/>
    </row>
    <row r="457" ht="15.75" customHeight="1" spans="5:20">
      <c r="E457" s="95"/>
      <c r="N457" s="96"/>
      <c r="O457" s="96"/>
      <c r="S457" s="96"/>
      <c r="T457" s="96"/>
    </row>
    <row r="458" ht="15.75" customHeight="1" spans="5:20">
      <c r="E458" s="95"/>
      <c r="N458" s="96"/>
      <c r="O458" s="96"/>
      <c r="S458" s="96"/>
      <c r="T458" s="96"/>
    </row>
    <row r="459" ht="15.75" customHeight="1" spans="5:20">
      <c r="E459" s="95"/>
      <c r="N459" s="96"/>
      <c r="O459" s="96"/>
      <c r="S459" s="96"/>
      <c r="T459" s="96"/>
    </row>
    <row r="460" ht="15.75" customHeight="1" spans="5:20">
      <c r="E460" s="95"/>
      <c r="N460" s="96"/>
      <c r="O460" s="96"/>
      <c r="S460" s="96"/>
      <c r="T460" s="96"/>
    </row>
    <row r="461" ht="15.75" customHeight="1" spans="5:20">
      <c r="E461" s="95"/>
      <c r="N461" s="96"/>
      <c r="O461" s="96"/>
      <c r="S461" s="96"/>
      <c r="T461" s="96"/>
    </row>
    <row r="462" ht="15.75" customHeight="1" spans="5:20">
      <c r="E462" s="95"/>
      <c r="N462" s="96"/>
      <c r="O462" s="96"/>
      <c r="S462" s="96"/>
      <c r="T462" s="96"/>
    </row>
    <row r="463" ht="15.75" customHeight="1" spans="5:20">
      <c r="E463" s="95"/>
      <c r="N463" s="96"/>
      <c r="O463" s="96"/>
      <c r="S463" s="96"/>
      <c r="T463" s="96"/>
    </row>
    <row r="464" ht="15.75" customHeight="1" spans="5:20">
      <c r="E464" s="95"/>
      <c r="N464" s="96"/>
      <c r="O464" s="96"/>
      <c r="S464" s="96"/>
      <c r="T464" s="96"/>
    </row>
    <row r="465" ht="15.75" customHeight="1" spans="5:20">
      <c r="E465" s="95"/>
      <c r="N465" s="96"/>
      <c r="O465" s="96"/>
      <c r="S465" s="96"/>
      <c r="T465" s="96"/>
    </row>
    <row r="466" ht="15.75" customHeight="1" spans="5:20">
      <c r="E466" s="95"/>
      <c r="N466" s="96"/>
      <c r="O466" s="96"/>
      <c r="S466" s="96"/>
      <c r="T466" s="96"/>
    </row>
    <row r="467" ht="15.75" customHeight="1" spans="5:20">
      <c r="E467" s="95"/>
      <c r="N467" s="96"/>
      <c r="O467" s="96"/>
      <c r="S467" s="96"/>
      <c r="T467" s="96"/>
    </row>
    <row r="468" ht="15.75" customHeight="1" spans="5:20">
      <c r="E468" s="95"/>
      <c r="N468" s="96"/>
      <c r="O468" s="96"/>
      <c r="S468" s="96"/>
      <c r="T468" s="96"/>
    </row>
    <row r="469" ht="15.75" customHeight="1" spans="5:20">
      <c r="E469" s="95"/>
      <c r="N469" s="96"/>
      <c r="O469" s="96"/>
      <c r="S469" s="96"/>
      <c r="T469" s="96"/>
    </row>
    <row r="470" ht="15.75" customHeight="1" spans="5:20">
      <c r="E470" s="95"/>
      <c r="N470" s="96"/>
      <c r="O470" s="96"/>
      <c r="S470" s="96"/>
      <c r="T470" s="96"/>
    </row>
    <row r="471" ht="15.75" customHeight="1" spans="5:20">
      <c r="E471" s="95"/>
      <c r="N471" s="96"/>
      <c r="O471" s="96"/>
      <c r="S471" s="96"/>
      <c r="T471" s="96"/>
    </row>
    <row r="472" ht="15.75" customHeight="1" spans="5:20">
      <c r="E472" s="95"/>
      <c r="N472" s="96"/>
      <c r="O472" s="96"/>
      <c r="S472" s="96"/>
      <c r="T472" s="96"/>
    </row>
    <row r="473" ht="15.75" customHeight="1" spans="5:20">
      <c r="E473" s="95"/>
      <c r="N473" s="96"/>
      <c r="O473" s="96"/>
      <c r="S473" s="96"/>
      <c r="T473" s="96"/>
    </row>
    <row r="474" ht="15.75" customHeight="1" spans="5:20">
      <c r="E474" s="95"/>
      <c r="N474" s="96"/>
      <c r="O474" s="96"/>
      <c r="S474" s="96"/>
      <c r="T474" s="96"/>
    </row>
    <row r="475" ht="15.75" customHeight="1" spans="5:20">
      <c r="E475" s="95"/>
      <c r="N475" s="96"/>
      <c r="O475" s="96"/>
      <c r="S475" s="96"/>
      <c r="T475" s="96"/>
    </row>
    <row r="476" ht="15.75" customHeight="1" spans="5:20">
      <c r="E476" s="95"/>
      <c r="N476" s="96"/>
      <c r="O476" s="96"/>
      <c r="S476" s="96"/>
      <c r="T476" s="96"/>
    </row>
    <row r="477" ht="15.75" customHeight="1" spans="5:20">
      <c r="E477" s="95"/>
      <c r="N477" s="96"/>
      <c r="O477" s="96"/>
      <c r="S477" s="96"/>
      <c r="T477" s="96"/>
    </row>
    <row r="478" ht="15.75" customHeight="1" spans="5:20">
      <c r="E478" s="95"/>
      <c r="N478" s="96"/>
      <c r="O478" s="96"/>
      <c r="S478" s="96"/>
      <c r="T478" s="96"/>
    </row>
    <row r="479" ht="15.75" customHeight="1" spans="5:20">
      <c r="E479" s="95"/>
      <c r="N479" s="96"/>
      <c r="O479" s="96"/>
      <c r="S479" s="96"/>
      <c r="T479" s="96"/>
    </row>
    <row r="480" ht="15.75" customHeight="1" spans="5:20">
      <c r="E480" s="95"/>
      <c r="N480" s="96"/>
      <c r="O480" s="96"/>
      <c r="S480" s="96"/>
      <c r="T480" s="96"/>
    </row>
    <row r="481" ht="15.75" customHeight="1" spans="5:20">
      <c r="E481" s="95"/>
      <c r="N481" s="96"/>
      <c r="O481" s="96"/>
      <c r="S481" s="96"/>
      <c r="T481" s="96"/>
    </row>
    <row r="482" ht="15.75" customHeight="1" spans="5:20">
      <c r="E482" s="95"/>
      <c r="N482" s="96"/>
      <c r="O482" s="96"/>
      <c r="S482" s="96"/>
      <c r="T482" s="96"/>
    </row>
    <row r="483" ht="15.75" customHeight="1" spans="5:20">
      <c r="E483" s="95"/>
      <c r="N483" s="96"/>
      <c r="O483" s="96"/>
      <c r="S483" s="96"/>
      <c r="T483" s="96"/>
    </row>
    <row r="484" ht="15.75" customHeight="1" spans="5:20">
      <c r="E484" s="95"/>
      <c r="N484" s="96"/>
      <c r="O484" s="96"/>
      <c r="S484" s="96"/>
      <c r="T484" s="96"/>
    </row>
    <row r="485" ht="15.75" customHeight="1" spans="5:20">
      <c r="E485" s="95"/>
      <c r="N485" s="96"/>
      <c r="O485" s="96"/>
      <c r="S485" s="96"/>
      <c r="T485" s="96"/>
    </row>
    <row r="486" ht="15.75" customHeight="1" spans="5:20">
      <c r="E486" s="95"/>
      <c r="N486" s="96"/>
      <c r="O486" s="96"/>
      <c r="S486" s="96"/>
      <c r="T486" s="96"/>
    </row>
    <row r="487" ht="15.75" customHeight="1" spans="5:20">
      <c r="E487" s="95"/>
      <c r="N487" s="96"/>
      <c r="O487" s="96"/>
      <c r="S487" s="96"/>
      <c r="T487" s="96"/>
    </row>
    <row r="488" ht="15.75" customHeight="1" spans="5:20">
      <c r="E488" s="95"/>
      <c r="N488" s="96"/>
      <c r="O488" s="96"/>
      <c r="S488" s="96"/>
      <c r="T488" s="96"/>
    </row>
    <row r="489" ht="15.75" customHeight="1" spans="5:20">
      <c r="E489" s="95"/>
      <c r="N489" s="96"/>
      <c r="O489" s="96"/>
      <c r="S489" s="96"/>
      <c r="T489" s="96"/>
    </row>
    <row r="490" ht="15.75" customHeight="1" spans="5:20">
      <c r="E490" s="95"/>
      <c r="N490" s="96"/>
      <c r="O490" s="96"/>
      <c r="S490" s="96"/>
      <c r="T490" s="96"/>
    </row>
    <row r="491" ht="15.75" customHeight="1" spans="5:20">
      <c r="E491" s="95"/>
      <c r="N491" s="96"/>
      <c r="O491" s="96"/>
      <c r="S491" s="96"/>
      <c r="T491" s="96"/>
    </row>
    <row r="492" ht="15.75" customHeight="1" spans="5:20">
      <c r="E492" s="95"/>
      <c r="N492" s="96"/>
      <c r="O492" s="96"/>
      <c r="S492" s="96"/>
      <c r="T492" s="96"/>
    </row>
    <row r="493" ht="15.75" customHeight="1" spans="5:20">
      <c r="E493" s="95"/>
      <c r="N493" s="96"/>
      <c r="O493" s="96"/>
      <c r="S493" s="96"/>
      <c r="T493" s="96"/>
    </row>
    <row r="494" ht="15.75" customHeight="1" spans="5:20">
      <c r="E494" s="95"/>
      <c r="N494" s="96"/>
      <c r="O494" s="96"/>
      <c r="S494" s="96"/>
      <c r="T494" s="96"/>
    </row>
    <row r="495" ht="15.75" customHeight="1" spans="5:20">
      <c r="E495" s="95"/>
      <c r="N495" s="96"/>
      <c r="O495" s="96"/>
      <c r="S495" s="96"/>
      <c r="T495" s="96"/>
    </row>
    <row r="496" ht="15.75" customHeight="1" spans="5:20">
      <c r="E496" s="95"/>
      <c r="N496" s="96"/>
      <c r="O496" s="96"/>
      <c r="S496" s="96"/>
      <c r="T496" s="96"/>
    </row>
    <row r="497" ht="15.75" customHeight="1" spans="5:20">
      <c r="E497" s="95"/>
      <c r="N497" s="96"/>
      <c r="O497" s="96"/>
      <c r="S497" s="96"/>
      <c r="T497" s="96"/>
    </row>
    <row r="498" ht="15.75" customHeight="1" spans="5:20">
      <c r="E498" s="95"/>
      <c r="N498" s="96"/>
      <c r="O498" s="96"/>
      <c r="S498" s="96"/>
      <c r="T498" s="96"/>
    </row>
    <row r="499" ht="15.75" customHeight="1" spans="5:20">
      <c r="E499" s="95"/>
      <c r="N499" s="96"/>
      <c r="O499" s="96"/>
      <c r="S499" s="96"/>
      <c r="T499" s="96"/>
    </row>
    <row r="500" ht="15.75" customHeight="1" spans="5:20">
      <c r="E500" s="95"/>
      <c r="N500" s="96"/>
      <c r="O500" s="96"/>
      <c r="S500" s="96"/>
      <c r="T500" s="96"/>
    </row>
    <row r="501" ht="15.75" customHeight="1" spans="5:20">
      <c r="E501" s="95"/>
      <c r="N501" s="96"/>
      <c r="O501" s="96"/>
      <c r="S501" s="96"/>
      <c r="T501" s="96"/>
    </row>
    <row r="502" ht="15.75" customHeight="1" spans="5:20">
      <c r="E502" s="95"/>
      <c r="N502" s="96"/>
      <c r="O502" s="96"/>
      <c r="S502" s="96"/>
      <c r="T502" s="96"/>
    </row>
    <row r="503" ht="15.75" customHeight="1" spans="5:20">
      <c r="E503" s="95"/>
      <c r="N503" s="96"/>
      <c r="O503" s="96"/>
      <c r="S503" s="96"/>
      <c r="T503" s="96"/>
    </row>
    <row r="504" ht="15.75" customHeight="1" spans="5:20">
      <c r="E504" s="95"/>
      <c r="N504" s="96"/>
      <c r="O504" s="96"/>
      <c r="S504" s="96"/>
      <c r="T504" s="96"/>
    </row>
    <row r="505" ht="15.75" customHeight="1" spans="5:20">
      <c r="E505" s="95"/>
      <c r="N505" s="96"/>
      <c r="O505" s="96"/>
      <c r="S505" s="96"/>
      <c r="T505" s="96"/>
    </row>
    <row r="506" ht="15.75" customHeight="1" spans="5:20">
      <c r="E506" s="95"/>
      <c r="N506" s="96"/>
      <c r="O506" s="96"/>
      <c r="S506" s="96"/>
      <c r="T506" s="96"/>
    </row>
    <row r="507" ht="15.75" customHeight="1" spans="5:20">
      <c r="E507" s="95"/>
      <c r="N507" s="96"/>
      <c r="O507" s="96"/>
      <c r="S507" s="96"/>
      <c r="T507" s="96"/>
    </row>
    <row r="508" ht="15.75" customHeight="1" spans="5:20">
      <c r="E508" s="95"/>
      <c r="N508" s="96"/>
      <c r="O508" s="96"/>
      <c r="S508" s="96"/>
      <c r="T508" s="96"/>
    </row>
    <row r="509" ht="15.75" customHeight="1" spans="5:20">
      <c r="E509" s="95"/>
      <c r="N509" s="96"/>
      <c r="O509" s="96"/>
      <c r="S509" s="96"/>
      <c r="T509" s="96"/>
    </row>
    <row r="510" ht="15.75" customHeight="1" spans="5:20">
      <c r="E510" s="95"/>
      <c r="N510" s="96"/>
      <c r="O510" s="96"/>
      <c r="S510" s="96"/>
      <c r="T510" s="96"/>
    </row>
    <row r="511" ht="15.75" customHeight="1" spans="5:20">
      <c r="E511" s="95"/>
      <c r="N511" s="96"/>
      <c r="O511" s="96"/>
      <c r="S511" s="96"/>
      <c r="T511" s="96"/>
    </row>
    <row r="512" ht="15.75" customHeight="1" spans="5:20">
      <c r="E512" s="95"/>
      <c r="N512" s="96"/>
      <c r="O512" s="96"/>
      <c r="S512" s="96"/>
      <c r="T512" s="96"/>
    </row>
    <row r="513" ht="15.75" customHeight="1" spans="5:20">
      <c r="E513" s="95"/>
      <c r="N513" s="96"/>
      <c r="O513" s="96"/>
      <c r="S513" s="96"/>
      <c r="T513" s="96"/>
    </row>
    <row r="514" ht="15.75" customHeight="1" spans="5:20">
      <c r="E514" s="95"/>
      <c r="N514" s="96"/>
      <c r="O514" s="96"/>
      <c r="S514" s="96"/>
      <c r="T514" s="96"/>
    </row>
    <row r="515" ht="15.75" customHeight="1" spans="5:20">
      <c r="E515" s="95"/>
      <c r="N515" s="96"/>
      <c r="O515" s="96"/>
      <c r="S515" s="96"/>
      <c r="T515" s="96"/>
    </row>
    <row r="516" ht="15.75" customHeight="1" spans="5:20">
      <c r="E516" s="95"/>
      <c r="N516" s="96"/>
      <c r="O516" s="96"/>
      <c r="S516" s="96"/>
      <c r="T516" s="96"/>
    </row>
    <row r="517" ht="15.75" customHeight="1" spans="5:20">
      <c r="E517" s="95"/>
      <c r="N517" s="96"/>
      <c r="O517" s="96"/>
      <c r="S517" s="96"/>
      <c r="T517" s="96"/>
    </row>
    <row r="518" ht="15.75" customHeight="1" spans="5:20">
      <c r="E518" s="95"/>
      <c r="N518" s="96"/>
      <c r="O518" s="96"/>
      <c r="S518" s="96"/>
      <c r="T518" s="96"/>
    </row>
    <row r="519" ht="15.75" customHeight="1" spans="5:20">
      <c r="E519" s="95"/>
      <c r="N519" s="96"/>
      <c r="O519" s="96"/>
      <c r="S519" s="96"/>
      <c r="T519" s="96"/>
    </row>
    <row r="520" ht="15.75" customHeight="1" spans="5:20">
      <c r="E520" s="95"/>
      <c r="N520" s="96"/>
      <c r="O520" s="96"/>
      <c r="S520" s="96"/>
      <c r="T520" s="96"/>
    </row>
    <row r="521" ht="15.75" customHeight="1" spans="5:20">
      <c r="E521" s="95"/>
      <c r="N521" s="96"/>
      <c r="O521" s="96"/>
      <c r="S521" s="96"/>
      <c r="T521" s="96"/>
    </row>
    <row r="522" ht="15.75" customHeight="1" spans="5:20">
      <c r="E522" s="95"/>
      <c r="N522" s="96"/>
      <c r="O522" s="96"/>
      <c r="S522" s="96"/>
      <c r="T522" s="96"/>
    </row>
    <row r="523" ht="15.75" customHeight="1" spans="5:20">
      <c r="E523" s="95"/>
      <c r="N523" s="96"/>
      <c r="O523" s="96"/>
      <c r="S523" s="96"/>
      <c r="T523" s="96"/>
    </row>
    <row r="524" ht="15.75" customHeight="1" spans="5:20">
      <c r="E524" s="95"/>
      <c r="N524" s="96"/>
      <c r="O524" s="96"/>
      <c r="S524" s="96"/>
      <c r="T524" s="96"/>
    </row>
    <row r="525" ht="15.75" customHeight="1" spans="5:20">
      <c r="E525" s="95"/>
      <c r="N525" s="96"/>
      <c r="O525" s="96"/>
      <c r="S525" s="96"/>
      <c r="T525" s="96"/>
    </row>
    <row r="526" ht="15.75" customHeight="1" spans="5:20">
      <c r="E526" s="95"/>
      <c r="N526" s="96"/>
      <c r="O526" s="96"/>
      <c r="S526" s="96"/>
      <c r="T526" s="96"/>
    </row>
    <row r="527" ht="15.75" customHeight="1" spans="5:20">
      <c r="E527" s="95"/>
      <c r="N527" s="96"/>
      <c r="O527" s="96"/>
      <c r="S527" s="96"/>
      <c r="T527" s="96"/>
    </row>
    <row r="528" ht="15.75" customHeight="1" spans="5:20">
      <c r="E528" s="95"/>
      <c r="N528" s="96"/>
      <c r="O528" s="96"/>
      <c r="S528" s="96"/>
      <c r="T528" s="96"/>
    </row>
    <row r="529" ht="15.75" customHeight="1" spans="5:20">
      <c r="E529" s="95"/>
      <c r="N529" s="96"/>
      <c r="O529" s="96"/>
      <c r="S529" s="96"/>
      <c r="T529" s="96"/>
    </row>
    <row r="530" ht="15.75" customHeight="1" spans="5:20">
      <c r="E530" s="95"/>
      <c r="N530" s="96"/>
      <c r="O530" s="96"/>
      <c r="S530" s="96"/>
      <c r="T530" s="96"/>
    </row>
    <row r="531" ht="15.75" customHeight="1" spans="5:20">
      <c r="E531" s="95"/>
      <c r="N531" s="96"/>
      <c r="O531" s="96"/>
      <c r="S531" s="96"/>
      <c r="T531" s="96"/>
    </row>
    <row r="532" ht="15.75" customHeight="1" spans="5:20">
      <c r="E532" s="95"/>
      <c r="N532" s="96"/>
      <c r="O532" s="96"/>
      <c r="S532" s="96"/>
      <c r="T532" s="96"/>
    </row>
    <row r="533" ht="15.75" customHeight="1" spans="5:20">
      <c r="E533" s="95"/>
      <c r="N533" s="96"/>
      <c r="O533" s="96"/>
      <c r="S533" s="96"/>
      <c r="T533" s="96"/>
    </row>
    <row r="534" ht="15.75" customHeight="1" spans="5:20">
      <c r="E534" s="95"/>
      <c r="N534" s="96"/>
      <c r="O534" s="96"/>
      <c r="S534" s="96"/>
      <c r="T534" s="96"/>
    </row>
    <row r="535" ht="15.75" customHeight="1" spans="5:20">
      <c r="E535" s="95"/>
      <c r="N535" s="96"/>
      <c r="O535" s="96"/>
      <c r="S535" s="96"/>
      <c r="T535" s="96"/>
    </row>
    <row r="536" ht="15.75" customHeight="1" spans="5:20">
      <c r="E536" s="95"/>
      <c r="N536" s="96"/>
      <c r="O536" s="96"/>
      <c r="S536" s="96"/>
      <c r="T536" s="96"/>
    </row>
    <row r="537" ht="15.75" customHeight="1" spans="5:20">
      <c r="E537" s="95"/>
      <c r="N537" s="96"/>
      <c r="O537" s="96"/>
      <c r="S537" s="96"/>
      <c r="T537" s="96"/>
    </row>
    <row r="538" ht="15.75" customHeight="1" spans="5:20">
      <c r="E538" s="95"/>
      <c r="N538" s="96"/>
      <c r="O538" s="96"/>
      <c r="S538" s="96"/>
      <c r="T538" s="96"/>
    </row>
    <row r="539" ht="15.75" customHeight="1" spans="5:20">
      <c r="E539" s="95"/>
      <c r="N539" s="96"/>
      <c r="O539" s="96"/>
      <c r="S539" s="96"/>
      <c r="T539" s="96"/>
    </row>
    <row r="540" ht="15.75" customHeight="1" spans="5:20">
      <c r="E540" s="95"/>
      <c r="N540" s="96"/>
      <c r="O540" s="96"/>
      <c r="S540" s="96"/>
      <c r="T540" s="96"/>
    </row>
    <row r="541" ht="15.75" customHeight="1" spans="5:20">
      <c r="E541" s="95"/>
      <c r="N541" s="96"/>
      <c r="O541" s="96"/>
      <c r="S541" s="96"/>
      <c r="T541" s="96"/>
    </row>
    <row r="542" ht="15.75" customHeight="1" spans="5:20">
      <c r="E542" s="95"/>
      <c r="N542" s="96"/>
      <c r="O542" s="96"/>
      <c r="S542" s="96"/>
      <c r="T542" s="96"/>
    </row>
    <row r="543" ht="15.75" customHeight="1" spans="5:20">
      <c r="E543" s="95"/>
      <c r="N543" s="96"/>
      <c r="O543" s="96"/>
      <c r="S543" s="96"/>
      <c r="T543" s="96"/>
    </row>
    <row r="544" ht="15.75" customHeight="1" spans="5:20">
      <c r="E544" s="95"/>
      <c r="N544" s="96"/>
      <c r="O544" s="96"/>
      <c r="S544" s="96"/>
      <c r="T544" s="96"/>
    </row>
    <row r="545" ht="15.75" customHeight="1" spans="5:20">
      <c r="E545" s="95"/>
      <c r="N545" s="96"/>
      <c r="O545" s="96"/>
      <c r="S545" s="96"/>
      <c r="T545" s="96"/>
    </row>
    <row r="546" ht="15.75" customHeight="1" spans="5:20">
      <c r="E546" s="95"/>
      <c r="N546" s="96"/>
      <c r="O546" s="96"/>
      <c r="S546" s="96"/>
      <c r="T546" s="96"/>
    </row>
    <row r="547" ht="15.75" customHeight="1" spans="5:20">
      <c r="E547" s="95"/>
      <c r="N547" s="96"/>
      <c r="O547" s="96"/>
      <c r="S547" s="96"/>
      <c r="T547" s="96"/>
    </row>
    <row r="548" ht="15.75" customHeight="1" spans="5:20">
      <c r="E548" s="95"/>
      <c r="N548" s="96"/>
      <c r="O548" s="96"/>
      <c r="S548" s="96"/>
      <c r="T548" s="96"/>
    </row>
    <row r="549" ht="15.75" customHeight="1" spans="5:20">
      <c r="E549" s="95"/>
      <c r="N549" s="96"/>
      <c r="O549" s="96"/>
      <c r="S549" s="96"/>
      <c r="T549" s="96"/>
    </row>
    <row r="550" ht="15.75" customHeight="1" spans="5:20">
      <c r="E550" s="95"/>
      <c r="N550" s="96"/>
      <c r="O550" s="96"/>
      <c r="S550" s="96"/>
      <c r="T550" s="96"/>
    </row>
    <row r="551" ht="15.75" customHeight="1" spans="5:20">
      <c r="E551" s="95"/>
      <c r="N551" s="96"/>
      <c r="O551" s="96"/>
      <c r="S551" s="96"/>
      <c r="T551" s="96"/>
    </row>
    <row r="552" ht="15.75" customHeight="1" spans="5:20">
      <c r="E552" s="95"/>
      <c r="N552" s="96"/>
      <c r="O552" s="96"/>
      <c r="S552" s="96"/>
      <c r="T552" s="96"/>
    </row>
    <row r="553" ht="15.75" customHeight="1" spans="5:20">
      <c r="E553" s="95"/>
      <c r="N553" s="96"/>
      <c r="O553" s="96"/>
      <c r="S553" s="96"/>
      <c r="T553" s="96"/>
    </row>
    <row r="554" ht="15.75" customHeight="1" spans="5:20">
      <c r="E554" s="95"/>
      <c r="N554" s="96"/>
      <c r="O554" s="96"/>
      <c r="S554" s="96"/>
      <c r="T554" s="96"/>
    </row>
    <row r="555" ht="15.75" customHeight="1" spans="5:20">
      <c r="E555" s="95"/>
      <c r="N555" s="96"/>
      <c r="O555" s="96"/>
      <c r="S555" s="96"/>
      <c r="T555" s="96"/>
    </row>
    <row r="556" ht="15.75" customHeight="1" spans="5:20">
      <c r="E556" s="95"/>
      <c r="N556" s="96"/>
      <c r="O556" s="96"/>
      <c r="S556" s="96"/>
      <c r="T556" s="96"/>
    </row>
    <row r="557" ht="15.75" customHeight="1" spans="5:20">
      <c r="E557" s="95"/>
      <c r="N557" s="96"/>
      <c r="O557" s="96"/>
      <c r="S557" s="96"/>
      <c r="T557" s="96"/>
    </row>
    <row r="558" ht="15.75" customHeight="1" spans="5:20">
      <c r="E558" s="95"/>
      <c r="N558" s="96"/>
      <c r="O558" s="96"/>
      <c r="S558" s="96"/>
      <c r="T558" s="96"/>
    </row>
    <row r="559" ht="15.75" customHeight="1" spans="5:20">
      <c r="E559" s="95"/>
      <c r="N559" s="96"/>
      <c r="O559" s="96"/>
      <c r="S559" s="96"/>
      <c r="T559" s="96"/>
    </row>
    <row r="560" ht="15.75" customHeight="1" spans="5:20">
      <c r="E560" s="95"/>
      <c r="N560" s="96"/>
      <c r="O560" s="96"/>
      <c r="S560" s="96"/>
      <c r="T560" s="96"/>
    </row>
    <row r="561" ht="15.75" customHeight="1" spans="5:20">
      <c r="E561" s="95"/>
      <c r="N561" s="96"/>
      <c r="O561" s="96"/>
      <c r="S561" s="96"/>
      <c r="T561" s="96"/>
    </row>
    <row r="562" ht="15.75" customHeight="1" spans="5:20">
      <c r="E562" s="95"/>
      <c r="N562" s="96"/>
      <c r="O562" s="96"/>
      <c r="S562" s="96"/>
      <c r="T562" s="96"/>
    </row>
    <row r="563" ht="15.75" customHeight="1" spans="5:20">
      <c r="E563" s="95"/>
      <c r="N563" s="96"/>
      <c r="O563" s="96"/>
      <c r="S563" s="96"/>
      <c r="T563" s="96"/>
    </row>
    <row r="564" ht="15.75" customHeight="1" spans="5:20">
      <c r="E564" s="95"/>
      <c r="N564" s="96"/>
      <c r="O564" s="96"/>
      <c r="S564" s="96"/>
      <c r="T564" s="96"/>
    </row>
    <row r="565" ht="15.75" customHeight="1" spans="5:20">
      <c r="E565" s="95"/>
      <c r="N565" s="96"/>
      <c r="O565" s="96"/>
      <c r="S565" s="96"/>
      <c r="T565" s="96"/>
    </row>
    <row r="566" ht="15.75" customHeight="1" spans="5:20">
      <c r="E566" s="95"/>
      <c r="N566" s="96"/>
      <c r="O566" s="96"/>
      <c r="S566" s="96"/>
      <c r="T566" s="96"/>
    </row>
    <row r="567" ht="15.75" customHeight="1" spans="5:20">
      <c r="E567" s="95"/>
      <c r="N567" s="96"/>
      <c r="O567" s="96"/>
      <c r="S567" s="96"/>
      <c r="T567" s="96"/>
    </row>
    <row r="568" ht="15.75" customHeight="1" spans="5:20">
      <c r="E568" s="95"/>
      <c r="N568" s="96"/>
      <c r="O568" s="96"/>
      <c r="S568" s="96"/>
      <c r="T568" s="96"/>
    </row>
    <row r="569" ht="15.75" customHeight="1" spans="5:20">
      <c r="E569" s="95"/>
      <c r="N569" s="96"/>
      <c r="O569" s="96"/>
      <c r="S569" s="96"/>
      <c r="T569" s="96"/>
    </row>
    <row r="570" ht="15.75" customHeight="1" spans="5:20">
      <c r="E570" s="95"/>
      <c r="N570" s="96"/>
      <c r="O570" s="96"/>
      <c r="S570" s="96"/>
      <c r="T570" s="96"/>
    </row>
    <row r="571" ht="15.75" customHeight="1" spans="5:20">
      <c r="E571" s="95"/>
      <c r="N571" s="96"/>
      <c r="O571" s="96"/>
      <c r="S571" s="96"/>
      <c r="T571" s="96"/>
    </row>
    <row r="572" ht="15.75" customHeight="1" spans="5:20">
      <c r="E572" s="95"/>
      <c r="N572" s="96"/>
      <c r="O572" s="96"/>
      <c r="S572" s="96"/>
      <c r="T572" s="96"/>
    </row>
    <row r="573" ht="15.75" customHeight="1" spans="5:20">
      <c r="E573" s="95"/>
      <c r="N573" s="96"/>
      <c r="O573" s="96"/>
      <c r="S573" s="96"/>
      <c r="T573" s="96"/>
    </row>
    <row r="574" ht="15.75" customHeight="1" spans="5:20">
      <c r="E574" s="95"/>
      <c r="N574" s="96"/>
      <c r="O574" s="96"/>
      <c r="S574" s="96"/>
      <c r="T574" s="96"/>
    </row>
    <row r="575" ht="15.75" customHeight="1" spans="5:20">
      <c r="E575" s="95"/>
      <c r="N575" s="96"/>
      <c r="O575" s="96"/>
      <c r="S575" s="96"/>
      <c r="T575" s="96"/>
    </row>
    <row r="576" ht="15.75" customHeight="1" spans="5:20">
      <c r="E576" s="95"/>
      <c r="N576" s="96"/>
      <c r="O576" s="96"/>
      <c r="S576" s="96"/>
      <c r="T576" s="96"/>
    </row>
    <row r="577" ht="15.75" customHeight="1" spans="5:20">
      <c r="E577" s="95"/>
      <c r="N577" s="96"/>
      <c r="O577" s="96"/>
      <c r="S577" s="96"/>
      <c r="T577" s="96"/>
    </row>
    <row r="578" ht="15.75" customHeight="1" spans="5:20">
      <c r="E578" s="95"/>
      <c r="N578" s="96"/>
      <c r="O578" s="96"/>
      <c r="S578" s="96"/>
      <c r="T578" s="96"/>
    </row>
    <row r="579" ht="15.75" customHeight="1" spans="5:20">
      <c r="E579" s="95"/>
      <c r="N579" s="96"/>
      <c r="O579" s="96"/>
      <c r="S579" s="96"/>
      <c r="T579" s="96"/>
    </row>
    <row r="580" ht="15.75" customHeight="1" spans="5:20">
      <c r="E580" s="95"/>
      <c r="N580" s="96"/>
      <c r="O580" s="96"/>
      <c r="S580" s="96"/>
      <c r="T580" s="96"/>
    </row>
    <row r="581" ht="15.75" customHeight="1" spans="5:20">
      <c r="E581" s="95"/>
      <c r="N581" s="96"/>
      <c r="O581" s="96"/>
      <c r="S581" s="96"/>
      <c r="T581" s="96"/>
    </row>
    <row r="582" ht="15.75" customHeight="1" spans="5:20">
      <c r="E582" s="95"/>
      <c r="N582" s="96"/>
      <c r="O582" s="96"/>
      <c r="S582" s="96"/>
      <c r="T582" s="96"/>
    </row>
    <row r="583" ht="15.75" customHeight="1" spans="5:20">
      <c r="E583" s="95"/>
      <c r="N583" s="96"/>
      <c r="O583" s="96"/>
      <c r="S583" s="96"/>
      <c r="T583" s="96"/>
    </row>
    <row r="584" ht="15.75" customHeight="1" spans="5:20">
      <c r="E584" s="95"/>
      <c r="N584" s="96"/>
      <c r="O584" s="96"/>
      <c r="S584" s="96"/>
      <c r="T584" s="96"/>
    </row>
    <row r="585" ht="15.75" customHeight="1" spans="5:20">
      <c r="E585" s="95"/>
      <c r="N585" s="96"/>
      <c r="O585" s="96"/>
      <c r="S585" s="96"/>
      <c r="T585" s="96"/>
    </row>
    <row r="586" ht="15.75" customHeight="1" spans="5:20">
      <c r="E586" s="95"/>
      <c r="N586" s="96"/>
      <c r="O586" s="96"/>
      <c r="S586" s="96"/>
      <c r="T586" s="96"/>
    </row>
    <row r="587" ht="15.75" customHeight="1" spans="5:20">
      <c r="E587" s="95"/>
      <c r="N587" s="96"/>
      <c r="O587" s="96"/>
      <c r="S587" s="96"/>
      <c r="T587" s="96"/>
    </row>
    <row r="588" ht="15.75" customHeight="1" spans="5:20">
      <c r="E588" s="95"/>
      <c r="N588" s="96"/>
      <c r="O588" s="96"/>
      <c r="S588" s="96"/>
      <c r="T588" s="96"/>
    </row>
    <row r="589" ht="15.75" customHeight="1" spans="5:20">
      <c r="E589" s="95"/>
      <c r="N589" s="96"/>
      <c r="O589" s="96"/>
      <c r="S589" s="96"/>
      <c r="T589" s="96"/>
    </row>
    <row r="590" ht="15.75" customHeight="1" spans="5:20">
      <c r="E590" s="95"/>
      <c r="N590" s="96"/>
      <c r="O590" s="96"/>
      <c r="S590" s="96"/>
      <c r="T590" s="96"/>
    </row>
    <row r="591" ht="15.75" customHeight="1" spans="5:20">
      <c r="E591" s="95"/>
      <c r="N591" s="96"/>
      <c r="O591" s="96"/>
      <c r="S591" s="96"/>
      <c r="T591" s="96"/>
    </row>
    <row r="592" ht="15.75" customHeight="1" spans="5:20">
      <c r="E592" s="95"/>
      <c r="N592" s="96"/>
      <c r="O592" s="96"/>
      <c r="S592" s="96"/>
      <c r="T592" s="96"/>
    </row>
    <row r="593" ht="15.75" customHeight="1" spans="5:20">
      <c r="E593" s="95"/>
      <c r="N593" s="96"/>
      <c r="O593" s="96"/>
      <c r="S593" s="96"/>
      <c r="T593" s="96"/>
    </row>
    <row r="594" ht="15.75" customHeight="1" spans="5:20">
      <c r="E594" s="95"/>
      <c r="N594" s="96"/>
      <c r="O594" s="96"/>
      <c r="S594" s="96"/>
      <c r="T594" s="96"/>
    </row>
    <row r="595" ht="15.75" customHeight="1" spans="5:20">
      <c r="E595" s="95"/>
      <c r="N595" s="96"/>
      <c r="O595" s="96"/>
      <c r="S595" s="96"/>
      <c r="T595" s="96"/>
    </row>
    <row r="596" ht="15.75" customHeight="1" spans="5:20">
      <c r="E596" s="95"/>
      <c r="N596" s="96"/>
      <c r="O596" s="96"/>
      <c r="S596" s="96"/>
      <c r="T596" s="96"/>
    </row>
    <row r="597" ht="15.75" customHeight="1" spans="5:20">
      <c r="E597" s="95"/>
      <c r="N597" s="96"/>
      <c r="O597" s="96"/>
      <c r="S597" s="96"/>
      <c r="T597" s="96"/>
    </row>
    <row r="598" ht="15.75" customHeight="1" spans="5:20">
      <c r="E598" s="95"/>
      <c r="N598" s="96"/>
      <c r="O598" s="96"/>
      <c r="S598" s="96"/>
      <c r="T598" s="96"/>
    </row>
    <row r="599" ht="15.75" customHeight="1" spans="5:20">
      <c r="E599" s="95"/>
      <c r="N599" s="96"/>
      <c r="O599" s="96"/>
      <c r="S599" s="96"/>
      <c r="T599" s="96"/>
    </row>
    <row r="600" ht="15.75" customHeight="1" spans="5:20">
      <c r="E600" s="95"/>
      <c r="N600" s="96"/>
      <c r="O600" s="96"/>
      <c r="S600" s="96"/>
      <c r="T600" s="96"/>
    </row>
    <row r="601" ht="15.75" customHeight="1" spans="5:20">
      <c r="E601" s="95"/>
      <c r="N601" s="96"/>
      <c r="O601" s="96"/>
      <c r="S601" s="96"/>
      <c r="T601" s="96"/>
    </row>
    <row r="602" ht="15.75" customHeight="1" spans="5:20">
      <c r="E602" s="95"/>
      <c r="N602" s="96"/>
      <c r="O602" s="96"/>
      <c r="S602" s="96"/>
      <c r="T602" s="96"/>
    </row>
    <row r="603" ht="15.75" customHeight="1" spans="5:20">
      <c r="E603" s="95"/>
      <c r="N603" s="96"/>
      <c r="O603" s="96"/>
      <c r="S603" s="96"/>
      <c r="T603" s="96"/>
    </row>
    <row r="604" ht="15.75" customHeight="1" spans="5:20">
      <c r="E604" s="95"/>
      <c r="N604" s="96"/>
      <c r="O604" s="96"/>
      <c r="S604" s="96"/>
      <c r="T604" s="96"/>
    </row>
    <row r="605" ht="15.75" customHeight="1" spans="5:20">
      <c r="E605" s="95"/>
      <c r="N605" s="96"/>
      <c r="O605" s="96"/>
      <c r="S605" s="96"/>
      <c r="T605" s="96"/>
    </row>
    <row r="606" ht="15.75" customHeight="1" spans="5:20">
      <c r="E606" s="95"/>
      <c r="N606" s="96"/>
      <c r="O606" s="96"/>
      <c r="S606" s="96"/>
      <c r="T606" s="96"/>
    </row>
    <row r="607" ht="15.75" customHeight="1" spans="5:20">
      <c r="E607" s="95"/>
      <c r="N607" s="96"/>
      <c r="O607" s="96"/>
      <c r="S607" s="96"/>
      <c r="T607" s="96"/>
    </row>
    <row r="608" ht="15.75" customHeight="1" spans="5:20">
      <c r="E608" s="95"/>
      <c r="N608" s="96"/>
      <c r="O608" s="96"/>
      <c r="S608" s="96"/>
      <c r="T608" s="96"/>
    </row>
    <row r="609" ht="15.75" customHeight="1" spans="5:20">
      <c r="E609" s="95"/>
      <c r="N609" s="96"/>
      <c r="O609" s="96"/>
      <c r="S609" s="96"/>
      <c r="T609" s="96"/>
    </row>
    <row r="610" ht="15.75" customHeight="1" spans="5:20">
      <c r="E610" s="95"/>
      <c r="N610" s="96"/>
      <c r="O610" s="96"/>
      <c r="S610" s="96"/>
      <c r="T610" s="96"/>
    </row>
    <row r="611" ht="15.75" customHeight="1" spans="5:20">
      <c r="E611" s="95"/>
      <c r="N611" s="96"/>
      <c r="O611" s="96"/>
      <c r="S611" s="96"/>
      <c r="T611" s="96"/>
    </row>
    <row r="612" ht="15.75" customHeight="1" spans="5:20">
      <c r="E612" s="95"/>
      <c r="N612" s="96"/>
      <c r="O612" s="96"/>
      <c r="S612" s="96"/>
      <c r="T612" s="96"/>
    </row>
    <row r="613" ht="15.75" customHeight="1" spans="5:20">
      <c r="E613" s="95"/>
      <c r="N613" s="96"/>
      <c r="O613" s="96"/>
      <c r="S613" s="96"/>
      <c r="T613" s="96"/>
    </row>
    <row r="614" ht="15.75" customHeight="1" spans="5:20">
      <c r="E614" s="95"/>
      <c r="N614" s="96"/>
      <c r="O614" s="96"/>
      <c r="S614" s="96"/>
      <c r="T614" s="96"/>
    </row>
    <row r="615" ht="15.75" customHeight="1" spans="5:20">
      <c r="E615" s="95"/>
      <c r="N615" s="96"/>
      <c r="O615" s="96"/>
      <c r="S615" s="96"/>
      <c r="T615" s="96"/>
    </row>
    <row r="616" ht="15.75" customHeight="1" spans="5:20">
      <c r="E616" s="95"/>
      <c r="N616" s="96"/>
      <c r="O616" s="96"/>
      <c r="S616" s="96"/>
      <c r="T616" s="96"/>
    </row>
    <row r="617" ht="15.75" customHeight="1" spans="5:20">
      <c r="E617" s="95"/>
      <c r="N617" s="96"/>
      <c r="O617" s="96"/>
      <c r="S617" s="96"/>
      <c r="T617" s="96"/>
    </row>
    <row r="618" ht="15.75" customHeight="1" spans="5:20">
      <c r="E618" s="95"/>
      <c r="N618" s="96"/>
      <c r="O618" s="96"/>
      <c r="S618" s="96"/>
      <c r="T618" s="96"/>
    </row>
    <row r="619" ht="15.75" customHeight="1" spans="5:20">
      <c r="E619" s="95"/>
      <c r="N619" s="96"/>
      <c r="O619" s="96"/>
      <c r="S619" s="96"/>
      <c r="T619" s="96"/>
    </row>
    <row r="620" ht="15.75" customHeight="1" spans="5:20">
      <c r="E620" s="95"/>
      <c r="N620" s="96"/>
      <c r="O620" s="96"/>
      <c r="S620" s="96"/>
      <c r="T620" s="96"/>
    </row>
    <row r="621" ht="15.75" customHeight="1" spans="5:20">
      <c r="E621" s="95"/>
      <c r="N621" s="96"/>
      <c r="O621" s="96"/>
      <c r="S621" s="96"/>
      <c r="T621" s="96"/>
    </row>
    <row r="622" ht="15.75" customHeight="1" spans="5:20">
      <c r="E622" s="95"/>
      <c r="N622" s="96"/>
      <c r="O622" s="96"/>
      <c r="S622" s="96"/>
      <c r="T622" s="96"/>
    </row>
    <row r="623" ht="15.75" customHeight="1" spans="5:20">
      <c r="E623" s="95"/>
      <c r="N623" s="96"/>
      <c r="O623" s="96"/>
      <c r="S623" s="96"/>
      <c r="T623" s="96"/>
    </row>
    <row r="624" ht="15.75" customHeight="1" spans="5:20">
      <c r="E624" s="95"/>
      <c r="N624" s="96"/>
      <c r="O624" s="96"/>
      <c r="S624" s="96"/>
      <c r="T624" s="96"/>
    </row>
    <row r="625" ht="15.75" customHeight="1" spans="5:20">
      <c r="E625" s="95"/>
      <c r="N625" s="96"/>
      <c r="O625" s="96"/>
      <c r="S625" s="96"/>
      <c r="T625" s="96"/>
    </row>
    <row r="626" ht="15.75" customHeight="1" spans="5:20">
      <c r="E626" s="95"/>
      <c r="N626" s="96"/>
      <c r="O626" s="96"/>
      <c r="S626" s="96"/>
      <c r="T626" s="96"/>
    </row>
    <row r="627" ht="15.75" customHeight="1" spans="5:20">
      <c r="E627" s="95"/>
      <c r="N627" s="96"/>
      <c r="O627" s="96"/>
      <c r="S627" s="96"/>
      <c r="T627" s="96"/>
    </row>
    <row r="628" ht="15.75" customHeight="1" spans="5:20">
      <c r="E628" s="95"/>
      <c r="N628" s="96"/>
      <c r="O628" s="96"/>
      <c r="S628" s="96"/>
      <c r="T628" s="96"/>
    </row>
    <row r="629" ht="15.75" customHeight="1" spans="5:20">
      <c r="E629" s="95"/>
      <c r="N629" s="96"/>
      <c r="O629" s="96"/>
      <c r="S629" s="96"/>
      <c r="T629" s="96"/>
    </row>
    <row r="630" ht="15.75" customHeight="1" spans="5:20">
      <c r="E630" s="95"/>
      <c r="N630" s="96"/>
      <c r="O630" s="96"/>
      <c r="S630" s="96"/>
      <c r="T630" s="96"/>
    </row>
    <row r="631" ht="15.75" customHeight="1" spans="5:20">
      <c r="E631" s="95"/>
      <c r="N631" s="96"/>
      <c r="O631" s="96"/>
      <c r="S631" s="96"/>
      <c r="T631" s="96"/>
    </row>
    <row r="632" ht="15.75" customHeight="1" spans="5:20">
      <c r="E632" s="95"/>
      <c r="N632" s="96"/>
      <c r="O632" s="96"/>
      <c r="S632" s="96"/>
      <c r="T632" s="96"/>
    </row>
    <row r="633" ht="15.75" customHeight="1" spans="5:20">
      <c r="E633" s="95"/>
      <c r="N633" s="96"/>
      <c r="O633" s="96"/>
      <c r="S633" s="96"/>
      <c r="T633" s="96"/>
    </row>
    <row r="634" ht="15.75" customHeight="1" spans="5:20">
      <c r="E634" s="95"/>
      <c r="N634" s="96"/>
      <c r="O634" s="96"/>
      <c r="S634" s="96"/>
      <c r="T634" s="96"/>
    </row>
    <row r="635" ht="15.75" customHeight="1" spans="5:20">
      <c r="E635" s="95"/>
      <c r="N635" s="96"/>
      <c r="O635" s="96"/>
      <c r="S635" s="96"/>
      <c r="T635" s="96"/>
    </row>
    <row r="636" ht="15.75" customHeight="1" spans="5:20">
      <c r="E636" s="95"/>
      <c r="N636" s="96"/>
      <c r="O636" s="96"/>
      <c r="S636" s="96"/>
      <c r="T636" s="96"/>
    </row>
    <row r="637" ht="15.75" customHeight="1" spans="5:20">
      <c r="E637" s="95"/>
      <c r="N637" s="96"/>
      <c r="O637" s="96"/>
      <c r="S637" s="96"/>
      <c r="T637" s="96"/>
    </row>
    <row r="638" ht="15.75" customHeight="1" spans="5:20">
      <c r="E638" s="95"/>
      <c r="N638" s="96"/>
      <c r="O638" s="96"/>
      <c r="S638" s="96"/>
      <c r="T638" s="96"/>
    </row>
    <row r="639" ht="15.75" customHeight="1" spans="5:20">
      <c r="E639" s="95"/>
      <c r="N639" s="96"/>
      <c r="O639" s="96"/>
      <c r="S639" s="96"/>
      <c r="T639" s="96"/>
    </row>
    <row r="640" ht="15.75" customHeight="1" spans="5:20">
      <c r="E640" s="95"/>
      <c r="N640" s="96"/>
      <c r="O640" s="96"/>
      <c r="S640" s="96"/>
      <c r="T640" s="96"/>
    </row>
    <row r="641" ht="15.75" customHeight="1" spans="5:20">
      <c r="E641" s="95"/>
      <c r="N641" s="96"/>
      <c r="O641" s="96"/>
      <c r="S641" s="96"/>
      <c r="T641" s="96"/>
    </row>
    <row r="642" ht="15.75" customHeight="1" spans="5:20">
      <c r="E642" s="95"/>
      <c r="N642" s="96"/>
      <c r="O642" s="96"/>
      <c r="S642" s="96"/>
      <c r="T642" s="96"/>
    </row>
    <row r="643" ht="15.75" customHeight="1" spans="5:20">
      <c r="E643" s="95"/>
      <c r="N643" s="96"/>
      <c r="O643" s="96"/>
      <c r="S643" s="96"/>
      <c r="T643" s="96"/>
    </row>
    <row r="644" ht="15.75" customHeight="1" spans="5:20">
      <c r="E644" s="95"/>
      <c r="N644" s="96"/>
      <c r="O644" s="96"/>
      <c r="S644" s="96"/>
      <c r="T644" s="96"/>
    </row>
    <row r="645" ht="15.75" customHeight="1" spans="5:20">
      <c r="E645" s="95"/>
      <c r="N645" s="96"/>
      <c r="O645" s="96"/>
      <c r="S645" s="96"/>
      <c r="T645" s="96"/>
    </row>
    <row r="646" ht="15.75" customHeight="1" spans="5:20">
      <c r="E646" s="95"/>
      <c r="N646" s="96"/>
      <c r="O646" s="96"/>
      <c r="S646" s="96"/>
      <c r="T646" s="96"/>
    </row>
    <row r="647" ht="15.75" customHeight="1" spans="5:20">
      <c r="E647" s="95"/>
      <c r="N647" s="96"/>
      <c r="O647" s="96"/>
      <c r="S647" s="96"/>
      <c r="T647" s="96"/>
    </row>
    <row r="648" ht="15.75" customHeight="1" spans="5:20">
      <c r="E648" s="95"/>
      <c r="N648" s="96"/>
      <c r="O648" s="96"/>
      <c r="S648" s="96"/>
      <c r="T648" s="96"/>
    </row>
    <row r="649" ht="15.75" customHeight="1" spans="5:20">
      <c r="E649" s="95"/>
      <c r="N649" s="96"/>
      <c r="O649" s="96"/>
      <c r="S649" s="96"/>
      <c r="T649" s="96"/>
    </row>
    <row r="650" ht="15.75" customHeight="1" spans="5:20">
      <c r="E650" s="95"/>
      <c r="N650" s="96"/>
      <c r="O650" s="96"/>
      <c r="S650" s="96"/>
      <c r="T650" s="96"/>
    </row>
    <row r="651" ht="15.75" customHeight="1" spans="5:20">
      <c r="E651" s="95"/>
      <c r="N651" s="96"/>
      <c r="O651" s="96"/>
      <c r="S651" s="96"/>
      <c r="T651" s="96"/>
    </row>
    <row r="652" ht="15.75" customHeight="1" spans="5:20">
      <c r="E652" s="95"/>
      <c r="N652" s="96"/>
      <c r="O652" s="96"/>
      <c r="S652" s="96"/>
      <c r="T652" s="96"/>
    </row>
    <row r="653" ht="15.75" customHeight="1" spans="5:20">
      <c r="E653" s="95"/>
      <c r="N653" s="96"/>
      <c r="O653" s="96"/>
      <c r="S653" s="96"/>
      <c r="T653" s="96"/>
    </row>
    <row r="654" ht="15.75" customHeight="1" spans="5:20">
      <c r="E654" s="95"/>
      <c r="N654" s="96"/>
      <c r="O654" s="96"/>
      <c r="S654" s="96"/>
      <c r="T654" s="96"/>
    </row>
    <row r="655" ht="15.75" customHeight="1" spans="5:20">
      <c r="E655" s="95"/>
      <c r="N655" s="96"/>
      <c r="O655" s="96"/>
      <c r="S655" s="96"/>
      <c r="T655" s="96"/>
    </row>
    <row r="656" ht="15.75" customHeight="1" spans="5:20">
      <c r="E656" s="95"/>
      <c r="N656" s="96"/>
      <c r="O656" s="96"/>
      <c r="S656" s="96"/>
      <c r="T656" s="96"/>
    </row>
    <row r="657" ht="15.75" customHeight="1" spans="5:20">
      <c r="E657" s="95"/>
      <c r="N657" s="96"/>
      <c r="O657" s="96"/>
      <c r="S657" s="96"/>
      <c r="T657" s="96"/>
    </row>
    <row r="658" ht="15.75" customHeight="1" spans="5:20">
      <c r="E658" s="95"/>
      <c r="N658" s="96"/>
      <c r="O658" s="96"/>
      <c r="S658" s="96"/>
      <c r="T658" s="96"/>
    </row>
    <row r="659" ht="15.75" customHeight="1" spans="5:20">
      <c r="E659" s="95"/>
      <c r="N659" s="96"/>
      <c r="O659" s="96"/>
      <c r="S659" s="96"/>
      <c r="T659" s="96"/>
    </row>
    <row r="660" ht="15.75" customHeight="1" spans="5:20">
      <c r="E660" s="95"/>
      <c r="N660" s="96"/>
      <c r="O660" s="96"/>
      <c r="S660" s="96"/>
      <c r="T660" s="96"/>
    </row>
    <row r="661" ht="15.75" customHeight="1" spans="5:20">
      <c r="E661" s="95"/>
      <c r="N661" s="96"/>
      <c r="O661" s="96"/>
      <c r="S661" s="96"/>
      <c r="T661" s="96"/>
    </row>
    <row r="662" ht="15.75" customHeight="1" spans="5:20">
      <c r="E662" s="95"/>
      <c r="N662" s="96"/>
      <c r="O662" s="96"/>
      <c r="S662" s="96"/>
      <c r="T662" s="96"/>
    </row>
    <row r="663" ht="15.75" customHeight="1" spans="5:20">
      <c r="E663" s="95"/>
      <c r="N663" s="96"/>
      <c r="O663" s="96"/>
      <c r="S663" s="96"/>
      <c r="T663" s="96"/>
    </row>
    <row r="664" ht="15.75" customHeight="1" spans="5:20">
      <c r="E664" s="95"/>
      <c r="N664" s="96"/>
      <c r="O664" s="96"/>
      <c r="S664" s="96"/>
      <c r="T664" s="96"/>
    </row>
    <row r="665" ht="15.75" customHeight="1" spans="5:20">
      <c r="E665" s="95"/>
      <c r="N665" s="96"/>
      <c r="O665" s="96"/>
      <c r="S665" s="96"/>
      <c r="T665" s="96"/>
    </row>
    <row r="666" ht="15.75" customHeight="1" spans="5:20">
      <c r="E666" s="95"/>
      <c r="N666" s="96"/>
      <c r="O666" s="96"/>
      <c r="S666" s="96"/>
      <c r="T666" s="96"/>
    </row>
    <row r="667" ht="15.75" customHeight="1" spans="5:20">
      <c r="E667" s="95"/>
      <c r="N667" s="96"/>
      <c r="O667" s="96"/>
      <c r="S667" s="96"/>
      <c r="T667" s="96"/>
    </row>
    <row r="668" ht="15.75" customHeight="1" spans="5:20">
      <c r="E668" s="95"/>
      <c r="N668" s="96"/>
      <c r="O668" s="96"/>
      <c r="S668" s="96"/>
      <c r="T668" s="96"/>
    </row>
    <row r="669" ht="15.75" customHeight="1" spans="5:20">
      <c r="E669" s="95"/>
      <c r="N669" s="96"/>
      <c r="O669" s="96"/>
      <c r="S669" s="96"/>
      <c r="T669" s="96"/>
    </row>
    <row r="670" ht="15.75" customHeight="1" spans="5:20">
      <c r="E670" s="95"/>
      <c r="N670" s="96"/>
      <c r="O670" s="96"/>
      <c r="S670" s="96"/>
      <c r="T670" s="96"/>
    </row>
    <row r="671" ht="15.75" customHeight="1" spans="5:20">
      <c r="E671" s="95"/>
      <c r="N671" s="96"/>
      <c r="O671" s="96"/>
      <c r="S671" s="96"/>
      <c r="T671" s="96"/>
    </row>
    <row r="672" ht="15.75" customHeight="1" spans="5:20">
      <c r="E672" s="95"/>
      <c r="N672" s="96"/>
      <c r="O672" s="96"/>
      <c r="S672" s="96"/>
      <c r="T672" s="96"/>
    </row>
    <row r="673" ht="15.75" customHeight="1" spans="5:20">
      <c r="E673" s="95"/>
      <c r="N673" s="96"/>
      <c r="O673" s="96"/>
      <c r="S673" s="96"/>
      <c r="T673" s="96"/>
    </row>
    <row r="674" ht="15.75" customHeight="1" spans="5:20">
      <c r="E674" s="95"/>
      <c r="N674" s="96"/>
      <c r="O674" s="96"/>
      <c r="S674" s="96"/>
      <c r="T674" s="96"/>
    </row>
    <row r="675" ht="15.75" customHeight="1" spans="5:20">
      <c r="E675" s="95"/>
      <c r="N675" s="96"/>
      <c r="O675" s="96"/>
      <c r="S675" s="96"/>
      <c r="T675" s="96"/>
    </row>
    <row r="676" ht="15.75" customHeight="1" spans="5:20">
      <c r="E676" s="95"/>
      <c r="N676" s="96"/>
      <c r="O676" s="96"/>
      <c r="S676" s="96"/>
      <c r="T676" s="96"/>
    </row>
    <row r="677" ht="15.75" customHeight="1" spans="5:20">
      <c r="E677" s="95"/>
      <c r="N677" s="96"/>
      <c r="O677" s="96"/>
      <c r="S677" s="96"/>
      <c r="T677" s="96"/>
    </row>
    <row r="678" ht="15.75" customHeight="1" spans="5:20">
      <c r="E678" s="95"/>
      <c r="N678" s="96"/>
      <c r="O678" s="96"/>
      <c r="S678" s="96"/>
      <c r="T678" s="96"/>
    </row>
    <row r="679" ht="15.75" customHeight="1" spans="5:20">
      <c r="E679" s="95"/>
      <c r="N679" s="96"/>
      <c r="O679" s="96"/>
      <c r="S679" s="96"/>
      <c r="T679" s="96"/>
    </row>
    <row r="680" ht="15.75" customHeight="1" spans="5:20">
      <c r="E680" s="95"/>
      <c r="N680" s="96"/>
      <c r="O680" s="96"/>
      <c r="S680" s="96"/>
      <c r="T680" s="96"/>
    </row>
    <row r="681" ht="15.75" customHeight="1" spans="5:20">
      <c r="E681" s="95"/>
      <c r="N681" s="96"/>
      <c r="O681" s="96"/>
      <c r="S681" s="96"/>
      <c r="T681" s="96"/>
    </row>
    <row r="682" ht="15.75" customHeight="1" spans="5:20">
      <c r="E682" s="95"/>
      <c r="N682" s="96"/>
      <c r="O682" s="96"/>
      <c r="S682" s="96"/>
      <c r="T682" s="96"/>
    </row>
    <row r="683" ht="15.75" customHeight="1" spans="5:20">
      <c r="E683" s="95"/>
      <c r="N683" s="96"/>
      <c r="O683" s="96"/>
      <c r="S683" s="96"/>
      <c r="T683" s="96"/>
    </row>
    <row r="684" ht="15.75" customHeight="1" spans="5:20">
      <c r="E684" s="95"/>
      <c r="N684" s="96"/>
      <c r="O684" s="96"/>
      <c r="S684" s="96"/>
      <c r="T684" s="96"/>
    </row>
    <row r="685" ht="15.75" customHeight="1" spans="5:20">
      <c r="E685" s="95"/>
      <c r="N685" s="96"/>
      <c r="O685" s="96"/>
      <c r="S685" s="96"/>
      <c r="T685" s="96"/>
    </row>
    <row r="686" ht="15.75" customHeight="1" spans="5:20">
      <c r="E686" s="95"/>
      <c r="N686" s="96"/>
      <c r="O686" s="96"/>
      <c r="S686" s="96"/>
      <c r="T686" s="96"/>
    </row>
    <row r="687" ht="15.75" customHeight="1" spans="5:20">
      <c r="E687" s="95"/>
      <c r="N687" s="96"/>
      <c r="O687" s="96"/>
      <c r="S687" s="96"/>
      <c r="T687" s="96"/>
    </row>
    <row r="688" ht="15.75" customHeight="1" spans="5:20">
      <c r="E688" s="95"/>
      <c r="N688" s="96"/>
      <c r="O688" s="96"/>
      <c r="S688" s="96"/>
      <c r="T688" s="96"/>
    </row>
    <row r="689" ht="15.75" customHeight="1" spans="5:20">
      <c r="E689" s="95"/>
      <c r="N689" s="96"/>
      <c r="O689" s="96"/>
      <c r="S689" s="96"/>
      <c r="T689" s="96"/>
    </row>
    <row r="690" ht="15.75" customHeight="1" spans="5:20">
      <c r="E690" s="95"/>
      <c r="N690" s="96"/>
      <c r="O690" s="96"/>
      <c r="S690" s="96"/>
      <c r="T690" s="96"/>
    </row>
    <row r="691" ht="15.75" customHeight="1" spans="5:20">
      <c r="E691" s="95"/>
      <c r="N691" s="96"/>
      <c r="O691" s="96"/>
      <c r="S691" s="96"/>
      <c r="T691" s="96"/>
    </row>
    <row r="692" ht="15.75" customHeight="1" spans="5:20">
      <c r="E692" s="95"/>
      <c r="N692" s="96"/>
      <c r="O692" s="96"/>
      <c r="S692" s="96"/>
      <c r="T692" s="96"/>
    </row>
    <row r="693" ht="15.75" customHeight="1" spans="5:20">
      <c r="E693" s="95"/>
      <c r="N693" s="96"/>
      <c r="O693" s="96"/>
      <c r="S693" s="96"/>
      <c r="T693" s="96"/>
    </row>
    <row r="694" ht="15.75" customHeight="1" spans="5:20">
      <c r="E694" s="95"/>
      <c r="N694" s="96"/>
      <c r="O694" s="96"/>
      <c r="S694" s="96"/>
      <c r="T694" s="96"/>
    </row>
    <row r="695" ht="15.75" customHeight="1" spans="5:20">
      <c r="E695" s="95"/>
      <c r="N695" s="96"/>
      <c r="O695" s="96"/>
      <c r="S695" s="96"/>
      <c r="T695" s="96"/>
    </row>
    <row r="696" ht="15.75" customHeight="1" spans="5:20">
      <c r="E696" s="95"/>
      <c r="N696" s="96"/>
      <c r="O696" s="96"/>
      <c r="S696" s="96"/>
      <c r="T696" s="96"/>
    </row>
    <row r="697" ht="15.75" customHeight="1" spans="5:20">
      <c r="E697" s="95"/>
      <c r="N697" s="96"/>
      <c r="O697" s="96"/>
      <c r="S697" s="96"/>
      <c r="T697" s="96"/>
    </row>
    <row r="698" ht="15.75" customHeight="1" spans="5:20">
      <c r="E698" s="95"/>
      <c r="N698" s="96"/>
      <c r="O698" s="96"/>
      <c r="S698" s="96"/>
      <c r="T698" s="96"/>
    </row>
    <row r="699" ht="15.75" customHeight="1" spans="5:20">
      <c r="E699" s="95"/>
      <c r="N699" s="96"/>
      <c r="O699" s="96"/>
      <c r="S699" s="96"/>
      <c r="T699" s="96"/>
    </row>
    <row r="700" ht="15.75" customHeight="1" spans="5:20">
      <c r="E700" s="95"/>
      <c r="N700" s="96"/>
      <c r="O700" s="96"/>
      <c r="S700" s="96"/>
      <c r="T700" s="96"/>
    </row>
    <row r="701" ht="15.75" customHeight="1" spans="5:20">
      <c r="E701" s="95"/>
      <c r="N701" s="96"/>
      <c r="O701" s="96"/>
      <c r="S701" s="96"/>
      <c r="T701" s="96"/>
    </row>
    <row r="702" ht="15.75" customHeight="1" spans="5:20">
      <c r="E702" s="95"/>
      <c r="N702" s="96"/>
      <c r="O702" s="96"/>
      <c r="S702" s="96"/>
      <c r="T702" s="96"/>
    </row>
    <row r="703" ht="15.75" customHeight="1" spans="5:20">
      <c r="E703" s="95"/>
      <c r="N703" s="96"/>
      <c r="O703" s="96"/>
      <c r="S703" s="96"/>
      <c r="T703" s="96"/>
    </row>
    <row r="704" ht="15.75" customHeight="1" spans="5:20">
      <c r="E704" s="95"/>
      <c r="N704" s="96"/>
      <c r="O704" s="96"/>
      <c r="S704" s="96"/>
      <c r="T704" s="96"/>
    </row>
    <row r="705" ht="15.75" customHeight="1" spans="5:20">
      <c r="E705" s="95"/>
      <c r="N705" s="96"/>
      <c r="O705" s="96"/>
      <c r="S705" s="96"/>
      <c r="T705" s="96"/>
    </row>
    <row r="706" ht="15.75" customHeight="1" spans="5:20">
      <c r="E706" s="95"/>
      <c r="N706" s="96"/>
      <c r="O706" s="96"/>
      <c r="S706" s="96"/>
      <c r="T706" s="96"/>
    </row>
    <row r="707" ht="15.75" customHeight="1" spans="5:20">
      <c r="E707" s="95"/>
      <c r="N707" s="96"/>
      <c r="O707" s="96"/>
      <c r="S707" s="96"/>
      <c r="T707" s="96"/>
    </row>
    <row r="708" ht="15.75" customHeight="1" spans="5:20">
      <c r="E708" s="95"/>
      <c r="N708" s="96"/>
      <c r="O708" s="96"/>
      <c r="S708" s="96"/>
      <c r="T708" s="96"/>
    </row>
    <row r="709" ht="15.75" customHeight="1" spans="5:20">
      <c r="E709" s="95"/>
      <c r="N709" s="96"/>
      <c r="O709" s="96"/>
      <c r="S709" s="96"/>
      <c r="T709" s="96"/>
    </row>
    <row r="710" ht="15.75" customHeight="1" spans="5:20">
      <c r="E710" s="95"/>
      <c r="N710" s="96"/>
      <c r="O710" s="96"/>
      <c r="S710" s="96"/>
      <c r="T710" s="96"/>
    </row>
    <row r="711" ht="15.75" customHeight="1" spans="5:20">
      <c r="E711" s="95"/>
      <c r="N711" s="96"/>
      <c r="O711" s="96"/>
      <c r="S711" s="96"/>
      <c r="T711" s="96"/>
    </row>
    <row r="712" ht="15.75" customHeight="1" spans="5:20">
      <c r="E712" s="95"/>
      <c r="N712" s="96"/>
      <c r="O712" s="96"/>
      <c r="S712" s="96"/>
      <c r="T712" s="96"/>
    </row>
    <row r="713" ht="15.75" customHeight="1" spans="5:20">
      <c r="E713" s="95"/>
      <c r="N713" s="96"/>
      <c r="O713" s="96"/>
      <c r="S713" s="96"/>
      <c r="T713" s="96"/>
    </row>
    <row r="714" ht="15.75" customHeight="1" spans="5:20">
      <c r="E714" s="95"/>
      <c r="N714" s="96"/>
      <c r="O714" s="96"/>
      <c r="S714" s="96"/>
      <c r="T714" s="96"/>
    </row>
    <row r="715" ht="15.75" customHeight="1" spans="5:20">
      <c r="E715" s="95"/>
      <c r="N715" s="96"/>
      <c r="O715" s="96"/>
      <c r="S715" s="96"/>
      <c r="T715" s="96"/>
    </row>
    <row r="716" ht="15.75" customHeight="1" spans="5:20">
      <c r="E716" s="95"/>
      <c r="N716" s="96"/>
      <c r="O716" s="96"/>
      <c r="S716" s="96"/>
      <c r="T716" s="96"/>
    </row>
    <row r="717" ht="15.75" customHeight="1" spans="5:20">
      <c r="E717" s="95"/>
      <c r="N717" s="96"/>
      <c r="O717" s="96"/>
      <c r="S717" s="96"/>
      <c r="T717" s="96"/>
    </row>
    <row r="718" ht="15.75" customHeight="1" spans="5:20">
      <c r="E718" s="95"/>
      <c r="N718" s="96"/>
      <c r="O718" s="96"/>
      <c r="S718" s="96"/>
      <c r="T718" s="96"/>
    </row>
    <row r="719" ht="15.75" customHeight="1" spans="5:20">
      <c r="E719" s="95"/>
      <c r="N719" s="96"/>
      <c r="O719" s="96"/>
      <c r="S719" s="96"/>
      <c r="T719" s="96"/>
    </row>
    <row r="720" ht="15.75" customHeight="1" spans="5:20">
      <c r="E720" s="95"/>
      <c r="N720" s="96"/>
      <c r="O720" s="96"/>
      <c r="S720" s="96"/>
      <c r="T720" s="96"/>
    </row>
    <row r="721" ht="15.75" customHeight="1" spans="5:20">
      <c r="E721" s="95"/>
      <c r="N721" s="96"/>
      <c r="O721" s="96"/>
      <c r="S721" s="96"/>
      <c r="T721" s="96"/>
    </row>
    <row r="722" ht="15.75" customHeight="1" spans="5:20">
      <c r="E722" s="95"/>
      <c r="N722" s="96"/>
      <c r="O722" s="96"/>
      <c r="S722" s="96"/>
      <c r="T722" s="96"/>
    </row>
    <row r="723" ht="15.75" customHeight="1" spans="5:20">
      <c r="E723" s="95"/>
      <c r="N723" s="96"/>
      <c r="O723" s="96"/>
      <c r="S723" s="96"/>
      <c r="T723" s="96"/>
    </row>
    <row r="724" ht="15.75" customHeight="1" spans="5:20">
      <c r="E724" s="95"/>
      <c r="N724" s="96"/>
      <c r="O724" s="96"/>
      <c r="S724" s="96"/>
      <c r="T724" s="96"/>
    </row>
    <row r="725" ht="15.75" customHeight="1" spans="5:20">
      <c r="E725" s="95"/>
      <c r="N725" s="96"/>
      <c r="O725" s="96"/>
      <c r="S725" s="96"/>
      <c r="T725" s="96"/>
    </row>
    <row r="726" ht="15.75" customHeight="1" spans="5:20">
      <c r="E726" s="95"/>
      <c r="N726" s="96"/>
      <c r="O726" s="96"/>
      <c r="S726" s="96"/>
      <c r="T726" s="96"/>
    </row>
    <row r="727" ht="15.75" customHeight="1" spans="5:20">
      <c r="E727" s="95"/>
      <c r="N727" s="96"/>
      <c r="O727" s="96"/>
      <c r="S727" s="96"/>
      <c r="T727" s="96"/>
    </row>
    <row r="728" ht="15.75" customHeight="1" spans="5:20">
      <c r="E728" s="95"/>
      <c r="N728" s="96"/>
      <c r="O728" s="96"/>
      <c r="S728" s="96"/>
      <c r="T728" s="96"/>
    </row>
    <row r="729" ht="15.75" customHeight="1" spans="5:20">
      <c r="E729" s="95"/>
      <c r="N729" s="96"/>
      <c r="O729" s="96"/>
      <c r="S729" s="96"/>
      <c r="T729" s="96"/>
    </row>
    <row r="730" ht="15.75" customHeight="1" spans="5:20">
      <c r="E730" s="95"/>
      <c r="N730" s="96"/>
      <c r="O730" s="96"/>
      <c r="S730" s="96"/>
      <c r="T730" s="96"/>
    </row>
    <row r="731" ht="15.75" customHeight="1" spans="5:20">
      <c r="E731" s="95"/>
      <c r="N731" s="96"/>
      <c r="O731" s="96"/>
      <c r="S731" s="96"/>
      <c r="T731" s="96"/>
    </row>
    <row r="732" ht="15.75" customHeight="1" spans="5:20">
      <c r="E732" s="95"/>
      <c r="N732" s="96"/>
      <c r="O732" s="96"/>
      <c r="S732" s="96"/>
      <c r="T732" s="96"/>
    </row>
    <row r="733" ht="15.75" customHeight="1" spans="5:20">
      <c r="E733" s="95"/>
      <c r="N733" s="96"/>
      <c r="O733" s="96"/>
      <c r="S733" s="96"/>
      <c r="T733" s="96"/>
    </row>
    <row r="734" ht="15.75" customHeight="1" spans="5:20">
      <c r="E734" s="95"/>
      <c r="N734" s="96"/>
      <c r="O734" s="96"/>
      <c r="S734" s="96"/>
      <c r="T734" s="96"/>
    </row>
    <row r="735" ht="15.75" customHeight="1" spans="5:20">
      <c r="E735" s="95"/>
      <c r="N735" s="96"/>
      <c r="O735" s="96"/>
      <c r="S735" s="96"/>
      <c r="T735" s="96"/>
    </row>
    <row r="736" ht="15.75" customHeight="1" spans="5:20">
      <c r="E736" s="95"/>
      <c r="N736" s="96"/>
      <c r="O736" s="96"/>
      <c r="S736" s="96"/>
      <c r="T736" s="96"/>
    </row>
    <row r="737" ht="15.75" customHeight="1" spans="5:20">
      <c r="E737" s="95"/>
      <c r="N737" s="96"/>
      <c r="O737" s="96"/>
      <c r="S737" s="96"/>
      <c r="T737" s="96"/>
    </row>
    <row r="738" ht="15.75" customHeight="1" spans="5:20">
      <c r="E738" s="95"/>
      <c r="N738" s="96"/>
      <c r="O738" s="96"/>
      <c r="S738" s="96"/>
      <c r="T738" s="96"/>
    </row>
    <row r="739" ht="15.75" customHeight="1" spans="5:20">
      <c r="E739" s="95"/>
      <c r="N739" s="96"/>
      <c r="O739" s="96"/>
      <c r="S739" s="96"/>
      <c r="T739" s="96"/>
    </row>
    <row r="740" ht="15.75" customHeight="1" spans="5:20">
      <c r="E740" s="95"/>
      <c r="N740" s="96"/>
      <c r="O740" s="96"/>
      <c r="S740" s="96"/>
      <c r="T740" s="96"/>
    </row>
    <row r="741" ht="15.75" customHeight="1" spans="5:20">
      <c r="E741" s="95"/>
      <c r="N741" s="96"/>
      <c r="O741" s="96"/>
      <c r="S741" s="96"/>
      <c r="T741" s="96"/>
    </row>
    <row r="742" ht="15.75" customHeight="1" spans="5:20">
      <c r="E742" s="95"/>
      <c r="N742" s="96"/>
      <c r="O742" s="96"/>
      <c r="S742" s="96"/>
      <c r="T742" s="96"/>
    </row>
    <row r="743" ht="15.75" customHeight="1" spans="5:20">
      <c r="E743" s="95"/>
      <c r="N743" s="96"/>
      <c r="O743" s="96"/>
      <c r="S743" s="96"/>
      <c r="T743" s="96"/>
    </row>
    <row r="744" ht="15.75" customHeight="1" spans="5:20">
      <c r="E744" s="95"/>
      <c r="N744" s="96"/>
      <c r="O744" s="96"/>
      <c r="S744" s="96"/>
      <c r="T744" s="96"/>
    </row>
    <row r="745" ht="15.75" customHeight="1" spans="5:20">
      <c r="E745" s="95"/>
      <c r="N745" s="96"/>
      <c r="O745" s="96"/>
      <c r="S745" s="96"/>
      <c r="T745" s="96"/>
    </row>
    <row r="746" ht="15.75" customHeight="1" spans="5:20">
      <c r="E746" s="95"/>
      <c r="N746" s="96"/>
      <c r="O746" s="96"/>
      <c r="S746" s="96"/>
      <c r="T746" s="96"/>
    </row>
    <row r="747" ht="15.75" customHeight="1" spans="5:20">
      <c r="E747" s="95"/>
      <c r="N747" s="96"/>
      <c r="O747" s="96"/>
      <c r="S747" s="96"/>
      <c r="T747" s="96"/>
    </row>
    <row r="748" ht="15.75" customHeight="1" spans="5:20">
      <c r="E748" s="95"/>
      <c r="N748" s="96"/>
      <c r="O748" s="96"/>
      <c r="S748" s="96"/>
      <c r="T748" s="96"/>
    </row>
    <row r="749" ht="15.75" customHeight="1" spans="5:20">
      <c r="E749" s="95"/>
      <c r="N749" s="96"/>
      <c r="O749" s="96"/>
      <c r="S749" s="96"/>
      <c r="T749" s="96"/>
    </row>
    <row r="750" ht="15.75" customHeight="1" spans="5:20">
      <c r="E750" s="95"/>
      <c r="N750" s="96"/>
      <c r="O750" s="96"/>
      <c r="S750" s="96"/>
      <c r="T750" s="96"/>
    </row>
    <row r="751" ht="15.75" customHeight="1" spans="5:20">
      <c r="E751" s="95"/>
      <c r="N751" s="96"/>
      <c r="O751" s="96"/>
      <c r="S751" s="96"/>
      <c r="T751" s="96"/>
    </row>
    <row r="752" ht="15.75" customHeight="1" spans="5:20">
      <c r="E752" s="95"/>
      <c r="N752" s="96"/>
      <c r="O752" s="96"/>
      <c r="S752" s="96"/>
      <c r="T752" s="96"/>
    </row>
    <row r="753" ht="15.75" customHeight="1" spans="5:20">
      <c r="E753" s="95"/>
      <c r="N753" s="96"/>
      <c r="O753" s="96"/>
      <c r="S753" s="96"/>
      <c r="T753" s="96"/>
    </row>
    <row r="754" ht="15.75" customHeight="1" spans="5:20">
      <c r="E754" s="95"/>
      <c r="N754" s="96"/>
      <c r="O754" s="96"/>
      <c r="S754" s="96"/>
      <c r="T754" s="96"/>
    </row>
    <row r="755" ht="15.75" customHeight="1" spans="5:20">
      <c r="E755" s="95"/>
      <c r="N755" s="96"/>
      <c r="O755" s="96"/>
      <c r="S755" s="96"/>
      <c r="T755" s="96"/>
    </row>
    <row r="756" ht="15.75" customHeight="1" spans="5:20">
      <c r="E756" s="95"/>
      <c r="N756" s="96"/>
      <c r="O756" s="96"/>
      <c r="S756" s="96"/>
      <c r="T756" s="96"/>
    </row>
    <row r="757" ht="15.75" customHeight="1" spans="5:20">
      <c r="E757" s="95"/>
      <c r="N757" s="96"/>
      <c r="O757" s="96"/>
      <c r="S757" s="96"/>
      <c r="T757" s="96"/>
    </row>
    <row r="758" ht="15.75" customHeight="1" spans="5:20">
      <c r="E758" s="95"/>
      <c r="N758" s="96"/>
      <c r="O758" s="96"/>
      <c r="S758" s="96"/>
      <c r="T758" s="96"/>
    </row>
    <row r="759" ht="15.75" customHeight="1" spans="5:20">
      <c r="E759" s="95"/>
      <c r="N759" s="96"/>
      <c r="O759" s="96"/>
      <c r="S759" s="96"/>
      <c r="T759" s="96"/>
    </row>
    <row r="760" ht="15.75" customHeight="1" spans="5:20">
      <c r="E760" s="95"/>
      <c r="N760" s="96"/>
      <c r="O760" s="96"/>
      <c r="S760" s="96"/>
      <c r="T760" s="96"/>
    </row>
    <row r="761" ht="15.75" customHeight="1" spans="5:20">
      <c r="E761" s="95"/>
      <c r="N761" s="96"/>
      <c r="O761" s="96"/>
      <c r="S761" s="96"/>
      <c r="T761" s="96"/>
    </row>
    <row r="762" ht="15.75" customHeight="1" spans="5:20">
      <c r="E762" s="95"/>
      <c r="N762" s="96"/>
      <c r="O762" s="96"/>
      <c r="S762" s="96"/>
      <c r="T762" s="96"/>
    </row>
    <row r="763" ht="15.75" customHeight="1" spans="5:20">
      <c r="E763" s="95"/>
      <c r="N763" s="96"/>
      <c r="O763" s="96"/>
      <c r="S763" s="96"/>
      <c r="T763" s="96"/>
    </row>
    <row r="764" ht="15.75" customHeight="1" spans="5:20">
      <c r="E764" s="95"/>
      <c r="N764" s="96"/>
      <c r="O764" s="96"/>
      <c r="S764" s="96"/>
      <c r="T764" s="96"/>
    </row>
    <row r="765" ht="15.75" customHeight="1" spans="5:20">
      <c r="E765" s="95"/>
      <c r="N765" s="96"/>
      <c r="O765" s="96"/>
      <c r="S765" s="96"/>
      <c r="T765" s="96"/>
    </row>
    <row r="766" ht="15.75" customHeight="1" spans="5:20">
      <c r="E766" s="95"/>
      <c r="N766" s="96"/>
      <c r="O766" s="96"/>
      <c r="S766" s="96"/>
      <c r="T766" s="96"/>
    </row>
    <row r="767" ht="15.75" customHeight="1" spans="5:20">
      <c r="E767" s="95"/>
      <c r="N767" s="96"/>
      <c r="O767" s="96"/>
      <c r="S767" s="96"/>
      <c r="T767" s="96"/>
    </row>
    <row r="768" ht="15.75" customHeight="1" spans="5:20">
      <c r="E768" s="95"/>
      <c r="N768" s="96"/>
      <c r="O768" s="96"/>
      <c r="S768" s="96"/>
      <c r="T768" s="96"/>
    </row>
    <row r="769" ht="15.75" customHeight="1" spans="5:20">
      <c r="E769" s="95"/>
      <c r="N769" s="96"/>
      <c r="O769" s="96"/>
      <c r="S769" s="96"/>
      <c r="T769" s="96"/>
    </row>
    <row r="770" ht="15.75" customHeight="1" spans="5:20">
      <c r="E770" s="95"/>
      <c r="N770" s="96"/>
      <c r="O770" s="96"/>
      <c r="S770" s="96"/>
      <c r="T770" s="96"/>
    </row>
    <row r="771" ht="15.75" customHeight="1" spans="5:20">
      <c r="E771" s="95"/>
      <c r="N771" s="96"/>
      <c r="O771" s="96"/>
      <c r="S771" s="96"/>
      <c r="T771" s="96"/>
    </row>
    <row r="772" ht="15.75" customHeight="1" spans="5:20">
      <c r="E772" s="95"/>
      <c r="N772" s="96"/>
      <c r="O772" s="96"/>
      <c r="S772" s="96"/>
      <c r="T772" s="96"/>
    </row>
    <row r="773" ht="15.75" customHeight="1" spans="5:20">
      <c r="E773" s="95"/>
      <c r="N773" s="96"/>
      <c r="O773" s="96"/>
      <c r="S773" s="96"/>
      <c r="T773" s="96"/>
    </row>
    <row r="774" ht="15.75" customHeight="1" spans="5:20">
      <c r="E774" s="95"/>
      <c r="N774" s="96"/>
      <c r="O774" s="96"/>
      <c r="S774" s="96"/>
      <c r="T774" s="96"/>
    </row>
    <row r="775" ht="15.75" customHeight="1" spans="5:20">
      <c r="E775" s="95"/>
      <c r="N775" s="96"/>
      <c r="O775" s="96"/>
      <c r="S775" s="96"/>
      <c r="T775" s="96"/>
    </row>
    <row r="776" ht="15.75" customHeight="1" spans="5:20">
      <c r="E776" s="95"/>
      <c r="N776" s="96"/>
      <c r="O776" s="96"/>
      <c r="S776" s="96"/>
      <c r="T776" s="96"/>
    </row>
    <row r="777" ht="15.75" customHeight="1" spans="5:20">
      <c r="E777" s="95"/>
      <c r="N777" s="96"/>
      <c r="O777" s="96"/>
      <c r="S777" s="96"/>
      <c r="T777" s="96"/>
    </row>
    <row r="778" ht="15.75" customHeight="1" spans="5:20">
      <c r="E778" s="95"/>
      <c r="N778" s="96"/>
      <c r="O778" s="96"/>
      <c r="S778" s="96"/>
      <c r="T778" s="96"/>
    </row>
    <row r="779" ht="15.75" customHeight="1" spans="5:20">
      <c r="E779" s="95"/>
      <c r="N779" s="96"/>
      <c r="O779" s="96"/>
      <c r="S779" s="96"/>
      <c r="T779" s="96"/>
    </row>
    <row r="780" ht="15.75" customHeight="1" spans="5:20">
      <c r="E780" s="95"/>
      <c r="N780" s="96"/>
      <c r="O780" s="96"/>
      <c r="S780" s="96"/>
      <c r="T780" s="96"/>
    </row>
    <row r="781" ht="15.75" customHeight="1" spans="5:20">
      <c r="E781" s="95"/>
      <c r="N781" s="96"/>
      <c r="O781" s="96"/>
      <c r="S781" s="96"/>
      <c r="T781" s="96"/>
    </row>
    <row r="782" ht="15.75" customHeight="1" spans="5:20">
      <c r="E782" s="95"/>
      <c r="N782" s="96"/>
      <c r="O782" s="96"/>
      <c r="S782" s="96"/>
      <c r="T782" s="96"/>
    </row>
    <row r="783" ht="15.75" customHeight="1" spans="5:20">
      <c r="E783" s="95"/>
      <c r="N783" s="96"/>
      <c r="O783" s="96"/>
      <c r="S783" s="96"/>
      <c r="T783" s="96"/>
    </row>
    <row r="784" ht="15.75" customHeight="1" spans="5:20">
      <c r="E784" s="95"/>
      <c r="N784" s="96"/>
      <c r="O784" s="96"/>
      <c r="S784" s="96"/>
      <c r="T784" s="96"/>
    </row>
    <row r="785" ht="15.75" customHeight="1" spans="5:20">
      <c r="E785" s="95"/>
      <c r="N785" s="96"/>
      <c r="O785" s="96"/>
      <c r="S785" s="96"/>
      <c r="T785" s="96"/>
    </row>
    <row r="786" ht="15.75" customHeight="1" spans="5:20">
      <c r="E786" s="95"/>
      <c r="N786" s="96"/>
      <c r="O786" s="96"/>
      <c r="S786" s="96"/>
      <c r="T786" s="96"/>
    </row>
    <row r="787" ht="15.75" customHeight="1" spans="5:20">
      <c r="E787" s="95"/>
      <c r="N787" s="96"/>
      <c r="O787" s="96"/>
      <c r="S787" s="96"/>
      <c r="T787" s="96"/>
    </row>
    <row r="788" ht="15.75" customHeight="1" spans="5:20">
      <c r="E788" s="95"/>
      <c r="N788" s="96"/>
      <c r="O788" s="96"/>
      <c r="S788" s="96"/>
      <c r="T788" s="96"/>
    </row>
    <row r="789" ht="15.75" customHeight="1" spans="5:20">
      <c r="E789" s="95"/>
      <c r="N789" s="96"/>
      <c r="O789" s="96"/>
      <c r="S789" s="96"/>
      <c r="T789" s="96"/>
    </row>
    <row r="790" ht="15.75" customHeight="1" spans="5:20">
      <c r="E790" s="95"/>
      <c r="N790" s="96"/>
      <c r="O790" s="96"/>
      <c r="S790" s="96"/>
      <c r="T790" s="96"/>
    </row>
    <row r="791" ht="15.75" customHeight="1" spans="5:20">
      <c r="E791" s="95"/>
      <c r="N791" s="96"/>
      <c r="O791" s="96"/>
      <c r="S791" s="96"/>
      <c r="T791" s="96"/>
    </row>
    <row r="792" ht="15.75" customHeight="1" spans="5:20">
      <c r="E792" s="95"/>
      <c r="N792" s="96"/>
      <c r="O792" s="96"/>
      <c r="S792" s="96"/>
      <c r="T792" s="96"/>
    </row>
    <row r="793" ht="15.75" customHeight="1" spans="5:20">
      <c r="E793" s="95"/>
      <c r="N793" s="96"/>
      <c r="O793" s="96"/>
      <c r="S793" s="96"/>
      <c r="T793" s="96"/>
    </row>
    <row r="794" ht="15.75" customHeight="1" spans="5:20">
      <c r="E794" s="95"/>
      <c r="N794" s="96"/>
      <c r="O794" s="96"/>
      <c r="S794" s="96"/>
      <c r="T794" s="96"/>
    </row>
    <row r="795" ht="15.75" customHeight="1" spans="5:20">
      <c r="E795" s="95"/>
      <c r="N795" s="96"/>
      <c r="O795" s="96"/>
      <c r="S795" s="96"/>
      <c r="T795" s="96"/>
    </row>
    <row r="796" ht="15.75" customHeight="1" spans="5:20">
      <c r="E796" s="95"/>
      <c r="N796" s="96"/>
      <c r="O796" s="96"/>
      <c r="S796" s="96"/>
      <c r="T796" s="96"/>
    </row>
    <row r="797" ht="15.75" customHeight="1" spans="5:20">
      <c r="E797" s="95"/>
      <c r="N797" s="96"/>
      <c r="O797" s="96"/>
      <c r="S797" s="96"/>
      <c r="T797" s="96"/>
    </row>
    <row r="798" ht="15.75" customHeight="1" spans="5:20">
      <c r="E798" s="95"/>
      <c r="N798" s="96"/>
      <c r="O798" s="96"/>
      <c r="S798" s="96"/>
      <c r="T798" s="96"/>
    </row>
    <row r="799" ht="15.75" customHeight="1" spans="5:20">
      <c r="E799" s="95"/>
      <c r="N799" s="96"/>
      <c r="O799" s="96"/>
      <c r="S799" s="96"/>
      <c r="T799" s="96"/>
    </row>
    <row r="800" ht="15.75" customHeight="1" spans="5:20">
      <c r="E800" s="95"/>
      <c r="N800" s="96"/>
      <c r="O800" s="96"/>
      <c r="S800" s="96"/>
      <c r="T800" s="96"/>
    </row>
    <row r="801" ht="15.75" customHeight="1" spans="5:20">
      <c r="E801" s="95"/>
      <c r="N801" s="96"/>
      <c r="O801" s="96"/>
      <c r="S801" s="96"/>
      <c r="T801" s="96"/>
    </row>
    <row r="802" ht="15.75" customHeight="1" spans="5:20">
      <c r="E802" s="95"/>
      <c r="N802" s="96"/>
      <c r="O802" s="96"/>
      <c r="S802" s="96"/>
      <c r="T802" s="96"/>
    </row>
    <row r="803" ht="15.75" customHeight="1" spans="5:20">
      <c r="E803" s="95"/>
      <c r="N803" s="96"/>
      <c r="O803" s="96"/>
      <c r="S803" s="96"/>
      <c r="T803" s="96"/>
    </row>
    <row r="804" ht="15.75" customHeight="1" spans="5:20">
      <c r="E804" s="95"/>
      <c r="N804" s="96"/>
      <c r="O804" s="96"/>
      <c r="S804" s="96"/>
      <c r="T804" s="96"/>
    </row>
    <row r="805" ht="15.75" customHeight="1" spans="5:20">
      <c r="E805" s="95"/>
      <c r="N805" s="96"/>
      <c r="O805" s="96"/>
      <c r="S805" s="96"/>
      <c r="T805" s="96"/>
    </row>
    <row r="806" ht="15.75" customHeight="1" spans="5:20">
      <c r="E806" s="95"/>
      <c r="N806" s="96"/>
      <c r="O806" s="96"/>
      <c r="S806" s="96"/>
      <c r="T806" s="96"/>
    </row>
    <row r="807" ht="15.75" customHeight="1" spans="5:20">
      <c r="E807" s="95"/>
      <c r="N807" s="96"/>
      <c r="O807" s="96"/>
      <c r="S807" s="96"/>
      <c r="T807" s="96"/>
    </row>
    <row r="808" ht="15.75" customHeight="1" spans="5:20">
      <c r="E808" s="95"/>
      <c r="N808" s="96"/>
      <c r="O808" s="96"/>
      <c r="S808" s="96"/>
      <c r="T808" s="96"/>
    </row>
    <row r="809" ht="15.75" customHeight="1" spans="5:20">
      <c r="E809" s="95"/>
      <c r="N809" s="96"/>
      <c r="O809" s="96"/>
      <c r="S809" s="96"/>
      <c r="T809" s="96"/>
    </row>
    <row r="810" ht="15.75" customHeight="1" spans="5:20">
      <c r="E810" s="95"/>
      <c r="N810" s="96"/>
      <c r="O810" s="96"/>
      <c r="S810" s="96"/>
      <c r="T810" s="96"/>
    </row>
    <row r="811" ht="15.75" customHeight="1" spans="5:20">
      <c r="E811" s="95"/>
      <c r="N811" s="96"/>
      <c r="O811" s="96"/>
      <c r="S811" s="96"/>
      <c r="T811" s="96"/>
    </row>
    <row r="812" ht="15.75" customHeight="1" spans="5:20">
      <c r="E812" s="95"/>
      <c r="N812" s="96"/>
      <c r="O812" s="96"/>
      <c r="S812" s="96"/>
      <c r="T812" s="96"/>
    </row>
    <row r="813" ht="15.75" customHeight="1" spans="5:20">
      <c r="E813" s="95"/>
      <c r="N813" s="96"/>
      <c r="O813" s="96"/>
      <c r="S813" s="96"/>
      <c r="T813" s="96"/>
    </row>
    <row r="814" ht="15.75" customHeight="1" spans="5:20">
      <c r="E814" s="95"/>
      <c r="N814" s="96"/>
      <c r="O814" s="96"/>
      <c r="S814" s="96"/>
      <c r="T814" s="96"/>
    </row>
    <row r="815" ht="15.75" customHeight="1" spans="5:20">
      <c r="E815" s="95"/>
      <c r="N815" s="96"/>
      <c r="O815" s="96"/>
      <c r="S815" s="96"/>
      <c r="T815" s="96"/>
    </row>
    <row r="816" ht="15.75" customHeight="1" spans="5:20">
      <c r="E816" s="95"/>
      <c r="N816" s="96"/>
      <c r="O816" s="96"/>
      <c r="S816" s="96"/>
      <c r="T816" s="96"/>
    </row>
    <row r="817" ht="15.75" customHeight="1" spans="5:20">
      <c r="E817" s="95"/>
      <c r="N817" s="96"/>
      <c r="O817" s="96"/>
      <c r="S817" s="96"/>
      <c r="T817" s="96"/>
    </row>
    <row r="818" ht="15.75" customHeight="1" spans="5:20">
      <c r="E818" s="95"/>
      <c r="N818" s="96"/>
      <c r="O818" s="96"/>
      <c r="S818" s="96"/>
      <c r="T818" s="96"/>
    </row>
    <row r="819" ht="15.75" customHeight="1" spans="5:20">
      <c r="E819" s="95"/>
      <c r="N819" s="96"/>
      <c r="O819" s="96"/>
      <c r="S819" s="96"/>
      <c r="T819" s="96"/>
    </row>
    <row r="820" ht="15.75" customHeight="1" spans="5:20">
      <c r="E820" s="95"/>
      <c r="N820" s="96"/>
      <c r="O820" s="96"/>
      <c r="S820" s="96"/>
      <c r="T820" s="96"/>
    </row>
    <row r="821" ht="15.75" customHeight="1" spans="5:20">
      <c r="E821" s="95"/>
      <c r="N821" s="96"/>
      <c r="O821" s="96"/>
      <c r="S821" s="96"/>
      <c r="T821" s="96"/>
    </row>
    <row r="822" ht="15.75" customHeight="1" spans="5:20">
      <c r="E822" s="95"/>
      <c r="N822" s="96"/>
      <c r="O822" s="96"/>
      <c r="S822" s="96"/>
      <c r="T822" s="96"/>
    </row>
    <row r="823" ht="15.75" customHeight="1" spans="5:20">
      <c r="E823" s="95"/>
      <c r="N823" s="96"/>
      <c r="O823" s="96"/>
      <c r="S823" s="96"/>
      <c r="T823" s="96"/>
    </row>
    <row r="824" ht="15.75" customHeight="1" spans="5:20">
      <c r="E824" s="95"/>
      <c r="N824" s="96"/>
      <c r="O824" s="96"/>
      <c r="S824" s="96"/>
      <c r="T824" s="96"/>
    </row>
    <row r="825" ht="15.75" customHeight="1" spans="5:20">
      <c r="E825" s="95"/>
      <c r="N825" s="96"/>
      <c r="O825" s="96"/>
      <c r="S825" s="96"/>
      <c r="T825" s="96"/>
    </row>
    <row r="826" ht="15.75" customHeight="1" spans="5:20">
      <c r="E826" s="95"/>
      <c r="N826" s="96"/>
      <c r="O826" s="96"/>
      <c r="S826" s="96"/>
      <c r="T826" s="96"/>
    </row>
    <row r="827" ht="15.75" customHeight="1" spans="5:20">
      <c r="E827" s="95"/>
      <c r="N827" s="96"/>
      <c r="O827" s="96"/>
      <c r="S827" s="96"/>
      <c r="T827" s="96"/>
    </row>
    <row r="828" ht="15.75" customHeight="1" spans="5:20">
      <c r="E828" s="95"/>
      <c r="N828" s="96"/>
      <c r="O828" s="96"/>
      <c r="S828" s="96"/>
      <c r="T828" s="96"/>
    </row>
    <row r="829" ht="15.75" customHeight="1" spans="5:20">
      <c r="E829" s="95"/>
      <c r="N829" s="96"/>
      <c r="O829" s="96"/>
      <c r="S829" s="96"/>
      <c r="T829" s="96"/>
    </row>
    <row r="830" ht="15.75" customHeight="1" spans="5:20">
      <c r="E830" s="95"/>
      <c r="N830" s="96"/>
      <c r="O830" s="96"/>
      <c r="S830" s="96"/>
      <c r="T830" s="96"/>
    </row>
    <row r="831" ht="15.75" customHeight="1" spans="5:20">
      <c r="E831" s="95"/>
      <c r="N831" s="96"/>
      <c r="O831" s="96"/>
      <c r="S831" s="96"/>
      <c r="T831" s="96"/>
    </row>
    <row r="832" ht="15.75" customHeight="1" spans="5:20">
      <c r="E832" s="95"/>
      <c r="N832" s="96"/>
      <c r="O832" s="96"/>
      <c r="S832" s="96"/>
      <c r="T832" s="96"/>
    </row>
    <row r="833" ht="15.75" customHeight="1" spans="5:20">
      <c r="E833" s="95"/>
      <c r="N833" s="96"/>
      <c r="O833" s="96"/>
      <c r="S833" s="96"/>
      <c r="T833" s="96"/>
    </row>
    <row r="834" ht="15.75" customHeight="1" spans="5:20">
      <c r="E834" s="95"/>
      <c r="N834" s="96"/>
      <c r="O834" s="96"/>
      <c r="S834" s="96"/>
      <c r="T834" s="96"/>
    </row>
    <row r="835" ht="15.75" customHeight="1" spans="5:20">
      <c r="E835" s="95"/>
      <c r="N835" s="96"/>
      <c r="O835" s="96"/>
      <c r="S835" s="96"/>
      <c r="T835" s="96"/>
    </row>
    <row r="836" ht="15.75" customHeight="1" spans="5:20">
      <c r="E836" s="95"/>
      <c r="N836" s="96"/>
      <c r="O836" s="96"/>
      <c r="S836" s="96"/>
      <c r="T836" s="96"/>
    </row>
    <row r="837" ht="15.75" customHeight="1" spans="5:20">
      <c r="E837" s="95"/>
      <c r="N837" s="96"/>
      <c r="O837" s="96"/>
      <c r="S837" s="96"/>
      <c r="T837" s="96"/>
    </row>
    <row r="838" ht="15.75" customHeight="1" spans="5:20">
      <c r="E838" s="95"/>
      <c r="N838" s="96"/>
      <c r="O838" s="96"/>
      <c r="S838" s="96"/>
      <c r="T838" s="96"/>
    </row>
    <row r="839" ht="15.75" customHeight="1" spans="5:20">
      <c r="E839" s="95"/>
      <c r="N839" s="96"/>
      <c r="O839" s="96"/>
      <c r="S839" s="96"/>
      <c r="T839" s="96"/>
    </row>
    <row r="840" ht="15.75" customHeight="1" spans="5:20">
      <c r="E840" s="95"/>
      <c r="N840" s="96"/>
      <c r="O840" s="96"/>
      <c r="S840" s="96"/>
      <c r="T840" s="96"/>
    </row>
    <row r="841" ht="15.75" customHeight="1" spans="5:20">
      <c r="E841" s="95"/>
      <c r="N841" s="96"/>
      <c r="O841" s="96"/>
      <c r="S841" s="96"/>
      <c r="T841" s="96"/>
    </row>
    <row r="842" ht="15.75" customHeight="1" spans="5:20">
      <c r="E842" s="95"/>
      <c r="N842" s="96"/>
      <c r="O842" s="96"/>
      <c r="S842" s="96"/>
      <c r="T842" s="96"/>
    </row>
    <row r="843" ht="15.75" customHeight="1" spans="5:20">
      <c r="E843" s="95"/>
      <c r="N843" s="96"/>
      <c r="O843" s="96"/>
      <c r="S843" s="96"/>
      <c r="T843" s="96"/>
    </row>
    <row r="844" ht="15.75" customHeight="1" spans="5:20">
      <c r="E844" s="95"/>
      <c r="N844" s="96"/>
      <c r="O844" s="96"/>
      <c r="S844" s="96"/>
      <c r="T844" s="96"/>
    </row>
    <row r="845" ht="15.75" customHeight="1" spans="5:20">
      <c r="E845" s="95"/>
      <c r="N845" s="96"/>
      <c r="O845" s="96"/>
      <c r="S845" s="96"/>
      <c r="T845" s="96"/>
    </row>
    <row r="846" ht="15.75" customHeight="1" spans="5:20">
      <c r="E846" s="95"/>
      <c r="N846" s="96"/>
      <c r="O846" s="96"/>
      <c r="S846" s="96"/>
      <c r="T846" s="96"/>
    </row>
    <row r="847" ht="15.75" customHeight="1" spans="5:20">
      <c r="E847" s="95"/>
      <c r="N847" s="96"/>
      <c r="O847" s="96"/>
      <c r="S847" s="96"/>
      <c r="T847" s="96"/>
    </row>
    <row r="848" ht="15.75" customHeight="1" spans="5:20">
      <c r="E848" s="95"/>
      <c r="N848" s="96"/>
      <c r="O848" s="96"/>
      <c r="S848" s="96"/>
      <c r="T848" s="96"/>
    </row>
    <row r="849" ht="15.75" customHeight="1" spans="5:20">
      <c r="E849" s="95"/>
      <c r="N849" s="96"/>
      <c r="O849" s="96"/>
      <c r="S849" s="96"/>
      <c r="T849" s="96"/>
    </row>
    <row r="850" ht="15.75" customHeight="1" spans="5:20">
      <c r="E850" s="95"/>
      <c r="N850" s="96"/>
      <c r="O850" s="96"/>
      <c r="S850" s="96"/>
      <c r="T850" s="96"/>
    </row>
    <row r="851" ht="15.75" customHeight="1" spans="5:20">
      <c r="E851" s="95"/>
      <c r="N851" s="96"/>
      <c r="O851" s="96"/>
      <c r="S851" s="96"/>
      <c r="T851" s="96"/>
    </row>
    <row r="852" ht="15.75" customHeight="1" spans="5:20">
      <c r="E852" s="95"/>
      <c r="N852" s="96"/>
      <c r="O852" s="96"/>
      <c r="S852" s="96"/>
      <c r="T852" s="96"/>
    </row>
    <row r="853" ht="15.75" customHeight="1" spans="5:20">
      <c r="E853" s="95"/>
      <c r="N853" s="96"/>
      <c r="O853" s="96"/>
      <c r="S853" s="96"/>
      <c r="T853" s="96"/>
    </row>
    <row r="854" ht="15.75" customHeight="1" spans="5:20">
      <c r="E854" s="95"/>
      <c r="N854" s="96"/>
      <c r="O854" s="96"/>
      <c r="S854" s="96"/>
      <c r="T854" s="96"/>
    </row>
    <row r="855" ht="15.75" customHeight="1" spans="5:20">
      <c r="E855" s="95"/>
      <c r="N855" s="96"/>
      <c r="O855" s="96"/>
      <c r="S855" s="96"/>
      <c r="T855" s="96"/>
    </row>
    <row r="856" ht="15.75" customHeight="1" spans="5:20">
      <c r="E856" s="95"/>
      <c r="N856" s="96"/>
      <c r="O856" s="96"/>
      <c r="S856" s="96"/>
      <c r="T856" s="96"/>
    </row>
    <row r="857" ht="15.75" customHeight="1" spans="5:20">
      <c r="E857" s="95"/>
      <c r="N857" s="96"/>
      <c r="O857" s="96"/>
      <c r="S857" s="96"/>
      <c r="T857" s="96"/>
    </row>
    <row r="858" ht="15.75" customHeight="1" spans="5:20">
      <c r="E858" s="95"/>
      <c r="N858" s="96"/>
      <c r="O858" s="96"/>
      <c r="S858" s="96"/>
      <c r="T858" s="96"/>
    </row>
    <row r="859" ht="15.75" customHeight="1" spans="5:20">
      <c r="E859" s="95"/>
      <c r="N859" s="96"/>
      <c r="O859" s="96"/>
      <c r="S859" s="96"/>
      <c r="T859" s="96"/>
    </row>
    <row r="860" ht="15.75" customHeight="1" spans="5:20">
      <c r="E860" s="95"/>
      <c r="N860" s="96"/>
      <c r="O860" s="96"/>
      <c r="S860" s="96"/>
      <c r="T860" s="96"/>
    </row>
    <row r="861" ht="15.75" customHeight="1" spans="5:20">
      <c r="E861" s="95"/>
      <c r="N861" s="96"/>
      <c r="O861" s="96"/>
      <c r="S861" s="96"/>
      <c r="T861" s="96"/>
    </row>
    <row r="862" ht="15.75" customHeight="1" spans="5:20">
      <c r="E862" s="95"/>
      <c r="N862" s="96"/>
      <c r="O862" s="96"/>
      <c r="S862" s="96"/>
      <c r="T862" s="96"/>
    </row>
    <row r="863" ht="15.75" customHeight="1" spans="5:20">
      <c r="E863" s="95"/>
      <c r="N863" s="96"/>
      <c r="O863" s="96"/>
      <c r="S863" s="96"/>
      <c r="T863" s="96"/>
    </row>
    <row r="864" ht="15.75" customHeight="1" spans="5:20">
      <c r="E864" s="95"/>
      <c r="N864" s="96"/>
      <c r="O864" s="96"/>
      <c r="S864" s="96"/>
      <c r="T864" s="96"/>
    </row>
    <row r="865" ht="15.75" customHeight="1" spans="5:20">
      <c r="E865" s="95"/>
      <c r="N865" s="96"/>
      <c r="O865" s="96"/>
      <c r="S865" s="96"/>
      <c r="T865" s="96"/>
    </row>
    <row r="866" ht="15.75" customHeight="1" spans="5:20">
      <c r="E866" s="95"/>
      <c r="N866" s="96"/>
      <c r="O866" s="96"/>
      <c r="S866" s="96"/>
      <c r="T866" s="96"/>
    </row>
    <row r="867" ht="15.75" customHeight="1" spans="5:20">
      <c r="E867" s="95"/>
      <c r="N867" s="96"/>
      <c r="O867" s="96"/>
      <c r="S867" s="96"/>
      <c r="T867" s="96"/>
    </row>
    <row r="868" ht="15.75" customHeight="1" spans="5:20">
      <c r="E868" s="95"/>
      <c r="N868" s="96"/>
      <c r="O868" s="96"/>
      <c r="S868" s="96"/>
      <c r="T868" s="96"/>
    </row>
    <row r="869" ht="15.75" customHeight="1" spans="5:20">
      <c r="E869" s="95"/>
      <c r="N869" s="96"/>
      <c r="O869" s="96"/>
      <c r="S869" s="96"/>
      <c r="T869" s="96"/>
    </row>
    <row r="870" ht="15.75" customHeight="1" spans="5:20">
      <c r="E870" s="95"/>
      <c r="N870" s="96"/>
      <c r="O870" s="96"/>
      <c r="S870" s="96"/>
      <c r="T870" s="96"/>
    </row>
    <row r="871" ht="15.75" customHeight="1" spans="5:20">
      <c r="E871" s="95"/>
      <c r="N871" s="96"/>
      <c r="O871" s="96"/>
      <c r="S871" s="96"/>
      <c r="T871" s="96"/>
    </row>
    <row r="872" ht="15.75" customHeight="1" spans="5:20">
      <c r="E872" s="95"/>
      <c r="N872" s="96"/>
      <c r="O872" s="96"/>
      <c r="S872" s="96"/>
      <c r="T872" s="96"/>
    </row>
    <row r="873" ht="15.75" customHeight="1" spans="5:20">
      <c r="E873" s="95"/>
      <c r="N873" s="96"/>
      <c r="O873" s="96"/>
      <c r="S873" s="96"/>
      <c r="T873" s="96"/>
    </row>
    <row r="874" ht="15.75" customHeight="1" spans="5:20">
      <c r="E874" s="95"/>
      <c r="N874" s="96"/>
      <c r="O874" s="96"/>
      <c r="S874" s="96"/>
      <c r="T874" s="96"/>
    </row>
    <row r="875" ht="15.75" customHeight="1" spans="5:20">
      <c r="E875" s="95"/>
      <c r="N875" s="96"/>
      <c r="O875" s="96"/>
      <c r="S875" s="96"/>
      <c r="T875" s="96"/>
    </row>
    <row r="876" ht="15.75" customHeight="1" spans="5:20">
      <c r="E876" s="95"/>
      <c r="N876" s="96"/>
      <c r="O876" s="96"/>
      <c r="S876" s="96"/>
      <c r="T876" s="96"/>
    </row>
    <row r="877" ht="15.75" customHeight="1" spans="5:20">
      <c r="E877" s="95"/>
      <c r="N877" s="96"/>
      <c r="O877" s="96"/>
      <c r="S877" s="96"/>
      <c r="T877" s="96"/>
    </row>
    <row r="878" ht="15.75" customHeight="1" spans="5:20">
      <c r="E878" s="95"/>
      <c r="N878" s="96"/>
      <c r="O878" s="96"/>
      <c r="S878" s="96"/>
      <c r="T878" s="96"/>
    </row>
    <row r="879" ht="15.75" customHeight="1" spans="5:20">
      <c r="E879" s="95"/>
      <c r="N879" s="96"/>
      <c r="O879" s="96"/>
      <c r="S879" s="96"/>
      <c r="T879" s="96"/>
    </row>
    <row r="880" ht="15.75" customHeight="1" spans="5:20">
      <c r="E880" s="95"/>
      <c r="N880" s="96"/>
      <c r="O880" s="96"/>
      <c r="S880" s="96"/>
      <c r="T880" s="96"/>
    </row>
    <row r="881" ht="15.75" customHeight="1" spans="5:20">
      <c r="E881" s="95"/>
      <c r="N881" s="96"/>
      <c r="O881" s="96"/>
      <c r="S881" s="96"/>
      <c r="T881" s="96"/>
    </row>
    <row r="882" ht="15.75" customHeight="1" spans="5:20">
      <c r="E882" s="95"/>
      <c r="N882" s="96"/>
      <c r="O882" s="96"/>
      <c r="S882" s="96"/>
      <c r="T882" s="96"/>
    </row>
    <row r="883" ht="15.75" customHeight="1" spans="5:20">
      <c r="E883" s="95"/>
      <c r="N883" s="96"/>
      <c r="O883" s="96"/>
      <c r="S883" s="96"/>
      <c r="T883" s="96"/>
    </row>
    <row r="884" ht="15.75" customHeight="1" spans="5:20">
      <c r="E884" s="95"/>
      <c r="N884" s="96"/>
      <c r="O884" s="96"/>
      <c r="S884" s="96"/>
      <c r="T884" s="96"/>
    </row>
    <row r="885" ht="15.75" customHeight="1" spans="5:20">
      <c r="E885" s="95"/>
      <c r="N885" s="96"/>
      <c r="O885" s="96"/>
      <c r="S885" s="96"/>
      <c r="T885" s="96"/>
    </row>
    <row r="886" ht="15.75" customHeight="1" spans="5:20">
      <c r="E886" s="95"/>
      <c r="N886" s="96"/>
      <c r="O886" s="96"/>
      <c r="S886" s="96"/>
      <c r="T886" s="96"/>
    </row>
    <row r="887" ht="15.75" customHeight="1" spans="5:20">
      <c r="E887" s="95"/>
      <c r="N887" s="96"/>
      <c r="O887" s="96"/>
      <c r="S887" s="96"/>
      <c r="T887" s="96"/>
    </row>
    <row r="888" ht="15.75" customHeight="1" spans="5:20">
      <c r="E888" s="95"/>
      <c r="N888" s="96"/>
      <c r="O888" s="96"/>
      <c r="S888" s="96"/>
      <c r="T888" s="96"/>
    </row>
    <row r="889" ht="15.75" customHeight="1" spans="5:20">
      <c r="E889" s="95"/>
      <c r="N889" s="96"/>
      <c r="O889" s="96"/>
      <c r="S889" s="96"/>
      <c r="T889" s="96"/>
    </row>
    <row r="890" ht="15.75" customHeight="1" spans="5:20">
      <c r="E890" s="95"/>
      <c r="N890" s="96"/>
      <c r="O890" s="96"/>
      <c r="S890" s="96"/>
      <c r="T890" s="96"/>
    </row>
    <row r="891" ht="15.75" customHeight="1" spans="5:20">
      <c r="E891" s="95"/>
      <c r="N891" s="96"/>
      <c r="O891" s="96"/>
      <c r="S891" s="96"/>
      <c r="T891" s="96"/>
    </row>
    <row r="892" ht="15.75" customHeight="1" spans="5:20">
      <c r="E892" s="95"/>
      <c r="N892" s="96"/>
      <c r="O892" s="96"/>
      <c r="S892" s="96"/>
      <c r="T892" s="96"/>
    </row>
    <row r="893" ht="15.75" customHeight="1" spans="5:20">
      <c r="E893" s="95"/>
      <c r="N893" s="96"/>
      <c r="O893" s="96"/>
      <c r="S893" s="96"/>
      <c r="T893" s="96"/>
    </row>
    <row r="894" ht="15.75" customHeight="1" spans="5:20">
      <c r="E894" s="95"/>
      <c r="N894" s="96"/>
      <c r="O894" s="96"/>
      <c r="S894" s="96"/>
      <c r="T894" s="96"/>
    </row>
    <row r="895" ht="15.75" customHeight="1" spans="5:20">
      <c r="E895" s="95"/>
      <c r="N895" s="96"/>
      <c r="O895" s="96"/>
      <c r="S895" s="96"/>
      <c r="T895" s="96"/>
    </row>
    <row r="896" ht="15.75" customHeight="1" spans="5:20">
      <c r="E896" s="95"/>
      <c r="N896" s="96"/>
      <c r="O896" s="96"/>
      <c r="S896" s="96"/>
      <c r="T896" s="96"/>
    </row>
    <row r="897" ht="15.75" customHeight="1" spans="5:20">
      <c r="E897" s="95"/>
      <c r="N897" s="96"/>
      <c r="O897" s="96"/>
      <c r="S897" s="96"/>
      <c r="T897" s="96"/>
    </row>
    <row r="898" ht="15.75" customHeight="1" spans="5:20">
      <c r="E898" s="95"/>
      <c r="N898" s="96"/>
      <c r="O898" s="96"/>
      <c r="S898" s="96"/>
      <c r="T898" s="96"/>
    </row>
    <row r="899" ht="15.75" customHeight="1" spans="5:20">
      <c r="E899" s="95"/>
      <c r="N899" s="96"/>
      <c r="O899" s="96"/>
      <c r="S899" s="96"/>
      <c r="T899" s="96"/>
    </row>
    <row r="900" ht="15.75" customHeight="1" spans="5:20">
      <c r="E900" s="95"/>
      <c r="N900" s="96"/>
      <c r="O900" s="96"/>
      <c r="S900" s="96"/>
      <c r="T900" s="96"/>
    </row>
    <row r="901" ht="15.75" customHeight="1" spans="5:20">
      <c r="E901" s="95"/>
      <c r="N901" s="96"/>
      <c r="O901" s="96"/>
      <c r="S901" s="96"/>
      <c r="T901" s="96"/>
    </row>
    <row r="902" ht="15.75" customHeight="1" spans="5:20">
      <c r="E902" s="95"/>
      <c r="N902" s="96"/>
      <c r="O902" s="96"/>
      <c r="S902" s="96"/>
      <c r="T902" s="96"/>
    </row>
    <row r="903" ht="15.75" customHeight="1" spans="5:20">
      <c r="E903" s="95"/>
      <c r="N903" s="96"/>
      <c r="O903" s="96"/>
      <c r="S903" s="96"/>
      <c r="T903" s="96"/>
    </row>
    <row r="904" ht="15.75" customHeight="1" spans="5:20">
      <c r="E904" s="95"/>
      <c r="N904" s="96"/>
      <c r="O904" s="96"/>
      <c r="S904" s="96"/>
      <c r="T904" s="96"/>
    </row>
    <row r="905" ht="15.75" customHeight="1" spans="5:20">
      <c r="E905" s="95"/>
      <c r="N905" s="96"/>
      <c r="O905" s="96"/>
      <c r="S905" s="96"/>
      <c r="T905" s="96"/>
    </row>
    <row r="906" ht="15.75" customHeight="1" spans="5:20">
      <c r="E906" s="95"/>
      <c r="N906" s="96"/>
      <c r="O906" s="96"/>
      <c r="S906" s="96"/>
      <c r="T906" s="96"/>
    </row>
    <row r="907" ht="15.75" customHeight="1" spans="5:20">
      <c r="E907" s="95"/>
      <c r="N907" s="96"/>
      <c r="O907" s="96"/>
      <c r="S907" s="96"/>
      <c r="T907" s="96"/>
    </row>
    <row r="908" ht="15.75" customHeight="1" spans="5:20">
      <c r="E908" s="95"/>
      <c r="N908" s="96"/>
      <c r="O908" s="96"/>
      <c r="S908" s="96"/>
      <c r="T908" s="96"/>
    </row>
    <row r="909" ht="15.75" customHeight="1" spans="5:20">
      <c r="E909" s="95"/>
      <c r="N909" s="96"/>
      <c r="O909" s="96"/>
      <c r="S909" s="96"/>
      <c r="T909" s="96"/>
    </row>
    <row r="910" ht="15.75" customHeight="1" spans="5:20">
      <c r="E910" s="95"/>
      <c r="N910" s="96"/>
      <c r="O910" s="96"/>
      <c r="S910" s="96"/>
      <c r="T910" s="96"/>
    </row>
    <row r="911" ht="15.75" customHeight="1" spans="5:20">
      <c r="E911" s="95"/>
      <c r="N911" s="96"/>
      <c r="O911" s="96"/>
      <c r="S911" s="96"/>
      <c r="T911" s="96"/>
    </row>
    <row r="912" ht="15.75" customHeight="1" spans="5:20">
      <c r="E912" s="95"/>
      <c r="N912" s="96"/>
      <c r="O912" s="96"/>
      <c r="S912" s="96"/>
      <c r="T912" s="96"/>
    </row>
    <row r="913" ht="15.75" customHeight="1" spans="5:20">
      <c r="E913" s="95"/>
      <c r="N913" s="96"/>
      <c r="O913" s="96"/>
      <c r="S913" s="96"/>
      <c r="T913" s="96"/>
    </row>
    <row r="914" ht="15.75" customHeight="1" spans="5:20">
      <c r="E914" s="95"/>
      <c r="N914" s="96"/>
      <c r="O914" s="96"/>
      <c r="S914" s="96"/>
      <c r="T914" s="96"/>
    </row>
    <row r="915" ht="15.75" customHeight="1" spans="5:20">
      <c r="E915" s="95"/>
      <c r="N915" s="96"/>
      <c r="O915" s="96"/>
      <c r="S915" s="96"/>
      <c r="T915" s="96"/>
    </row>
    <row r="916" ht="15.75" customHeight="1" spans="5:20">
      <c r="E916" s="95"/>
      <c r="N916" s="96"/>
      <c r="O916" s="96"/>
      <c r="S916" s="96"/>
      <c r="T916" s="96"/>
    </row>
    <row r="917" ht="15.75" customHeight="1" spans="5:20">
      <c r="E917" s="95"/>
      <c r="N917" s="96"/>
      <c r="O917" s="96"/>
      <c r="S917" s="96"/>
      <c r="T917" s="96"/>
    </row>
    <row r="918" ht="15.75" customHeight="1" spans="5:20">
      <c r="E918" s="95"/>
      <c r="N918" s="96"/>
      <c r="O918" s="96"/>
      <c r="S918" s="96"/>
      <c r="T918" s="96"/>
    </row>
    <row r="919" ht="15.75" customHeight="1" spans="5:20">
      <c r="E919" s="95"/>
      <c r="N919" s="96"/>
      <c r="O919" s="96"/>
      <c r="S919" s="96"/>
      <c r="T919" s="96"/>
    </row>
    <row r="920" ht="15.75" customHeight="1" spans="5:20">
      <c r="E920" s="95"/>
      <c r="N920" s="96"/>
      <c r="O920" s="96"/>
      <c r="S920" s="96"/>
      <c r="T920" s="96"/>
    </row>
    <row r="921" ht="15.75" customHeight="1" spans="5:20">
      <c r="E921" s="95"/>
      <c r="N921" s="96"/>
      <c r="O921" s="96"/>
      <c r="S921" s="96"/>
      <c r="T921" s="96"/>
    </row>
    <row r="922" ht="15.75" customHeight="1" spans="5:20">
      <c r="E922" s="95"/>
      <c r="N922" s="96"/>
      <c r="O922" s="96"/>
      <c r="S922" s="96"/>
      <c r="T922" s="96"/>
    </row>
    <row r="923" ht="15.75" customHeight="1" spans="5:20">
      <c r="E923" s="95"/>
      <c r="N923" s="96"/>
      <c r="O923" s="96"/>
      <c r="S923" s="96"/>
      <c r="T923" s="96"/>
    </row>
    <row r="924" ht="15.75" customHeight="1" spans="5:20">
      <c r="E924" s="95"/>
      <c r="N924" s="96"/>
      <c r="O924" s="96"/>
      <c r="S924" s="96"/>
      <c r="T924" s="96"/>
    </row>
    <row r="925" ht="15.75" customHeight="1" spans="5:20">
      <c r="E925" s="95"/>
      <c r="N925" s="96"/>
      <c r="O925" s="96"/>
      <c r="S925" s="96"/>
      <c r="T925" s="96"/>
    </row>
    <row r="926" ht="15.75" customHeight="1" spans="5:20">
      <c r="E926" s="95"/>
      <c r="N926" s="96"/>
      <c r="O926" s="96"/>
      <c r="S926" s="96"/>
      <c r="T926" s="96"/>
    </row>
    <row r="927" ht="15.75" customHeight="1" spans="5:20">
      <c r="E927" s="95"/>
      <c r="N927" s="96"/>
      <c r="O927" s="96"/>
      <c r="S927" s="96"/>
      <c r="T927" s="96"/>
    </row>
    <row r="928" ht="15.75" customHeight="1" spans="5:20">
      <c r="E928" s="95"/>
      <c r="N928" s="96"/>
      <c r="O928" s="96"/>
      <c r="S928" s="96"/>
      <c r="T928" s="96"/>
    </row>
    <row r="929" ht="15.75" customHeight="1" spans="5:20">
      <c r="E929" s="95"/>
      <c r="N929" s="96"/>
      <c r="O929" s="96"/>
      <c r="S929" s="96"/>
      <c r="T929" s="96"/>
    </row>
    <row r="930" ht="15.75" customHeight="1" spans="5:20">
      <c r="E930" s="95"/>
      <c r="N930" s="96"/>
      <c r="O930" s="96"/>
      <c r="S930" s="96"/>
      <c r="T930" s="96"/>
    </row>
    <row r="931" ht="15.75" customHeight="1" spans="5:20">
      <c r="E931" s="95"/>
      <c r="N931" s="96"/>
      <c r="O931" s="96"/>
      <c r="S931" s="96"/>
      <c r="T931" s="96"/>
    </row>
    <row r="932" ht="15.75" customHeight="1" spans="5:20">
      <c r="E932" s="95"/>
      <c r="N932" s="96"/>
      <c r="O932" s="96"/>
      <c r="S932" s="96"/>
      <c r="T932" s="96"/>
    </row>
    <row r="933" ht="15.75" customHeight="1" spans="5:20">
      <c r="E933" s="95"/>
      <c r="N933" s="96"/>
      <c r="O933" s="96"/>
      <c r="S933" s="96"/>
      <c r="T933" s="96"/>
    </row>
    <row r="934" ht="15.75" customHeight="1" spans="5:20">
      <c r="E934" s="95"/>
      <c r="N934" s="96"/>
      <c r="O934" s="96"/>
      <c r="S934" s="96"/>
      <c r="T934" s="96"/>
    </row>
    <row r="935" ht="15.75" customHeight="1" spans="5:20">
      <c r="E935" s="95"/>
      <c r="N935" s="96"/>
      <c r="O935" s="96"/>
      <c r="S935" s="96"/>
      <c r="T935" s="96"/>
    </row>
    <row r="936" ht="15.75" customHeight="1" spans="5:20">
      <c r="E936" s="95"/>
      <c r="N936" s="96"/>
      <c r="O936" s="96"/>
      <c r="S936" s="96"/>
      <c r="T936" s="96"/>
    </row>
    <row r="937" ht="15.75" customHeight="1" spans="5:20">
      <c r="E937" s="95"/>
      <c r="N937" s="96"/>
      <c r="O937" s="96"/>
      <c r="S937" s="96"/>
      <c r="T937" s="96"/>
    </row>
    <row r="938" ht="15.75" customHeight="1" spans="5:20">
      <c r="E938" s="95"/>
      <c r="N938" s="96"/>
      <c r="O938" s="96"/>
      <c r="S938" s="96"/>
      <c r="T938" s="96"/>
    </row>
    <row r="939" ht="15.75" customHeight="1" spans="5:20">
      <c r="E939" s="95"/>
      <c r="N939" s="96"/>
      <c r="O939" s="96"/>
      <c r="S939" s="96"/>
      <c r="T939" s="96"/>
    </row>
    <row r="940" ht="15.75" customHeight="1" spans="5:20">
      <c r="E940" s="95"/>
      <c r="N940" s="96"/>
      <c r="O940" s="96"/>
      <c r="S940" s="96"/>
      <c r="T940" s="96"/>
    </row>
    <row r="941" ht="15.75" customHeight="1" spans="5:20">
      <c r="E941" s="95"/>
      <c r="N941" s="96"/>
      <c r="O941" s="96"/>
      <c r="S941" s="96"/>
      <c r="T941" s="96"/>
    </row>
    <row r="942" ht="15.75" customHeight="1" spans="5:20">
      <c r="E942" s="95"/>
      <c r="N942" s="96"/>
      <c r="O942" s="96"/>
      <c r="S942" s="96"/>
      <c r="T942" s="96"/>
    </row>
    <row r="943" ht="15.75" customHeight="1" spans="5:20">
      <c r="E943" s="95"/>
      <c r="N943" s="96"/>
      <c r="O943" s="96"/>
      <c r="S943" s="96"/>
      <c r="T943" s="96"/>
    </row>
    <row r="944" ht="15.75" customHeight="1" spans="5:20">
      <c r="E944" s="95"/>
      <c r="N944" s="96"/>
      <c r="O944" s="96"/>
      <c r="S944" s="96"/>
      <c r="T944" s="96"/>
    </row>
    <row r="945" ht="15.75" customHeight="1" spans="5:20">
      <c r="E945" s="95"/>
      <c r="N945" s="96"/>
      <c r="O945" s="96"/>
      <c r="S945" s="96"/>
      <c r="T945" s="96"/>
    </row>
    <row r="946" ht="15.75" customHeight="1" spans="5:20">
      <c r="E946" s="95"/>
      <c r="N946" s="96"/>
      <c r="O946" s="96"/>
      <c r="S946" s="96"/>
      <c r="T946" s="96"/>
    </row>
    <row r="947" ht="15.75" customHeight="1" spans="5:20">
      <c r="E947" s="95"/>
      <c r="N947" s="96"/>
      <c r="O947" s="96"/>
      <c r="S947" s="96"/>
      <c r="T947" s="96"/>
    </row>
    <row r="948" ht="15.75" customHeight="1" spans="5:20">
      <c r="E948" s="95"/>
      <c r="N948" s="96"/>
      <c r="O948" s="96"/>
      <c r="S948" s="96"/>
      <c r="T948" s="96"/>
    </row>
    <row r="949" ht="15.75" customHeight="1" spans="5:20">
      <c r="E949" s="95"/>
      <c r="N949" s="96"/>
      <c r="O949" s="96"/>
      <c r="S949" s="96"/>
      <c r="T949" s="96"/>
    </row>
    <row r="950" ht="15.75" customHeight="1" spans="5:20">
      <c r="E950" s="95"/>
      <c r="N950" s="96"/>
      <c r="O950" s="96"/>
      <c r="S950" s="96"/>
      <c r="T950" s="96"/>
    </row>
    <row r="951" ht="15.75" customHeight="1" spans="5:20">
      <c r="E951" s="95"/>
      <c r="N951" s="96"/>
      <c r="O951" s="96"/>
      <c r="S951" s="96"/>
      <c r="T951" s="96"/>
    </row>
    <row r="952" ht="15.75" customHeight="1" spans="5:20">
      <c r="E952" s="95"/>
      <c r="N952" s="96"/>
      <c r="O952" s="96"/>
      <c r="S952" s="96"/>
      <c r="T952" s="96"/>
    </row>
    <row r="953" ht="15.75" customHeight="1" spans="5:20">
      <c r="E953" s="95"/>
      <c r="N953" s="96"/>
      <c r="O953" s="96"/>
      <c r="S953" s="96"/>
      <c r="T953" s="96"/>
    </row>
    <row r="954" ht="15.75" customHeight="1" spans="5:20">
      <c r="E954" s="95"/>
      <c r="N954" s="96"/>
      <c r="O954" s="96"/>
      <c r="S954" s="96"/>
      <c r="T954" s="96"/>
    </row>
    <row r="955" ht="15.75" customHeight="1" spans="5:20">
      <c r="E955" s="95"/>
      <c r="N955" s="96"/>
      <c r="O955" s="96"/>
      <c r="S955" s="96"/>
      <c r="T955" s="96"/>
    </row>
    <row r="956" ht="15.75" customHeight="1" spans="5:20">
      <c r="E956" s="95"/>
      <c r="N956" s="96"/>
      <c r="O956" s="96"/>
      <c r="S956" s="96"/>
      <c r="T956" s="96"/>
    </row>
    <row r="957" ht="15.75" customHeight="1" spans="5:20">
      <c r="E957" s="95"/>
      <c r="N957" s="96"/>
      <c r="O957" s="96"/>
      <c r="S957" s="96"/>
      <c r="T957" s="96"/>
    </row>
    <row r="958" ht="15.75" customHeight="1" spans="5:20">
      <c r="E958" s="95"/>
      <c r="N958" s="96"/>
      <c r="O958" s="96"/>
      <c r="S958" s="96"/>
      <c r="T958" s="96"/>
    </row>
    <row r="959" ht="15.75" customHeight="1" spans="5:20">
      <c r="E959" s="95"/>
      <c r="N959" s="96"/>
      <c r="O959" s="96"/>
      <c r="S959" s="96"/>
      <c r="T959" s="96"/>
    </row>
    <row r="960" ht="15.75" customHeight="1" spans="5:20">
      <c r="E960" s="95"/>
      <c r="N960" s="96"/>
      <c r="O960" s="96"/>
      <c r="S960" s="96"/>
      <c r="T960" s="96"/>
    </row>
    <row r="961" ht="15.75" customHeight="1" spans="5:20">
      <c r="E961" s="95"/>
      <c r="N961" s="96"/>
      <c r="O961" s="96"/>
      <c r="S961" s="96"/>
      <c r="T961" s="96"/>
    </row>
    <row r="962" ht="15.75" customHeight="1" spans="5:20">
      <c r="E962" s="95"/>
      <c r="N962" s="96"/>
      <c r="O962" s="96"/>
      <c r="S962" s="96"/>
      <c r="T962" s="96"/>
    </row>
    <row r="963" ht="15.75" customHeight="1" spans="5:20">
      <c r="E963" s="95"/>
      <c r="N963" s="96"/>
      <c r="O963" s="96"/>
      <c r="S963" s="96"/>
      <c r="T963" s="96"/>
    </row>
    <row r="964" ht="15.75" customHeight="1" spans="5:20">
      <c r="E964" s="95"/>
      <c r="N964" s="96"/>
      <c r="O964" s="96"/>
      <c r="S964" s="96"/>
      <c r="T964" s="96"/>
    </row>
    <row r="965" ht="15.75" customHeight="1" spans="5:20">
      <c r="E965" s="95"/>
      <c r="N965" s="96"/>
      <c r="O965" s="96"/>
      <c r="S965" s="96"/>
      <c r="T965" s="96"/>
    </row>
    <row r="966" ht="15.75" customHeight="1" spans="5:20">
      <c r="E966" s="95"/>
      <c r="N966" s="96"/>
      <c r="O966" s="96"/>
      <c r="S966" s="96"/>
      <c r="T966" s="96"/>
    </row>
    <row r="967" ht="15.75" customHeight="1" spans="5:20">
      <c r="E967" s="95"/>
      <c r="N967" s="96"/>
      <c r="O967" s="96"/>
      <c r="S967" s="96"/>
      <c r="T967" s="96"/>
    </row>
    <row r="968" ht="15.75" customHeight="1" spans="5:20">
      <c r="E968" s="95"/>
      <c r="N968" s="96"/>
      <c r="O968" s="96"/>
      <c r="S968" s="96"/>
      <c r="T968" s="96"/>
    </row>
    <row r="969" ht="15.75" customHeight="1" spans="5:20">
      <c r="E969" s="95"/>
      <c r="N969" s="96"/>
      <c r="O969" s="96"/>
      <c r="S969" s="96"/>
      <c r="T969" s="96"/>
    </row>
    <row r="970" ht="15.75" customHeight="1" spans="5:20">
      <c r="E970" s="95"/>
      <c r="N970" s="96"/>
      <c r="O970" s="96"/>
      <c r="S970" s="96"/>
      <c r="T970" s="96"/>
    </row>
    <row r="971" ht="15.75" customHeight="1" spans="5:20">
      <c r="E971" s="95"/>
      <c r="N971" s="96"/>
      <c r="O971" s="96"/>
      <c r="S971" s="96"/>
      <c r="T971" s="96"/>
    </row>
    <row r="972" ht="15.75" customHeight="1" spans="5:20">
      <c r="E972" s="95"/>
      <c r="N972" s="96"/>
      <c r="O972" s="96"/>
      <c r="S972" s="96"/>
      <c r="T972" s="96"/>
    </row>
    <row r="973" ht="15.75" customHeight="1" spans="5:20">
      <c r="E973" s="95"/>
      <c r="N973" s="96"/>
      <c r="O973" s="96"/>
      <c r="S973" s="96"/>
      <c r="T973" s="96"/>
    </row>
    <row r="974" ht="15.75" customHeight="1" spans="5:20">
      <c r="E974" s="95"/>
      <c r="N974" s="96"/>
      <c r="O974" s="96"/>
      <c r="S974" s="96"/>
      <c r="T974" s="96"/>
    </row>
    <row r="975" ht="15.75" customHeight="1" spans="5:20">
      <c r="E975" s="95"/>
      <c r="N975" s="96"/>
      <c r="O975" s="96"/>
      <c r="S975" s="96"/>
      <c r="T975" s="96"/>
    </row>
    <row r="976" ht="15.75" customHeight="1" spans="5:20">
      <c r="E976" s="95"/>
      <c r="N976" s="96"/>
      <c r="O976" s="96"/>
      <c r="S976" s="96"/>
      <c r="T976" s="96"/>
    </row>
    <row r="977" ht="15.75" customHeight="1" spans="5:20">
      <c r="E977" s="95"/>
      <c r="N977" s="96"/>
      <c r="O977" s="96"/>
      <c r="S977" s="96"/>
      <c r="T977" s="96"/>
    </row>
    <row r="978" ht="15.75" customHeight="1" spans="5:20">
      <c r="E978" s="95"/>
      <c r="N978" s="96"/>
      <c r="O978" s="96"/>
      <c r="S978" s="96"/>
      <c r="T978" s="96"/>
    </row>
    <row r="979" ht="15.75" customHeight="1" spans="5:20">
      <c r="E979" s="95"/>
      <c r="N979" s="96"/>
      <c r="O979" s="96"/>
      <c r="S979" s="96"/>
      <c r="T979" s="96"/>
    </row>
    <row r="980" ht="15.75" customHeight="1" spans="5:20">
      <c r="E980" s="95"/>
      <c r="N980" s="96"/>
      <c r="O980" s="96"/>
      <c r="S980" s="96"/>
      <c r="T980" s="96"/>
    </row>
    <row r="981" ht="15.75" customHeight="1" spans="5:20">
      <c r="E981" s="95"/>
      <c r="N981" s="96"/>
      <c r="O981" s="96"/>
      <c r="S981" s="96"/>
      <c r="T981" s="96"/>
    </row>
    <row r="982" ht="15.75" customHeight="1" spans="5:20">
      <c r="E982" s="95"/>
      <c r="N982" s="96"/>
      <c r="O982" s="96"/>
      <c r="S982" s="96"/>
      <c r="T982" s="96"/>
    </row>
    <row r="983" ht="15.75" customHeight="1" spans="5:20">
      <c r="E983" s="95"/>
      <c r="N983" s="96"/>
      <c r="O983" s="96"/>
      <c r="S983" s="96"/>
      <c r="T983" s="96"/>
    </row>
    <row r="984" ht="15.75" customHeight="1" spans="5:20">
      <c r="E984" s="95"/>
      <c r="N984" s="96"/>
      <c r="O984" s="96"/>
      <c r="S984" s="96"/>
      <c r="T984" s="96"/>
    </row>
    <row r="985" ht="15.75" customHeight="1" spans="5:20">
      <c r="E985" s="95"/>
      <c r="N985" s="96"/>
      <c r="O985" s="96"/>
      <c r="S985" s="96"/>
      <c r="T985" s="96"/>
    </row>
    <row r="986" ht="15.75" customHeight="1" spans="5:20">
      <c r="E986" s="95"/>
      <c r="N986" s="96"/>
      <c r="O986" s="96"/>
      <c r="S986" s="96"/>
      <c r="T986" s="96"/>
    </row>
    <row r="987" ht="15.75" customHeight="1" spans="5:20">
      <c r="E987" s="95"/>
      <c r="N987" s="96"/>
      <c r="O987" s="96"/>
      <c r="S987" s="96"/>
      <c r="T987" s="96"/>
    </row>
    <row r="988" ht="15.75" customHeight="1" spans="5:20">
      <c r="E988" s="95"/>
      <c r="N988" s="96"/>
      <c r="O988" s="96"/>
      <c r="S988" s="96"/>
      <c r="T988" s="96"/>
    </row>
    <row r="989" ht="15.75" customHeight="1" spans="5:20">
      <c r="E989" s="95"/>
      <c r="N989" s="96"/>
      <c r="O989" s="96"/>
      <c r="S989" s="96"/>
      <c r="T989" s="96"/>
    </row>
    <row r="990" ht="15.75" customHeight="1" spans="5:20">
      <c r="E990" s="95"/>
      <c r="N990" s="96"/>
      <c r="O990" s="96"/>
      <c r="S990" s="96"/>
      <c r="T990" s="96"/>
    </row>
    <row r="991" ht="15.75" customHeight="1" spans="5:20">
      <c r="E991" s="95"/>
      <c r="N991" s="96"/>
      <c r="O991" s="96"/>
      <c r="S991" s="96"/>
      <c r="T991" s="96"/>
    </row>
    <row r="992" ht="15.75" customHeight="1" spans="5:20">
      <c r="E992" s="95"/>
      <c r="N992" s="96"/>
      <c r="O992" s="96"/>
      <c r="S992" s="96"/>
      <c r="T992" s="96"/>
    </row>
    <row r="993" ht="15.75" customHeight="1" spans="5:20">
      <c r="E993" s="95"/>
      <c r="N993" s="96"/>
      <c r="O993" s="96"/>
      <c r="S993" s="96"/>
      <c r="T993" s="96"/>
    </row>
    <row r="994" ht="15.75" customHeight="1" spans="5:20">
      <c r="E994" s="95"/>
      <c r="N994" s="96"/>
      <c r="O994" s="96"/>
      <c r="S994" s="96"/>
      <c r="T994" s="96"/>
    </row>
    <row r="995" ht="15.75" customHeight="1" spans="5:20">
      <c r="E995" s="95"/>
      <c r="N995" s="96"/>
      <c r="O995" s="96"/>
      <c r="S995" s="96"/>
      <c r="T995" s="96"/>
    </row>
    <row r="996" ht="15.75" customHeight="1" spans="5:20">
      <c r="E996" s="95"/>
      <c r="N996" s="96"/>
      <c r="O996" s="96"/>
      <c r="S996" s="96"/>
      <c r="T996" s="96"/>
    </row>
    <row r="997" ht="15.75" customHeight="1" spans="5:20">
      <c r="E997" s="95"/>
      <c r="N997" s="96"/>
      <c r="O997" s="96"/>
      <c r="S997" s="96"/>
      <c r="T997" s="96"/>
    </row>
    <row r="998" ht="15.75" customHeight="1" spans="5:20">
      <c r="E998" s="95"/>
      <c r="N998" s="96"/>
      <c r="O998" s="96"/>
      <c r="S998" s="96"/>
      <c r="T998" s="96"/>
    </row>
    <row r="999" ht="15.75" customHeight="1" spans="5:20">
      <c r="E999" s="95"/>
      <c r="N999" s="96"/>
      <c r="O999" s="96"/>
      <c r="S999" s="96"/>
      <c r="T999" s="96"/>
    </row>
    <row r="1000" ht="15.75" customHeight="1" spans="5:20">
      <c r="E1000" s="95"/>
      <c r="N1000" s="96"/>
      <c r="O1000" s="96"/>
      <c r="S1000" s="96"/>
      <c r="T1000" s="96"/>
    </row>
  </sheetData>
  <autoFilter xmlns:etc="http://www.wps.cn/officeDocument/2017/etCustomData" ref="A1:X50" etc:filterBottomFollowUsedRange="0">
    <extLst/>
  </autoFilter>
  <conditionalFormatting sqref="I1">
    <cfRule type="colorScale" priority="1">
      <colorScale>
        <cfvo type="min"/>
        <cfvo type="percentile" val="50"/>
        <cfvo type="max"/>
        <color rgb="FF2A6099"/>
        <color rgb="FFFFD7D7"/>
        <color rgb="FFFF0000"/>
      </colorScale>
    </cfRule>
  </conditionalFormatting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O75" sqref="O75"/>
    </sheetView>
  </sheetViews>
  <sheetFormatPr defaultColWidth="14.4259259259259" defaultRowHeight="15" customHeight="1"/>
  <cols>
    <col min="1" max="1" width="15.4259259259259" customWidth="1"/>
    <col min="2" max="2" width="15.712962962963" customWidth="1"/>
    <col min="3" max="4" width="17" customWidth="1"/>
    <col min="5" max="5" width="14.712962962963" customWidth="1"/>
    <col min="6" max="6" width="8.71296296296296" hidden="1" customWidth="1"/>
    <col min="7" max="7" width="14.4259259259259" customWidth="1"/>
    <col min="8" max="8" width="12.1388888888889" hidden="1" customWidth="1"/>
    <col min="9" max="9" width="255.712962962963" hidden="1" customWidth="1"/>
    <col min="10" max="10" width="32.287037037037" hidden="1" customWidth="1"/>
    <col min="11" max="12" width="7.13888888888889" customWidth="1"/>
    <col min="13" max="13" width="25.8518518518519" hidden="1" customWidth="1"/>
    <col min="14" max="14" width="30.5740740740741" customWidth="1"/>
    <col min="15" max="15" width="43.1388888888889" customWidth="1"/>
    <col min="16" max="26" width="8.71296296296296" customWidth="1"/>
  </cols>
  <sheetData>
    <row r="1" ht="19.5" customHeight="1" spans="1:26">
      <c r="A1" s="1" t="s">
        <v>3</v>
      </c>
      <c r="B1" s="1" t="s">
        <v>5</v>
      </c>
      <c r="C1" s="1" t="s">
        <v>6</v>
      </c>
      <c r="D1" s="1" t="s">
        <v>241</v>
      </c>
      <c r="E1" s="1" t="s">
        <v>242</v>
      </c>
      <c r="F1" s="1" t="s">
        <v>243</v>
      </c>
      <c r="G1" s="2" t="s">
        <v>8</v>
      </c>
      <c r="H1" s="2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 spans="1:26">
      <c r="A2" s="3" t="s">
        <v>250</v>
      </c>
      <c r="B2" s="3" t="s">
        <v>251</v>
      </c>
      <c r="C2" s="3" t="s">
        <v>252</v>
      </c>
      <c r="D2" s="3" t="s">
        <v>253</v>
      </c>
      <c r="E2" s="3" t="s">
        <v>253</v>
      </c>
      <c r="F2" s="3" t="s">
        <v>90</v>
      </c>
      <c r="G2" s="4"/>
      <c r="H2" s="4"/>
      <c r="I2" s="1" t="s">
        <v>254</v>
      </c>
      <c r="J2" s="1"/>
      <c r="K2" s="3"/>
      <c r="L2" s="3"/>
      <c r="M2" s="1" t="s">
        <v>255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 spans="1:26">
      <c r="A3" s="3" t="s">
        <v>256</v>
      </c>
      <c r="B3" s="3" t="s">
        <v>257</v>
      </c>
      <c r="C3" s="3" t="s">
        <v>252</v>
      </c>
      <c r="D3" s="3" t="s">
        <v>253</v>
      </c>
      <c r="E3" s="3" t="s">
        <v>253</v>
      </c>
      <c r="F3" s="3" t="s">
        <v>90</v>
      </c>
      <c r="G3" s="4"/>
      <c r="H3" s="4"/>
      <c r="I3" s="1" t="s">
        <v>258</v>
      </c>
      <c r="J3" s="1"/>
      <c r="K3" s="3"/>
      <c r="L3" s="3"/>
      <c r="M3" s="1" t="s">
        <v>259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 spans="1:26">
      <c r="A4" s="3" t="s">
        <v>260</v>
      </c>
      <c r="B4" s="3" t="s">
        <v>261</v>
      </c>
      <c r="C4" s="3" t="str">
        <f t="shared" ref="C4:C65" si="0">E4</f>
        <v>BTN2.2/BTN1 ?</v>
      </c>
      <c r="D4" s="3" t="s">
        <v>242</v>
      </c>
      <c r="E4" s="3" t="s">
        <v>262</v>
      </c>
      <c r="F4" s="3" t="s">
        <v>263</v>
      </c>
      <c r="G4" s="2">
        <v>49</v>
      </c>
      <c r="H4" s="2">
        <v>4.7</v>
      </c>
      <c r="I4" s="1" t="s">
        <v>264</v>
      </c>
      <c r="J4" s="1"/>
      <c r="K4" s="3" t="s">
        <v>45</v>
      </c>
      <c r="L4" s="3" t="s">
        <v>45</v>
      </c>
      <c r="M4" s="1" t="s">
        <v>265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 spans="1:26">
      <c r="A5" s="3" t="s">
        <v>266</v>
      </c>
      <c r="B5" s="3" t="s">
        <v>267</v>
      </c>
      <c r="C5" s="3" t="str">
        <f t="shared" si="0"/>
        <v>BTN2.1/BTN1 ?</v>
      </c>
      <c r="D5" s="3" t="s">
        <v>242</v>
      </c>
      <c r="E5" s="3" t="s">
        <v>268</v>
      </c>
      <c r="F5" s="3" t="s">
        <v>263</v>
      </c>
      <c r="G5" s="2">
        <v>58</v>
      </c>
      <c r="H5" s="2">
        <v>5.8</v>
      </c>
      <c r="I5" s="1" t="s">
        <v>269</v>
      </c>
      <c r="J5" s="5" t="s">
        <v>270</v>
      </c>
      <c r="K5" s="6" t="s">
        <v>31</v>
      </c>
      <c r="L5" s="6" t="s">
        <v>31</v>
      </c>
      <c r="M5" s="1" t="s">
        <v>271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 spans="1:26">
      <c r="A6" s="3" t="s">
        <v>272</v>
      </c>
      <c r="B6" s="3" t="s">
        <v>273</v>
      </c>
      <c r="C6" s="3" t="str">
        <f t="shared" si="0"/>
        <v>BTN1/BTN2.1 ?</v>
      </c>
      <c r="D6" s="3" t="s">
        <v>242</v>
      </c>
      <c r="E6" s="3" t="s">
        <v>274</v>
      </c>
      <c r="F6" s="3" t="s">
        <v>263</v>
      </c>
      <c r="G6" s="2">
        <v>63</v>
      </c>
      <c r="H6" s="2">
        <v>5.5</v>
      </c>
      <c r="I6" s="1" t="s">
        <v>275</v>
      </c>
      <c r="J6" s="1"/>
      <c r="K6" s="3" t="s">
        <v>276</v>
      </c>
      <c r="L6" s="3" t="s">
        <v>277</v>
      </c>
      <c r="M6" s="1" t="s">
        <v>278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 spans="1:26">
      <c r="A7" s="7" t="s">
        <v>182</v>
      </c>
      <c r="B7" s="8" t="s">
        <v>183</v>
      </c>
      <c r="C7" s="8" t="str">
        <f t="shared" si="0"/>
        <v>BTN1</v>
      </c>
      <c r="D7" s="8" t="s">
        <v>39</v>
      </c>
      <c r="E7" s="8" t="s">
        <v>39</v>
      </c>
      <c r="F7" s="8" t="s">
        <v>263</v>
      </c>
      <c r="G7" s="9">
        <v>30</v>
      </c>
      <c r="H7" s="9">
        <v>4</v>
      </c>
      <c r="I7" s="10" t="s">
        <v>279</v>
      </c>
      <c r="J7" s="10"/>
      <c r="K7" s="8" t="s">
        <v>45</v>
      </c>
      <c r="L7" s="8" t="s">
        <v>45</v>
      </c>
      <c r="M7" s="10" t="s">
        <v>280</v>
      </c>
      <c r="N7" s="11" t="s">
        <v>281</v>
      </c>
      <c r="O7" s="3" t="s">
        <v>282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 spans="1:26">
      <c r="A8" s="12" t="s">
        <v>102</v>
      </c>
      <c r="B8" s="3" t="s">
        <v>103</v>
      </c>
      <c r="C8" s="3" t="str">
        <f t="shared" si="0"/>
        <v>BTN1</v>
      </c>
      <c r="D8" s="3" t="s">
        <v>39</v>
      </c>
      <c r="E8" s="3" t="s">
        <v>39</v>
      </c>
      <c r="F8" s="3" t="s">
        <v>263</v>
      </c>
      <c r="G8" s="2">
        <v>34</v>
      </c>
      <c r="H8" s="2">
        <v>3.8</v>
      </c>
      <c r="I8" s="1" t="s">
        <v>283</v>
      </c>
      <c r="J8" s="1"/>
      <c r="K8" s="3" t="s">
        <v>45</v>
      </c>
      <c r="L8" s="3" t="s">
        <v>45</v>
      </c>
      <c r="M8" s="1" t="s">
        <v>284</v>
      </c>
      <c r="N8" s="13" t="s">
        <v>281</v>
      </c>
      <c r="O8" s="3" t="s">
        <v>282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 spans="1:26">
      <c r="A9" s="12" t="s">
        <v>137</v>
      </c>
      <c r="B9" s="3" t="s">
        <v>138</v>
      </c>
      <c r="C9" s="3" t="str">
        <f t="shared" si="0"/>
        <v>BTN1</v>
      </c>
      <c r="D9" s="3" t="s">
        <v>39</v>
      </c>
      <c r="E9" s="3" t="s">
        <v>39</v>
      </c>
      <c r="F9" s="3" t="s">
        <v>263</v>
      </c>
      <c r="G9" s="2">
        <v>51</v>
      </c>
      <c r="H9" s="2">
        <v>4</v>
      </c>
      <c r="I9" s="1" t="s">
        <v>285</v>
      </c>
      <c r="J9" s="1"/>
      <c r="K9" s="3" t="s">
        <v>45</v>
      </c>
      <c r="L9" s="3" t="s">
        <v>45</v>
      </c>
      <c r="M9" s="1" t="s">
        <v>286</v>
      </c>
      <c r="N9" s="13" t="s">
        <v>281</v>
      </c>
      <c r="O9" s="3" t="s">
        <v>282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 spans="1:26">
      <c r="A10" s="12" t="s">
        <v>50</v>
      </c>
      <c r="B10" s="3" t="s">
        <v>51</v>
      </c>
      <c r="C10" s="3" t="str">
        <f t="shared" si="0"/>
        <v>BTN1</v>
      </c>
      <c r="D10" s="3" t="s">
        <v>39</v>
      </c>
      <c r="E10" s="3" t="s">
        <v>39</v>
      </c>
      <c r="F10" s="3" t="s">
        <v>263</v>
      </c>
      <c r="G10" s="2">
        <v>77</v>
      </c>
      <c r="H10" s="2">
        <v>4</v>
      </c>
      <c r="I10" s="1" t="s">
        <v>287</v>
      </c>
      <c r="J10" s="1" t="s">
        <v>288</v>
      </c>
      <c r="K10" s="3" t="s">
        <v>45</v>
      </c>
      <c r="L10" s="3" t="s">
        <v>45</v>
      </c>
      <c r="M10" s="1" t="s">
        <v>289</v>
      </c>
      <c r="N10" s="13" t="s">
        <v>281</v>
      </c>
      <c r="O10" s="3" t="s">
        <v>282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 spans="1:26">
      <c r="A11" s="12" t="s">
        <v>141</v>
      </c>
      <c r="B11" s="3" t="s">
        <v>142</v>
      </c>
      <c r="C11" s="3" t="str">
        <f t="shared" si="0"/>
        <v>BTN1</v>
      </c>
      <c r="D11" s="3" t="s">
        <v>39</v>
      </c>
      <c r="E11" s="3" t="s">
        <v>39</v>
      </c>
      <c r="F11" s="3" t="s">
        <v>263</v>
      </c>
      <c r="G11" s="2">
        <v>91</v>
      </c>
      <c r="H11" s="2">
        <v>4.2</v>
      </c>
      <c r="I11" s="1" t="s">
        <v>285</v>
      </c>
      <c r="J11" s="1"/>
      <c r="K11" s="3" t="s">
        <v>45</v>
      </c>
      <c r="L11" s="3" t="s">
        <v>45</v>
      </c>
      <c r="M11" s="1" t="s">
        <v>290</v>
      </c>
      <c r="N11" s="13" t="s">
        <v>281</v>
      </c>
      <c r="O11" s="3" t="s">
        <v>282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 spans="1:26">
      <c r="A12" s="14" t="s">
        <v>43</v>
      </c>
      <c r="B12" s="15" t="s">
        <v>44</v>
      </c>
      <c r="C12" s="15" t="str">
        <f t="shared" si="0"/>
        <v>BTN1</v>
      </c>
      <c r="D12" s="15" t="s">
        <v>39</v>
      </c>
      <c r="E12" s="15" t="s">
        <v>39</v>
      </c>
      <c r="F12" s="15" t="s">
        <v>263</v>
      </c>
      <c r="G12" s="16">
        <v>98</v>
      </c>
      <c r="H12" s="16" t="s">
        <v>252</v>
      </c>
      <c r="I12" s="17" t="s">
        <v>291</v>
      </c>
      <c r="J12" s="17"/>
      <c r="K12" s="15" t="s">
        <v>45</v>
      </c>
      <c r="L12" s="15" t="s">
        <v>45</v>
      </c>
      <c r="M12" s="17" t="s">
        <v>292</v>
      </c>
      <c r="N12" s="18" t="s">
        <v>281</v>
      </c>
      <c r="O12" s="3" t="s">
        <v>282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 spans="1:26">
      <c r="A13" s="19" t="s">
        <v>186</v>
      </c>
      <c r="B13" s="8" t="s">
        <v>187</v>
      </c>
      <c r="C13" s="8" t="str">
        <f t="shared" si="0"/>
        <v>BTN1</v>
      </c>
      <c r="D13" s="8" t="s">
        <v>39</v>
      </c>
      <c r="E13" s="8" t="s">
        <v>39</v>
      </c>
      <c r="F13" s="8" t="s">
        <v>263</v>
      </c>
      <c r="G13" s="9">
        <v>10</v>
      </c>
      <c r="H13" s="9">
        <v>4.1</v>
      </c>
      <c r="I13" s="10" t="s">
        <v>293</v>
      </c>
      <c r="J13" s="10" t="s">
        <v>294</v>
      </c>
      <c r="K13" s="8" t="s">
        <v>31</v>
      </c>
      <c r="L13" s="8" t="s">
        <v>31</v>
      </c>
      <c r="M13" s="10" t="s">
        <v>295</v>
      </c>
      <c r="N13" s="20" t="s">
        <v>296</v>
      </c>
      <c r="O13" s="3" t="s">
        <v>282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 spans="1:26">
      <c r="A14" s="21" t="s">
        <v>94</v>
      </c>
      <c r="B14" s="3" t="s">
        <v>95</v>
      </c>
      <c r="C14" s="3" t="str">
        <f t="shared" si="0"/>
        <v>BTN1</v>
      </c>
      <c r="D14" s="3" t="s">
        <v>39</v>
      </c>
      <c r="E14" s="3" t="s">
        <v>39</v>
      </c>
      <c r="F14" s="3" t="s">
        <v>263</v>
      </c>
      <c r="G14" s="2">
        <v>12</v>
      </c>
      <c r="H14" s="2">
        <v>4</v>
      </c>
      <c r="I14" s="1" t="s">
        <v>297</v>
      </c>
      <c r="J14" s="1"/>
      <c r="K14" s="3" t="s">
        <v>31</v>
      </c>
      <c r="L14" s="3" t="s">
        <v>31</v>
      </c>
      <c r="M14" s="1" t="s">
        <v>298</v>
      </c>
      <c r="N14" s="22" t="s">
        <v>296</v>
      </c>
      <c r="O14" s="3" t="s">
        <v>282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 spans="1:26">
      <c r="A15" s="21" t="s">
        <v>37</v>
      </c>
      <c r="B15" s="3" t="s">
        <v>38</v>
      </c>
      <c r="C15" s="3" t="str">
        <f t="shared" si="0"/>
        <v>BTN1</v>
      </c>
      <c r="D15" s="3" t="s">
        <v>39</v>
      </c>
      <c r="E15" s="3" t="s">
        <v>39</v>
      </c>
      <c r="F15" s="3" t="s">
        <v>263</v>
      </c>
      <c r="G15" s="2">
        <v>13</v>
      </c>
      <c r="H15" s="2">
        <v>4</v>
      </c>
      <c r="I15" s="1" t="s">
        <v>299</v>
      </c>
      <c r="J15" s="1"/>
      <c r="K15" s="3" t="s">
        <v>31</v>
      </c>
      <c r="L15" s="3" t="s">
        <v>31</v>
      </c>
      <c r="M15" s="1" t="s">
        <v>300</v>
      </c>
      <c r="N15" s="22" t="s">
        <v>296</v>
      </c>
      <c r="O15" s="3" t="s">
        <v>282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 spans="1:26">
      <c r="A16" s="21" t="s">
        <v>145</v>
      </c>
      <c r="B16" s="3" t="s">
        <v>146</v>
      </c>
      <c r="C16" s="3" t="str">
        <f t="shared" si="0"/>
        <v>BTN1</v>
      </c>
      <c r="D16" s="3" t="s">
        <v>39</v>
      </c>
      <c r="E16" s="3" t="s">
        <v>39</v>
      </c>
      <c r="F16" s="3" t="s">
        <v>263</v>
      </c>
      <c r="G16" s="2">
        <v>15</v>
      </c>
      <c r="H16" s="2">
        <v>4.1</v>
      </c>
      <c r="I16" s="1" t="s">
        <v>301</v>
      </c>
      <c r="J16" s="1"/>
      <c r="K16" s="3" t="s">
        <v>31</v>
      </c>
      <c r="L16" s="3" t="s">
        <v>31</v>
      </c>
      <c r="M16" s="1" t="s">
        <v>302</v>
      </c>
      <c r="N16" s="22" t="s">
        <v>296</v>
      </c>
      <c r="O16" s="3" t="s">
        <v>282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 spans="1:26">
      <c r="A17" s="23" t="s">
        <v>234</v>
      </c>
      <c r="B17" s="3" t="s">
        <v>235</v>
      </c>
      <c r="C17" s="3" t="str">
        <f t="shared" si="0"/>
        <v>BTN1</v>
      </c>
      <c r="D17" s="3" t="s">
        <v>39</v>
      </c>
      <c r="E17" s="3" t="s">
        <v>39</v>
      </c>
      <c r="F17" s="3" t="s">
        <v>263</v>
      </c>
      <c r="G17" s="2">
        <v>16</v>
      </c>
      <c r="H17" s="2">
        <v>4.3</v>
      </c>
      <c r="I17" s="1" t="s">
        <v>303</v>
      </c>
      <c r="J17" s="1"/>
      <c r="K17" s="3" t="s">
        <v>31</v>
      </c>
      <c r="L17" s="3" t="s">
        <v>31</v>
      </c>
      <c r="M17" s="1" t="s">
        <v>304</v>
      </c>
      <c r="N17" s="22" t="s">
        <v>296</v>
      </c>
      <c r="O17" s="24" t="s">
        <v>305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 spans="1:26">
      <c r="A18" s="23" t="s">
        <v>222</v>
      </c>
      <c r="B18" s="3" t="s">
        <v>223</v>
      </c>
      <c r="C18" s="3" t="str">
        <f t="shared" si="0"/>
        <v>BTN1</v>
      </c>
      <c r="D18" s="3" t="s">
        <v>39</v>
      </c>
      <c r="E18" s="3" t="s">
        <v>39</v>
      </c>
      <c r="F18" s="3" t="s">
        <v>263</v>
      </c>
      <c r="G18" s="2">
        <v>43</v>
      </c>
      <c r="H18" s="2">
        <v>4.3</v>
      </c>
      <c r="I18" s="1" t="s">
        <v>306</v>
      </c>
      <c r="J18" s="25" t="s">
        <v>307</v>
      </c>
      <c r="K18" s="3" t="s">
        <v>31</v>
      </c>
      <c r="L18" s="3" t="s">
        <v>31</v>
      </c>
      <c r="M18" s="1" t="s">
        <v>308</v>
      </c>
      <c r="N18" s="22" t="s">
        <v>296</v>
      </c>
      <c r="O18" s="3" t="s">
        <v>282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 spans="1:26">
      <c r="A19" s="26" t="s">
        <v>78</v>
      </c>
      <c r="B19" s="3" t="s">
        <v>79</v>
      </c>
      <c r="C19" s="3" t="str">
        <f t="shared" si="0"/>
        <v>BTN1</v>
      </c>
      <c r="D19" s="3" t="s">
        <v>39</v>
      </c>
      <c r="E19" s="3" t="s">
        <v>39</v>
      </c>
      <c r="F19" s="3" t="s">
        <v>263</v>
      </c>
      <c r="G19" s="2">
        <v>50</v>
      </c>
      <c r="H19" s="2">
        <v>4</v>
      </c>
      <c r="I19" s="1" t="s">
        <v>309</v>
      </c>
      <c r="J19" s="1"/>
      <c r="K19" s="3" t="s">
        <v>31</v>
      </c>
      <c r="L19" s="3" t="s">
        <v>31</v>
      </c>
      <c r="M19" s="1" t="s">
        <v>310</v>
      </c>
      <c r="N19" s="22" t="s">
        <v>296</v>
      </c>
      <c r="O19" s="3" t="s">
        <v>282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 spans="1:26">
      <c r="A20" s="26" t="s">
        <v>70</v>
      </c>
      <c r="B20" s="3" t="s">
        <v>71</v>
      </c>
      <c r="C20" s="3" t="str">
        <f t="shared" si="0"/>
        <v>BTN1</v>
      </c>
      <c r="D20" s="3" t="s">
        <v>39</v>
      </c>
      <c r="E20" s="3" t="s">
        <v>39</v>
      </c>
      <c r="F20" s="3" t="s">
        <v>263</v>
      </c>
      <c r="G20" s="2">
        <v>62</v>
      </c>
      <c r="H20" s="2">
        <v>5</v>
      </c>
      <c r="I20" s="1" t="s">
        <v>311</v>
      </c>
      <c r="J20" s="1"/>
      <c r="K20" s="3" t="s">
        <v>31</v>
      </c>
      <c r="L20" s="3" t="s">
        <v>31</v>
      </c>
      <c r="M20" s="1" t="s">
        <v>312</v>
      </c>
      <c r="N20" s="22" t="s">
        <v>296</v>
      </c>
      <c r="O20" s="3" t="s">
        <v>282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 spans="1:26">
      <c r="A21" s="27" t="s">
        <v>238</v>
      </c>
      <c r="B21" s="3" t="s">
        <v>239</v>
      </c>
      <c r="C21" s="3" t="str">
        <f t="shared" si="0"/>
        <v>BTN1</v>
      </c>
      <c r="D21" s="3" t="s">
        <v>39</v>
      </c>
      <c r="E21" s="3" t="s">
        <v>39</v>
      </c>
      <c r="F21" s="3" t="s">
        <v>263</v>
      </c>
      <c r="G21" s="2">
        <v>91</v>
      </c>
      <c r="H21" s="2">
        <v>4</v>
      </c>
      <c r="I21" s="1" t="s">
        <v>313</v>
      </c>
      <c r="J21" s="1"/>
      <c r="K21" s="3" t="s">
        <v>31</v>
      </c>
      <c r="L21" s="3" t="s">
        <v>31</v>
      </c>
      <c r="M21" s="1" t="s">
        <v>284</v>
      </c>
      <c r="N21" s="22" t="s">
        <v>296</v>
      </c>
      <c r="O21" s="3" t="s">
        <v>282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 spans="1:26">
      <c r="A22" s="28" t="s">
        <v>205</v>
      </c>
      <c r="B22" s="3" t="s">
        <v>206</v>
      </c>
      <c r="C22" s="3" t="str">
        <f t="shared" si="0"/>
        <v>BTN1</v>
      </c>
      <c r="D22" s="3" t="s">
        <v>39</v>
      </c>
      <c r="E22" s="3" t="s">
        <v>39</v>
      </c>
      <c r="F22" s="3" t="s">
        <v>263</v>
      </c>
      <c r="G22" s="2">
        <v>94</v>
      </c>
      <c r="H22" s="2" t="s">
        <v>252</v>
      </c>
      <c r="I22" s="1" t="s">
        <v>314</v>
      </c>
      <c r="J22" s="1"/>
      <c r="K22" s="3" t="s">
        <v>31</v>
      </c>
      <c r="L22" s="29" t="s">
        <v>31</v>
      </c>
      <c r="M22" s="1" t="s">
        <v>315</v>
      </c>
      <c r="N22" s="22" t="s">
        <v>296</v>
      </c>
      <c r="O22" s="3" t="s">
        <v>282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 spans="1:26">
      <c r="A23" s="30" t="s">
        <v>74</v>
      </c>
      <c r="B23" s="15" t="s">
        <v>75</v>
      </c>
      <c r="C23" s="15" t="str">
        <f t="shared" si="0"/>
        <v>BTN1</v>
      </c>
      <c r="D23" s="15" t="s">
        <v>39</v>
      </c>
      <c r="E23" s="15" t="s">
        <v>39</v>
      </c>
      <c r="F23" s="15" t="s">
        <v>263</v>
      </c>
      <c r="G23" s="16">
        <v>94</v>
      </c>
      <c r="H23" s="16">
        <v>4.1</v>
      </c>
      <c r="I23" s="17" t="s">
        <v>316</v>
      </c>
      <c r="J23" s="17"/>
      <c r="K23" s="15" t="s">
        <v>31</v>
      </c>
      <c r="L23" s="15" t="s">
        <v>31</v>
      </c>
      <c r="M23" s="17" t="s">
        <v>317</v>
      </c>
      <c r="N23" s="31" t="s">
        <v>296</v>
      </c>
      <c r="O23" s="3" t="s">
        <v>282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hidden="1" customHeight="1" spans="1:26">
      <c r="A24" s="32" t="s">
        <v>318</v>
      </c>
      <c r="B24" s="32" t="s">
        <v>319</v>
      </c>
      <c r="C24" s="32" t="str">
        <f t="shared" si="0"/>
        <v>BTN1</v>
      </c>
      <c r="D24" s="32" t="s">
        <v>39</v>
      </c>
      <c r="E24" s="32" t="s">
        <v>39</v>
      </c>
      <c r="F24" s="32" t="s">
        <v>263</v>
      </c>
      <c r="G24" s="33">
        <v>18</v>
      </c>
      <c r="H24" s="33">
        <v>3.9</v>
      </c>
      <c r="I24" s="34" t="s">
        <v>320</v>
      </c>
      <c r="J24" s="34"/>
      <c r="K24" s="32" t="s">
        <v>277</v>
      </c>
      <c r="L24" s="32" t="s">
        <v>277</v>
      </c>
      <c r="M24" s="34" t="s">
        <v>321</v>
      </c>
      <c r="N24" s="35" t="s">
        <v>322</v>
      </c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9.5" customHeight="1" spans="1:26">
      <c r="A25" s="36" t="s">
        <v>55</v>
      </c>
      <c r="B25" s="8" t="s">
        <v>56</v>
      </c>
      <c r="C25" s="8" t="str">
        <f t="shared" si="0"/>
        <v>BTN1</v>
      </c>
      <c r="D25" s="8" t="s">
        <v>39</v>
      </c>
      <c r="E25" s="8" t="s">
        <v>39</v>
      </c>
      <c r="F25" s="8" t="s">
        <v>263</v>
      </c>
      <c r="G25" s="9">
        <v>53</v>
      </c>
      <c r="H25" s="9">
        <v>4.2</v>
      </c>
      <c r="I25" s="10" t="s">
        <v>293</v>
      </c>
      <c r="J25" s="10"/>
      <c r="K25" s="8" t="s">
        <v>277</v>
      </c>
      <c r="L25" s="8" t="s">
        <v>45</v>
      </c>
      <c r="M25" s="10" t="s">
        <v>323</v>
      </c>
      <c r="N25" s="37" t="s">
        <v>322</v>
      </c>
      <c r="O25" s="3" t="s">
        <v>282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 spans="1:26">
      <c r="A26" s="38" t="s">
        <v>324</v>
      </c>
      <c r="B26" s="3" t="s">
        <v>325</v>
      </c>
      <c r="C26" s="3" t="str">
        <f t="shared" si="0"/>
        <v>BTN1</v>
      </c>
      <c r="D26" s="3" t="s">
        <v>39</v>
      </c>
      <c r="E26" s="3" t="s">
        <v>39</v>
      </c>
      <c r="F26" s="3" t="s">
        <v>263</v>
      </c>
      <c r="G26" s="2">
        <v>67</v>
      </c>
      <c r="H26" s="2">
        <v>4.2</v>
      </c>
      <c r="I26" s="1" t="s">
        <v>326</v>
      </c>
      <c r="J26" s="1"/>
      <c r="K26" s="3" t="s">
        <v>277</v>
      </c>
      <c r="L26" s="3" t="s">
        <v>277</v>
      </c>
      <c r="M26" s="1" t="s">
        <v>327</v>
      </c>
      <c r="N26" s="39" t="s">
        <v>322</v>
      </c>
      <c r="O26" s="105" t="s">
        <v>328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 spans="1:26">
      <c r="A27" s="41" t="s">
        <v>329</v>
      </c>
      <c r="B27" s="3" t="s">
        <v>330</v>
      </c>
      <c r="C27" s="3" t="str">
        <f t="shared" si="0"/>
        <v>BTN1</v>
      </c>
      <c r="D27" s="3" t="s">
        <v>39</v>
      </c>
      <c r="E27" s="3" t="s">
        <v>39</v>
      </c>
      <c r="F27" s="3" t="s">
        <v>263</v>
      </c>
      <c r="G27" s="2">
        <v>76</v>
      </c>
      <c r="H27" s="2">
        <v>4.1</v>
      </c>
      <c r="I27" s="1" t="s">
        <v>331</v>
      </c>
      <c r="J27" s="1"/>
      <c r="K27" s="3" t="s">
        <v>277</v>
      </c>
      <c r="L27" s="3" t="s">
        <v>277</v>
      </c>
      <c r="M27" s="1" t="s">
        <v>332</v>
      </c>
      <c r="N27" s="39" t="s">
        <v>322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 spans="1:26">
      <c r="A28" s="41" t="s">
        <v>333</v>
      </c>
      <c r="B28" s="3" t="s">
        <v>334</v>
      </c>
      <c r="C28" s="3" t="str">
        <f t="shared" si="0"/>
        <v>BTN1</v>
      </c>
      <c r="D28" s="3" t="s">
        <v>39</v>
      </c>
      <c r="E28" s="3" t="s">
        <v>39</v>
      </c>
      <c r="F28" s="3" t="s">
        <v>263</v>
      </c>
      <c r="G28" s="2">
        <v>88</v>
      </c>
      <c r="H28" s="2">
        <v>4.3</v>
      </c>
      <c r="I28" s="1" t="s">
        <v>335</v>
      </c>
      <c r="J28" s="1"/>
      <c r="K28" s="3" t="s">
        <v>277</v>
      </c>
      <c r="L28" s="3" t="s">
        <v>277</v>
      </c>
      <c r="M28" s="1" t="s">
        <v>336</v>
      </c>
      <c r="N28" s="39" t="s">
        <v>322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 spans="1:26">
      <c r="A29" s="41" t="s">
        <v>337</v>
      </c>
      <c r="B29" s="3" t="s">
        <v>338</v>
      </c>
      <c r="C29" s="3" t="str">
        <f t="shared" si="0"/>
        <v>BTN1</v>
      </c>
      <c r="D29" s="3" t="s">
        <v>39</v>
      </c>
      <c r="E29" s="3" t="s">
        <v>39</v>
      </c>
      <c r="F29" s="3" t="s">
        <v>263</v>
      </c>
      <c r="G29" s="2">
        <v>95</v>
      </c>
      <c r="H29" s="2">
        <v>3.8</v>
      </c>
      <c r="I29" s="1" t="s">
        <v>339</v>
      </c>
      <c r="J29" s="1" t="s">
        <v>340</v>
      </c>
      <c r="K29" s="3" t="s">
        <v>277</v>
      </c>
      <c r="L29" s="3" t="s">
        <v>277</v>
      </c>
      <c r="M29" s="1" t="s">
        <v>341</v>
      </c>
      <c r="N29" s="39" t="s">
        <v>322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 spans="1:26">
      <c r="A30" s="41" t="s">
        <v>342</v>
      </c>
      <c r="B30" s="3" t="s">
        <v>343</v>
      </c>
      <c r="C30" s="3" t="str">
        <f t="shared" si="0"/>
        <v>BTN1</v>
      </c>
      <c r="D30" s="3" t="s">
        <v>39</v>
      </c>
      <c r="E30" s="3" t="s">
        <v>39</v>
      </c>
      <c r="F30" s="3" t="s">
        <v>263</v>
      </c>
      <c r="G30" s="2">
        <v>99</v>
      </c>
      <c r="H30" s="2">
        <v>4</v>
      </c>
      <c r="I30" s="1" t="s">
        <v>293</v>
      </c>
      <c r="J30" s="1" t="s">
        <v>294</v>
      </c>
      <c r="K30" s="3" t="s">
        <v>277</v>
      </c>
      <c r="L30" s="3" t="s">
        <v>277</v>
      </c>
      <c r="M30" s="1" t="s">
        <v>344</v>
      </c>
      <c r="N30" s="39" t="s">
        <v>322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 spans="1:26">
      <c r="A31" s="41" t="s">
        <v>345</v>
      </c>
      <c r="B31" s="3" t="s">
        <v>346</v>
      </c>
      <c r="C31" s="3" t="str">
        <f t="shared" si="0"/>
        <v>BTN1_Am</v>
      </c>
      <c r="D31" s="3" t="s">
        <v>39</v>
      </c>
      <c r="E31" s="3" t="s">
        <v>347</v>
      </c>
      <c r="F31" s="3" t="s">
        <v>263</v>
      </c>
      <c r="G31" s="2">
        <v>71</v>
      </c>
      <c r="H31" s="2">
        <v>4.8</v>
      </c>
      <c r="I31" s="1" t="s">
        <v>348</v>
      </c>
      <c r="J31" s="1" t="s">
        <v>349</v>
      </c>
      <c r="K31" s="3"/>
      <c r="L31" s="3" t="s">
        <v>277</v>
      </c>
      <c r="M31" s="1" t="s">
        <v>350</v>
      </c>
      <c r="N31" s="39" t="s">
        <v>322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 spans="1:26">
      <c r="A32" s="42" t="s">
        <v>351</v>
      </c>
      <c r="B32" s="15" t="s">
        <v>352</v>
      </c>
      <c r="C32" s="15" t="str">
        <f t="shared" si="0"/>
        <v>BTN1</v>
      </c>
      <c r="D32" s="15" t="s">
        <v>39</v>
      </c>
      <c r="E32" s="15" t="s">
        <v>39</v>
      </c>
      <c r="F32" s="15" t="s">
        <v>263</v>
      </c>
      <c r="G32" s="16">
        <v>98</v>
      </c>
      <c r="H32" s="16">
        <v>4.5</v>
      </c>
      <c r="I32" s="17" t="s">
        <v>353</v>
      </c>
      <c r="J32" s="17"/>
      <c r="K32" s="15"/>
      <c r="L32" s="15" t="s">
        <v>277</v>
      </c>
      <c r="M32" s="17" t="s">
        <v>354</v>
      </c>
      <c r="N32" s="43" t="s">
        <v>322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 spans="1:26">
      <c r="A33" s="44" t="s">
        <v>110</v>
      </c>
      <c r="B33" s="8" t="s">
        <v>111</v>
      </c>
      <c r="C33" s="8" t="str">
        <f t="shared" si="0"/>
        <v>BTN2.2</v>
      </c>
      <c r="D33" s="8" t="s">
        <v>30</v>
      </c>
      <c r="E33" s="8" t="s">
        <v>85</v>
      </c>
      <c r="F33" s="8" t="s">
        <v>263</v>
      </c>
      <c r="G33" s="9">
        <v>17</v>
      </c>
      <c r="H33" s="9">
        <v>4.9</v>
      </c>
      <c r="I33" s="10" t="s">
        <v>355</v>
      </c>
      <c r="J33" s="10"/>
      <c r="K33" s="8" t="s">
        <v>45</v>
      </c>
      <c r="L33" s="8" t="s">
        <v>45</v>
      </c>
      <c r="M33" s="10" t="s">
        <v>356</v>
      </c>
      <c r="N33" s="45" t="s">
        <v>357</v>
      </c>
      <c r="O33" s="3" t="s">
        <v>282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 spans="1:26">
      <c r="A34" s="46" t="s">
        <v>202</v>
      </c>
      <c r="B34" s="3" t="s">
        <v>203</v>
      </c>
      <c r="C34" s="3" t="str">
        <f t="shared" si="0"/>
        <v>BTN2.2</v>
      </c>
      <c r="D34" s="3" t="s">
        <v>30</v>
      </c>
      <c r="E34" s="3" t="s">
        <v>85</v>
      </c>
      <c r="F34" s="3" t="s">
        <v>263</v>
      </c>
      <c r="G34" s="2">
        <v>31</v>
      </c>
      <c r="H34" s="2">
        <v>5</v>
      </c>
      <c r="I34" s="1" t="s">
        <v>358</v>
      </c>
      <c r="J34" s="1"/>
      <c r="K34" s="3" t="s">
        <v>45</v>
      </c>
      <c r="L34" s="3" t="s">
        <v>45</v>
      </c>
      <c r="M34" s="1" t="s">
        <v>359</v>
      </c>
      <c r="N34" s="47" t="s">
        <v>357</v>
      </c>
      <c r="O34" s="3" t="s">
        <v>282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 spans="1:26">
      <c r="A35" s="48" t="s">
        <v>230</v>
      </c>
      <c r="B35" s="3" t="s">
        <v>231</v>
      </c>
      <c r="C35" s="3" t="str">
        <f t="shared" si="0"/>
        <v>BTN2.1</v>
      </c>
      <c r="D35" s="3" t="s">
        <v>30</v>
      </c>
      <c r="E35" s="3" t="s">
        <v>29</v>
      </c>
      <c r="F35" s="3" t="s">
        <v>263</v>
      </c>
      <c r="G35" s="2">
        <v>48</v>
      </c>
      <c r="H35" s="2">
        <v>5.6</v>
      </c>
      <c r="I35" s="1" t="s">
        <v>360</v>
      </c>
      <c r="J35" s="25" t="s">
        <v>361</v>
      </c>
      <c r="K35" s="3" t="s">
        <v>276</v>
      </c>
      <c r="L35" s="3" t="s">
        <v>277</v>
      </c>
      <c r="M35" s="1" t="s">
        <v>362</v>
      </c>
      <c r="N35" s="47" t="s">
        <v>357</v>
      </c>
      <c r="O35" s="3" t="s">
        <v>363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 spans="1:26">
      <c r="A36" s="46" t="s">
        <v>198</v>
      </c>
      <c r="B36" s="3" t="s">
        <v>199</v>
      </c>
      <c r="C36" s="3" t="str">
        <f t="shared" si="0"/>
        <v>BTN2.2</v>
      </c>
      <c r="D36" s="3" t="s">
        <v>30</v>
      </c>
      <c r="E36" s="3" t="s">
        <v>85</v>
      </c>
      <c r="F36" s="3" t="s">
        <v>263</v>
      </c>
      <c r="G36" s="2">
        <v>57</v>
      </c>
      <c r="H36" s="2">
        <v>5</v>
      </c>
      <c r="I36" s="1" t="s">
        <v>364</v>
      </c>
      <c r="J36" s="1"/>
      <c r="K36" s="3" t="s">
        <v>45</v>
      </c>
      <c r="L36" s="3" t="s">
        <v>45</v>
      </c>
      <c r="M36" s="1" t="s">
        <v>365</v>
      </c>
      <c r="N36" s="47" t="s">
        <v>357</v>
      </c>
      <c r="O36" s="3" t="s">
        <v>282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 spans="1:26">
      <c r="A37" s="49" t="s">
        <v>83</v>
      </c>
      <c r="B37" s="3" t="s">
        <v>84</v>
      </c>
      <c r="C37" s="3" t="str">
        <f t="shared" si="0"/>
        <v>BTN2.2</v>
      </c>
      <c r="D37" s="3" t="s">
        <v>30</v>
      </c>
      <c r="E37" s="3" t="s">
        <v>85</v>
      </c>
      <c r="F37" s="3" t="s">
        <v>263</v>
      </c>
      <c r="G37" s="2">
        <v>69</v>
      </c>
      <c r="H37" s="2">
        <v>5.2</v>
      </c>
      <c r="I37" s="1" t="s">
        <v>366</v>
      </c>
      <c r="J37" s="1"/>
      <c r="K37" s="3" t="s">
        <v>45</v>
      </c>
      <c r="L37" s="3" t="s">
        <v>45</v>
      </c>
      <c r="M37" s="1" t="s">
        <v>367</v>
      </c>
      <c r="N37" s="47" t="s">
        <v>357</v>
      </c>
      <c r="O37" s="3" t="s">
        <v>282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 spans="1:26">
      <c r="A38" s="49" t="s">
        <v>65</v>
      </c>
      <c r="B38" s="3" t="s">
        <v>66</v>
      </c>
      <c r="C38" s="3" t="str">
        <f t="shared" si="0"/>
        <v>BTN2.1</v>
      </c>
      <c r="D38" s="3" t="s">
        <v>30</v>
      </c>
      <c r="E38" s="3" t="s">
        <v>29</v>
      </c>
      <c r="F38" s="3" t="s">
        <v>263</v>
      </c>
      <c r="G38" s="2">
        <v>74</v>
      </c>
      <c r="H38" s="2">
        <v>5.4</v>
      </c>
      <c r="I38" s="1" t="s">
        <v>368</v>
      </c>
      <c r="J38" s="1"/>
      <c r="K38" s="3" t="s">
        <v>45</v>
      </c>
      <c r="L38" s="3" t="s">
        <v>45</v>
      </c>
      <c r="M38" s="1" t="s">
        <v>369</v>
      </c>
      <c r="N38" s="47" t="s">
        <v>357</v>
      </c>
      <c r="O38" s="3" t="s">
        <v>282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 spans="1:26">
      <c r="A39" s="12" t="s">
        <v>129</v>
      </c>
      <c r="B39" s="3" t="s">
        <v>130</v>
      </c>
      <c r="C39" s="3" t="str">
        <f t="shared" si="0"/>
        <v>BTN2.2</v>
      </c>
      <c r="D39" s="3" t="s">
        <v>30</v>
      </c>
      <c r="E39" s="3" t="s">
        <v>85</v>
      </c>
      <c r="F39" s="3" t="s">
        <v>263</v>
      </c>
      <c r="G39" s="2">
        <v>82</v>
      </c>
      <c r="H39" s="2">
        <v>5.3</v>
      </c>
      <c r="I39" s="1" t="s">
        <v>370</v>
      </c>
      <c r="J39" s="1" t="s">
        <v>294</v>
      </c>
      <c r="K39" s="3" t="s">
        <v>45</v>
      </c>
      <c r="L39" s="3" t="s">
        <v>45</v>
      </c>
      <c r="M39" s="1" t="s">
        <v>371</v>
      </c>
      <c r="N39" s="47" t="s">
        <v>357</v>
      </c>
      <c r="O39" s="3" t="s">
        <v>282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 spans="1:26">
      <c r="A40" s="14" t="s">
        <v>125</v>
      </c>
      <c r="B40" s="15" t="s">
        <v>126</v>
      </c>
      <c r="C40" s="15" t="str">
        <f t="shared" si="0"/>
        <v>BTN2.2</v>
      </c>
      <c r="D40" s="15" t="s">
        <v>30</v>
      </c>
      <c r="E40" s="15" t="s">
        <v>85</v>
      </c>
      <c r="F40" s="15" t="s">
        <v>263</v>
      </c>
      <c r="G40" s="16">
        <v>92</v>
      </c>
      <c r="H40" s="16">
        <v>4.9</v>
      </c>
      <c r="I40" s="17" t="s">
        <v>372</v>
      </c>
      <c r="J40" s="17" t="s">
        <v>373</v>
      </c>
      <c r="K40" s="15" t="s">
        <v>45</v>
      </c>
      <c r="L40" s="15" t="s">
        <v>45</v>
      </c>
      <c r="M40" s="17" t="s">
        <v>374</v>
      </c>
      <c r="N40" s="50" t="s">
        <v>357</v>
      </c>
      <c r="O40" s="3" t="s">
        <v>282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 spans="1:26">
      <c r="A41" s="51" t="s">
        <v>217</v>
      </c>
      <c r="B41" s="8" t="s">
        <v>218</v>
      </c>
      <c r="C41" s="8" t="str">
        <f t="shared" si="0"/>
        <v>BTN2.1</v>
      </c>
      <c r="D41" s="8" t="s">
        <v>30</v>
      </c>
      <c r="E41" s="8" t="s">
        <v>29</v>
      </c>
      <c r="F41" s="8" t="s">
        <v>263</v>
      </c>
      <c r="G41" s="9">
        <v>45</v>
      </c>
      <c r="H41" s="9">
        <v>4.9</v>
      </c>
      <c r="I41" s="10" t="s">
        <v>375</v>
      </c>
      <c r="J41" s="10" t="s">
        <v>376</v>
      </c>
      <c r="K41" s="8" t="s">
        <v>31</v>
      </c>
      <c r="L41" s="8" t="s">
        <v>31</v>
      </c>
      <c r="M41" s="10" t="s">
        <v>377</v>
      </c>
      <c r="N41" s="52" t="s">
        <v>378</v>
      </c>
      <c r="O41" s="3" t="s">
        <v>282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 spans="1:26">
      <c r="A42" s="53" t="s">
        <v>60</v>
      </c>
      <c r="B42" s="3" t="s">
        <v>61</v>
      </c>
      <c r="C42" s="3" t="str">
        <f t="shared" si="0"/>
        <v>BTN2.1</v>
      </c>
      <c r="D42" s="3" t="s">
        <v>30</v>
      </c>
      <c r="E42" s="3" t="s">
        <v>29</v>
      </c>
      <c r="F42" s="3" t="s">
        <v>263</v>
      </c>
      <c r="G42" s="2">
        <v>58</v>
      </c>
      <c r="H42" s="2">
        <v>5.4</v>
      </c>
      <c r="I42" s="1" t="s">
        <v>379</v>
      </c>
      <c r="J42" s="1"/>
      <c r="K42" s="3" t="s">
        <v>31</v>
      </c>
      <c r="L42" s="3" t="s">
        <v>31</v>
      </c>
      <c r="M42" s="1" t="s">
        <v>380</v>
      </c>
      <c r="N42" s="54" t="s">
        <v>378</v>
      </c>
      <c r="O42" s="3" t="s">
        <v>282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 spans="1:26">
      <c r="A43" s="53" t="s">
        <v>97</v>
      </c>
      <c r="B43" s="3" t="s">
        <v>98</v>
      </c>
      <c r="C43" s="3" t="str">
        <f t="shared" si="0"/>
        <v>BTN2.1</v>
      </c>
      <c r="D43" s="3" t="s">
        <v>30</v>
      </c>
      <c r="E43" s="3" t="s">
        <v>29</v>
      </c>
      <c r="F43" s="3" t="s">
        <v>263</v>
      </c>
      <c r="G43" s="2">
        <v>67</v>
      </c>
      <c r="H43" s="2">
        <v>5.4</v>
      </c>
      <c r="I43" s="1" t="s">
        <v>381</v>
      </c>
      <c r="J43" s="1"/>
      <c r="K43" s="3" t="s">
        <v>31</v>
      </c>
      <c r="L43" s="3" t="s">
        <v>31</v>
      </c>
      <c r="M43" s="1" t="s">
        <v>382</v>
      </c>
      <c r="N43" s="54" t="s">
        <v>378</v>
      </c>
      <c r="O43" s="3" t="s">
        <v>282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 spans="1:26">
      <c r="A44" s="55" t="s">
        <v>27</v>
      </c>
      <c r="B44" s="15" t="s">
        <v>28</v>
      </c>
      <c r="C44" s="15" t="str">
        <f t="shared" si="0"/>
        <v>BTN2.1</v>
      </c>
      <c r="D44" s="15" t="s">
        <v>30</v>
      </c>
      <c r="E44" s="15" t="s">
        <v>29</v>
      </c>
      <c r="F44" s="15" t="s">
        <v>263</v>
      </c>
      <c r="G44" s="16">
        <v>90</v>
      </c>
      <c r="H44" s="16">
        <v>5.2</v>
      </c>
      <c r="I44" s="17" t="s">
        <v>383</v>
      </c>
      <c r="J44" s="17"/>
      <c r="K44" s="15" t="s">
        <v>31</v>
      </c>
      <c r="L44" s="15" t="s">
        <v>31</v>
      </c>
      <c r="M44" s="17" t="s">
        <v>384</v>
      </c>
      <c r="N44" s="56" t="s">
        <v>378</v>
      </c>
      <c r="O44" s="3" t="s">
        <v>282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hidden="1" customHeight="1" spans="1:26">
      <c r="A45" s="32" t="s">
        <v>385</v>
      </c>
      <c r="B45" s="32" t="s">
        <v>386</v>
      </c>
      <c r="C45" s="32" t="str">
        <f t="shared" si="0"/>
        <v>BTN2.1</v>
      </c>
      <c r="D45" s="32" t="s">
        <v>30</v>
      </c>
      <c r="E45" s="32" t="s">
        <v>29</v>
      </c>
      <c r="F45" s="32" t="s">
        <v>263</v>
      </c>
      <c r="G45" s="57">
        <v>24</v>
      </c>
      <c r="H45" s="57">
        <v>5.4</v>
      </c>
      <c r="I45" s="34" t="s">
        <v>387</v>
      </c>
      <c r="J45" s="34"/>
      <c r="K45" s="32" t="s">
        <v>277</v>
      </c>
      <c r="L45" s="32" t="s">
        <v>277</v>
      </c>
      <c r="M45" s="34" t="s">
        <v>388</v>
      </c>
      <c r="N45" s="58" t="s">
        <v>389</v>
      </c>
      <c r="O45" s="3" t="s">
        <v>282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9.5" hidden="1" customHeight="1" spans="1:26">
      <c r="A46" s="32" t="s">
        <v>390</v>
      </c>
      <c r="B46" s="32" t="s">
        <v>391</v>
      </c>
      <c r="C46" s="32" t="str">
        <f t="shared" si="0"/>
        <v>BTN2.1</v>
      </c>
      <c r="D46" s="32" t="s">
        <v>30</v>
      </c>
      <c r="E46" s="32" t="s">
        <v>29</v>
      </c>
      <c r="F46" s="32" t="s">
        <v>263</v>
      </c>
      <c r="G46" s="57">
        <v>24</v>
      </c>
      <c r="H46" s="57">
        <v>5.1</v>
      </c>
      <c r="I46" s="34" t="s">
        <v>293</v>
      </c>
      <c r="J46" s="34"/>
      <c r="K46" s="32" t="s">
        <v>277</v>
      </c>
      <c r="L46" s="32" t="s">
        <v>277</v>
      </c>
      <c r="M46" s="34" t="s">
        <v>392</v>
      </c>
      <c r="N46" s="58" t="s">
        <v>389</v>
      </c>
      <c r="O46" s="3" t="s">
        <v>282</v>
      </c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9.5" customHeight="1" spans="1:26">
      <c r="A47" s="59" t="s">
        <v>213</v>
      </c>
      <c r="B47" s="8" t="s">
        <v>214</v>
      </c>
      <c r="C47" s="8" t="str">
        <f t="shared" si="0"/>
        <v>BTN2.1</v>
      </c>
      <c r="D47" s="8" t="s">
        <v>30</v>
      </c>
      <c r="E47" s="8" t="s">
        <v>29</v>
      </c>
      <c r="F47" s="8" t="s">
        <v>263</v>
      </c>
      <c r="G47" s="9">
        <v>60</v>
      </c>
      <c r="H47" s="9">
        <v>4.5</v>
      </c>
      <c r="I47" s="10" t="s">
        <v>293</v>
      </c>
      <c r="J47" s="10" t="s">
        <v>294</v>
      </c>
      <c r="K47" s="8" t="s">
        <v>277</v>
      </c>
      <c r="L47" s="8" t="s">
        <v>277</v>
      </c>
      <c r="M47" s="10" t="s">
        <v>393</v>
      </c>
      <c r="N47" s="60" t="s">
        <v>389</v>
      </c>
      <c r="O47" s="3" t="s">
        <v>282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 spans="1:26">
      <c r="A48" s="41" t="s">
        <v>394</v>
      </c>
      <c r="B48" s="3" t="s">
        <v>395</v>
      </c>
      <c r="C48" s="3" t="str">
        <f t="shared" si="0"/>
        <v>BTN2.2</v>
      </c>
      <c r="D48" s="3" t="s">
        <v>30</v>
      </c>
      <c r="E48" s="3" t="s">
        <v>85</v>
      </c>
      <c r="F48" s="3" t="s">
        <v>263</v>
      </c>
      <c r="G48" s="2">
        <v>71</v>
      </c>
      <c r="H48" s="2">
        <v>5.3</v>
      </c>
      <c r="I48" s="1" t="s">
        <v>396</v>
      </c>
      <c r="J48" s="1"/>
      <c r="K48" s="3" t="s">
        <v>277</v>
      </c>
      <c r="L48" s="3" t="s">
        <v>277</v>
      </c>
      <c r="M48" s="1" t="s">
        <v>397</v>
      </c>
      <c r="N48" s="61" t="s">
        <v>389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 spans="1:26">
      <c r="A49" s="41" t="s">
        <v>398</v>
      </c>
      <c r="B49" s="3" t="s">
        <v>399</v>
      </c>
      <c r="C49" s="3" t="str">
        <f t="shared" si="0"/>
        <v>BTN2.1</v>
      </c>
      <c r="D49" s="3" t="s">
        <v>30</v>
      </c>
      <c r="E49" s="3" t="s">
        <v>29</v>
      </c>
      <c r="F49" s="3" t="s">
        <v>263</v>
      </c>
      <c r="G49" s="2">
        <v>73</v>
      </c>
      <c r="H49" s="2">
        <v>5.5</v>
      </c>
      <c r="I49" s="1" t="s">
        <v>400</v>
      </c>
      <c r="J49" s="1"/>
      <c r="K49" s="3" t="s">
        <v>277</v>
      </c>
      <c r="L49" s="3" t="s">
        <v>277</v>
      </c>
      <c r="M49" s="1" t="s">
        <v>401</v>
      </c>
      <c r="N49" s="61" t="s">
        <v>389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 spans="1:26">
      <c r="A50" s="41" t="s">
        <v>402</v>
      </c>
      <c r="B50" s="3" t="s">
        <v>403</v>
      </c>
      <c r="C50" s="3" t="str">
        <f t="shared" si="0"/>
        <v>BTN2.1</v>
      </c>
      <c r="D50" s="3" t="s">
        <v>30</v>
      </c>
      <c r="E50" s="3" t="s">
        <v>29</v>
      </c>
      <c r="F50" s="3" t="s">
        <v>263</v>
      </c>
      <c r="G50" s="2">
        <v>79</v>
      </c>
      <c r="H50" s="2">
        <v>5</v>
      </c>
      <c r="I50" s="1" t="s">
        <v>404</v>
      </c>
      <c r="J50" s="1"/>
      <c r="K50" s="3" t="s">
        <v>277</v>
      </c>
      <c r="L50" s="3" t="s">
        <v>277</v>
      </c>
      <c r="M50" s="1" t="s">
        <v>405</v>
      </c>
      <c r="N50" s="61" t="s">
        <v>389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 spans="1:26">
      <c r="A51" s="41" t="s">
        <v>406</v>
      </c>
      <c r="B51" s="3" t="s">
        <v>407</v>
      </c>
      <c r="C51" s="3" t="str">
        <f t="shared" si="0"/>
        <v>BTN2.1</v>
      </c>
      <c r="D51" s="3" t="s">
        <v>30</v>
      </c>
      <c r="E51" s="3" t="s">
        <v>29</v>
      </c>
      <c r="F51" s="3" t="s">
        <v>263</v>
      </c>
      <c r="G51" s="2">
        <v>80</v>
      </c>
      <c r="H51" s="2">
        <v>5.8</v>
      </c>
      <c r="I51" s="1" t="s">
        <v>408</v>
      </c>
      <c r="J51" s="1"/>
      <c r="K51" s="3" t="s">
        <v>277</v>
      </c>
      <c r="L51" s="3" t="s">
        <v>277</v>
      </c>
      <c r="M51" s="1" t="s">
        <v>409</v>
      </c>
      <c r="N51" s="61" t="s">
        <v>389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 spans="1:26">
      <c r="A52" s="41" t="s">
        <v>410</v>
      </c>
      <c r="B52" s="3" t="s">
        <v>411</v>
      </c>
      <c r="C52" s="3" t="str">
        <f t="shared" si="0"/>
        <v>BTN2.2</v>
      </c>
      <c r="D52" s="3" t="s">
        <v>30</v>
      </c>
      <c r="E52" s="3" t="s">
        <v>85</v>
      </c>
      <c r="F52" s="3" t="s">
        <v>263</v>
      </c>
      <c r="G52" s="62">
        <v>80</v>
      </c>
      <c r="H52" s="2">
        <v>4.9</v>
      </c>
      <c r="I52" s="1" t="s">
        <v>412</v>
      </c>
      <c r="J52" s="1"/>
      <c r="K52" s="3" t="s">
        <v>277</v>
      </c>
      <c r="L52" s="3" t="s">
        <v>277</v>
      </c>
      <c r="M52" s="1" t="s">
        <v>413</v>
      </c>
      <c r="N52" s="61" t="s">
        <v>389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 spans="1:26">
      <c r="A53" s="27" t="s">
        <v>209</v>
      </c>
      <c r="B53" s="3" t="s">
        <v>210</v>
      </c>
      <c r="C53" s="3" t="str">
        <f t="shared" si="0"/>
        <v>BTN2.1</v>
      </c>
      <c r="D53" s="3" t="s">
        <v>30</v>
      </c>
      <c r="E53" s="3" t="s">
        <v>29</v>
      </c>
      <c r="F53" s="3" t="s">
        <v>263</v>
      </c>
      <c r="G53" s="2">
        <v>89</v>
      </c>
      <c r="H53" s="2">
        <v>4.7</v>
      </c>
      <c r="I53" s="1" t="s">
        <v>414</v>
      </c>
      <c r="J53" s="1"/>
      <c r="K53" s="3" t="s">
        <v>277</v>
      </c>
      <c r="L53" s="3" t="s">
        <v>277</v>
      </c>
      <c r="M53" s="1" t="s">
        <v>415</v>
      </c>
      <c r="N53" s="61" t="s">
        <v>389</v>
      </c>
      <c r="O53" s="3" t="s">
        <v>282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 spans="1:26">
      <c r="A54" s="41" t="s">
        <v>416</v>
      </c>
      <c r="B54" s="3" t="s">
        <v>417</v>
      </c>
      <c r="C54" s="3" t="str">
        <f t="shared" si="0"/>
        <v>BTN2.2</v>
      </c>
      <c r="D54" s="3" t="s">
        <v>30</v>
      </c>
      <c r="E54" s="3" t="s">
        <v>85</v>
      </c>
      <c r="F54" s="3" t="s">
        <v>263</v>
      </c>
      <c r="G54" s="2">
        <v>90</v>
      </c>
      <c r="H54" s="2" t="s">
        <v>252</v>
      </c>
      <c r="I54" s="1" t="s">
        <v>418</v>
      </c>
      <c r="J54" s="1" t="s">
        <v>419</v>
      </c>
      <c r="K54" s="3" t="s">
        <v>277</v>
      </c>
      <c r="L54" s="3" t="s">
        <v>277</v>
      </c>
      <c r="M54" s="1" t="s">
        <v>420</v>
      </c>
      <c r="N54" s="61" t="s">
        <v>389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 spans="1:26">
      <c r="A55" s="41" t="s">
        <v>226</v>
      </c>
      <c r="B55" s="3" t="s">
        <v>227</v>
      </c>
      <c r="C55" s="3" t="str">
        <f t="shared" si="0"/>
        <v>BTN2.1</v>
      </c>
      <c r="D55" s="3" t="s">
        <v>30</v>
      </c>
      <c r="E55" s="3" t="s">
        <v>29</v>
      </c>
      <c r="F55" s="3" t="s">
        <v>263</v>
      </c>
      <c r="G55" s="2">
        <v>92</v>
      </c>
      <c r="H55" s="2">
        <v>5.1</v>
      </c>
      <c r="I55" s="1" t="s">
        <v>421</v>
      </c>
      <c r="J55" s="1"/>
      <c r="K55" s="3" t="s">
        <v>277</v>
      </c>
      <c r="L55" s="3" t="s">
        <v>277</v>
      </c>
      <c r="M55" s="1" t="s">
        <v>422</v>
      </c>
      <c r="N55" s="61" t="s">
        <v>389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 spans="1:26">
      <c r="A56" s="41" t="s">
        <v>423</v>
      </c>
      <c r="B56" s="3" t="s">
        <v>424</v>
      </c>
      <c r="C56" s="3" t="str">
        <f t="shared" si="0"/>
        <v>BTN2.1</v>
      </c>
      <c r="D56" s="3" t="s">
        <v>30</v>
      </c>
      <c r="E56" s="3" t="s">
        <v>29</v>
      </c>
      <c r="F56" s="3" t="s">
        <v>263</v>
      </c>
      <c r="G56" s="2">
        <v>93</v>
      </c>
      <c r="H56" s="2">
        <v>5.6</v>
      </c>
      <c r="I56" s="1" t="s">
        <v>425</v>
      </c>
      <c r="J56" s="1"/>
      <c r="K56" s="3" t="s">
        <v>277</v>
      </c>
      <c r="L56" s="3" t="s">
        <v>277</v>
      </c>
      <c r="M56" s="1" t="s">
        <v>426</v>
      </c>
      <c r="N56" s="61" t="s">
        <v>389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 spans="1:26">
      <c r="A57" s="41" t="s">
        <v>427</v>
      </c>
      <c r="B57" s="3" t="s">
        <v>428</v>
      </c>
      <c r="C57" s="3" t="str">
        <f t="shared" si="0"/>
        <v>BTN2.1</v>
      </c>
      <c r="D57" s="3" t="s">
        <v>30</v>
      </c>
      <c r="E57" s="3" t="s">
        <v>29</v>
      </c>
      <c r="F57" s="3" t="s">
        <v>263</v>
      </c>
      <c r="G57" s="2">
        <v>99</v>
      </c>
      <c r="H57" s="2" t="s">
        <v>252</v>
      </c>
      <c r="I57" s="1" t="s">
        <v>429</v>
      </c>
      <c r="J57" s="1" t="s">
        <v>430</v>
      </c>
      <c r="K57" s="3" t="s">
        <v>277</v>
      </c>
      <c r="L57" s="3" t="s">
        <v>277</v>
      </c>
      <c r="M57" s="1" t="s">
        <v>431</v>
      </c>
      <c r="N57" s="61" t="s">
        <v>389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 spans="1:26">
      <c r="A58" s="38" t="s">
        <v>432</v>
      </c>
      <c r="B58" s="3" t="s">
        <v>433</v>
      </c>
      <c r="C58" s="3" t="str">
        <f t="shared" si="0"/>
        <v>BTN2.1</v>
      </c>
      <c r="D58" s="3" t="s">
        <v>30</v>
      </c>
      <c r="E58" s="3" t="s">
        <v>29</v>
      </c>
      <c r="F58" s="3" t="s">
        <v>263</v>
      </c>
      <c r="G58" s="2">
        <v>64</v>
      </c>
      <c r="H58" s="2">
        <v>6</v>
      </c>
      <c r="I58" s="1" t="s">
        <v>434</v>
      </c>
      <c r="J58" s="1"/>
      <c r="K58" s="3" t="s">
        <v>276</v>
      </c>
      <c r="L58" s="3" t="s">
        <v>277</v>
      </c>
      <c r="M58" s="1" t="s">
        <v>435</v>
      </c>
      <c r="N58" s="61" t="s">
        <v>389</v>
      </c>
      <c r="O58" s="106" t="s">
        <v>328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 spans="1:26">
      <c r="A59" s="23" t="s">
        <v>194</v>
      </c>
      <c r="B59" s="3" t="s">
        <v>195</v>
      </c>
      <c r="C59" s="3" t="str">
        <f t="shared" si="0"/>
        <v>BTN2.2</v>
      </c>
      <c r="D59" s="3" t="s">
        <v>30</v>
      </c>
      <c r="E59" s="3" t="s">
        <v>85</v>
      </c>
      <c r="F59" s="3" t="s">
        <v>263</v>
      </c>
      <c r="G59" s="2">
        <v>75</v>
      </c>
      <c r="H59" s="2">
        <v>4.8</v>
      </c>
      <c r="I59" s="1" t="s">
        <v>436</v>
      </c>
      <c r="J59" s="1"/>
      <c r="K59" s="3" t="s">
        <v>276</v>
      </c>
      <c r="L59" s="3" t="s">
        <v>277</v>
      </c>
      <c r="M59" s="1" t="s">
        <v>437</v>
      </c>
      <c r="N59" s="61" t="s">
        <v>389</v>
      </c>
      <c r="O59" s="3" t="s">
        <v>282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 spans="1:26">
      <c r="A60" s="23" t="s">
        <v>190</v>
      </c>
      <c r="B60" s="3" t="s">
        <v>191</v>
      </c>
      <c r="C60" s="3" t="str">
        <f t="shared" si="0"/>
        <v>BTN2.2</v>
      </c>
      <c r="D60" s="3" t="s">
        <v>30</v>
      </c>
      <c r="E60" s="3" t="s">
        <v>85</v>
      </c>
      <c r="F60" s="3" t="s">
        <v>263</v>
      </c>
      <c r="G60" s="2">
        <v>96</v>
      </c>
      <c r="H60" s="2">
        <v>4.4</v>
      </c>
      <c r="I60" s="1" t="s">
        <v>438</v>
      </c>
      <c r="J60" s="1"/>
      <c r="K60" s="3" t="s">
        <v>439</v>
      </c>
      <c r="L60" s="3" t="s">
        <v>277</v>
      </c>
      <c r="M60" s="1" t="s">
        <v>440</v>
      </c>
      <c r="N60" s="61" t="s">
        <v>389</v>
      </c>
      <c r="O60" s="3" t="s">
        <v>282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 spans="1:26">
      <c r="A61" s="64" t="s">
        <v>441</v>
      </c>
      <c r="B61" s="3" t="s">
        <v>442</v>
      </c>
      <c r="C61" s="3" t="str">
        <f t="shared" si="0"/>
        <v>BTN2.1</v>
      </c>
      <c r="D61" s="3" t="s">
        <v>30</v>
      </c>
      <c r="E61" s="3" t="s">
        <v>29</v>
      </c>
      <c r="F61" s="3" t="s">
        <v>263</v>
      </c>
      <c r="G61" s="2">
        <v>20</v>
      </c>
      <c r="H61" s="2">
        <v>5.9</v>
      </c>
      <c r="I61" s="1" t="s">
        <v>443</v>
      </c>
      <c r="J61" s="1"/>
      <c r="K61" s="3" t="s">
        <v>276</v>
      </c>
      <c r="L61" s="3" t="s">
        <v>277</v>
      </c>
      <c r="M61" s="1" t="s">
        <v>444</v>
      </c>
      <c r="N61" s="61" t="s">
        <v>389</v>
      </c>
      <c r="O61" s="24" t="s">
        <v>445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 spans="1:26">
      <c r="A62" s="64" t="s">
        <v>446</v>
      </c>
      <c r="B62" s="3" t="s">
        <v>447</v>
      </c>
      <c r="C62" s="3" t="str">
        <f t="shared" si="0"/>
        <v>BTN2.1</v>
      </c>
      <c r="D62" s="3" t="s">
        <v>30</v>
      </c>
      <c r="E62" s="3" t="s">
        <v>29</v>
      </c>
      <c r="F62" s="3" t="s">
        <v>263</v>
      </c>
      <c r="G62" s="2">
        <v>37</v>
      </c>
      <c r="H62" s="2">
        <v>4.8</v>
      </c>
      <c r="I62" s="1" t="s">
        <v>448</v>
      </c>
      <c r="J62" s="1"/>
      <c r="K62" s="3"/>
      <c r="L62" s="3" t="s">
        <v>277</v>
      </c>
      <c r="M62" s="1" t="s">
        <v>449</v>
      </c>
      <c r="N62" s="61" t="s">
        <v>389</v>
      </c>
      <c r="O62" s="24" t="s">
        <v>445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 spans="1:26">
      <c r="A63" s="41" t="s">
        <v>450</v>
      </c>
      <c r="B63" s="3" t="s">
        <v>451</v>
      </c>
      <c r="C63" s="3" t="str">
        <f t="shared" si="0"/>
        <v>BTN2.2</v>
      </c>
      <c r="D63" s="3" t="s">
        <v>30</v>
      </c>
      <c r="E63" s="3" t="s">
        <v>85</v>
      </c>
      <c r="F63" s="3" t="s">
        <v>263</v>
      </c>
      <c r="G63" s="2">
        <v>67</v>
      </c>
      <c r="H63" s="2">
        <v>5.6</v>
      </c>
      <c r="I63" s="1" t="s">
        <v>452</v>
      </c>
      <c r="J63" s="1" t="s">
        <v>453</v>
      </c>
      <c r="K63" s="3"/>
      <c r="L63" s="3" t="s">
        <v>277</v>
      </c>
      <c r="M63" s="1" t="s">
        <v>454</v>
      </c>
      <c r="N63" s="61" t="s">
        <v>389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 spans="1:26">
      <c r="A64" s="42" t="s">
        <v>455</v>
      </c>
      <c r="B64" s="15" t="s">
        <v>456</v>
      </c>
      <c r="C64" s="15" t="str">
        <f t="shared" si="0"/>
        <v>BTN2.2</v>
      </c>
      <c r="D64" s="15" t="s">
        <v>30</v>
      </c>
      <c r="E64" s="15" t="s">
        <v>85</v>
      </c>
      <c r="F64" s="15" t="s">
        <v>263</v>
      </c>
      <c r="G64" s="16">
        <v>86</v>
      </c>
      <c r="H64" s="16">
        <v>4.2</v>
      </c>
      <c r="I64" s="17" t="s">
        <v>457</v>
      </c>
      <c r="J64" s="17"/>
      <c r="K64" s="15"/>
      <c r="L64" s="15" t="s">
        <v>277</v>
      </c>
      <c r="M64" s="17"/>
      <c r="N64" s="65" t="s">
        <v>389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 spans="1:26">
      <c r="A65" s="66" t="s">
        <v>88</v>
      </c>
      <c r="B65" s="8" t="s">
        <v>89</v>
      </c>
      <c r="C65" s="8" t="str">
        <f t="shared" si="0"/>
        <v>no</v>
      </c>
      <c r="D65" s="8" t="s">
        <v>90</v>
      </c>
      <c r="E65" s="8" t="s">
        <v>90</v>
      </c>
      <c r="F65" s="8" t="s">
        <v>90</v>
      </c>
      <c r="G65" s="67">
        <v>0</v>
      </c>
      <c r="H65" s="67"/>
      <c r="I65" s="10" t="s">
        <v>458</v>
      </c>
      <c r="J65" s="10"/>
      <c r="K65" s="8" t="s">
        <v>45</v>
      </c>
      <c r="L65" s="8" t="s">
        <v>45</v>
      </c>
      <c r="M65" s="10" t="s">
        <v>459</v>
      </c>
      <c r="N65" s="68" t="s">
        <v>460</v>
      </c>
      <c r="O65" s="3" t="s">
        <v>282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 spans="1:26">
      <c r="A66" s="69" t="s">
        <v>177</v>
      </c>
      <c r="B66" s="3" t="s">
        <v>178</v>
      </c>
      <c r="C66" s="3" t="s">
        <v>461</v>
      </c>
      <c r="D66" s="70" t="s">
        <v>90</v>
      </c>
      <c r="E66" s="3" t="s">
        <v>253</v>
      </c>
      <c r="F66" s="3" t="s">
        <v>263</v>
      </c>
      <c r="G66" s="4">
        <v>0</v>
      </c>
      <c r="H66" s="4"/>
      <c r="I66" s="1" t="s">
        <v>462</v>
      </c>
      <c r="J66" s="1"/>
      <c r="K66" s="3" t="s">
        <v>45</v>
      </c>
      <c r="L66" s="3" t="s">
        <v>45</v>
      </c>
      <c r="M66" s="1" t="s">
        <v>463</v>
      </c>
      <c r="N66" s="71" t="s">
        <v>460</v>
      </c>
      <c r="O66" s="3" t="s">
        <v>464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 spans="1:26">
      <c r="A67" s="72" t="s">
        <v>149</v>
      </c>
      <c r="B67" s="3" t="s">
        <v>150</v>
      </c>
      <c r="C67" s="3" t="s">
        <v>252</v>
      </c>
      <c r="D67" s="3" t="s">
        <v>90</v>
      </c>
      <c r="E67" s="3" t="s">
        <v>253</v>
      </c>
      <c r="F67" s="3" t="s">
        <v>90</v>
      </c>
      <c r="G67" s="4">
        <v>0</v>
      </c>
      <c r="H67" s="4"/>
      <c r="I67" s="1" t="s">
        <v>465</v>
      </c>
      <c r="J67" s="1"/>
      <c r="K67" s="3" t="s">
        <v>45</v>
      </c>
      <c r="L67" s="3" t="s">
        <v>45</v>
      </c>
      <c r="M67" s="1" t="s">
        <v>466</v>
      </c>
      <c r="N67" s="71" t="s">
        <v>460</v>
      </c>
      <c r="O67" s="3" t="s">
        <v>282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 spans="1:26">
      <c r="A68" s="72" t="s">
        <v>121</v>
      </c>
      <c r="B68" s="3" t="s">
        <v>122</v>
      </c>
      <c r="C68" s="3" t="s">
        <v>252</v>
      </c>
      <c r="D68" s="3" t="s">
        <v>90</v>
      </c>
      <c r="E68" s="3" t="s">
        <v>253</v>
      </c>
      <c r="F68" s="3" t="s">
        <v>90</v>
      </c>
      <c r="G68" s="4">
        <v>0</v>
      </c>
      <c r="H68" s="4"/>
      <c r="I68" s="1" t="s">
        <v>467</v>
      </c>
      <c r="J68" s="1"/>
      <c r="K68" s="3" t="s">
        <v>45</v>
      </c>
      <c r="L68" s="3" t="s">
        <v>45</v>
      </c>
      <c r="M68" s="1" t="s">
        <v>468</v>
      </c>
      <c r="N68" s="71" t="s">
        <v>460</v>
      </c>
      <c r="O68" s="3" t="s">
        <v>282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 spans="1:26">
      <c r="A69" s="72" t="s">
        <v>114</v>
      </c>
      <c r="B69" s="3" t="s">
        <v>115</v>
      </c>
      <c r="C69" s="3" t="s">
        <v>252</v>
      </c>
      <c r="D69" s="3" t="s">
        <v>90</v>
      </c>
      <c r="E69" s="3" t="s">
        <v>253</v>
      </c>
      <c r="F69" s="3" t="s">
        <v>90</v>
      </c>
      <c r="G69" s="4">
        <v>0</v>
      </c>
      <c r="H69" s="4"/>
      <c r="I69" s="1" t="s">
        <v>469</v>
      </c>
      <c r="J69" s="1"/>
      <c r="K69" s="3" t="s">
        <v>45</v>
      </c>
      <c r="L69" s="3" t="s">
        <v>45</v>
      </c>
      <c r="M69" s="1" t="s">
        <v>470</v>
      </c>
      <c r="N69" s="71" t="s">
        <v>460</v>
      </c>
      <c r="O69" s="3" t="s">
        <v>282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 spans="1:26">
      <c r="A70" s="72" t="s">
        <v>169</v>
      </c>
      <c r="B70" s="3" t="s">
        <v>170</v>
      </c>
      <c r="C70" s="3" t="s">
        <v>252</v>
      </c>
      <c r="D70" s="3" t="s">
        <v>90</v>
      </c>
      <c r="E70" s="3" t="s">
        <v>253</v>
      </c>
      <c r="F70" s="3" t="s">
        <v>90</v>
      </c>
      <c r="G70" s="4">
        <v>0</v>
      </c>
      <c r="H70" s="4"/>
      <c r="I70" s="1" t="s">
        <v>471</v>
      </c>
      <c r="J70" s="1" t="s">
        <v>472</v>
      </c>
      <c r="K70" s="3" t="s">
        <v>45</v>
      </c>
      <c r="L70" s="3" t="s">
        <v>45</v>
      </c>
      <c r="M70" s="1" t="s">
        <v>473</v>
      </c>
      <c r="N70" s="71" t="s">
        <v>460</v>
      </c>
      <c r="O70" s="3" t="s">
        <v>282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 spans="1:26">
      <c r="A71" s="73" t="s">
        <v>165</v>
      </c>
      <c r="B71" s="15" t="s">
        <v>166</v>
      </c>
      <c r="C71" s="15" t="s">
        <v>252</v>
      </c>
      <c r="D71" s="15" t="s">
        <v>90</v>
      </c>
      <c r="E71" s="15" t="s">
        <v>253</v>
      </c>
      <c r="F71" s="15" t="s">
        <v>90</v>
      </c>
      <c r="G71" s="74">
        <v>0</v>
      </c>
      <c r="H71" s="74"/>
      <c r="I71" s="17" t="s">
        <v>474</v>
      </c>
      <c r="J71" s="17"/>
      <c r="K71" s="15" t="s">
        <v>45</v>
      </c>
      <c r="L71" s="15" t="s">
        <v>45</v>
      </c>
      <c r="M71" s="17" t="s">
        <v>475</v>
      </c>
      <c r="N71" s="75" t="s">
        <v>460</v>
      </c>
      <c r="O71" s="3" t="s">
        <v>282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 spans="1:26">
      <c r="A72" s="76" t="s">
        <v>160</v>
      </c>
      <c r="B72" s="8" t="s">
        <v>161</v>
      </c>
      <c r="C72" s="8" t="s">
        <v>461</v>
      </c>
      <c r="D72" s="8" t="s">
        <v>90</v>
      </c>
      <c r="E72" s="8" t="s">
        <v>253</v>
      </c>
      <c r="F72" s="8" t="s">
        <v>263</v>
      </c>
      <c r="G72" s="67">
        <v>0</v>
      </c>
      <c r="H72" s="67"/>
      <c r="I72" s="10" t="s">
        <v>476</v>
      </c>
      <c r="J72" s="10"/>
      <c r="K72" s="8" t="s">
        <v>31</v>
      </c>
      <c r="L72" s="8" t="s">
        <v>31</v>
      </c>
      <c r="M72" s="10" t="s">
        <v>405</v>
      </c>
      <c r="N72" s="77" t="s">
        <v>477</v>
      </c>
      <c r="O72" s="3" t="s">
        <v>478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 spans="1:26">
      <c r="A73" s="72" t="s">
        <v>106</v>
      </c>
      <c r="B73" s="3" t="s">
        <v>107</v>
      </c>
      <c r="C73" s="3" t="s">
        <v>252</v>
      </c>
      <c r="D73" s="3" t="s">
        <v>90</v>
      </c>
      <c r="E73" s="3" t="s">
        <v>253</v>
      </c>
      <c r="F73" s="3" t="s">
        <v>90</v>
      </c>
      <c r="G73" s="4">
        <v>0</v>
      </c>
      <c r="H73" s="4"/>
      <c r="I73" s="1" t="s">
        <v>479</v>
      </c>
      <c r="J73" s="1"/>
      <c r="K73" s="3" t="s">
        <v>31</v>
      </c>
      <c r="L73" s="3" t="s">
        <v>31</v>
      </c>
      <c r="M73" s="1" t="s">
        <v>480</v>
      </c>
      <c r="N73" s="78" t="s">
        <v>477</v>
      </c>
      <c r="O73" s="3" t="s">
        <v>282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 spans="1:26">
      <c r="A74" s="72" t="s">
        <v>157</v>
      </c>
      <c r="B74" s="3" t="s">
        <v>158</v>
      </c>
      <c r="C74" s="3" t="s">
        <v>461</v>
      </c>
      <c r="D74" s="3" t="s">
        <v>90</v>
      </c>
      <c r="E74" s="3" t="s">
        <v>253</v>
      </c>
      <c r="F74" s="3" t="s">
        <v>90</v>
      </c>
      <c r="G74" s="4">
        <v>0</v>
      </c>
      <c r="H74" s="4"/>
      <c r="I74" s="1" t="s">
        <v>481</v>
      </c>
      <c r="J74" s="1" t="s">
        <v>419</v>
      </c>
      <c r="K74" s="3" t="s">
        <v>31</v>
      </c>
      <c r="L74" s="3" t="s">
        <v>31</v>
      </c>
      <c r="M74" s="1" t="s">
        <v>482</v>
      </c>
      <c r="N74" s="78" t="s">
        <v>477</v>
      </c>
      <c r="O74" s="3" t="s">
        <v>282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 spans="1:26">
      <c r="A75" s="79" t="s">
        <v>483</v>
      </c>
      <c r="B75" s="3" t="s">
        <v>484</v>
      </c>
      <c r="C75" s="3" t="s">
        <v>252</v>
      </c>
      <c r="D75" s="3" t="s">
        <v>90</v>
      </c>
      <c r="E75" s="3" t="s">
        <v>253</v>
      </c>
      <c r="F75" s="3" t="s">
        <v>90</v>
      </c>
      <c r="G75" s="4">
        <v>0</v>
      </c>
      <c r="H75" s="4"/>
      <c r="I75" s="62" t="s">
        <v>293</v>
      </c>
      <c r="J75" s="1" t="s">
        <v>485</v>
      </c>
      <c r="K75" s="3" t="s">
        <v>31</v>
      </c>
      <c r="L75" s="3" t="s">
        <v>31</v>
      </c>
      <c r="M75" s="1" t="s">
        <v>486</v>
      </c>
      <c r="N75" s="78" t="s">
        <v>477</v>
      </c>
      <c r="O75" s="3" t="s">
        <v>487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 spans="1:26">
      <c r="A76" s="72" t="s">
        <v>133</v>
      </c>
      <c r="B76" s="3" t="s">
        <v>134</v>
      </c>
      <c r="C76" s="3" t="s">
        <v>252</v>
      </c>
      <c r="D76" s="3" t="s">
        <v>90</v>
      </c>
      <c r="E76" s="3" t="s">
        <v>253</v>
      </c>
      <c r="F76" s="3" t="s">
        <v>90</v>
      </c>
      <c r="G76" s="4">
        <v>0</v>
      </c>
      <c r="H76" s="4"/>
      <c r="I76" s="1" t="s">
        <v>293</v>
      </c>
      <c r="J76" s="1" t="s">
        <v>488</v>
      </c>
      <c r="K76" s="3" t="s">
        <v>31</v>
      </c>
      <c r="L76" s="3" t="s">
        <v>31</v>
      </c>
      <c r="M76" s="1" t="s">
        <v>489</v>
      </c>
      <c r="N76" s="78" t="s">
        <v>477</v>
      </c>
      <c r="O76" s="3" t="s">
        <v>282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 spans="1:26">
      <c r="A77" s="72" t="s">
        <v>153</v>
      </c>
      <c r="B77" s="3" t="s">
        <v>154</v>
      </c>
      <c r="C77" s="3" t="s">
        <v>252</v>
      </c>
      <c r="D77" s="3" t="s">
        <v>90</v>
      </c>
      <c r="E77" s="3" t="s">
        <v>253</v>
      </c>
      <c r="F77" s="3" t="s">
        <v>90</v>
      </c>
      <c r="G77" s="4">
        <v>0</v>
      </c>
      <c r="H77" s="4"/>
      <c r="I77" s="1" t="s">
        <v>490</v>
      </c>
      <c r="J77" s="1"/>
      <c r="K77" s="3" t="s">
        <v>31</v>
      </c>
      <c r="L77" s="3" t="s">
        <v>31</v>
      </c>
      <c r="M77" s="1" t="s">
        <v>491</v>
      </c>
      <c r="N77" s="78" t="s">
        <v>477</v>
      </c>
      <c r="O77" s="3" t="s">
        <v>282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 spans="1:26">
      <c r="A78" s="72" t="s">
        <v>118</v>
      </c>
      <c r="B78" s="3" t="s">
        <v>119</v>
      </c>
      <c r="C78" s="3" t="s">
        <v>252</v>
      </c>
      <c r="D78" s="3" t="s">
        <v>90</v>
      </c>
      <c r="E78" s="3" t="s">
        <v>253</v>
      </c>
      <c r="F78" s="3" t="s">
        <v>90</v>
      </c>
      <c r="G78" s="4">
        <v>0</v>
      </c>
      <c r="H78" s="4"/>
      <c r="I78" s="1" t="s">
        <v>492</v>
      </c>
      <c r="J78" s="1"/>
      <c r="K78" s="3" t="s">
        <v>31</v>
      </c>
      <c r="L78" s="3" t="s">
        <v>31</v>
      </c>
      <c r="M78" s="1" t="s">
        <v>470</v>
      </c>
      <c r="N78" s="78" t="s">
        <v>477</v>
      </c>
      <c r="O78" s="3" t="s">
        <v>282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 spans="1:26">
      <c r="A79" s="73" t="s">
        <v>173</v>
      </c>
      <c r="B79" s="15" t="s">
        <v>174</v>
      </c>
      <c r="C79" s="15" t="s">
        <v>461</v>
      </c>
      <c r="D79" s="15" t="s">
        <v>90</v>
      </c>
      <c r="E79" s="15" t="s">
        <v>253</v>
      </c>
      <c r="F79" s="15" t="s">
        <v>90</v>
      </c>
      <c r="G79" s="74">
        <v>0</v>
      </c>
      <c r="H79" s="74"/>
      <c r="I79" s="17" t="s">
        <v>493</v>
      </c>
      <c r="J79" s="17" t="s">
        <v>494</v>
      </c>
      <c r="K79" s="15" t="s">
        <v>31</v>
      </c>
      <c r="L79" s="15" t="s">
        <v>31</v>
      </c>
      <c r="M79" s="80" t="s">
        <v>495</v>
      </c>
      <c r="N79" s="81" t="s">
        <v>477</v>
      </c>
      <c r="O79" s="3" t="s">
        <v>282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 spans="1:26">
      <c r="A80" s="3" t="s">
        <v>496</v>
      </c>
      <c r="B80" s="3" t="s">
        <v>497</v>
      </c>
      <c r="C80" s="3" t="s">
        <v>252</v>
      </c>
      <c r="D80" s="3" t="s">
        <v>498</v>
      </c>
      <c r="E80" s="3" t="s">
        <v>253</v>
      </c>
      <c r="F80" s="3" t="s">
        <v>90</v>
      </c>
      <c r="G80" s="4"/>
      <c r="H80" s="4"/>
      <c r="I80" s="1" t="s">
        <v>499</v>
      </c>
      <c r="J80" s="1"/>
      <c r="K80" s="3" t="s">
        <v>45</v>
      </c>
      <c r="L80" s="3" t="s">
        <v>45</v>
      </c>
      <c r="M80" s="1" t="s">
        <v>500</v>
      </c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 spans="1:26">
      <c r="A81" s="3" t="s">
        <v>501</v>
      </c>
      <c r="B81" s="3" t="s">
        <v>502</v>
      </c>
      <c r="C81" s="3" t="s">
        <v>498</v>
      </c>
      <c r="D81" s="3" t="s">
        <v>498</v>
      </c>
      <c r="E81" s="3" t="s">
        <v>503</v>
      </c>
      <c r="F81" s="3" t="s">
        <v>263</v>
      </c>
      <c r="G81" s="2">
        <v>87</v>
      </c>
      <c r="H81" s="62">
        <v>6</v>
      </c>
      <c r="I81" s="1" t="s">
        <v>504</v>
      </c>
      <c r="J81" s="1"/>
      <c r="K81" s="3" t="s">
        <v>31</v>
      </c>
      <c r="L81" s="3" t="s">
        <v>31</v>
      </c>
      <c r="M81" s="1" t="s">
        <v>505</v>
      </c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 spans="1:26">
      <c r="A82" s="3" t="s">
        <v>506</v>
      </c>
      <c r="B82" s="3" t="s">
        <v>507</v>
      </c>
      <c r="C82" s="3" t="s">
        <v>461</v>
      </c>
      <c r="D82" s="3" t="s">
        <v>498</v>
      </c>
      <c r="E82" s="3" t="s">
        <v>253</v>
      </c>
      <c r="F82" s="3" t="s">
        <v>263</v>
      </c>
      <c r="G82" s="4"/>
      <c r="H82" s="4"/>
      <c r="I82" s="1" t="s">
        <v>508</v>
      </c>
      <c r="J82" s="1"/>
      <c r="K82" s="3"/>
      <c r="L82" s="3"/>
      <c r="M82" s="1" t="s">
        <v>509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 spans="1:26">
      <c r="A83" s="3" t="s">
        <v>510</v>
      </c>
      <c r="B83" s="3" t="s">
        <v>511</v>
      </c>
      <c r="C83" s="3" t="s">
        <v>252</v>
      </c>
      <c r="D83" s="3" t="s">
        <v>498</v>
      </c>
      <c r="E83" s="3" t="s">
        <v>253</v>
      </c>
      <c r="F83" s="3" t="s">
        <v>90</v>
      </c>
      <c r="G83" s="4"/>
      <c r="H83" s="4"/>
      <c r="I83" s="1" t="s">
        <v>512</v>
      </c>
      <c r="J83" s="1"/>
      <c r="K83" s="3"/>
      <c r="L83" s="3"/>
      <c r="M83" s="1" t="s">
        <v>513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 spans="1:26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 spans="1:26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 spans="1:26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 spans="1:26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 spans="1:26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 spans="1:26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 spans="1:26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 spans="1:26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 spans="1:26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 spans="1:26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 spans="1:26">
      <c r="A94" s="3"/>
      <c r="B94" s="8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 spans="1:26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 spans="1:26">
      <c r="A96" s="3"/>
      <c r="B96" s="8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 spans="1:26">
      <c r="A97" s="3"/>
      <c r="B97" s="8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 spans="1:26">
      <c r="A98" s="3"/>
      <c r="B98" s="8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 spans="1:26">
      <c r="A99" s="3"/>
      <c r="B99" s="8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 spans="1:26">
      <c r="A100" s="3"/>
      <c r="B100" s="8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G1:G83">
    <cfRule type="colorScale" priority="1">
      <colorScale>
        <cfvo type="min"/>
        <cfvo type="percentile" val="50"/>
        <cfvo type="max"/>
        <color rgb="FF2A6099"/>
        <color rgb="FFFFD7D7"/>
        <color rgb="FFFF0000"/>
      </colorScale>
    </cfRule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weibel_results</vt:lpstr>
      <vt:lpstr>Magadan23_collection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Mayorova</dc:creator>
  <cp:lastModifiedBy>WPS_1775125980</cp:lastModifiedBy>
  <dcterms:created xsi:type="dcterms:W3CDTF">2026-02-17T11:12:00Z</dcterms:created>
  <dcterms:modified xsi:type="dcterms:W3CDTF">2026-05-07T13:53:34Z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F594870CB11C4EF9B9BDD72103A0E7B6_13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