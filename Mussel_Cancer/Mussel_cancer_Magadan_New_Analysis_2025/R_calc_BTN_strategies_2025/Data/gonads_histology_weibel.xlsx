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<sst xmlns="http://schemas.openxmlformats.org/spreadsheetml/2006/main" count="172" uniqueCount="78">
  <si>
    <t>серия</t>
  </si>
  <si>
    <t>ID</t>
  </si>
  <si>
    <t>ID_ENG</t>
  </si>
  <si>
    <t>BTN_class</t>
  </si>
  <si>
    <t>Aneuploidy_rate</t>
  </si>
  <si>
    <t>пол</t>
  </si>
  <si>
    <t>гистология гонад</t>
  </si>
  <si>
    <t>connective tissue + DN (grid points) 40x</t>
  </si>
  <si>
    <t>gonadal tissue (grid points) 40x</t>
  </si>
  <si>
    <t>количество полей 40x</t>
  </si>
  <si>
    <t>размер поля (пикс) 40x</t>
  </si>
  <si>
    <t>размер поля (мкм) 40x</t>
  </si>
  <si>
    <t>connective tissue + DN (grid points) 20x</t>
  </si>
  <si>
    <t>gonadal tissue (grid points) 20x</t>
  </si>
  <si>
    <t>количество полей 20x</t>
  </si>
  <si>
    <t>размер поля (пикс) 20x</t>
  </si>
  <si>
    <t>размер поля (мкм) 20x</t>
  </si>
  <si>
    <t>доля гонадной ткани 40х, %</t>
  </si>
  <si>
    <t>доля гонадной ткани 20х, %</t>
  </si>
  <si>
    <t>Магадан_2023</t>
  </si>
  <si>
    <t>ЖЕМ_Б29</t>
  </si>
  <si>
    <t>JEM_B29</t>
  </si>
  <si>
    <t>BTN2.1</t>
  </si>
  <si>
    <t>м</t>
  </si>
  <si>
    <t>в соед. ткани много неопластических клеток, ацинусы маленькие, видны сперматиды, зона сперматоцитов совсем узкая</t>
  </si>
  <si>
    <t>4000x2997</t>
  </si>
  <si>
    <t>355.26x266.19</t>
  </si>
  <si>
    <t>710.52x532.38</t>
  </si>
  <si>
    <t>ЖЕМ_А28</t>
  </si>
  <si>
    <t>JEM_A28</t>
  </si>
  <si>
    <t>BTN1</t>
  </si>
  <si>
    <t>неопластических клеток совсем немного в соед. ткани, в ацинусах преобладает зона спермиев, в большинстве ацинусов спермии лежат разреженно, сперматоциты только в отдельных скоплениях</t>
  </si>
  <si>
    <t>УМ_Б4</t>
  </si>
  <si>
    <t>UM_B4</t>
  </si>
  <si>
    <t>ж</t>
  </si>
  <si>
    <t xml:space="preserve">в соед.ткани есть отдельные скопления неопластических клеток, редкие ацинусы совсем маленькие, в них оогонии и маленькие превителогенные ооциты, </t>
  </si>
  <si>
    <t>360.88x270.4</t>
  </si>
  <si>
    <t>ТИХ_А22</t>
  </si>
  <si>
    <t>TIH_A22</t>
  </si>
  <si>
    <t>В соед.ткани есть небольшие скопления неопластических клеток, ацинусы "пустые", до 5 шт ооцитов на срез, пространство между ооцитами заполнено стромой, ооциты растущие, видны оогонии, есть единичные маленькие превителогенные ооциты</t>
  </si>
  <si>
    <t>СВ_В18</t>
  </si>
  <si>
    <t>SV_V18</t>
  </si>
  <si>
    <t>x3 (ж?)</t>
  </si>
  <si>
    <t>В мантии преобладает соединительная ткань (адипогранулярные клетки в основном), неопластические клетки распределены диффузно, но есть и скопления. Малочисленные ацинусы пустые, в них есть гониальные клетки (больше похожи на оогонии), в некоторых ацинусах присутствуют гранулоциты.Интересно, что скопления гониев сильно ассиметричны - расположены ближе к внутренней стороне мантии.</t>
  </si>
  <si>
    <t>СВ_В7</t>
  </si>
  <si>
    <t>SV_V7</t>
  </si>
  <si>
    <t>В соед.ткани много неопластических клеток. Есть и эозинофилы. Много адипогранулярных клеток. Ацинусы пустые (как посленерестовые), сперматоцитов не видно, есть только очень узкая зона сперматид и пустота внутри.</t>
  </si>
  <si>
    <t>ОН_Б7</t>
  </si>
  <si>
    <t>ON_B7</t>
  </si>
  <si>
    <t>В мантии преобладает соединительная ткань (очень много адипогранулярных клеток), неопластические клетки распределены диффузно. Ацинусы очень маленькие, в них только оогонии и единичные ооциты.</t>
  </si>
  <si>
    <t>ОЛА_В10</t>
  </si>
  <si>
    <t>OLA_V10</t>
  </si>
  <si>
    <t>В мантии преобладает соединительная ткань (в основном везикулярные клетки, между которыми есть небольшие скопления неопластических базофилов), ацинусы очень маленькие, в них есть немного сперматогониев и иногда совсем немного сперматид. В мантии есть лакуны с базофилами.</t>
  </si>
  <si>
    <t>ОЛА_Б30</t>
  </si>
  <si>
    <t>OLA_B30</t>
  </si>
  <si>
    <t>В мантии преобладает соединительная ткань (в основном везикулярные клетки), ацинусы очень маленькие, в них есть немного сперматогониев и иногда совсем немного сперматид. В мантии есть большие скопления неопластических клеток.</t>
  </si>
  <si>
    <t>ОЛА_Б27</t>
  </si>
  <si>
    <t>OLA_B27</t>
  </si>
  <si>
    <t>В мантии преобладает соединительная ткань (в основном везикулярные клетки), ацинусы  маленькие, в них есть немного сперматогониев, сперматоцитов и иногда совсем немного сперматид. В мантии совсем немного неопластических клеток.</t>
  </si>
  <si>
    <t>МАР2_Б28</t>
  </si>
  <si>
    <t>MAR-II_B28</t>
  </si>
  <si>
    <t>BTN2.2</t>
  </si>
  <si>
    <t>МАМ_А24</t>
  </si>
  <si>
    <t>MAM_A24</t>
  </si>
  <si>
    <t>no</t>
  </si>
  <si>
    <t>Соединительной ткани между ацинусами очень мало (везикулярные клетки). Ацинусы плотно наполнены ооцитами разного размера (вителогенными).</t>
  </si>
  <si>
    <t>КАР_А32</t>
  </si>
  <si>
    <t>KAR_A32</t>
  </si>
  <si>
    <t>Соединительной ткани между ацинусами мало. В соед.ткани есть совсем немного эозинофилов и неопластических базофилов. В ацинусах преобладает зона сперматид и сперматозоидов.</t>
  </si>
  <si>
    <t>КАР_А22</t>
  </si>
  <si>
    <t>KAR_A22</t>
  </si>
  <si>
    <t>В мантии преобладает соединительная ткань, очень много неопластических базофилов, распределенных диффузно. Ацинусы полупустые (похожи на посленерестовые), в них немного сперматозоидов, в просвете некоторых ацинусов есть гранулоциты.</t>
  </si>
  <si>
    <t>ХОЛ_Д19</t>
  </si>
  <si>
    <t>HOL_D19</t>
  </si>
  <si>
    <t>В соед.ткани есть совсем немного неопластических базофилов. Преобладают везикулярные клетки, есть скопления мелких адипогранулярных клеток. В ацинусах ооциты (вителогенные) разного размера лежат не плотно, есть немного превителогенных ооцитов.</t>
  </si>
  <si>
    <t>ХОЛ_Д8</t>
  </si>
  <si>
    <t>HOL_D8</t>
  </si>
  <si>
    <t>В соед.ткани мантии преобладают везикулярные клетки, есть скопления адипогранулярных клеток, встречаются эозинофилы. В ацинусах преобладает зона сперматид и сперматозоидов (клетки лежат плотно), но и зона сперматоцитов заметная.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</si>
</sst>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3">
    <font>
      <sz val="11"/>
      <color theme="1"/>
      <name val="Calibri"/>
      <charset val="204"/>
      <scheme val="minor"/>
    </font>
    <font>
      <b/>
      <sz val="11"/>
      <color theme="1"/>
      <name val="Calibri"/>
      <charset val="204"/>
      <scheme val="minor"/>
    </font>
    <font>
      <sz val="10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8" fontId="3" fillId="0" borderId="0" applyFont="0" applyFill="0" applyBorder="0" applyAlignment="0" applyProtection="0">
      <alignment vertical="center"/>
    </xf>
    <xf numFmtId="179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7" applyNumberFormat="0" applyAlignment="0" applyProtection="0">
      <alignment vertical="center"/>
    </xf>
    <xf numFmtId="0" fontId="13" fillId="4" borderId="8" applyNumberFormat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5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0" fillId="0" borderId="1" xfId="0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2" xfId="0" applyFont="1" applyBorder="1" applyAlignment="1">
      <alignment wrapText="1"/>
    </xf>
    <xf numFmtId="0" fontId="0" fillId="0" borderId="1" xfId="0" applyBorder="1"/>
    <xf numFmtId="0" fontId="0" fillId="0" borderId="0" xfId="0" applyAlignment="1">
      <alignment wrapText="1"/>
    </xf>
    <xf numFmtId="0" fontId="0" fillId="0" borderId="3" xfId="0" applyBorder="1"/>
    <xf numFmtId="2" fontId="0" fillId="0" borderId="0" xfId="0" applyNumberFormat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7"/>
  <sheetViews>
    <sheetView tabSelected="1" workbookViewId="0">
      <selection activeCell="D1" sqref="D1"/>
    </sheetView>
  </sheetViews>
  <sheetFormatPr defaultColWidth="9" defaultRowHeight="14.4"/>
  <cols>
    <col min="2" max="2" width="15.712962962963" customWidth="1"/>
    <col min="3" max="3" width="14.1388888888889" customWidth="1"/>
    <col min="4" max="4" width="11.8518518518519" customWidth="1"/>
    <col min="7" max="7" width="72" customWidth="1"/>
    <col min="8" max="9" width="11.4259259259259" style="1" customWidth="1"/>
    <col min="11" max="11" width="10.1388888888889" customWidth="1"/>
    <col min="12" max="12" width="15" customWidth="1"/>
    <col min="13" max="13" width="13.287037037037" style="1" customWidth="1"/>
    <col min="14" max="14" width="11.1388888888889" style="1" customWidth="1"/>
    <col min="16" max="16" width="11.712962962963" customWidth="1"/>
    <col min="17" max="17" width="13.4259259259259" customWidth="1"/>
  </cols>
  <sheetData>
    <row r="1" ht="57.6" spans="1:21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5" t="s">
        <v>7</v>
      </c>
      <c r="I1" s="5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5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U1" s="3"/>
    </row>
    <row r="2" ht="48" customHeight="1" spans="1:19">
      <c r="A2" s="6" t="s">
        <v>19</v>
      </c>
      <c r="B2" t="s">
        <v>20</v>
      </c>
      <c r="C2" t="s">
        <v>21</v>
      </c>
      <c r="D2" t="s">
        <v>22</v>
      </c>
      <c r="E2">
        <v>90</v>
      </c>
      <c r="F2" t="s">
        <v>23</v>
      </c>
      <c r="G2" s="7" t="s">
        <v>24</v>
      </c>
      <c r="H2" s="1">
        <v>1928</v>
      </c>
      <c r="I2" s="1">
        <v>162</v>
      </c>
      <c r="J2">
        <v>5</v>
      </c>
      <c r="K2" t="s">
        <v>25</v>
      </c>
      <c r="L2" t="s">
        <v>26</v>
      </c>
      <c r="M2" s="1">
        <v>1978</v>
      </c>
      <c r="N2" s="1">
        <v>75</v>
      </c>
      <c r="O2">
        <v>5</v>
      </c>
      <c r="P2" t="s">
        <v>25</v>
      </c>
      <c r="Q2" t="s">
        <v>27</v>
      </c>
      <c r="R2" s="9">
        <f>I2/(H2+I2)*100</f>
        <v>7.7511961722488</v>
      </c>
      <c r="S2" s="9">
        <f>N2/(M2+N2)*100</f>
        <v>3.65319045299562</v>
      </c>
    </row>
    <row r="3" ht="48.75" customHeight="1" spans="1:19">
      <c r="A3" s="6" t="s">
        <v>19</v>
      </c>
      <c r="B3" t="s">
        <v>28</v>
      </c>
      <c r="C3" t="s">
        <v>29</v>
      </c>
      <c r="D3" t="s">
        <v>30</v>
      </c>
      <c r="E3">
        <v>13</v>
      </c>
      <c r="F3" t="s">
        <v>23</v>
      </c>
      <c r="G3" s="7" t="s">
        <v>31</v>
      </c>
      <c r="H3" s="1">
        <v>654</v>
      </c>
      <c r="I3" s="1">
        <v>960</v>
      </c>
      <c r="J3">
        <v>4</v>
      </c>
      <c r="K3" t="s">
        <v>25</v>
      </c>
      <c r="L3" t="s">
        <v>26</v>
      </c>
      <c r="M3" s="1">
        <v>490</v>
      </c>
      <c r="N3" s="1">
        <v>641</v>
      </c>
      <c r="O3">
        <v>3</v>
      </c>
      <c r="P3" t="s">
        <v>25</v>
      </c>
      <c r="Q3" t="s">
        <v>27</v>
      </c>
      <c r="R3" s="9">
        <f t="shared" ref="R3:R17" si="0">I3/(H3+I3)*100</f>
        <v>59.4795539033457</v>
      </c>
      <c r="S3" s="9">
        <f t="shared" ref="S3:S17" si="1">N3/(M3+N3)*100</f>
        <v>56.6755083996463</v>
      </c>
    </row>
    <row r="4" ht="54.75" customHeight="1" spans="1:19">
      <c r="A4" s="6" t="s">
        <v>19</v>
      </c>
      <c r="B4" t="s">
        <v>32</v>
      </c>
      <c r="C4" t="s">
        <v>33</v>
      </c>
      <c r="D4" t="s">
        <v>30</v>
      </c>
      <c r="E4">
        <v>98</v>
      </c>
      <c r="F4" t="s">
        <v>34</v>
      </c>
      <c r="G4" s="7" t="s">
        <v>35</v>
      </c>
      <c r="H4" s="1">
        <v>735</v>
      </c>
      <c r="I4" s="1">
        <v>56</v>
      </c>
      <c r="J4">
        <v>2</v>
      </c>
      <c r="K4" t="s">
        <v>25</v>
      </c>
      <c r="L4" t="s">
        <v>36</v>
      </c>
      <c r="M4" s="1">
        <v>406</v>
      </c>
      <c r="N4" s="1">
        <v>12</v>
      </c>
      <c r="O4">
        <v>1</v>
      </c>
      <c r="P4" t="s">
        <v>25</v>
      </c>
      <c r="Q4" t="s">
        <v>27</v>
      </c>
      <c r="R4" s="9">
        <f t="shared" si="0"/>
        <v>7.07964601769912</v>
      </c>
      <c r="S4" s="9">
        <f t="shared" si="1"/>
        <v>2.87081339712919</v>
      </c>
    </row>
    <row r="5" ht="59.25" customHeight="1" spans="1:19">
      <c r="A5" s="6" t="s">
        <v>19</v>
      </c>
      <c r="B5" t="s">
        <v>37</v>
      </c>
      <c r="C5" t="s">
        <v>38</v>
      </c>
      <c r="D5" t="s">
        <v>30</v>
      </c>
      <c r="E5">
        <v>77</v>
      </c>
      <c r="F5" t="s">
        <v>34</v>
      </c>
      <c r="G5" s="7" t="s">
        <v>39</v>
      </c>
      <c r="H5" s="1">
        <v>1550</v>
      </c>
      <c r="I5" s="1">
        <v>934</v>
      </c>
      <c r="J5">
        <v>6</v>
      </c>
      <c r="K5" t="s">
        <v>25</v>
      </c>
      <c r="L5" t="s">
        <v>26</v>
      </c>
      <c r="M5" s="1">
        <v>983</v>
      </c>
      <c r="N5" s="1">
        <v>320</v>
      </c>
      <c r="O5">
        <v>4</v>
      </c>
      <c r="P5" t="s">
        <v>25</v>
      </c>
      <c r="Q5" t="s">
        <v>27</v>
      </c>
      <c r="R5" s="9">
        <f t="shared" si="0"/>
        <v>37.6006441223833</v>
      </c>
      <c r="S5" s="9">
        <f t="shared" si="1"/>
        <v>24.5587106676899</v>
      </c>
    </row>
    <row r="6" ht="102.75" customHeight="1" spans="1:19">
      <c r="A6" s="6" t="s">
        <v>19</v>
      </c>
      <c r="B6" t="s">
        <v>40</v>
      </c>
      <c r="C6" t="s">
        <v>41</v>
      </c>
      <c r="D6" t="s">
        <v>30</v>
      </c>
      <c r="E6">
        <v>53</v>
      </c>
      <c r="F6" t="s">
        <v>42</v>
      </c>
      <c r="G6" s="7" t="s">
        <v>43</v>
      </c>
      <c r="H6" s="1">
        <v>1805</v>
      </c>
      <c r="I6" s="1">
        <v>215</v>
      </c>
      <c r="J6">
        <v>5</v>
      </c>
      <c r="K6" t="s">
        <v>25</v>
      </c>
      <c r="L6" t="s">
        <v>36</v>
      </c>
      <c r="M6" s="1">
        <v>477</v>
      </c>
      <c r="N6" s="1">
        <v>19</v>
      </c>
      <c r="O6">
        <v>2</v>
      </c>
      <c r="P6" t="s">
        <v>25</v>
      </c>
      <c r="R6" s="9">
        <f t="shared" si="0"/>
        <v>10.6435643564356</v>
      </c>
      <c r="S6" s="9">
        <f t="shared" si="1"/>
        <v>3.83064516129032</v>
      </c>
    </row>
    <row r="7" ht="80.25" customHeight="1" spans="1:19">
      <c r="A7" s="6" t="s">
        <v>19</v>
      </c>
      <c r="B7" t="s">
        <v>44</v>
      </c>
      <c r="C7" t="s">
        <v>45</v>
      </c>
      <c r="D7" t="s">
        <v>22</v>
      </c>
      <c r="E7">
        <v>58</v>
      </c>
      <c r="F7" t="s">
        <v>23</v>
      </c>
      <c r="G7" s="7" t="s">
        <v>46</v>
      </c>
      <c r="H7" s="1">
        <v>858</v>
      </c>
      <c r="I7" s="1">
        <v>396</v>
      </c>
      <c r="J7">
        <v>3</v>
      </c>
      <c r="K7" t="s">
        <v>25</v>
      </c>
      <c r="L7" t="s">
        <v>26</v>
      </c>
      <c r="M7" s="1">
        <v>976</v>
      </c>
      <c r="N7" s="1">
        <v>209</v>
      </c>
      <c r="O7">
        <v>3</v>
      </c>
      <c r="P7" t="s">
        <v>25</v>
      </c>
      <c r="Q7" t="s">
        <v>27</v>
      </c>
      <c r="R7" s="9">
        <f t="shared" si="0"/>
        <v>31.5789473684211</v>
      </c>
      <c r="S7" s="9">
        <f t="shared" si="1"/>
        <v>17.6371308016878</v>
      </c>
    </row>
    <row r="8" ht="69" customHeight="1" spans="1:19">
      <c r="A8" s="6" t="s">
        <v>19</v>
      </c>
      <c r="B8" t="s">
        <v>47</v>
      </c>
      <c r="C8" t="s">
        <v>48</v>
      </c>
      <c r="D8" t="s">
        <v>22</v>
      </c>
      <c r="E8">
        <v>74</v>
      </c>
      <c r="F8" t="s">
        <v>34</v>
      </c>
      <c r="G8" s="7" t="s">
        <v>49</v>
      </c>
      <c r="H8" s="1">
        <v>1556</v>
      </c>
      <c r="I8" s="1">
        <v>101</v>
      </c>
      <c r="J8">
        <v>4</v>
      </c>
      <c r="K8" t="s">
        <v>25</v>
      </c>
      <c r="L8" t="s">
        <v>36</v>
      </c>
      <c r="M8" s="1">
        <v>2096</v>
      </c>
      <c r="N8" s="1">
        <v>49</v>
      </c>
      <c r="O8">
        <v>6</v>
      </c>
      <c r="P8" t="s">
        <v>25</v>
      </c>
      <c r="R8" s="9">
        <f t="shared" si="0"/>
        <v>6.09535304767652</v>
      </c>
      <c r="S8" s="9">
        <f t="shared" si="1"/>
        <v>2.28438228438228</v>
      </c>
    </row>
    <row r="9" ht="73.5" customHeight="1" spans="1:19">
      <c r="A9" s="6" t="s">
        <v>19</v>
      </c>
      <c r="B9" t="s">
        <v>50</v>
      </c>
      <c r="C9" t="s">
        <v>51</v>
      </c>
      <c r="D9" t="s">
        <v>30</v>
      </c>
      <c r="E9">
        <v>62</v>
      </c>
      <c r="F9" t="s">
        <v>23</v>
      </c>
      <c r="G9" s="7" t="s">
        <v>52</v>
      </c>
      <c r="H9" s="1">
        <v>1435</v>
      </c>
      <c r="I9" s="1">
        <v>83</v>
      </c>
      <c r="J9">
        <v>4</v>
      </c>
      <c r="K9" t="s">
        <v>25</v>
      </c>
      <c r="L9" t="s">
        <v>36</v>
      </c>
      <c r="M9" s="1">
        <v>933</v>
      </c>
      <c r="N9" s="1">
        <v>44</v>
      </c>
      <c r="O9">
        <v>5</v>
      </c>
      <c r="P9" t="s">
        <v>25</v>
      </c>
      <c r="R9" s="9">
        <f t="shared" si="0"/>
        <v>5.46772068511199</v>
      </c>
      <c r="S9" s="9">
        <f t="shared" si="1"/>
        <v>4.503582395087</v>
      </c>
    </row>
    <row r="10" ht="61.5" customHeight="1" spans="1:19">
      <c r="A10" s="6" t="s">
        <v>19</v>
      </c>
      <c r="B10" t="s">
        <v>53</v>
      </c>
      <c r="C10" t="s">
        <v>54</v>
      </c>
      <c r="D10" t="s">
        <v>30</v>
      </c>
      <c r="E10">
        <v>94</v>
      </c>
      <c r="F10" t="s">
        <v>23</v>
      </c>
      <c r="G10" s="7" t="s">
        <v>55</v>
      </c>
      <c r="H10" s="1">
        <v>1330</v>
      </c>
      <c r="I10" s="1">
        <v>51</v>
      </c>
      <c r="J10">
        <v>4</v>
      </c>
      <c r="K10" t="s">
        <v>25</v>
      </c>
      <c r="L10" t="s">
        <v>36</v>
      </c>
      <c r="M10" s="1">
        <v>917</v>
      </c>
      <c r="N10" s="1">
        <v>32</v>
      </c>
      <c r="O10">
        <v>4</v>
      </c>
      <c r="P10" t="s">
        <v>25</v>
      </c>
      <c r="R10" s="9">
        <f t="shared" si="0"/>
        <v>3.69297610427227</v>
      </c>
      <c r="S10" s="9">
        <f t="shared" si="1"/>
        <v>3.37197049525817</v>
      </c>
    </row>
    <row r="11" ht="69.75" customHeight="1" spans="1:19">
      <c r="A11" s="6" t="s">
        <v>19</v>
      </c>
      <c r="B11" t="s">
        <v>56</v>
      </c>
      <c r="C11" t="s">
        <v>57</v>
      </c>
      <c r="D11" t="s">
        <v>30</v>
      </c>
      <c r="E11">
        <v>50</v>
      </c>
      <c r="F11" t="s">
        <v>23</v>
      </c>
      <c r="G11" s="7" t="s">
        <v>58</v>
      </c>
      <c r="H11" s="1">
        <v>1086</v>
      </c>
      <c r="I11" s="1">
        <v>146</v>
      </c>
      <c r="J11">
        <v>3</v>
      </c>
      <c r="K11" t="s">
        <v>25</v>
      </c>
      <c r="L11" t="s">
        <v>26</v>
      </c>
      <c r="M11" s="1">
        <v>887</v>
      </c>
      <c r="N11" s="1">
        <v>135</v>
      </c>
      <c r="O11">
        <v>3</v>
      </c>
      <c r="P11" t="s">
        <v>25</v>
      </c>
      <c r="Q11" t="s">
        <v>27</v>
      </c>
      <c r="R11" s="9">
        <f t="shared" si="0"/>
        <v>11.8506493506494</v>
      </c>
      <c r="S11" s="9">
        <f t="shared" si="1"/>
        <v>13.2093933463796</v>
      </c>
    </row>
    <row r="12" ht="68.25" customHeight="1" spans="1:19">
      <c r="A12" s="6" t="s">
        <v>19</v>
      </c>
      <c r="B12" s="6" t="s">
        <v>59</v>
      </c>
      <c r="C12" s="6" t="s">
        <v>60</v>
      </c>
      <c r="D12" t="s">
        <v>61</v>
      </c>
      <c r="E12">
        <v>69</v>
      </c>
      <c r="F12" t="s">
        <v>34</v>
      </c>
      <c r="G12" s="7" t="s">
        <v>49</v>
      </c>
      <c r="H12" s="1">
        <v>1275</v>
      </c>
      <c r="I12" s="1">
        <v>27</v>
      </c>
      <c r="J12">
        <v>4</v>
      </c>
      <c r="K12" t="s">
        <v>25</v>
      </c>
      <c r="L12" t="s">
        <v>36</v>
      </c>
      <c r="M12" s="1">
        <v>407</v>
      </c>
      <c r="N12" s="1">
        <v>11</v>
      </c>
      <c r="O12">
        <v>1</v>
      </c>
      <c r="P12" t="s">
        <v>25</v>
      </c>
      <c r="R12" s="9">
        <f t="shared" si="0"/>
        <v>2.07373271889401</v>
      </c>
      <c r="S12" s="9">
        <f t="shared" si="1"/>
        <v>2.63157894736842</v>
      </c>
    </row>
    <row r="13" ht="46.5" customHeight="1" spans="1:19">
      <c r="A13" s="6" t="s">
        <v>19</v>
      </c>
      <c r="B13" s="8" t="s">
        <v>62</v>
      </c>
      <c r="C13" t="s">
        <v>63</v>
      </c>
      <c r="D13" t="s">
        <v>64</v>
      </c>
      <c r="E13">
        <v>0</v>
      </c>
      <c r="F13" t="s">
        <v>34</v>
      </c>
      <c r="G13" s="7" t="s">
        <v>65</v>
      </c>
      <c r="H13" s="1">
        <v>258</v>
      </c>
      <c r="I13" s="1">
        <v>1745</v>
      </c>
      <c r="J13">
        <v>5</v>
      </c>
      <c r="K13" t="s">
        <v>25</v>
      </c>
      <c r="L13" t="s">
        <v>26</v>
      </c>
      <c r="M13" s="1">
        <v>292</v>
      </c>
      <c r="N13" s="1">
        <v>1487</v>
      </c>
      <c r="O13">
        <v>5</v>
      </c>
      <c r="P13" t="s">
        <v>25</v>
      </c>
      <c r="Q13" t="s">
        <v>27</v>
      </c>
      <c r="R13" s="9">
        <f t="shared" si="0"/>
        <v>87.1193210184723</v>
      </c>
      <c r="S13" s="9">
        <f t="shared" si="1"/>
        <v>83.5862844294547</v>
      </c>
    </row>
    <row r="14" ht="45.75" customHeight="1" spans="1:19">
      <c r="A14" s="6" t="s">
        <v>19</v>
      </c>
      <c r="B14" s="6" t="s">
        <v>66</v>
      </c>
      <c r="C14" s="6" t="s">
        <v>67</v>
      </c>
      <c r="D14" t="s">
        <v>30</v>
      </c>
      <c r="E14">
        <v>12</v>
      </c>
      <c r="F14" t="s">
        <v>23</v>
      </c>
      <c r="G14" s="7" t="s">
        <v>68</v>
      </c>
      <c r="H14" s="1">
        <v>606</v>
      </c>
      <c r="I14" s="1">
        <v>1066</v>
      </c>
      <c r="J14">
        <v>4</v>
      </c>
      <c r="K14" t="s">
        <v>25</v>
      </c>
      <c r="L14" t="s">
        <v>26</v>
      </c>
      <c r="M14" s="1">
        <v>472</v>
      </c>
      <c r="N14" s="1">
        <v>1187</v>
      </c>
      <c r="O14">
        <v>4</v>
      </c>
      <c r="P14" t="s">
        <v>25</v>
      </c>
      <c r="Q14" t="s">
        <v>27</v>
      </c>
      <c r="R14" s="9">
        <f t="shared" si="0"/>
        <v>63.755980861244</v>
      </c>
      <c r="S14" s="9">
        <f t="shared" si="1"/>
        <v>71.5491259795057</v>
      </c>
    </row>
    <row r="15" ht="69.75" customHeight="1" spans="1:19">
      <c r="A15" s="6" t="s">
        <v>19</v>
      </c>
      <c r="B15" s="6" t="s">
        <v>69</v>
      </c>
      <c r="C15" s="6" t="s">
        <v>70</v>
      </c>
      <c r="D15" t="s">
        <v>22</v>
      </c>
      <c r="E15">
        <v>67</v>
      </c>
      <c r="F15" t="s">
        <v>23</v>
      </c>
      <c r="G15" s="7" t="s">
        <v>71</v>
      </c>
      <c r="H15" s="1">
        <v>1780</v>
      </c>
      <c r="I15" s="1">
        <v>688</v>
      </c>
      <c r="J15">
        <v>6</v>
      </c>
      <c r="K15" t="s">
        <v>25</v>
      </c>
      <c r="L15" t="s">
        <v>26</v>
      </c>
      <c r="M15" s="1">
        <v>1677</v>
      </c>
      <c r="N15" s="1">
        <v>402</v>
      </c>
      <c r="O15">
        <v>5</v>
      </c>
      <c r="P15" t="s">
        <v>25</v>
      </c>
      <c r="Q15" t="s">
        <v>27</v>
      </c>
      <c r="R15" s="9">
        <f t="shared" si="0"/>
        <v>27.8768233387358</v>
      </c>
      <c r="S15" s="9">
        <f t="shared" si="1"/>
        <v>19.3362193362193</v>
      </c>
    </row>
    <row r="16" ht="71.25" customHeight="1" spans="1:19">
      <c r="A16" s="6" t="s">
        <v>19</v>
      </c>
      <c r="B16" s="6" t="s">
        <v>72</v>
      </c>
      <c r="C16" s="6" t="s">
        <v>73</v>
      </c>
      <c r="D16" t="s">
        <v>30</v>
      </c>
      <c r="E16">
        <v>34</v>
      </c>
      <c r="F16" t="s">
        <v>34</v>
      </c>
      <c r="G16" s="7" t="s">
        <v>74</v>
      </c>
      <c r="H16" s="1">
        <v>1667</v>
      </c>
      <c r="I16" s="1">
        <v>1036</v>
      </c>
      <c r="J16">
        <v>7</v>
      </c>
      <c r="K16" t="s">
        <v>25</v>
      </c>
      <c r="L16" t="s">
        <v>36</v>
      </c>
      <c r="M16" s="1">
        <v>1247</v>
      </c>
      <c r="N16" s="1">
        <v>366</v>
      </c>
      <c r="O16">
        <v>4</v>
      </c>
      <c r="P16" t="s">
        <v>25</v>
      </c>
      <c r="R16" s="9">
        <f t="shared" si="0"/>
        <v>38.3277839437662</v>
      </c>
      <c r="S16" s="9">
        <f t="shared" si="1"/>
        <v>22.6906385616863</v>
      </c>
    </row>
    <row r="17" ht="71.25" customHeight="1" spans="1:19">
      <c r="A17" s="6" t="s">
        <v>19</v>
      </c>
      <c r="B17" s="6" t="s">
        <v>75</v>
      </c>
      <c r="C17" s="6" t="s">
        <v>76</v>
      </c>
      <c r="D17" t="s">
        <v>64</v>
      </c>
      <c r="E17">
        <v>0</v>
      </c>
      <c r="F17" t="s">
        <v>23</v>
      </c>
      <c r="G17" s="7" t="s">
        <v>77</v>
      </c>
      <c r="H17" s="1">
        <v>1593</v>
      </c>
      <c r="I17" s="1">
        <v>915</v>
      </c>
      <c r="J17">
        <v>6</v>
      </c>
      <c r="K17" t="s">
        <v>25</v>
      </c>
      <c r="L17" t="s">
        <v>36</v>
      </c>
      <c r="M17" s="1">
        <v>1931</v>
      </c>
      <c r="N17" s="1">
        <v>1319</v>
      </c>
      <c r="O17">
        <v>8</v>
      </c>
      <c r="P17" t="s">
        <v>25</v>
      </c>
      <c r="R17" s="9">
        <f t="shared" si="0"/>
        <v>36.4832535885167</v>
      </c>
      <c r="S17" s="9">
        <f t="shared" si="1"/>
        <v>40.5846153846154</v>
      </c>
    </row>
  </sheetData>
  <conditionalFormatting sqref="E1">
    <cfRule type="colorScale" priority="2">
      <colorScale>
        <cfvo type="min"/>
        <cfvo type="percentile" val="50"/>
        <cfvo type="max"/>
        <color rgb="FF2A6099"/>
        <color rgb="FFFFD7D7"/>
        <color rgb="FFFF0000"/>
      </colorScale>
    </cfRule>
  </conditionalFormatting>
  <conditionalFormatting sqref="U1">
    <cfRule type="colorScale" priority="1">
      <colorScale>
        <cfvo type="min"/>
        <cfvo type="percentile" val="50"/>
        <cfvo type="max"/>
        <color rgb="FF2A6099"/>
        <color rgb="FFFFD7D7"/>
        <color rgb="FFFF0000"/>
      </colorScale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Mayorova</dc:creator>
  <cp:lastModifiedBy>google1599737165</cp:lastModifiedBy>
  <dcterms:created xsi:type="dcterms:W3CDTF">2026-02-17T11:12:00Z</dcterms:created>
  <dcterms:modified xsi:type="dcterms:W3CDTF">2026-02-17T14:02:09Z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0DE82A138B194FB6844F6A6016DE78DD_13</vt:lpwstr>
  </property>
  <property fmtid="{D5CDD505-2E9C-101B-9397-08002B2CF9AE}" pid="3" name="KSOProductBuildVer">
    <vt:lpwstr>1049-12.2.0.23196</vt:lpwstr>
  </property>
</Properties>
</file>