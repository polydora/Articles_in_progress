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Лист1" sheetId="1" r:id="rId1"/>
    <sheet name="Tid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<sst xmlns="http://schemas.openxmlformats.org/spreadsheetml/2006/main" count="242" uniqueCount="93">
  <si>
    <t>sample Id</t>
  </si>
  <si>
    <t>sampling</t>
  </si>
  <si>
    <t>data</t>
  </si>
  <si>
    <t>year</t>
  </si>
  <si>
    <t>day number</t>
  </si>
  <si>
    <t>sample size FC</t>
  </si>
  <si>
    <t>N cancer</t>
  </si>
  <si>
    <t>BTN prevalence</t>
  </si>
  <si>
    <t>N, spc/m2</t>
  </si>
  <si>
    <t>B, g/m2</t>
  </si>
  <si>
    <t>condition*1000</t>
  </si>
  <si>
    <t>pT</t>
  </si>
  <si>
    <t>August_20_Q</t>
  </si>
  <si>
    <t>CH1</t>
  </si>
  <si>
    <t>Qualitative</t>
  </si>
  <si>
    <t>NA</t>
  </si>
  <si>
    <t>October 21_F</t>
  </si>
  <si>
    <t>CH3</t>
  </si>
  <si>
    <t>March 22_Q</t>
  </si>
  <si>
    <t>CH5-CH5W</t>
  </si>
  <si>
    <t>в старых записях не учтена субвыборка увезенная Майоровой во Владивосток</t>
  </si>
  <si>
    <t>СЛИТЬ?</t>
  </si>
  <si>
    <t>July 22_F</t>
  </si>
  <si>
    <t>CHP1-CHP3</t>
  </si>
  <si>
    <t>Quantitative</t>
  </si>
  <si>
    <t xml:space="preserve">15-16.07.22 </t>
  </si>
  <si>
    <t>объединить кач и колич?</t>
  </si>
  <si>
    <t>July 22_Q</t>
  </si>
  <si>
    <t>CHP4</t>
  </si>
  <si>
    <t>November 22-F</t>
  </si>
  <si>
    <t>CH6</t>
  </si>
  <si>
    <t>February 23_F</t>
  </si>
  <si>
    <t>CH9</t>
  </si>
  <si>
    <t>April 23_F</t>
  </si>
  <si>
    <t>CH10</t>
  </si>
  <si>
    <t>May 23_F</t>
  </si>
  <si>
    <t xml:space="preserve"> CH11</t>
  </si>
  <si>
    <t>August 23_F</t>
  </si>
  <si>
    <t>CH12</t>
  </si>
  <si>
    <t>October 23_F</t>
  </si>
  <si>
    <t>CH15</t>
  </si>
  <si>
    <t>December 23_F</t>
  </si>
  <si>
    <t>CH16</t>
  </si>
  <si>
    <t>February 24_F</t>
  </si>
  <si>
    <t>CH17</t>
  </si>
  <si>
    <t>March 24_F</t>
  </si>
  <si>
    <t>CH18</t>
  </si>
  <si>
    <t>June 24_F</t>
  </si>
  <si>
    <t>CH19</t>
  </si>
  <si>
    <t>August 24_Q</t>
  </si>
  <si>
    <t>CH20</t>
  </si>
  <si>
    <t>19-23.08.2024</t>
  </si>
  <si>
    <t>August 24_F</t>
  </si>
  <si>
    <t>один потенциальный "засер" - фейковый генотип</t>
  </si>
  <si>
    <t>October 24_F</t>
  </si>
  <si>
    <t>CH23</t>
  </si>
  <si>
    <t>December 24_F</t>
  </si>
  <si>
    <t>CH24</t>
  </si>
  <si>
    <t>January 25_F</t>
  </si>
  <si>
    <t>CH25</t>
  </si>
  <si>
    <t>в этой выборке один BTN2.1!</t>
  </si>
  <si>
    <t>March 25_F</t>
  </si>
  <si>
    <t>CH26</t>
  </si>
  <si>
    <t>April 25_F</t>
  </si>
  <si>
    <t>CH27</t>
  </si>
  <si>
    <r>
      <rPr>
        <b/>
        <sz val="11"/>
        <color rgb="FF1155CC"/>
        <rFont val="Calibri"/>
        <charset val="204"/>
        <scheme val="minor"/>
      </rPr>
      <t xml:space="preserve">в этой выборке один BTN1-U! </t>
    </r>
    <r>
      <rPr>
        <sz val="11"/>
        <color rgb="FFFF0000"/>
        <rFont val="Calibri"/>
        <charset val="204"/>
        <scheme val="minor"/>
      </rPr>
      <t xml:space="preserve">Плюс странный - едулисный генотип - не включенный в статистику </t>
    </r>
  </si>
  <si>
    <t>May 25_F</t>
  </si>
  <si>
    <t>CH28</t>
  </si>
  <si>
    <t>Qualitative (?)</t>
  </si>
  <si>
    <t>June 25_F</t>
  </si>
  <si>
    <t>CH29</t>
  </si>
  <si>
    <r>
      <rPr>
        <b/>
        <sz val="11"/>
        <color rgb="FF1155CC"/>
        <rFont val="Calibri"/>
        <charset val="204"/>
        <scheme val="minor"/>
      </rPr>
      <t xml:space="preserve">в этой выборке один BTN2.1! </t>
    </r>
    <r>
      <rPr>
        <sz val="11"/>
        <color rgb="FFFF0000"/>
        <rFont val="Calibri"/>
        <charset val="204"/>
        <scheme val="minor"/>
      </rPr>
      <t xml:space="preserve">Плюс странный - едулисный генотип - не включенный в статистику </t>
    </r>
  </si>
  <si>
    <t>August 25_F</t>
  </si>
  <si>
    <t>CH30</t>
  </si>
  <si>
    <r>
      <rPr>
        <sz val="11"/>
        <color theme="1"/>
        <rFont val="Calibri"/>
        <charset val="204"/>
        <scheme val="minor"/>
      </rPr>
      <t xml:space="preserve">исключаю мелочь которую не всю смотрели FC и </t>
    </r>
    <r>
      <rPr>
        <sz val="11"/>
        <color rgb="FFFF0000"/>
        <rFont val="Calibri"/>
        <charset val="204"/>
        <scheme val="minor"/>
      </rPr>
      <t>два странных - едулисных - генотипа тоже не включаю</t>
    </r>
  </si>
  <si>
    <t>без генетики</t>
  </si>
  <si>
    <t>September 25_F</t>
  </si>
  <si>
    <t>CH33</t>
  </si>
  <si>
    <t>Генетики еще нет. По FC  их 3 но одна слабораковая вряд ли пройдет coi-test</t>
  </si>
  <si>
    <t>October 25_F</t>
  </si>
  <si>
    <t>CH34</t>
  </si>
  <si>
    <t>Генетики еще нет. По FC  их 4 но одна слабораковая вряд ли пройдет coi-test</t>
  </si>
  <si>
    <t>CH35</t>
  </si>
  <si>
    <t>оно нам надо?</t>
  </si>
  <si>
    <t>NB! Все раки, кроме отмеченных в комментариях - BTN1-U1</t>
  </si>
  <si>
    <t>sample_Id</t>
  </si>
  <si>
    <t>DOY</t>
  </si>
  <si>
    <t>N_total</t>
  </si>
  <si>
    <t>N_cancer</t>
  </si>
  <si>
    <t>BTN_prevalence</t>
  </si>
  <si>
    <t>N</t>
  </si>
  <si>
    <t>B</t>
  </si>
  <si>
    <t>Cond_Index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</si>
</sst>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.000"/>
  </numFmts>
  <fonts count="26"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0"/>
      <color rgb="FFFF0000"/>
      <name val="Calibri"/>
      <charset val="204"/>
      <scheme val="minor"/>
    </font>
    <font>
      <b/>
      <sz val="11"/>
      <color rgb="FF1155CC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80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center"/>
    </xf>
    <xf numFmtId="181" fontId="0" fillId="0" borderId="0" xfId="0" applyNumberForma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80" fontId="1" fillId="0" borderId="2" xfId="0" applyNumberFormat="1" applyFon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81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80" fontId="1" fillId="0" borderId="4" xfId="0" applyNumberFormat="1" applyFont="1" applyBorder="1" applyAlignment="1">
      <alignment horizontal="left"/>
    </xf>
    <xf numFmtId="1" fontId="1" fillId="0" borderId="4" xfId="0" applyNumberFormat="1" applyFont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181" fontId="1" fillId="0" borderId="4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80" fontId="0" fillId="0" borderId="0" xfId="0" applyNumberFormat="1" applyAlignment="1">
      <alignment horizontal="left"/>
    </xf>
    <xf numFmtId="181" fontId="0" fillId="0" borderId="0" xfId="0" applyNumberFormat="1" applyFill="1" applyBorder="1" applyAlignment="1">
      <alignment horizontal="center"/>
    </xf>
    <xf numFmtId="180" fontId="0" fillId="0" borderId="0" xfId="0" applyNumberFormat="1" applyFill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181" fontId="1" fillId="0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80" fontId="0" fillId="0" borderId="0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2" fillId="0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81" fontId="3" fillId="0" borderId="0" xfId="0" applyNumberFormat="1" applyFont="1" applyBorder="1" applyAlignment="1">
      <alignment horizontal="center"/>
    </xf>
    <xf numFmtId="181" fontId="0" fillId="2" borderId="0" xfId="0" applyNumberFormat="1" applyFill="1" applyBorder="1" applyAlignment="1">
      <alignment horizontal="center"/>
    </xf>
    <xf numFmtId="181" fontId="1" fillId="2" borderId="2" xfId="0" applyNumberFormat="1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81" fontId="2" fillId="0" borderId="4" xfId="0" applyNumberFormat="1" applyFont="1" applyBorder="1" applyAlignment="1">
      <alignment horizontal="center"/>
    </xf>
    <xf numFmtId="2" fontId="2" fillId="0" borderId="6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2" fontId="0" fillId="0" borderId="0" xfId="0" applyNumberFormat="1" applyBorder="1" applyAlignment="1">
      <alignment horizontal="center"/>
    </xf>
    <xf numFmtId="0" fontId="0" fillId="2" borderId="0" xfId="0" applyFill="1" applyBorder="1" applyAlignment="1">
      <alignment horizontal="left"/>
    </xf>
    <xf numFmtId="180" fontId="0" fillId="0" borderId="0" xfId="0" applyNumberFormat="1" applyFill="1" applyBorder="1" applyAlignment="1">
      <alignment horizontal="center" wrapText="1"/>
    </xf>
    <xf numFmtId="180" fontId="1" fillId="0" borderId="0" xfId="0" applyNumberFormat="1" applyFont="1"/>
    <xf numFmtId="0" fontId="0" fillId="0" borderId="0" xfId="0" applyFill="1" applyBorder="1"/>
    <xf numFmtId="180" fontId="0" fillId="0" borderId="0" xfId="0" applyNumberFormat="1"/>
    <xf numFmtId="1" fontId="1" fillId="0" borderId="0" xfId="0" applyNumberFormat="1" applyFont="1" applyBorder="1" applyAlignment="1">
      <alignment horizontal="center"/>
    </xf>
    <xf numFmtId="0" fontId="5" fillId="0" borderId="0" xfId="0" applyFont="1"/>
    <xf numFmtId="0" fontId="1" fillId="0" borderId="0" xfId="0" applyFont="1"/>
    <xf numFmtId="181" fontId="1" fillId="0" borderId="0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9"/>
  <sheetViews>
    <sheetView topLeftCell="B1" workbookViewId="0">
      <selection activeCell="C1" sqref="C1:N28"/>
    </sheetView>
  </sheetViews>
  <sheetFormatPr defaultColWidth="9" defaultRowHeight="14.4"/>
  <cols>
    <col min="1" max="1" width="14.5740740740741" style="59" customWidth="1"/>
    <col min="2" max="2" width="14.5740740740741" style="60" customWidth="1"/>
    <col min="3" max="9" width="13.712962962963" style="1" customWidth="1"/>
    <col min="10" max="13" width="13.712962962963" style="59" customWidth="1"/>
    <col min="14" max="14" width="12.5740740740741" style="59" customWidth="1"/>
    <col min="15" max="16384" width="9.13888888888889" style="59"/>
  </cols>
  <sheetData>
    <row r="1" spans="3:14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2:14">
      <c r="B2" s="60" t="s">
        <v>12</v>
      </c>
      <c r="C2" s="1" t="s">
        <v>13</v>
      </c>
      <c r="D2" s="1" t="s">
        <v>14</v>
      </c>
      <c r="E2" s="3">
        <v>44044</v>
      </c>
      <c r="F2" s="4">
        <v>2020</v>
      </c>
      <c r="G2" s="4">
        <v>214</v>
      </c>
      <c r="H2" s="1">
        <v>24</v>
      </c>
      <c r="I2" s="1">
        <v>2</v>
      </c>
      <c r="J2" s="5">
        <f>I2/H2</f>
        <v>0.0833333333333333</v>
      </c>
      <c r="K2" s="6" t="s">
        <v>15</v>
      </c>
      <c r="L2" s="6" t="s">
        <v>15</v>
      </c>
      <c r="M2" s="6" t="s">
        <v>15</v>
      </c>
      <c r="N2" s="36">
        <v>0.84</v>
      </c>
    </row>
    <row r="3" spans="2:14">
      <c r="B3" s="60" t="s">
        <v>16</v>
      </c>
      <c r="C3" s="2" t="s">
        <v>17</v>
      </c>
      <c r="D3" s="1" t="s">
        <v>14</v>
      </c>
      <c r="E3" s="3">
        <v>44476</v>
      </c>
      <c r="F3" s="4">
        <v>2021</v>
      </c>
      <c r="G3" s="4">
        <v>280</v>
      </c>
      <c r="H3" s="1">
        <v>96</v>
      </c>
      <c r="I3" s="1">
        <v>1</v>
      </c>
      <c r="J3" s="5">
        <f t="shared" ref="J3:J28" si="0">I3/H3</f>
        <v>0.0104166666666667</v>
      </c>
      <c r="K3" s="6" t="s">
        <v>15</v>
      </c>
      <c r="L3" s="6" t="s">
        <v>15</v>
      </c>
      <c r="M3" s="6" t="s">
        <v>15</v>
      </c>
      <c r="N3" s="37" t="s">
        <v>15</v>
      </c>
    </row>
    <row r="4" spans="2:16">
      <c r="B4" s="60" t="s">
        <v>18</v>
      </c>
      <c r="C4" s="6" t="s">
        <v>19</v>
      </c>
      <c r="D4" s="1" t="s">
        <v>14</v>
      </c>
      <c r="E4" s="3">
        <v>44640</v>
      </c>
      <c r="F4" s="4">
        <v>2022</v>
      </c>
      <c r="G4" s="4">
        <v>79</v>
      </c>
      <c r="H4" s="6">
        <v>296</v>
      </c>
      <c r="I4" s="1">
        <v>0</v>
      </c>
      <c r="J4" s="5">
        <f t="shared" si="0"/>
        <v>0</v>
      </c>
      <c r="K4" s="6" t="s">
        <v>15</v>
      </c>
      <c r="L4" s="6" t="s">
        <v>15</v>
      </c>
      <c r="M4" s="6" t="s">
        <v>15</v>
      </c>
      <c r="N4" s="37" t="s">
        <v>15</v>
      </c>
      <c r="P4" s="65" t="s">
        <v>20</v>
      </c>
    </row>
    <row r="5" spans="1:16">
      <c r="A5" s="59" t="s">
        <v>21</v>
      </c>
      <c r="B5" s="61" t="s">
        <v>22</v>
      </c>
      <c r="C5" s="7" t="s">
        <v>23</v>
      </c>
      <c r="D5" s="8" t="s">
        <v>24</v>
      </c>
      <c r="E5" s="9" t="s">
        <v>25</v>
      </c>
      <c r="F5" s="10">
        <v>2022</v>
      </c>
      <c r="G5" s="11">
        <v>197</v>
      </c>
      <c r="H5" s="12">
        <v>119</v>
      </c>
      <c r="I5" s="12">
        <v>4</v>
      </c>
      <c r="J5" s="13">
        <f t="shared" si="0"/>
        <v>0.0336134453781513</v>
      </c>
      <c r="K5" s="38">
        <v>5265</v>
      </c>
      <c r="L5" s="8">
        <v>3945</v>
      </c>
      <c r="M5" s="39" t="s">
        <v>15</v>
      </c>
      <c r="N5" s="40">
        <v>0.826366559485531</v>
      </c>
      <c r="P5" s="59" t="s">
        <v>26</v>
      </c>
    </row>
    <row r="6" spans="1:14">
      <c r="A6" s="59" t="s">
        <v>21</v>
      </c>
      <c r="B6" s="61" t="s">
        <v>27</v>
      </c>
      <c r="C6" s="14" t="s">
        <v>28</v>
      </c>
      <c r="D6" s="15" t="s">
        <v>14</v>
      </c>
      <c r="E6" s="16">
        <v>44757</v>
      </c>
      <c r="F6" s="17">
        <v>2022</v>
      </c>
      <c r="G6" s="18">
        <v>196</v>
      </c>
      <c r="H6" s="15">
        <v>322</v>
      </c>
      <c r="I6" s="15">
        <v>2</v>
      </c>
      <c r="J6" s="19">
        <f t="shared" si="0"/>
        <v>0.0062111801242236</v>
      </c>
      <c r="K6" s="41" t="s">
        <v>15</v>
      </c>
      <c r="L6" s="41" t="s">
        <v>15</v>
      </c>
      <c r="M6" s="41" t="s">
        <v>15</v>
      </c>
      <c r="N6" s="42" t="s">
        <v>15</v>
      </c>
    </row>
    <row r="7" spans="2:14">
      <c r="B7" s="60" t="s">
        <v>29</v>
      </c>
      <c r="C7" s="2" t="s">
        <v>30</v>
      </c>
      <c r="D7" s="20" t="s">
        <v>24</v>
      </c>
      <c r="E7" s="3">
        <v>44874</v>
      </c>
      <c r="F7" s="4">
        <v>2022</v>
      </c>
      <c r="G7" s="21">
        <v>313</v>
      </c>
      <c r="H7" s="1">
        <v>96</v>
      </c>
      <c r="I7" s="1">
        <v>1</v>
      </c>
      <c r="J7" s="5">
        <f t="shared" si="0"/>
        <v>0.0104166666666667</v>
      </c>
      <c r="K7" s="43">
        <v>7631.25</v>
      </c>
      <c r="L7" s="43">
        <v>5337.5</v>
      </c>
      <c r="M7" s="6" t="s">
        <v>15</v>
      </c>
      <c r="N7" s="37" t="s">
        <v>15</v>
      </c>
    </row>
    <row r="8" spans="2:14">
      <c r="B8" s="60" t="s">
        <v>31</v>
      </c>
      <c r="C8" s="1" t="s">
        <v>32</v>
      </c>
      <c r="D8" s="20" t="s">
        <v>24</v>
      </c>
      <c r="E8" s="3">
        <v>44977</v>
      </c>
      <c r="F8" s="4">
        <v>2023</v>
      </c>
      <c r="G8" s="21">
        <v>51</v>
      </c>
      <c r="H8" s="1">
        <v>55</v>
      </c>
      <c r="I8" s="1">
        <v>2</v>
      </c>
      <c r="J8" s="5">
        <f t="shared" si="0"/>
        <v>0.0363636363636364</v>
      </c>
      <c r="K8" s="1">
        <v>11800</v>
      </c>
      <c r="L8" s="43">
        <v>12266.67</v>
      </c>
      <c r="M8" s="44">
        <v>0.1160134</v>
      </c>
      <c r="N8" s="36">
        <v>0.872093023255814</v>
      </c>
    </row>
    <row r="9" spans="2:14">
      <c r="B9" s="60" t="s">
        <v>33</v>
      </c>
      <c r="C9" s="2" t="s">
        <v>34</v>
      </c>
      <c r="D9" s="1" t="s">
        <v>14</v>
      </c>
      <c r="E9" s="3">
        <v>45024</v>
      </c>
      <c r="F9" s="4">
        <v>2023</v>
      </c>
      <c r="G9" s="21">
        <v>98</v>
      </c>
      <c r="H9" s="1">
        <v>75</v>
      </c>
      <c r="I9" s="1">
        <v>3</v>
      </c>
      <c r="J9" s="5">
        <f t="shared" si="0"/>
        <v>0.04</v>
      </c>
      <c r="K9" s="6" t="s">
        <v>15</v>
      </c>
      <c r="L9" s="6" t="s">
        <v>15</v>
      </c>
      <c r="M9" s="45" t="s">
        <v>15</v>
      </c>
      <c r="N9" s="37" t="s">
        <v>15</v>
      </c>
    </row>
    <row r="10" spans="2:14">
      <c r="B10" s="60" t="s">
        <v>35</v>
      </c>
      <c r="C10" s="1" t="s">
        <v>36</v>
      </c>
      <c r="D10" s="20" t="s">
        <v>24</v>
      </c>
      <c r="E10" s="3">
        <v>45066</v>
      </c>
      <c r="F10" s="4">
        <v>2023</v>
      </c>
      <c r="G10" s="21">
        <v>140</v>
      </c>
      <c r="H10" s="1">
        <v>90</v>
      </c>
      <c r="I10" s="1">
        <v>3</v>
      </c>
      <c r="J10" s="5">
        <f t="shared" si="0"/>
        <v>0.0333333333333333</v>
      </c>
      <c r="K10" s="43">
        <v>4300</v>
      </c>
      <c r="L10" s="43">
        <v>2437.5</v>
      </c>
      <c r="M10" s="44">
        <v>0.1596991</v>
      </c>
      <c r="N10" s="36">
        <v>0.775</v>
      </c>
    </row>
    <row r="11" spans="2:14">
      <c r="B11" s="60" t="s">
        <v>37</v>
      </c>
      <c r="C11" s="1" t="s">
        <v>38</v>
      </c>
      <c r="D11" s="20" t="s">
        <v>24</v>
      </c>
      <c r="E11" s="3">
        <v>45139</v>
      </c>
      <c r="F11" s="4">
        <v>2023</v>
      </c>
      <c r="G11" s="21">
        <v>213</v>
      </c>
      <c r="H11" s="1">
        <v>81</v>
      </c>
      <c r="I11" s="1">
        <v>3</v>
      </c>
      <c r="J11" s="5">
        <f t="shared" si="0"/>
        <v>0.037037037037037</v>
      </c>
      <c r="K11" s="43">
        <v>5296</v>
      </c>
      <c r="L11" s="43">
        <v>2673.653</v>
      </c>
      <c r="M11" s="44">
        <v>0.1855623</v>
      </c>
      <c r="N11" s="36">
        <v>0.88</v>
      </c>
    </row>
    <row r="12" spans="2:14">
      <c r="B12" s="60" t="s">
        <v>39</v>
      </c>
      <c r="C12" s="1" t="s">
        <v>40</v>
      </c>
      <c r="D12" s="20" t="s">
        <v>24</v>
      </c>
      <c r="E12" s="3">
        <v>45229</v>
      </c>
      <c r="F12" s="4">
        <v>2023</v>
      </c>
      <c r="G12" s="21">
        <v>303</v>
      </c>
      <c r="H12" s="1">
        <v>92</v>
      </c>
      <c r="I12" s="1">
        <v>0</v>
      </c>
      <c r="J12" s="5">
        <f t="shared" si="0"/>
        <v>0</v>
      </c>
      <c r="K12" s="43">
        <v>8155</v>
      </c>
      <c r="L12" s="43">
        <v>5938.333</v>
      </c>
      <c r="M12" s="44">
        <v>0.1558706</v>
      </c>
      <c r="N12" s="36">
        <v>1</v>
      </c>
    </row>
    <row r="13" spans="2:14">
      <c r="B13" s="60" t="s">
        <v>41</v>
      </c>
      <c r="C13" s="1" t="s">
        <v>42</v>
      </c>
      <c r="D13" s="20" t="s">
        <v>24</v>
      </c>
      <c r="E13" s="3">
        <v>45273</v>
      </c>
      <c r="F13" s="4">
        <v>2023</v>
      </c>
      <c r="G13" s="21">
        <v>357</v>
      </c>
      <c r="H13" s="2">
        <v>73</v>
      </c>
      <c r="I13" s="2">
        <v>1</v>
      </c>
      <c r="J13" s="5">
        <f t="shared" si="0"/>
        <v>0.0136986301369863</v>
      </c>
      <c r="K13" s="43">
        <v>28600</v>
      </c>
      <c r="L13" s="20">
        <v>13300</v>
      </c>
      <c r="M13" s="44">
        <v>0.1261257</v>
      </c>
      <c r="N13" s="36">
        <v>0.96</v>
      </c>
    </row>
    <row r="14" spans="2:14">
      <c r="B14" s="62" t="s">
        <v>43</v>
      </c>
      <c r="C14" s="1" t="s">
        <v>44</v>
      </c>
      <c r="D14" s="20" t="s">
        <v>24</v>
      </c>
      <c r="E14" s="3">
        <v>45332</v>
      </c>
      <c r="F14" s="4">
        <v>2024</v>
      </c>
      <c r="G14" s="4">
        <v>41</v>
      </c>
      <c r="H14" s="2">
        <v>48</v>
      </c>
      <c r="I14" s="2">
        <v>1</v>
      </c>
      <c r="J14" s="5">
        <f t="shared" si="0"/>
        <v>0.0208333333333333</v>
      </c>
      <c r="K14" s="43">
        <v>20646.83</v>
      </c>
      <c r="L14" s="43">
        <v>9814.187</v>
      </c>
      <c r="M14" s="44">
        <v>0.1216492</v>
      </c>
      <c r="N14" s="36">
        <v>0.918367346938776</v>
      </c>
    </row>
    <row r="15" spans="2:14">
      <c r="B15" s="60" t="s">
        <v>45</v>
      </c>
      <c r="C15" s="1" t="s">
        <v>46</v>
      </c>
      <c r="D15" s="20" t="s">
        <v>24</v>
      </c>
      <c r="E15" s="3">
        <v>45380</v>
      </c>
      <c r="F15" s="4">
        <v>2024</v>
      </c>
      <c r="G15" s="21">
        <v>89</v>
      </c>
      <c r="H15" s="2">
        <v>75</v>
      </c>
      <c r="I15" s="2">
        <v>2</v>
      </c>
      <c r="J15" s="5">
        <f t="shared" si="0"/>
        <v>0.0266666666666667</v>
      </c>
      <c r="K15" s="1">
        <v>9000</v>
      </c>
      <c r="L15" s="43">
        <v>3677.875</v>
      </c>
      <c r="M15" s="44">
        <v>0.1304108</v>
      </c>
      <c r="N15" s="36">
        <v>0.918367346938776</v>
      </c>
    </row>
    <row r="16" spans="2:14">
      <c r="B16" s="60" t="s">
        <v>47</v>
      </c>
      <c r="C16" s="1" t="s">
        <v>48</v>
      </c>
      <c r="D16" s="20" t="s">
        <v>24</v>
      </c>
      <c r="E16" s="3">
        <v>45448</v>
      </c>
      <c r="F16" s="4">
        <v>2024</v>
      </c>
      <c r="G16" s="4">
        <v>157</v>
      </c>
      <c r="H16" s="2">
        <v>112</v>
      </c>
      <c r="I16" s="2">
        <v>1</v>
      </c>
      <c r="J16" s="5">
        <f t="shared" si="0"/>
        <v>0.00892857142857143</v>
      </c>
      <c r="K16" s="43">
        <v>7008.333</v>
      </c>
      <c r="L16" s="43">
        <v>2639.667</v>
      </c>
      <c r="M16" s="44">
        <v>0.1365901</v>
      </c>
      <c r="N16" s="36">
        <v>0.803921568627451</v>
      </c>
    </row>
    <row r="17" spans="1:16">
      <c r="A17" s="59" t="s">
        <v>21</v>
      </c>
      <c r="B17" s="61" t="s">
        <v>49</v>
      </c>
      <c r="C17" s="22" t="s">
        <v>50</v>
      </c>
      <c r="D17" s="12" t="s">
        <v>14</v>
      </c>
      <c r="E17" s="9" t="s">
        <v>51</v>
      </c>
      <c r="F17" s="10">
        <v>2024</v>
      </c>
      <c r="G17" s="11">
        <v>231</v>
      </c>
      <c r="H17" s="23">
        <v>110</v>
      </c>
      <c r="I17" s="23">
        <v>3</v>
      </c>
      <c r="J17" s="13">
        <f t="shared" si="0"/>
        <v>0.0272727272727273</v>
      </c>
      <c r="K17" s="39" t="s">
        <v>15</v>
      </c>
      <c r="L17" s="39" t="s">
        <v>15</v>
      </c>
      <c r="M17" s="46" t="s">
        <v>15</v>
      </c>
      <c r="N17" s="47" t="s">
        <v>15</v>
      </c>
      <c r="P17" s="59" t="s">
        <v>26</v>
      </c>
    </row>
    <row r="18" spans="1:16">
      <c r="A18" s="59" t="s">
        <v>21</v>
      </c>
      <c r="B18" s="63" t="s">
        <v>52</v>
      </c>
      <c r="C18" s="24" t="s">
        <v>50</v>
      </c>
      <c r="D18" s="25" t="s">
        <v>24</v>
      </c>
      <c r="E18" s="16" t="s">
        <v>51</v>
      </c>
      <c r="F18" s="17">
        <v>2024</v>
      </c>
      <c r="G18" s="18">
        <v>231</v>
      </c>
      <c r="H18" s="15">
        <v>106</v>
      </c>
      <c r="I18" s="15">
        <v>2</v>
      </c>
      <c r="J18" s="19">
        <f t="shared" si="0"/>
        <v>0.0188679245283019</v>
      </c>
      <c r="K18" s="48">
        <v>23730</v>
      </c>
      <c r="L18" s="25">
        <v>10465</v>
      </c>
      <c r="M18" s="49">
        <v>0.1232923</v>
      </c>
      <c r="N18" s="50">
        <v>0.844444444444444</v>
      </c>
      <c r="P18" s="59" t="s">
        <v>53</v>
      </c>
    </row>
    <row r="19" spans="2:14">
      <c r="B19" s="60" t="s">
        <v>54</v>
      </c>
      <c r="C19" s="1" t="s">
        <v>55</v>
      </c>
      <c r="D19" s="20" t="s">
        <v>24</v>
      </c>
      <c r="E19" s="26">
        <v>45584</v>
      </c>
      <c r="F19" s="1">
        <v>2024</v>
      </c>
      <c r="G19" s="4">
        <v>292</v>
      </c>
      <c r="H19" s="1">
        <v>112</v>
      </c>
      <c r="I19" s="1">
        <v>2</v>
      </c>
      <c r="J19" s="27">
        <f t="shared" si="0"/>
        <v>0.0178571428571429</v>
      </c>
      <c r="K19" s="43">
        <v>6413.33333333333</v>
      </c>
      <c r="L19" s="43">
        <v>8480</v>
      </c>
      <c r="M19" s="44">
        <v>0.127921005110164</v>
      </c>
      <c r="N19" s="51">
        <v>0.9</v>
      </c>
    </row>
    <row r="20" spans="2:14">
      <c r="B20" s="60" t="s">
        <v>56</v>
      </c>
      <c r="C20" s="1" t="s">
        <v>57</v>
      </c>
      <c r="D20" s="20" t="s">
        <v>24</v>
      </c>
      <c r="E20" s="26">
        <v>45639</v>
      </c>
      <c r="F20" s="1">
        <v>2024</v>
      </c>
      <c r="G20" s="4">
        <v>287</v>
      </c>
      <c r="H20" s="1">
        <v>134</v>
      </c>
      <c r="I20" s="1">
        <v>2</v>
      </c>
      <c r="J20" s="27">
        <f t="shared" si="0"/>
        <v>0.0149253731343284</v>
      </c>
      <c r="K20" s="43">
        <v>28600</v>
      </c>
      <c r="L20" s="43">
        <v>13300</v>
      </c>
      <c r="M20" s="44">
        <v>0.126125698277907</v>
      </c>
      <c r="N20" s="20">
        <v>0.96</v>
      </c>
    </row>
    <row r="21" spans="2:16">
      <c r="B21" s="60" t="s">
        <v>58</v>
      </c>
      <c r="C21" s="1" t="s">
        <v>59</v>
      </c>
      <c r="D21" s="20" t="s">
        <v>24</v>
      </c>
      <c r="E21" s="28">
        <v>45688</v>
      </c>
      <c r="F21" s="1">
        <v>2025</v>
      </c>
      <c r="G21" s="4">
        <v>31</v>
      </c>
      <c r="H21" s="1">
        <v>133</v>
      </c>
      <c r="I21" s="29">
        <v>3</v>
      </c>
      <c r="J21" s="30">
        <f t="shared" si="0"/>
        <v>0.0225563909774436</v>
      </c>
      <c r="K21" s="52">
        <v>6613.33333333333</v>
      </c>
      <c r="L21" s="52">
        <v>6050.66666666667</v>
      </c>
      <c r="M21" s="53">
        <v>0.101966734983318</v>
      </c>
      <c r="N21" s="54">
        <v>0.885714285714286</v>
      </c>
      <c r="P21" s="71" t="s">
        <v>60</v>
      </c>
    </row>
    <row r="22" spans="2:14">
      <c r="B22" s="60" t="s">
        <v>61</v>
      </c>
      <c r="C22" s="1" t="s">
        <v>62</v>
      </c>
      <c r="D22" s="20" t="s">
        <v>24</v>
      </c>
      <c r="E22" s="28">
        <v>45718</v>
      </c>
      <c r="F22" s="1">
        <v>2025</v>
      </c>
      <c r="G22" s="4">
        <v>61</v>
      </c>
      <c r="H22" s="1">
        <v>118</v>
      </c>
      <c r="I22" s="29">
        <v>2</v>
      </c>
      <c r="J22" s="30">
        <f t="shared" si="0"/>
        <v>0.0169491525423729</v>
      </c>
      <c r="K22" s="52">
        <v>6746.66666666667</v>
      </c>
      <c r="L22" s="52">
        <v>5589.33333333333</v>
      </c>
      <c r="M22" s="53">
        <v>0.100172662584618</v>
      </c>
      <c r="N22" s="54">
        <v>0.875</v>
      </c>
    </row>
    <row r="23" spans="2:16">
      <c r="B23" s="60" t="s">
        <v>63</v>
      </c>
      <c r="C23" s="1" t="s">
        <v>64</v>
      </c>
      <c r="D23" s="20" t="s">
        <v>24</v>
      </c>
      <c r="E23" s="28">
        <v>45774</v>
      </c>
      <c r="F23" s="1">
        <v>2025</v>
      </c>
      <c r="G23" s="4">
        <v>117</v>
      </c>
      <c r="H23" s="1">
        <v>91</v>
      </c>
      <c r="I23" s="31">
        <v>7</v>
      </c>
      <c r="J23" s="30">
        <f t="shared" si="0"/>
        <v>0.0769230769230769</v>
      </c>
      <c r="K23" s="55">
        <v>5760</v>
      </c>
      <c r="L23" s="55">
        <v>4118.66666666667</v>
      </c>
      <c r="M23" s="56">
        <v>0.10714705037391</v>
      </c>
      <c r="N23" s="57">
        <v>0.933333333333333</v>
      </c>
      <c r="P23" s="71" t="s">
        <v>65</v>
      </c>
    </row>
    <row r="24" ht="14.25" customHeight="1" spans="2:16">
      <c r="B24" s="60" t="s">
        <v>66</v>
      </c>
      <c r="C24" s="1" t="s">
        <v>67</v>
      </c>
      <c r="D24" s="32" t="s">
        <v>68</v>
      </c>
      <c r="E24" s="3">
        <v>45803</v>
      </c>
      <c r="F24" s="1">
        <v>2025</v>
      </c>
      <c r="G24" s="4">
        <v>146</v>
      </c>
      <c r="H24" s="1">
        <v>144</v>
      </c>
      <c r="I24" s="31">
        <v>7</v>
      </c>
      <c r="J24" s="30">
        <f t="shared" si="0"/>
        <v>0.0486111111111111</v>
      </c>
      <c r="K24" s="6" t="s">
        <v>15</v>
      </c>
      <c r="L24" s="6" t="s">
        <v>15</v>
      </c>
      <c r="M24" s="44">
        <v>0.113504941841871</v>
      </c>
      <c r="N24" s="51">
        <v>0.94</v>
      </c>
      <c r="P24" s="71" t="s">
        <v>60</v>
      </c>
    </row>
    <row r="25" spans="2:16">
      <c r="B25" s="60" t="s">
        <v>69</v>
      </c>
      <c r="C25" s="1" t="s">
        <v>70</v>
      </c>
      <c r="D25" s="32" t="s">
        <v>68</v>
      </c>
      <c r="E25" s="28">
        <v>45836</v>
      </c>
      <c r="F25" s="1">
        <v>2025</v>
      </c>
      <c r="G25" s="4">
        <v>179</v>
      </c>
      <c r="H25" s="1">
        <v>102</v>
      </c>
      <c r="I25" s="31">
        <v>9</v>
      </c>
      <c r="J25" s="30">
        <f t="shared" si="0"/>
        <v>0.0882352941176471</v>
      </c>
      <c r="K25" s="6" t="s">
        <v>15</v>
      </c>
      <c r="L25" s="6" t="s">
        <v>15</v>
      </c>
      <c r="M25" s="44">
        <v>0.114534513438852</v>
      </c>
      <c r="N25" s="51">
        <v>1</v>
      </c>
      <c r="P25" s="71" t="s">
        <v>71</v>
      </c>
    </row>
    <row r="26" spans="2:16">
      <c r="B26" s="60" t="s">
        <v>72</v>
      </c>
      <c r="C26" s="1" t="s">
        <v>73</v>
      </c>
      <c r="D26" s="20" t="s">
        <v>24</v>
      </c>
      <c r="E26" s="28">
        <v>45880</v>
      </c>
      <c r="F26" s="1">
        <v>2025</v>
      </c>
      <c r="G26" s="4">
        <v>223</v>
      </c>
      <c r="H26" s="1">
        <v>188</v>
      </c>
      <c r="I26" s="31">
        <v>9</v>
      </c>
      <c r="J26" s="30">
        <f t="shared" si="0"/>
        <v>0.0478723404255319</v>
      </c>
      <c r="K26" s="20">
        <v>7060</v>
      </c>
      <c r="L26" s="43">
        <v>5708.26666666667</v>
      </c>
      <c r="M26" s="44">
        <v>0.154842587889184</v>
      </c>
      <c r="N26" s="51">
        <v>0.888888888888889</v>
      </c>
      <c r="P26" s="58" t="s">
        <v>74</v>
      </c>
    </row>
    <row r="27" spans="1:16">
      <c r="A27" s="59" t="s">
        <v>75</v>
      </c>
      <c r="B27" s="60" t="s">
        <v>76</v>
      </c>
      <c r="C27" s="1" t="s">
        <v>77</v>
      </c>
      <c r="D27" s="20" t="s">
        <v>24</v>
      </c>
      <c r="E27" s="28">
        <v>45912</v>
      </c>
      <c r="F27" s="1">
        <v>2025</v>
      </c>
      <c r="G27" s="4">
        <v>254</v>
      </c>
      <c r="H27" s="1">
        <v>290</v>
      </c>
      <c r="I27" s="31">
        <v>2</v>
      </c>
      <c r="J27" s="30">
        <f t="shared" si="0"/>
        <v>0.00689655172413793</v>
      </c>
      <c r="K27" s="43">
        <v>11400</v>
      </c>
      <c r="L27" s="43">
        <v>12922.6666666667</v>
      </c>
      <c r="M27" s="44">
        <v>0.128746872499332</v>
      </c>
      <c r="N27" s="51">
        <v>0.733333333333333</v>
      </c>
      <c r="P27" s="58" t="s">
        <v>78</v>
      </c>
    </row>
    <row r="28" spans="1:16">
      <c r="A28" s="59" t="s">
        <v>75</v>
      </c>
      <c r="B28" s="60" t="s">
        <v>79</v>
      </c>
      <c r="C28" s="1" t="s">
        <v>80</v>
      </c>
      <c r="D28" s="20" t="s">
        <v>24</v>
      </c>
      <c r="E28" s="33">
        <v>45950</v>
      </c>
      <c r="F28" s="1">
        <v>2025</v>
      </c>
      <c r="G28" s="4">
        <v>293</v>
      </c>
      <c r="H28" s="34">
        <v>224</v>
      </c>
      <c r="I28" s="35">
        <v>3</v>
      </c>
      <c r="J28" s="30">
        <f t="shared" si="0"/>
        <v>0.0133928571428571</v>
      </c>
      <c r="K28" s="43">
        <v>8266.666668</v>
      </c>
      <c r="L28" s="43">
        <v>7374.666668</v>
      </c>
      <c r="M28" s="44">
        <v>0.109774649061527</v>
      </c>
      <c r="N28" s="20">
        <v>0.9</v>
      </c>
      <c r="P28" s="58" t="s">
        <v>81</v>
      </c>
    </row>
    <row r="29" spans="5:9">
      <c r="E29" s="62"/>
      <c r="G29" s="64"/>
      <c r="I29" s="59"/>
    </row>
    <row r="30" s="58" customFormat="1" spans="2:8">
      <c r="B30" s="65"/>
      <c r="C30" s="6" t="s">
        <v>82</v>
      </c>
      <c r="D30" s="6" t="s">
        <v>83</v>
      </c>
      <c r="E30" s="6"/>
      <c r="F30" s="6"/>
      <c r="G30" s="6"/>
      <c r="H30" s="6"/>
    </row>
    <row r="31" spans="3:12">
      <c r="C31" s="66"/>
      <c r="I31" s="59"/>
      <c r="K31" s="1"/>
      <c r="L31" s="5"/>
    </row>
    <row r="32" spans="1:9">
      <c r="A32" s="59" t="s">
        <v>84</v>
      </c>
      <c r="H32" s="67"/>
      <c r="I32" s="72"/>
    </row>
    <row r="33" spans="5:15">
      <c r="E33" s="68"/>
      <c r="F33" s="4"/>
      <c r="G33" s="5"/>
      <c r="H33" s="69"/>
      <c r="I33"/>
      <c r="L33"/>
      <c r="O33"/>
    </row>
    <row r="34" spans="5:15">
      <c r="E34" s="59"/>
      <c r="F34" s="4"/>
      <c r="G34" s="5"/>
      <c r="I34" s="59"/>
      <c r="K34" s="69"/>
      <c r="L34" s="5"/>
      <c r="O34"/>
    </row>
    <row r="35" spans="5:17">
      <c r="E35" s="59"/>
      <c r="F35" s="4"/>
      <c r="G35" s="5"/>
      <c r="I35" s="59"/>
      <c r="K35"/>
      <c r="L35" s="5"/>
      <c r="M35"/>
      <c r="N35"/>
      <c r="O35"/>
      <c r="P35"/>
      <c r="Q35"/>
    </row>
    <row r="36" spans="5:12">
      <c r="E36" s="59"/>
      <c r="F36" s="70"/>
      <c r="G36" s="30"/>
      <c r="I36" s="59"/>
      <c r="K36" s="2"/>
      <c r="L36" s="73"/>
    </row>
    <row r="37" spans="5:12">
      <c r="E37" s="59"/>
      <c r="F37" s="70"/>
      <c r="G37" s="30"/>
      <c r="I37" s="59"/>
      <c r="K37" s="2"/>
      <c r="L37" s="73"/>
    </row>
    <row r="38" spans="5:12">
      <c r="E38" s="59"/>
      <c r="F38" s="4"/>
      <c r="G38" s="27"/>
      <c r="I38" s="59"/>
      <c r="K38" s="2"/>
      <c r="L38" s="5"/>
    </row>
    <row r="39" spans="5:12">
      <c r="E39" s="59"/>
      <c r="F39" s="4"/>
      <c r="G39" s="27"/>
      <c r="H39" s="5"/>
      <c r="I39" s="59"/>
      <c r="J39" s="2"/>
      <c r="L39" s="5"/>
    </row>
    <row r="40" spans="5:12">
      <c r="E40" s="59"/>
      <c r="F40" s="4"/>
      <c r="G40" s="27"/>
      <c r="H40" s="5"/>
      <c r="I40" s="59"/>
      <c r="J40" s="2"/>
      <c r="L40" s="5"/>
    </row>
    <row r="41" spans="6:12">
      <c r="F41" s="4"/>
      <c r="G41" s="27"/>
      <c r="H41" s="5"/>
      <c r="I41" s="59"/>
      <c r="J41" s="2"/>
      <c r="L41" s="5"/>
    </row>
    <row r="42" spans="6:12">
      <c r="F42" s="4"/>
      <c r="G42" s="27"/>
      <c r="H42" s="5"/>
      <c r="I42" s="59"/>
      <c r="J42" s="2"/>
      <c r="L42" s="5"/>
    </row>
    <row r="43" spans="6:12">
      <c r="F43" s="4"/>
      <c r="G43" s="27"/>
      <c r="H43" s="5"/>
      <c r="I43" s="59"/>
      <c r="J43" s="1"/>
      <c r="L43" s="5"/>
    </row>
    <row r="44" spans="6:12">
      <c r="F44" s="4"/>
      <c r="G44" s="27"/>
      <c r="H44" s="5"/>
      <c r="I44" s="59"/>
      <c r="J44" s="2"/>
      <c r="L44" s="5"/>
    </row>
    <row r="45" spans="6:12">
      <c r="F45" s="4"/>
      <c r="G45" s="5"/>
      <c r="I45" s="5"/>
      <c r="J45" s="1"/>
      <c r="L45" s="5"/>
    </row>
    <row r="46" spans="6:12">
      <c r="F46" s="4"/>
      <c r="G46" s="27"/>
      <c r="I46" s="5"/>
      <c r="J46" s="74"/>
      <c r="L46" s="73"/>
    </row>
    <row r="47" spans="6:12">
      <c r="F47" s="4"/>
      <c r="G47" s="5"/>
      <c r="I47" s="5"/>
      <c r="J47" s="74"/>
      <c r="L47" s="73"/>
    </row>
    <row r="48" spans="6:12">
      <c r="F48" s="70"/>
      <c r="G48" s="30"/>
      <c r="I48" s="73"/>
      <c r="J48" s="1"/>
      <c r="L48" s="27"/>
    </row>
    <row r="49" spans="6:12">
      <c r="F49" s="70"/>
      <c r="G49" s="30"/>
      <c r="I49" s="73"/>
      <c r="J49" s="1"/>
      <c r="L49" s="27"/>
    </row>
    <row r="50" spans="7:12">
      <c r="G50" s="5"/>
      <c r="I50" s="27"/>
      <c r="J50" s="1"/>
      <c r="L50" s="27"/>
    </row>
    <row r="51" spans="7:12">
      <c r="G51" s="5"/>
      <c r="I51" s="59"/>
      <c r="J51" s="30"/>
      <c r="L51" s="27"/>
    </row>
    <row r="52" spans="7:12">
      <c r="G52" s="5"/>
      <c r="I52" s="59"/>
      <c r="J52" s="30"/>
      <c r="L52" s="27"/>
    </row>
    <row r="53" spans="7:10">
      <c r="G53" s="5"/>
      <c r="I53" s="59"/>
      <c r="J53" s="30"/>
    </row>
    <row r="54" spans="7:10">
      <c r="G54" s="5"/>
      <c r="I54" s="59"/>
      <c r="J54" s="30"/>
    </row>
    <row r="55" spans="7:10">
      <c r="G55" s="5"/>
      <c r="I55" s="59"/>
      <c r="J55" s="30"/>
    </row>
    <row r="56" spans="7:10">
      <c r="G56" s="5"/>
      <c r="I56" s="59"/>
      <c r="J56" s="30"/>
    </row>
    <row r="57" spans="7:10">
      <c r="G57" s="5"/>
      <c r="I57" s="59"/>
      <c r="J57" s="30"/>
    </row>
    <row r="58" spans="7:10">
      <c r="G58" s="5"/>
      <c r="I58" s="59"/>
      <c r="J58" s="30"/>
    </row>
    <row r="59" spans="9:9">
      <c r="I59" s="5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H2" sqref="H2"/>
    </sheetView>
  </sheetViews>
  <sheetFormatPr defaultColWidth="8.88888888888889" defaultRowHeight="14.4"/>
  <cols>
    <col min="1" max="1" width="11.1111111111111" customWidth="1"/>
    <col min="2" max="3" width="13.8888888888889" customWidth="1"/>
    <col min="5" max="5" width="11.4444444444444" customWidth="1"/>
    <col min="6" max="6" width="13.7777777777778" customWidth="1"/>
    <col min="11" max="11" width="11.5555555555556" customWidth="1"/>
  </cols>
  <sheetData>
    <row r="1" spans="1:12">
      <c r="A1" s="1" t="s">
        <v>85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87</v>
      </c>
      <c r="G1" s="1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11</v>
      </c>
    </row>
    <row r="2" spans="1:12">
      <c r="A2" s="1" t="s">
        <v>13</v>
      </c>
      <c r="B2" s="1" t="s">
        <v>14</v>
      </c>
      <c r="C2" s="3">
        <v>44044</v>
      </c>
      <c r="D2" s="4">
        <v>2020</v>
      </c>
      <c r="E2" s="4">
        <v>214</v>
      </c>
      <c r="F2" s="1">
        <v>24</v>
      </c>
      <c r="G2" s="1">
        <v>2</v>
      </c>
      <c r="H2" s="5">
        <f t="shared" ref="H2:H28" si="0">G2/F2</f>
        <v>0.0833333333333333</v>
      </c>
      <c r="I2" s="6" t="s">
        <v>15</v>
      </c>
      <c r="J2" s="6" t="s">
        <v>15</v>
      </c>
      <c r="K2" s="6" t="s">
        <v>15</v>
      </c>
      <c r="L2" s="36">
        <v>0.84</v>
      </c>
    </row>
    <row r="3" spans="1:12">
      <c r="A3" s="2" t="s">
        <v>17</v>
      </c>
      <c r="B3" s="1" t="s">
        <v>14</v>
      </c>
      <c r="C3" s="3">
        <v>44476</v>
      </c>
      <c r="D3" s="4">
        <v>2021</v>
      </c>
      <c r="E3" s="4">
        <v>280</v>
      </c>
      <c r="F3" s="1">
        <v>96</v>
      </c>
      <c r="G3" s="1">
        <v>1</v>
      </c>
      <c r="H3" s="5">
        <f t="shared" si="0"/>
        <v>0.0104166666666667</v>
      </c>
      <c r="I3" s="6" t="s">
        <v>15</v>
      </c>
      <c r="J3" s="6" t="s">
        <v>15</v>
      </c>
      <c r="K3" s="6" t="s">
        <v>15</v>
      </c>
      <c r="L3" s="37" t="s">
        <v>15</v>
      </c>
    </row>
    <row r="4" spans="1:12">
      <c r="A4" s="6" t="s">
        <v>19</v>
      </c>
      <c r="B4" s="1" t="s">
        <v>14</v>
      </c>
      <c r="C4" s="3">
        <v>44640</v>
      </c>
      <c r="D4" s="4">
        <v>2022</v>
      </c>
      <c r="E4" s="4">
        <v>79</v>
      </c>
      <c r="F4" s="6">
        <v>296</v>
      </c>
      <c r="G4" s="1">
        <v>0</v>
      </c>
      <c r="H4" s="5">
        <f t="shared" si="0"/>
        <v>0</v>
      </c>
      <c r="I4" s="6" t="s">
        <v>15</v>
      </c>
      <c r="J4" s="6" t="s">
        <v>15</v>
      </c>
      <c r="K4" s="6" t="s">
        <v>15</v>
      </c>
      <c r="L4" s="37" t="s">
        <v>15</v>
      </c>
    </row>
    <row r="5" spans="1:12">
      <c r="A5" s="7" t="s">
        <v>23</v>
      </c>
      <c r="B5" s="8" t="s">
        <v>24</v>
      </c>
      <c r="C5" s="9">
        <v>44757</v>
      </c>
      <c r="D5" s="10">
        <v>2022</v>
      </c>
      <c r="E5" s="11">
        <v>197</v>
      </c>
      <c r="F5" s="12">
        <v>119</v>
      </c>
      <c r="G5" s="12">
        <v>4</v>
      </c>
      <c r="H5" s="13">
        <f t="shared" si="0"/>
        <v>0.0336134453781513</v>
      </c>
      <c r="I5" s="38">
        <v>5265</v>
      </c>
      <c r="J5" s="8">
        <v>3945</v>
      </c>
      <c r="K5" s="39" t="s">
        <v>15</v>
      </c>
      <c r="L5" s="40">
        <v>0.826366559485531</v>
      </c>
    </row>
    <row r="6" spans="1:12">
      <c r="A6" s="14" t="s">
        <v>28</v>
      </c>
      <c r="B6" s="15" t="s">
        <v>14</v>
      </c>
      <c r="C6" s="16">
        <v>44757</v>
      </c>
      <c r="D6" s="17">
        <v>2022</v>
      </c>
      <c r="E6" s="18">
        <v>196</v>
      </c>
      <c r="F6" s="15">
        <v>322</v>
      </c>
      <c r="G6" s="15">
        <v>2</v>
      </c>
      <c r="H6" s="19">
        <f t="shared" si="0"/>
        <v>0.0062111801242236</v>
      </c>
      <c r="I6" s="41" t="s">
        <v>15</v>
      </c>
      <c r="J6" s="41" t="s">
        <v>15</v>
      </c>
      <c r="K6" s="41" t="s">
        <v>15</v>
      </c>
      <c r="L6" s="42" t="s">
        <v>15</v>
      </c>
    </row>
    <row r="7" spans="1:12">
      <c r="A7" s="2" t="s">
        <v>30</v>
      </c>
      <c r="B7" s="20" t="s">
        <v>24</v>
      </c>
      <c r="C7" s="3">
        <v>44874</v>
      </c>
      <c r="D7" s="4">
        <v>2022</v>
      </c>
      <c r="E7" s="21">
        <v>313</v>
      </c>
      <c r="F7" s="1">
        <v>96</v>
      </c>
      <c r="G7" s="1">
        <v>1</v>
      </c>
      <c r="H7" s="5">
        <f t="shared" si="0"/>
        <v>0.0104166666666667</v>
      </c>
      <c r="I7" s="43">
        <v>7631.25</v>
      </c>
      <c r="J7" s="43">
        <v>5337.5</v>
      </c>
      <c r="K7" s="6" t="s">
        <v>15</v>
      </c>
      <c r="L7" s="37" t="s">
        <v>15</v>
      </c>
    </row>
    <row r="8" spans="1:12">
      <c r="A8" s="1" t="s">
        <v>32</v>
      </c>
      <c r="B8" s="20" t="s">
        <v>24</v>
      </c>
      <c r="C8" s="3">
        <v>44977</v>
      </c>
      <c r="D8" s="4">
        <v>2023</v>
      </c>
      <c r="E8" s="21">
        <v>51</v>
      </c>
      <c r="F8" s="1">
        <v>55</v>
      </c>
      <c r="G8" s="1">
        <v>2</v>
      </c>
      <c r="H8" s="5">
        <f t="shared" si="0"/>
        <v>0.0363636363636364</v>
      </c>
      <c r="I8" s="1">
        <v>11800</v>
      </c>
      <c r="J8" s="43">
        <v>12266.67</v>
      </c>
      <c r="K8" s="44">
        <v>0.1160134</v>
      </c>
      <c r="L8" s="36">
        <v>0.872093023255814</v>
      </c>
    </row>
    <row r="9" spans="1:12">
      <c r="A9" s="2" t="s">
        <v>34</v>
      </c>
      <c r="B9" s="1" t="s">
        <v>14</v>
      </c>
      <c r="C9" s="3">
        <v>45024</v>
      </c>
      <c r="D9" s="4">
        <v>2023</v>
      </c>
      <c r="E9" s="21">
        <v>98</v>
      </c>
      <c r="F9" s="1">
        <v>75</v>
      </c>
      <c r="G9" s="1">
        <v>3</v>
      </c>
      <c r="H9" s="5">
        <f t="shared" si="0"/>
        <v>0.04</v>
      </c>
      <c r="I9" s="6" t="s">
        <v>15</v>
      </c>
      <c r="J9" s="6" t="s">
        <v>15</v>
      </c>
      <c r="K9" s="45" t="s">
        <v>15</v>
      </c>
      <c r="L9" s="37" t="s">
        <v>15</v>
      </c>
    </row>
    <row r="10" spans="1:12">
      <c r="A10" s="1" t="s">
        <v>36</v>
      </c>
      <c r="B10" s="20" t="s">
        <v>24</v>
      </c>
      <c r="C10" s="3">
        <v>45066</v>
      </c>
      <c r="D10" s="4">
        <v>2023</v>
      </c>
      <c r="E10" s="21">
        <v>140</v>
      </c>
      <c r="F10" s="1">
        <v>90</v>
      </c>
      <c r="G10" s="1">
        <v>3</v>
      </c>
      <c r="H10" s="5">
        <f t="shared" si="0"/>
        <v>0.0333333333333333</v>
      </c>
      <c r="I10" s="43">
        <v>4300</v>
      </c>
      <c r="J10" s="43">
        <v>2437.5</v>
      </c>
      <c r="K10" s="44">
        <v>0.1596991</v>
      </c>
      <c r="L10" s="36">
        <v>0.775</v>
      </c>
    </row>
    <row r="11" spans="1:12">
      <c r="A11" s="1" t="s">
        <v>38</v>
      </c>
      <c r="B11" s="20" t="s">
        <v>24</v>
      </c>
      <c r="C11" s="3">
        <v>45139</v>
      </c>
      <c r="D11" s="4">
        <v>2023</v>
      </c>
      <c r="E11" s="21">
        <v>213</v>
      </c>
      <c r="F11" s="1">
        <v>81</v>
      </c>
      <c r="G11" s="1">
        <v>3</v>
      </c>
      <c r="H11" s="5">
        <f t="shared" si="0"/>
        <v>0.037037037037037</v>
      </c>
      <c r="I11" s="43">
        <v>5296</v>
      </c>
      <c r="J11" s="43">
        <v>2673.653</v>
      </c>
      <c r="K11" s="44">
        <v>0.1855623</v>
      </c>
      <c r="L11" s="36">
        <v>0.88</v>
      </c>
    </row>
    <row r="12" spans="1:12">
      <c r="A12" s="1" t="s">
        <v>40</v>
      </c>
      <c r="B12" s="20" t="s">
        <v>24</v>
      </c>
      <c r="C12" s="3">
        <v>45229</v>
      </c>
      <c r="D12" s="4">
        <v>2023</v>
      </c>
      <c r="E12" s="21">
        <v>303</v>
      </c>
      <c r="F12" s="1">
        <v>92</v>
      </c>
      <c r="G12" s="1">
        <v>0</v>
      </c>
      <c r="H12" s="5">
        <f t="shared" si="0"/>
        <v>0</v>
      </c>
      <c r="I12" s="43">
        <v>8155</v>
      </c>
      <c r="J12" s="43">
        <v>5938.333</v>
      </c>
      <c r="K12" s="44">
        <v>0.1558706</v>
      </c>
      <c r="L12" s="36">
        <v>1</v>
      </c>
    </row>
    <row r="13" spans="1:12">
      <c r="A13" s="1" t="s">
        <v>42</v>
      </c>
      <c r="B13" s="20" t="s">
        <v>24</v>
      </c>
      <c r="C13" s="3">
        <v>45273</v>
      </c>
      <c r="D13" s="4">
        <v>2023</v>
      </c>
      <c r="E13" s="21">
        <v>357</v>
      </c>
      <c r="F13" s="2">
        <v>73</v>
      </c>
      <c r="G13" s="2">
        <v>1</v>
      </c>
      <c r="H13" s="5">
        <f t="shared" si="0"/>
        <v>0.0136986301369863</v>
      </c>
      <c r="I13" s="43">
        <v>28600</v>
      </c>
      <c r="J13" s="20">
        <v>13300</v>
      </c>
      <c r="K13" s="44">
        <v>0.1261257</v>
      </c>
      <c r="L13" s="36">
        <v>0.96</v>
      </c>
    </row>
    <row r="14" spans="1:12">
      <c r="A14" s="1" t="s">
        <v>44</v>
      </c>
      <c r="B14" s="20" t="s">
        <v>24</v>
      </c>
      <c r="C14" s="3">
        <v>45332</v>
      </c>
      <c r="D14" s="4">
        <v>2024</v>
      </c>
      <c r="E14" s="4">
        <v>41</v>
      </c>
      <c r="F14" s="2">
        <v>48</v>
      </c>
      <c r="G14" s="2">
        <v>1</v>
      </c>
      <c r="H14" s="5">
        <f t="shared" si="0"/>
        <v>0.0208333333333333</v>
      </c>
      <c r="I14" s="43">
        <v>20646.83</v>
      </c>
      <c r="J14" s="43">
        <v>9814.187</v>
      </c>
      <c r="K14" s="44">
        <v>0.1216492</v>
      </c>
      <c r="L14" s="36">
        <v>0.918367346938776</v>
      </c>
    </row>
    <row r="15" spans="1:12">
      <c r="A15" s="1" t="s">
        <v>46</v>
      </c>
      <c r="B15" s="20" t="s">
        <v>24</v>
      </c>
      <c r="C15" s="3">
        <v>45380</v>
      </c>
      <c r="D15" s="4">
        <v>2024</v>
      </c>
      <c r="E15" s="21">
        <v>89</v>
      </c>
      <c r="F15" s="2">
        <v>75</v>
      </c>
      <c r="G15" s="2">
        <v>2</v>
      </c>
      <c r="H15" s="5">
        <f t="shared" si="0"/>
        <v>0.0266666666666667</v>
      </c>
      <c r="I15" s="1">
        <v>9000</v>
      </c>
      <c r="J15" s="43">
        <v>3677.875</v>
      </c>
      <c r="K15" s="44">
        <v>0.1304108</v>
      </c>
      <c r="L15" s="36">
        <v>0.918367346938776</v>
      </c>
    </row>
    <row r="16" spans="1:12">
      <c r="A16" s="1" t="s">
        <v>48</v>
      </c>
      <c r="B16" s="20" t="s">
        <v>24</v>
      </c>
      <c r="C16" s="3">
        <v>45448</v>
      </c>
      <c r="D16" s="4">
        <v>2024</v>
      </c>
      <c r="E16" s="4">
        <v>157</v>
      </c>
      <c r="F16" s="2">
        <v>112</v>
      </c>
      <c r="G16" s="2">
        <v>1</v>
      </c>
      <c r="H16" s="5">
        <f t="shared" si="0"/>
        <v>0.00892857142857143</v>
      </c>
      <c r="I16" s="43">
        <v>7008.333</v>
      </c>
      <c r="J16" s="43">
        <v>2639.667</v>
      </c>
      <c r="K16" s="44">
        <v>0.1365901</v>
      </c>
      <c r="L16" s="36">
        <v>0.803921568627451</v>
      </c>
    </row>
    <row r="17" spans="1:12">
      <c r="A17" s="22" t="s">
        <v>50</v>
      </c>
      <c r="B17" s="12" t="s">
        <v>14</v>
      </c>
      <c r="C17" s="9">
        <v>45523</v>
      </c>
      <c r="D17" s="10">
        <v>2024</v>
      </c>
      <c r="E17" s="11">
        <v>231</v>
      </c>
      <c r="F17" s="23">
        <v>110</v>
      </c>
      <c r="G17" s="23">
        <v>3</v>
      </c>
      <c r="H17" s="13">
        <f t="shared" si="0"/>
        <v>0.0272727272727273</v>
      </c>
      <c r="I17" s="39" t="s">
        <v>15</v>
      </c>
      <c r="J17" s="39" t="s">
        <v>15</v>
      </c>
      <c r="K17" s="46" t="s">
        <v>15</v>
      </c>
      <c r="L17" s="47" t="s">
        <v>15</v>
      </c>
    </row>
    <row r="18" spans="1:12">
      <c r="A18" s="24" t="s">
        <v>50</v>
      </c>
      <c r="B18" s="25" t="s">
        <v>24</v>
      </c>
      <c r="C18" s="16">
        <v>45523</v>
      </c>
      <c r="D18" s="17">
        <v>2024</v>
      </c>
      <c r="E18" s="18">
        <v>231</v>
      </c>
      <c r="F18" s="15">
        <v>106</v>
      </c>
      <c r="G18" s="15">
        <v>2</v>
      </c>
      <c r="H18" s="19">
        <f t="shared" si="0"/>
        <v>0.0188679245283019</v>
      </c>
      <c r="I18" s="48">
        <v>23730</v>
      </c>
      <c r="J18" s="25">
        <v>10465</v>
      </c>
      <c r="K18" s="49">
        <v>0.1232923</v>
      </c>
      <c r="L18" s="50">
        <v>0.844444444444444</v>
      </c>
    </row>
    <row r="19" spans="1:12">
      <c r="A19" s="1" t="s">
        <v>55</v>
      </c>
      <c r="B19" s="20" t="s">
        <v>24</v>
      </c>
      <c r="C19" s="26">
        <v>45584</v>
      </c>
      <c r="D19" s="1">
        <v>2024</v>
      </c>
      <c r="E19" s="4">
        <v>292</v>
      </c>
      <c r="F19" s="1">
        <v>112</v>
      </c>
      <c r="G19" s="1">
        <v>2</v>
      </c>
      <c r="H19" s="27">
        <f t="shared" si="0"/>
        <v>0.0178571428571429</v>
      </c>
      <c r="I19" s="43">
        <v>6413.33333333333</v>
      </c>
      <c r="J19" s="43">
        <v>8480</v>
      </c>
      <c r="K19" s="44">
        <v>0.127921005110164</v>
      </c>
      <c r="L19" s="51">
        <v>0.9</v>
      </c>
    </row>
    <row r="20" spans="1:12">
      <c r="A20" s="1" t="s">
        <v>57</v>
      </c>
      <c r="B20" s="20" t="s">
        <v>24</v>
      </c>
      <c r="C20" s="26">
        <v>45639</v>
      </c>
      <c r="D20" s="1">
        <v>2024</v>
      </c>
      <c r="E20" s="4">
        <v>287</v>
      </c>
      <c r="F20" s="1">
        <v>134</v>
      </c>
      <c r="G20" s="1">
        <v>2</v>
      </c>
      <c r="H20" s="27">
        <f t="shared" si="0"/>
        <v>0.0149253731343284</v>
      </c>
      <c r="I20" s="43">
        <v>28600</v>
      </c>
      <c r="J20" s="43">
        <v>13300</v>
      </c>
      <c r="K20" s="44">
        <v>0.126125698277907</v>
      </c>
      <c r="L20" s="20">
        <v>0.96</v>
      </c>
    </row>
    <row r="21" spans="1:12">
      <c r="A21" s="1" t="s">
        <v>59</v>
      </c>
      <c r="B21" s="20" t="s">
        <v>24</v>
      </c>
      <c r="C21" s="28">
        <v>45688</v>
      </c>
      <c r="D21" s="1">
        <v>2025</v>
      </c>
      <c r="E21" s="4">
        <v>31</v>
      </c>
      <c r="F21" s="1">
        <v>133</v>
      </c>
      <c r="G21" s="29">
        <v>3</v>
      </c>
      <c r="H21" s="30">
        <f t="shared" si="0"/>
        <v>0.0225563909774436</v>
      </c>
      <c r="I21" s="52">
        <v>6613.33333333333</v>
      </c>
      <c r="J21" s="52">
        <v>6050.66666666667</v>
      </c>
      <c r="K21" s="53">
        <v>0.101966734983318</v>
      </c>
      <c r="L21" s="54">
        <v>0.885714285714286</v>
      </c>
    </row>
    <row r="22" spans="1:12">
      <c r="A22" s="1" t="s">
        <v>62</v>
      </c>
      <c r="B22" s="20" t="s">
        <v>24</v>
      </c>
      <c r="C22" s="28">
        <v>45718</v>
      </c>
      <c r="D22" s="1">
        <v>2025</v>
      </c>
      <c r="E22" s="4">
        <v>61</v>
      </c>
      <c r="F22" s="1">
        <v>118</v>
      </c>
      <c r="G22" s="29">
        <v>2</v>
      </c>
      <c r="H22" s="30">
        <f t="shared" si="0"/>
        <v>0.0169491525423729</v>
      </c>
      <c r="I22" s="52">
        <v>6746.66666666667</v>
      </c>
      <c r="J22" s="52">
        <v>5589.33333333333</v>
      </c>
      <c r="K22" s="53">
        <v>0.100172662584618</v>
      </c>
      <c r="L22" s="54">
        <v>0.875</v>
      </c>
    </row>
    <row r="23" spans="1:12">
      <c r="A23" s="1" t="s">
        <v>64</v>
      </c>
      <c r="B23" s="20" t="s">
        <v>24</v>
      </c>
      <c r="C23" s="28">
        <v>45774</v>
      </c>
      <c r="D23" s="1">
        <v>2025</v>
      </c>
      <c r="E23" s="4">
        <v>117</v>
      </c>
      <c r="F23" s="1">
        <v>91</v>
      </c>
      <c r="G23" s="31">
        <v>7</v>
      </c>
      <c r="H23" s="30">
        <f t="shared" si="0"/>
        <v>0.0769230769230769</v>
      </c>
      <c r="I23" s="55">
        <v>5760</v>
      </c>
      <c r="J23" s="55">
        <v>4118.66666666667</v>
      </c>
      <c r="K23" s="56">
        <v>0.10714705037391</v>
      </c>
      <c r="L23" s="57">
        <v>0.933333333333333</v>
      </c>
    </row>
    <row r="24" spans="1:12">
      <c r="A24" s="1" t="s">
        <v>67</v>
      </c>
      <c r="B24" s="32" t="s">
        <v>68</v>
      </c>
      <c r="C24" s="3">
        <v>45803</v>
      </c>
      <c r="D24" s="1">
        <v>2025</v>
      </c>
      <c r="E24" s="4">
        <v>146</v>
      </c>
      <c r="F24" s="1">
        <v>144</v>
      </c>
      <c r="G24" s="31">
        <v>7</v>
      </c>
      <c r="H24" s="30">
        <f t="shared" si="0"/>
        <v>0.0486111111111111</v>
      </c>
      <c r="I24" s="6" t="s">
        <v>15</v>
      </c>
      <c r="J24" s="6" t="s">
        <v>15</v>
      </c>
      <c r="K24" s="44">
        <v>0.113504941841871</v>
      </c>
      <c r="L24" s="51">
        <v>0.94</v>
      </c>
    </row>
    <row r="25" spans="1:12">
      <c r="A25" s="1" t="s">
        <v>70</v>
      </c>
      <c r="B25" s="32" t="s">
        <v>68</v>
      </c>
      <c r="C25" s="28">
        <v>45836</v>
      </c>
      <c r="D25" s="1">
        <v>2025</v>
      </c>
      <c r="E25" s="4">
        <v>179</v>
      </c>
      <c r="F25" s="1">
        <v>102</v>
      </c>
      <c r="G25" s="31">
        <v>9</v>
      </c>
      <c r="H25" s="30">
        <f t="shared" si="0"/>
        <v>0.0882352941176471</v>
      </c>
      <c r="I25" s="6" t="s">
        <v>15</v>
      </c>
      <c r="J25" s="6" t="s">
        <v>15</v>
      </c>
      <c r="K25" s="44">
        <v>0.114534513438852</v>
      </c>
      <c r="L25" s="51">
        <v>1</v>
      </c>
    </row>
    <row r="26" spans="1:12">
      <c r="A26" s="1" t="s">
        <v>73</v>
      </c>
      <c r="B26" s="20" t="s">
        <v>24</v>
      </c>
      <c r="C26" s="28">
        <v>45880</v>
      </c>
      <c r="D26" s="1">
        <v>2025</v>
      </c>
      <c r="E26" s="4">
        <v>223</v>
      </c>
      <c r="F26" s="1">
        <v>188</v>
      </c>
      <c r="G26" s="31">
        <v>9</v>
      </c>
      <c r="H26" s="30">
        <f t="shared" si="0"/>
        <v>0.0478723404255319</v>
      </c>
      <c r="I26" s="20">
        <v>7060</v>
      </c>
      <c r="J26" s="43">
        <v>5708.26666666667</v>
      </c>
      <c r="K26" s="44">
        <v>0.154842587889184</v>
      </c>
      <c r="L26" s="51">
        <v>0.888888888888889</v>
      </c>
    </row>
    <row r="27" spans="1:12">
      <c r="A27" s="1" t="s">
        <v>77</v>
      </c>
      <c r="B27" s="20" t="s">
        <v>24</v>
      </c>
      <c r="C27" s="28">
        <v>45912</v>
      </c>
      <c r="D27" s="1">
        <v>2025</v>
      </c>
      <c r="E27" s="4">
        <v>254</v>
      </c>
      <c r="F27" s="1">
        <v>290</v>
      </c>
      <c r="G27" s="31">
        <v>2</v>
      </c>
      <c r="H27" s="30">
        <f t="shared" si="0"/>
        <v>0.00689655172413793</v>
      </c>
      <c r="I27" s="43">
        <v>11400</v>
      </c>
      <c r="J27" s="43">
        <v>12922.6666666667</v>
      </c>
      <c r="K27" s="44">
        <v>0.128746872499332</v>
      </c>
      <c r="L27" s="51">
        <v>0.733333333333333</v>
      </c>
    </row>
    <row r="28" spans="1:12">
      <c r="A28" s="1" t="s">
        <v>80</v>
      </c>
      <c r="B28" s="20" t="s">
        <v>24</v>
      </c>
      <c r="C28" s="33">
        <v>45950</v>
      </c>
      <c r="D28" s="1">
        <v>2025</v>
      </c>
      <c r="E28" s="4">
        <v>293</v>
      </c>
      <c r="F28" s="34">
        <v>224</v>
      </c>
      <c r="G28" s="35">
        <v>3</v>
      </c>
      <c r="H28" s="30">
        <f t="shared" si="0"/>
        <v>0.0133928571428571</v>
      </c>
      <c r="I28" s="43">
        <v>8266.666668</v>
      </c>
      <c r="J28" s="43">
        <v>7374.666668</v>
      </c>
      <c r="K28" s="44">
        <v>0.109774649061527</v>
      </c>
      <c r="L28" s="20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Tidy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Стрелков Петр Петрович</dc:creator>
  <cp:lastModifiedBy>google1599737165</cp:lastModifiedBy>
  <dcterms:created xsi:type="dcterms:W3CDTF">2025-11-20T09:28:00Z</dcterms:created>
  <dcterms:modified xsi:type="dcterms:W3CDTF">2025-11-20T13:01:21Z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E5A902509C904E71BA8BBAD2038E310F_13</vt:lpwstr>
  </property>
</Properties>
</file>