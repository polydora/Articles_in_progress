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Data_for_analyzis" sheetId="7" r:id="rId1"/>
  </sheets>
  <definedNames>
    <definedName name="_xlnm._FilterDatabase" localSheetId="0" hidden="1">Data_for_analyzis!$A$1:$AT$106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Стрелков Петр Петрович</author>
  </authors>
  <commentList>
    <comment ref="A22" authorId="0">
      <text>
        <r>
          <rPr>
            <b/>
            <sz val="8"/>
            <rFont val="Tahoma"/>
            <charset val="204"/>
          </rPr>
          <t>admin:</t>
        </r>
        <r>
          <rPr>
            <sz val="8"/>
            <rFont val="Tahoma"/>
            <charset val="204"/>
          </rPr>
          <t xml:space="preserve">
это есть в отчете, можно верить
</t>
        </r>
      </text>
    </comment>
    <comment ref="G33" authorId="0">
      <text>
        <r>
          <rPr>
            <b/>
            <sz val="8"/>
            <rFont val="Tahoma"/>
            <charset val="204"/>
          </rPr>
          <t>admin:</t>
        </r>
        <r>
          <rPr>
            <sz val="8"/>
            <rFont val="Tahoma"/>
            <charset val="204"/>
          </rPr>
          <t xml:space="preserve">
500 м береговая полоса
69°49'3.94"С - 69°48'44.37"С
170°34'4.18"В - 170°33'59.33"В
</t>
        </r>
      </text>
    </comment>
    <comment ref="B36" authorId="0">
      <text>
        <r>
          <rPr>
            <b/>
            <sz val="8"/>
            <rFont val="Tahoma"/>
            <charset val="204"/>
          </rPr>
          <t>admin:</t>
        </r>
        <r>
          <rPr>
            <sz val="8"/>
            <rFont val="Tahoma"/>
            <charset val="204"/>
          </rPr>
          <t xml:space="preserve">
неверно документировано 2023</t>
        </r>
      </text>
    </comment>
    <comment ref="G93" authorId="1">
      <text>
        <r>
          <rPr>
            <b/>
            <sz val="9"/>
            <rFont val="Tahoma"/>
            <charset val="204"/>
          </rPr>
          <t>Стрелков Петр Петрович:</t>
        </r>
        <r>
          <rPr>
            <sz val="9"/>
            <rFont val="Tahoma"/>
            <charset val="204"/>
          </rPr>
          <t xml:space="preserve">
координат не было, придумал</t>
        </r>
      </text>
    </comment>
  </commentList>
</comments>
</file>

<file path=xl/sharedStrings.xml><?xml version="1.0" encoding="utf-8"?>
<sst xmlns="http://schemas.openxmlformats.org/spreadsheetml/2006/main" count="458" uniqueCount="321">
  <si>
    <t>Sample_ID</t>
  </si>
  <si>
    <t>Year</t>
  </si>
  <si>
    <t>Date</t>
  </si>
  <si>
    <t>Sea</t>
  </si>
  <si>
    <t>Place</t>
  </si>
  <si>
    <t>Description</t>
  </si>
  <si>
    <t>Lat</t>
  </si>
  <si>
    <t>Lon</t>
  </si>
  <si>
    <t>N_FC</t>
  </si>
  <si>
    <t>DN</t>
  </si>
  <si>
    <t>BTN1</t>
  </si>
  <si>
    <t>BTN2</t>
  </si>
  <si>
    <t>BTN2_1</t>
  </si>
  <si>
    <t>BTN2_2</t>
  </si>
  <si>
    <t>Include</t>
  </si>
  <si>
    <t>J</t>
  </si>
  <si>
    <t>July-September, 2019</t>
  </si>
  <si>
    <t>Sea of Japan</t>
  </si>
  <si>
    <t>Залив Восток, бухта Гайдамак</t>
  </si>
  <si>
    <t>Причальная бочка</t>
  </si>
  <si>
    <t>R</t>
  </si>
  <si>
    <t>Амурский залив, городской пляж, Вторая Речка, Владивосток</t>
  </si>
  <si>
    <t>Сублитораль, 5 м, естественное местообитание</t>
  </si>
  <si>
    <t>V</t>
  </si>
  <si>
    <t>Залив Восток, МБС Восток</t>
  </si>
  <si>
    <t>Экспериментальная плантация, 5 м</t>
  </si>
  <si>
    <t>INV</t>
  </si>
  <si>
    <t>Scotland</t>
  </si>
  <si>
    <t>Inverkip, Kip Marina</t>
  </si>
  <si>
    <t>каменная набережная</t>
  </si>
  <si>
    <t>LE</t>
  </si>
  <si>
    <t>Loch-Etive</t>
  </si>
  <si>
    <t>каменистая литораль</t>
  </si>
  <si>
    <t>BN</t>
  </si>
  <si>
    <t>Norwegian Sea</t>
  </si>
  <si>
    <t>Bodo</t>
  </si>
  <si>
    <t>Небольшая закрытая губа в которую впадает ручей. Мидии вокруг камней на песчаном грунте</t>
  </si>
  <si>
    <t>AN</t>
  </si>
  <si>
    <t>Alta</t>
  </si>
  <si>
    <t>Небольшая скала закрытая от прибоя</t>
  </si>
  <si>
    <t>BOD</t>
  </si>
  <si>
    <t>Barents Sea</t>
  </si>
  <si>
    <t>Tanafjord, Smalfjorden</t>
  </si>
  <si>
    <t>опресненный кут, соленость 11 ppt</t>
  </si>
  <si>
    <t>Крым-Юля</t>
  </si>
  <si>
    <t>Black Sea</t>
  </si>
  <si>
    <t>причал №10, бухта Северная, Севастополь</t>
  </si>
  <si>
    <t>причал</t>
  </si>
  <si>
    <t>M1</t>
  </si>
  <si>
    <t>July 2020</t>
  </si>
  <si>
    <t>Sea of Okhotsk</t>
  </si>
  <si>
    <t>Marchekan Creek in the Nagaev Bay</t>
  </si>
  <si>
    <t>обе выборки в статье приписаны к одной точке, но фактически это наша точка</t>
  </si>
  <si>
    <t>M2</t>
  </si>
  <si>
    <t xml:space="preserve">обе выборки в статье приписаны к одной точке, фактически эта с любой из двух точек 59°32'27.82"С; 150°46'52.70"В, 59°32'33.57"С; 150°46'54.88"В </t>
  </si>
  <si>
    <t>J2 -bis</t>
  </si>
  <si>
    <t>J3</t>
  </si>
  <si>
    <t>Chili/PA</t>
  </si>
  <si>
    <t>Магелланов пролив</t>
  </si>
  <si>
    <t>Fuerte Bulnes, окрестности Пунта-Аренас</t>
  </si>
  <si>
    <t>литораль, песок, галька, скалы</t>
  </si>
  <si>
    <t>Bar1-28</t>
  </si>
  <si>
    <t>Август/Сентябрь 2020</t>
  </si>
  <si>
    <t>Хайпудырская губа Баренцева моря</t>
  </si>
  <si>
    <t>верхняя сублитораль (Трал Сигсби) </t>
  </si>
  <si>
    <t>KOL</t>
  </si>
  <si>
    <t>White Sea</t>
  </si>
  <si>
    <t>Село Колежма, Онежский залив</t>
  </si>
  <si>
    <t>песчаная литораль</t>
  </si>
  <si>
    <t>OLE</t>
  </si>
  <si>
    <t>Остров Олений, Кандалакшский залив</t>
  </si>
  <si>
    <t>литораль?</t>
  </si>
  <si>
    <t>YAG</t>
  </si>
  <si>
    <t>Остров Ягры, Двинской залив</t>
  </si>
  <si>
    <t>литораль</t>
  </si>
  <si>
    <t>DD1-35</t>
  </si>
  <si>
    <t>26.06.2021</t>
  </si>
  <si>
    <t>Kamchatka</t>
  </si>
  <si>
    <t>бухта Вестник</t>
  </si>
  <si>
    <t>ST</t>
  </si>
  <si>
    <t>остров Старичкова</t>
  </si>
  <si>
    <t>скалистая литораль (см. фото)</t>
  </si>
  <si>
    <t>AV1</t>
  </si>
  <si>
    <t>June 2021</t>
  </si>
  <si>
    <t>устье Авачи, координаты примерные</t>
  </si>
  <si>
    <t>OB</t>
  </si>
  <si>
    <t>Komandor islands</t>
  </si>
  <si>
    <t>остров Беринга</t>
  </si>
  <si>
    <t>OK</t>
  </si>
  <si>
    <t>Китовая бухта, координаты примерные</t>
  </si>
  <si>
    <t>Витязь-21</t>
  </si>
  <si>
    <t>спросить Майорову</t>
  </si>
  <si>
    <t>Залив Посьет, бухта Витязь</t>
  </si>
  <si>
    <t>EV</t>
  </si>
  <si>
    <t>нижний горизонт песчаной литорали с редкими рифами (см. фото)</t>
  </si>
  <si>
    <t>NEN</t>
  </si>
  <si>
    <t>Село Нёнокса, Двинской залив</t>
  </si>
  <si>
    <t>SON</t>
  </si>
  <si>
    <t>Остров Соностров, Кандалакшский залив</t>
  </si>
  <si>
    <t>старый субстрат марикультуры</t>
  </si>
  <si>
    <t>Kor</t>
  </si>
  <si>
    <t>Лувеньга - "kordosha"</t>
  </si>
  <si>
    <t>Хайтов</t>
  </si>
  <si>
    <t>AQ</t>
  </si>
  <si>
    <t>17.06.2021</t>
  </si>
  <si>
    <t>Чан губа, марикультура (Ура)</t>
  </si>
  <si>
    <t>марикультура</t>
  </si>
  <si>
    <t>BU</t>
  </si>
  <si>
    <t>июнь</t>
  </si>
  <si>
    <t>Лобаниха</t>
  </si>
  <si>
    <t>пара метров глубины, координаты примерные</t>
  </si>
  <si>
    <t>CHAU</t>
  </si>
  <si>
    <t>23-24.07.2022</t>
  </si>
  <si>
    <t>Восточно-Сибирское море</t>
  </si>
  <si>
    <t xml:space="preserve">северо-восточное побережье Чаунской губы </t>
  </si>
  <si>
    <t>выбросы ризоидов ламинарий с друзами мидий собраны на мелководье на примерно 500 м участке побережья от протоки из озера Солёного до рыбалок вблизи аэропорта Апапельгино (см. фото)</t>
  </si>
  <si>
    <t>KOM1</t>
  </si>
  <si>
    <t>бухта Никольская, село Никольское, литораль близ устья р. Гаванская (см. фото)</t>
  </si>
  <si>
    <t>AV2</t>
  </si>
  <si>
    <t>May 2022</t>
  </si>
  <si>
    <t>устье Авачи</t>
  </si>
  <si>
    <t>AV4_VV (откуда на культуру и на транскриптомы)=AVS</t>
  </si>
  <si>
    <t>EE</t>
  </si>
  <si>
    <t>Sea of Azov</t>
  </si>
  <si>
    <t>Ейск, Должанская коса</t>
  </si>
  <si>
    <t>глубина 1.5-2 м</t>
  </si>
  <si>
    <t>HAI</t>
  </si>
  <si>
    <t>Северная губа, о. Ряжков</t>
  </si>
  <si>
    <t>уточнить у Хайтова</t>
  </si>
  <si>
    <t>PRM</t>
  </si>
  <si>
    <t>Kuril islands</t>
  </si>
  <si>
    <t>Второй Курильский пролив,  о.Парамушир</t>
  </si>
  <si>
    <t xml:space="preserve"> в районе мыса Округлый, старый пирс</t>
  </si>
  <si>
    <t>PLO</t>
  </si>
  <si>
    <t>август</t>
  </si>
  <si>
    <t>Paramushir</t>
  </si>
  <si>
    <t>ближе к поселку относительно предыдущей точки, координаты условные</t>
  </si>
  <si>
    <t>KRG</t>
  </si>
  <si>
    <t>север камчатки, пролив Литке</t>
  </si>
  <si>
    <t>Б. Карага у пос Кострома, в трубе на литорали (см. фото)</t>
  </si>
  <si>
    <t>KOM2_VV</t>
  </si>
  <si>
    <t xml:space="preserve">мыс Входной Риф, у.п. Никольское,  скалистая  литораль. </t>
  </si>
  <si>
    <t>SOCHI</t>
  </si>
  <si>
    <t>от Майоровой</t>
  </si>
  <si>
    <t>с местной марикультуры, беру координаты Хосты гдеесть хозяйство</t>
  </si>
  <si>
    <t>с местной марикультуры</t>
  </si>
  <si>
    <t>KAL</t>
  </si>
  <si>
    <t>Baltic Sea</t>
  </si>
  <si>
    <t>под мысом Таран</t>
  </si>
  <si>
    <t>метров 10 глубины, координаты условные</t>
  </si>
  <si>
    <t>DK, NN1-24</t>
  </si>
  <si>
    <t>Де-Кастри, з-в Залив Чихачёва</t>
  </si>
  <si>
    <t>Мыс Клыкова N1</t>
  </si>
  <si>
    <t>DK, NN25-72</t>
  </si>
  <si>
    <t>Мыс Клыкова N2</t>
  </si>
  <si>
    <t>DK, NN73-112</t>
  </si>
  <si>
    <t>Лагуна Сомон N1</t>
  </si>
  <si>
    <t>DK, NN113-150</t>
  </si>
  <si>
    <t>Лагуна Сомон N2</t>
  </si>
  <si>
    <t>Ру</t>
  </si>
  <si>
    <t>11-12.07.2024</t>
  </si>
  <si>
    <t>Рудная Пристань, бухта Рудная</t>
  </si>
  <si>
    <t>бухта Рудная, канат, координаты примерные</t>
  </si>
  <si>
    <t>Олг</t>
  </si>
  <si>
    <t>з-в Ольга</t>
  </si>
  <si>
    <t>Старый пирс "Колпакова"</t>
  </si>
  <si>
    <t>Вла1-36</t>
  </si>
  <si>
    <t>з-в Владимира</t>
  </si>
  <si>
    <t>Пирс в Ракушке (N1)</t>
  </si>
  <si>
    <t>Вла37-72</t>
  </si>
  <si>
    <t>Пирс в Тимофеевке (N2)</t>
  </si>
  <si>
    <t>Витязь-Полина</t>
  </si>
  <si>
    <t>May, 2024</t>
  </si>
  <si>
    <t>в обросте марикультуры гребешка</t>
  </si>
  <si>
    <t>б-та Воевода</t>
  </si>
  <si>
    <t>Амурский залив, бухта Воевода, марикультура</t>
  </si>
  <si>
    <t>от Туранова, марикультура мидий</t>
  </si>
  <si>
    <t>KR (CR на цитом)</t>
  </si>
  <si>
    <t>Севастополь, Артиллерийская бухта (примерная точка где Андреева отмечала DN)</t>
  </si>
  <si>
    <t>пирсы?</t>
  </si>
  <si>
    <t>IND</t>
  </si>
  <si>
    <t>Индигская губа Баренцева моря</t>
  </si>
  <si>
    <t>Траловая станция N1, Глубина 10-12 м песок</t>
  </si>
  <si>
    <t>ТРА2</t>
  </si>
  <si>
    <t>Чешская губа Баренцева моря</t>
  </si>
  <si>
    <t>Траловая станция N2, Глубина 10-12 м песок</t>
  </si>
  <si>
    <t>ТР3</t>
  </si>
  <si>
    <t>Kunashir</t>
  </si>
  <si>
    <t>канат с буями ГБТС (неиспользуемая плантация, все поросло мидиями)</t>
  </si>
  <si>
    <t>биостанция, залив Восток</t>
  </si>
  <si>
    <t>0-2м, поплавки и веревки</t>
  </si>
  <si>
    <t>о-в Трамбецкого</t>
  </si>
  <si>
    <t>Остров Трамбецкого, бухта Анны, залив Восток</t>
  </si>
  <si>
    <t>0м, скалы, литораль</t>
  </si>
  <si>
    <t>о-в Русский</t>
  </si>
  <si>
    <t>Остров Русский, бухта Труда, бухта Новик</t>
  </si>
  <si>
    <t>затопленная ржавая платформа и друза, выброшенная на берег</t>
  </si>
  <si>
    <t>AB</t>
  </si>
  <si>
    <t>2019 July</t>
  </si>
  <si>
    <t>Abram Mys, AB, Kola Bay</t>
  </si>
  <si>
    <t>littoral, depth +0.5, stones, salinity 24 ppt</t>
  </si>
  <si>
    <t>AMB</t>
  </si>
  <si>
    <t>Ambarnaya Inlet, AMB</t>
  </si>
  <si>
    <t>depth 6-7 m, salinity 33 ppt</t>
  </si>
  <si>
    <t>BK2</t>
  </si>
  <si>
    <t>2022 March</t>
  </si>
  <si>
    <t>Belokamenka, BK, Kola Bay</t>
  </si>
  <si>
    <t>littoral, depth +0.5, stones, salinity N/A</t>
  </si>
  <si>
    <t xml:space="preserve">CH2 </t>
  </si>
  <si>
    <t>2021 June</t>
  </si>
  <si>
    <t>Chalmpushka Inlet,CH, Kola Bay</t>
  </si>
  <si>
    <t>littoral, depth +0.9, stones, salinity N/A</t>
  </si>
  <si>
    <t>CH3</t>
  </si>
  <si>
    <t>2021 October</t>
  </si>
  <si>
    <t>littoral, depth +0.5, shipwreck, salinity N/A</t>
  </si>
  <si>
    <t>CH4</t>
  </si>
  <si>
    <t>littoral, depth +0.3, Palmaria community, salinity N/A</t>
  </si>
  <si>
    <t>CH5</t>
  </si>
  <si>
    <t>GR2</t>
  </si>
  <si>
    <t>Gryaznaya Inlet, GR, Kola Bay</t>
  </si>
  <si>
    <t>littoral, depth +0.5, stones and Fucaceae, salinity N/A</t>
  </si>
  <si>
    <t>GR3</t>
  </si>
  <si>
    <t>KU</t>
  </si>
  <si>
    <t>2021 November</t>
  </si>
  <si>
    <t>Kulonga, KU, Kola Bay</t>
  </si>
  <si>
    <t>MI1</t>
  </si>
  <si>
    <t>Mishukovo, MI, Kola Bay</t>
  </si>
  <si>
    <t>ROS2</t>
  </si>
  <si>
    <t>Rosliakovo Inlet, ROS, Kola Bay</t>
  </si>
  <si>
    <t>littoral, depth +0.5, stones and shipwreck</t>
  </si>
  <si>
    <t>UR</t>
  </si>
  <si>
    <t>Ura Inlet, UR</t>
  </si>
  <si>
    <t>littoral, depth +0.5, mussel bed on soft bottom</t>
  </si>
  <si>
    <t>Vyvenka</t>
  </si>
  <si>
    <t>Pacific ocean</t>
  </si>
  <si>
    <t>Вывенка</t>
  </si>
  <si>
    <t>из ризоидов ламинарии на пляже</t>
  </si>
  <si>
    <t>Apu</t>
  </si>
  <si>
    <t>лагуна Кавача, Апука, Корякия</t>
  </si>
  <si>
    <t>INC</t>
  </si>
  <si>
    <t>Инцы, Горло, Зимний берег</t>
  </si>
  <si>
    <t>сублитораль 1 м, островки гальки на песке</t>
  </si>
  <si>
    <t>KOZ</t>
  </si>
  <si>
    <t>Козлы, Двинской залив, Зимний берег</t>
  </si>
  <si>
    <t>??? сублитораль 5 м, островки гальки на песке - по виду они чисто литораль</t>
  </si>
  <si>
    <t>Моржовец</t>
  </si>
  <si>
    <t>Моржовец, Воронка</t>
  </si>
  <si>
    <t>точка М6, сублитораль 13,1, галька гравий</t>
  </si>
  <si>
    <t>Chu</t>
  </si>
  <si>
    <t>Chukotka</t>
  </si>
  <si>
    <t>бухта Гильмимыль, пролив Синявина</t>
  </si>
  <si>
    <t>сублитораль 3-4 м</t>
  </si>
  <si>
    <t>GH1</t>
  </si>
  <si>
    <t>Святоносский залив, Гремиха</t>
  </si>
  <si>
    <t xml:space="preserve"> пирс, историческая точка</t>
  </si>
  <si>
    <t>GH2</t>
  </si>
  <si>
    <t xml:space="preserve"> госпитальный ручей, банка, историческая точка</t>
  </si>
  <si>
    <t>Jap1</t>
  </si>
  <si>
    <t>Амурский залив, поплавки устричной фермы</t>
  </si>
  <si>
    <t>поплавки устричной фермы (Майорова:  все выглядят как M.trossulus)</t>
  </si>
  <si>
    <t>Jap2</t>
  </si>
  <si>
    <t>Амурский залив, поплавки и веревки в выбросах, сборщик Туранов С.В.</t>
  </si>
  <si>
    <t>поплавки и веревки в выбросах, сборщик Туранов С.В.  (Майорова:  все выглядят как M.trossulus)</t>
  </si>
  <si>
    <t>Jap3</t>
  </si>
  <si>
    <t>о. Попова, б. Алексеева, установки МЭС ТОИ ДВО РАН, сборщик Могилевская Д.</t>
  </si>
  <si>
    <t>установки МЭС ТОИ ДВО РАН, сборщик Могилевская Д. (Майорова: смешанная популяция M.galloprovincialis, M.trossulus)</t>
  </si>
  <si>
    <t>Kur1</t>
  </si>
  <si>
    <t>о. Симушир, бухта Броутона, разрушенный пирс, сублитораль, 2-3 м</t>
  </si>
  <si>
    <t>разрушенный пирс, сублитораль, 2-3 м (Майорова: в друзе много пустых створок, молоди нет)</t>
  </si>
  <si>
    <t>Kur2</t>
  </si>
  <si>
    <t>о. Онекотан, мыс Субботина, литораль, сборщик Кавун В.Я.</t>
  </si>
  <si>
    <t>литораль, сборщик Кавун В.Я. (Майорова: почти все мидии со следами сверления)</t>
  </si>
  <si>
    <t>Kur3</t>
  </si>
  <si>
    <t>о. Атласова, пляж рядом со скалой Соседка, литораль (справа от высадки)</t>
  </si>
  <si>
    <t>литораль (справа от высадки)</t>
  </si>
  <si>
    <t>Kur4</t>
  </si>
  <si>
    <t>о. Атласова, пляж рядом со скалой Соседка, нижняя литораль  (рядом с высадкой)</t>
  </si>
  <si>
    <t>нижняя литораль  (рядом с высадкой)</t>
  </si>
  <si>
    <t>Kur5</t>
  </si>
  <si>
    <t>о. Атласова, пляж рядом со скалой Соседка, литоральные ванны</t>
  </si>
  <si>
    <t>литоральные ванны</t>
  </si>
  <si>
    <t>Kur6</t>
  </si>
  <si>
    <t>о. Атласова, пляж рядом со скалой Соседка, нижняя литораль (слева от высадки)</t>
  </si>
  <si>
    <t>нижняя литораль (слева от высадки)</t>
  </si>
  <si>
    <t>Kur7</t>
  </si>
  <si>
    <r>
      <rPr>
        <sz val="11"/>
        <color rgb="FF333333"/>
        <rFont val="Calibri"/>
        <charset val="204"/>
        <scheme val="minor"/>
      </rPr>
      <t>о. Атласова, в</t>
    </r>
    <r>
      <rPr>
        <sz val="11"/>
        <rFont val="Calibri"/>
        <charset val="204"/>
        <scheme val="minor"/>
      </rPr>
      <t>ерхняя сублитораль</t>
    </r>
  </si>
  <si>
    <t xml:space="preserve"> верхняя сублитораль (Майорова: выглядят как литоральные, водолазы говорят сублитораль)</t>
  </si>
  <si>
    <t>Kur8</t>
  </si>
  <si>
    <t>о. Парамушир, бухта Крашенинникова, литораль</t>
  </si>
  <si>
    <t>Kur9</t>
  </si>
  <si>
    <t>Kur10</t>
  </si>
  <si>
    <t>Kur11</t>
  </si>
  <si>
    <t>о. Парамушир, бухта Крашенинникова, сублитораль, 10м</t>
  </si>
  <si>
    <t xml:space="preserve"> сублитораль, 10м (плюс ещё примерно 130 было просмотрено под микроскопом)</t>
  </si>
  <si>
    <t>Jap4</t>
  </si>
  <si>
    <t>о.Попова, мыс Проходной, литораль, сборщик Маркина Ж.В.</t>
  </si>
  <si>
    <t>литораль, сборщик Маркина Ж.В. (Майорова: Очень маленькие, все выглядят как M.galloprovincialis)</t>
  </si>
  <si>
    <t>Jap5</t>
  </si>
  <si>
    <t>Советская гавань, камень и пирс, сборщик Дягилева М.</t>
  </si>
  <si>
    <t>камень и пирс, сборщик Дягилева М. (Майя: Много погибло, изначально было около 550 штук. Все мелкие, большинство около 1.5см, отдельные похожи на Crenomytilus (т.к «пушистые»))</t>
  </si>
  <si>
    <t>Jap6</t>
  </si>
  <si>
    <t>Советская гавань, камень, бетонные блоки, опора пирса, сборщик Дягилева М.</t>
  </si>
  <si>
    <t xml:space="preserve"> камень, бетонные блоки, опора пирса, сборщик Дягилева М.</t>
  </si>
  <si>
    <t>Jap7</t>
  </si>
  <si>
    <t>Советская гавань, покрышка на илистом дне, сборщик Дягилева М.</t>
  </si>
  <si>
    <t>покрышка на илистом дне, сборщик Дягилева М.</t>
  </si>
  <si>
    <t>Jap8</t>
  </si>
  <si>
    <t>Советская гавань, разрушенный пирс, сборщик Дягилева М.</t>
  </si>
  <si>
    <t>разрушенный пирс, сборщик Дягилева М.</t>
  </si>
  <si>
    <t>Jap9</t>
  </si>
  <si>
    <t>Советская гавань,камни и металлолом, сборщик Дягилева М.</t>
  </si>
  <si>
    <t>камни и металлолом, сборщик Дягилева М.</t>
  </si>
  <si>
    <t>Jap10</t>
  </si>
  <si>
    <t>Острова Верховского, скалы, литораль (Майорова: смешанная популяция M.coruscus, M.galloprovincialis, M.trossulus (не точно))</t>
  </si>
  <si>
    <t xml:space="preserve"> скалы, литораль</t>
  </si>
  <si>
    <t>Jap11</t>
  </si>
  <si>
    <t>о. Рейнеке, пролив Рейнеке, навигационный буй, 1-2м  (Майорова: Все выглядят как M.galloprovincialis)</t>
  </si>
  <si>
    <t xml:space="preserve"> навигационный буй, 1-2м</t>
  </si>
  <si>
    <t>Jap12</t>
  </si>
  <si>
    <t>о.Русский, бухта Новик, веревки, пирс яхт-клуба (Майорова: Все выглядят как M.galloprovincialis)</t>
  </si>
  <si>
    <t>веревки, пирс яхт-клуба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</si>
</sst>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mmm\.yy"/>
    <numFmt numFmtId="182" formatCode="dd/mm/yy"/>
  </numFmts>
  <fonts count="39">
    <font>
      <sz val="11"/>
      <color theme="1"/>
      <name val="Calibri"/>
      <charset val="204"/>
      <scheme val="minor"/>
    </font>
    <font>
      <b/>
      <sz val="11"/>
      <color rgb="FFFF0000"/>
      <name val="Calibri"/>
      <charset val="204"/>
      <scheme val="minor"/>
    </font>
    <font>
      <b/>
      <sz val="11"/>
      <color theme="1"/>
      <name val="Calibri"/>
      <charset val="204"/>
      <scheme val="minor"/>
    </font>
    <font>
      <b/>
      <sz val="11"/>
      <name val="Calibri"/>
      <charset val="204"/>
      <scheme val="minor"/>
    </font>
    <font>
      <sz val="10"/>
      <color rgb="FF26282A"/>
      <name val="New"/>
      <charset val="134"/>
    </font>
    <font>
      <sz val="11"/>
      <color rgb="FF26282A"/>
      <name val="Calibri"/>
      <charset val="204"/>
      <scheme val="minor"/>
    </font>
    <font>
      <sz val="11"/>
      <name val="Calibri"/>
      <charset val="204"/>
      <scheme val="minor"/>
    </font>
    <font>
      <sz val="11"/>
      <color rgb="FFFF0000"/>
      <name val="Calibri"/>
      <charset val="204"/>
      <scheme val="minor"/>
    </font>
    <font>
      <sz val="11"/>
      <color rgb="FF1D2228"/>
      <name val="Calibri"/>
      <charset val="204"/>
      <scheme val="minor"/>
    </font>
    <font>
      <sz val="11"/>
      <color rgb="FF006100"/>
      <name val="Calibri"/>
      <charset val="204"/>
      <scheme val="minor"/>
    </font>
    <font>
      <sz val="12"/>
      <name val="Times New Roman"/>
      <charset val="204"/>
    </font>
    <font>
      <sz val="10"/>
      <name val="Arial Cyr"/>
      <charset val="204"/>
    </font>
    <font>
      <sz val="11"/>
      <color rgb="FF000000"/>
      <name val="Calibri"/>
      <charset val="204"/>
      <scheme val="minor"/>
    </font>
    <font>
      <sz val="11"/>
      <color rgb="FF333333"/>
      <name val="Calibri"/>
      <charset val="204"/>
      <scheme val="minor"/>
    </font>
    <font>
      <sz val="11"/>
      <name val="Calibri"/>
      <charset val="204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20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8"/>
      <name val="Tahoma"/>
      <charset val="204"/>
    </font>
    <font>
      <b/>
      <sz val="9"/>
      <name val="Tahoma"/>
      <charset val="204"/>
    </font>
    <font>
      <sz val="8"/>
      <name val="Tahoma"/>
      <charset val="204"/>
    </font>
    <font>
      <sz val="9"/>
      <name val="Tahoma"/>
      <charset val="204"/>
    </font>
  </fonts>
  <fills count="35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5" fillId="6" borderId="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4" applyNumberFormat="0" applyAlignment="0" applyProtection="0">
      <alignment vertical="center"/>
    </xf>
    <xf numFmtId="0" fontId="25" fillId="8" borderId="5" applyNumberFormat="0" applyAlignment="0" applyProtection="0">
      <alignment vertical="center"/>
    </xf>
    <xf numFmtId="0" fontId="26" fillId="8" borderId="4" applyNumberFormat="0" applyAlignment="0" applyProtection="0">
      <alignment vertical="center"/>
    </xf>
    <xf numFmtId="0" fontId="27" fillId="9" borderId="6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11" fillId="0" borderId="0"/>
  </cellStyleXfs>
  <cellXfs count="95">
    <xf numFmtId="0" fontId="0" fillId="0" borderId="0" xfId="0"/>
    <xf numFmtId="0" fontId="0" fillId="0" borderId="0" xfId="0" applyFont="1" applyFill="1" applyBorder="1"/>
    <xf numFmtId="0" fontId="0" fillId="2" borderId="0" xfId="0" applyFont="1" applyFill="1" applyBorder="1"/>
    <xf numFmtId="0" fontId="1" fillId="3" borderId="0" xfId="0" applyFont="1" applyFill="1" applyBorder="1"/>
    <xf numFmtId="0" fontId="2" fillId="0" borderId="0" xfId="0" applyFont="1" applyFill="1" applyBorder="1"/>
    <xf numFmtId="0" fontId="0" fillId="3" borderId="0" xfId="0" applyFont="1" applyFill="1" applyBorder="1"/>
    <xf numFmtId="0" fontId="0" fillId="0" borderId="0" xfId="0" applyFont="1" applyBorder="1"/>
    <xf numFmtId="0" fontId="0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wrapText="1"/>
    </xf>
    <xf numFmtId="0" fontId="0" fillId="0" borderId="0" xfId="0" applyFont="1" applyFill="1" applyBorder="1" applyAlignment="1">
      <alignment horizontal="center" wrapText="1"/>
    </xf>
    <xf numFmtId="180" fontId="0" fillId="0" borderId="0" xfId="0" applyNumberFormat="1" applyFont="1" applyFill="1" applyAlignment="1">
      <alignment horizontal="center"/>
    </xf>
    <xf numFmtId="0" fontId="2" fillId="0" borderId="0" xfId="0" applyFont="1" applyFill="1" applyBorder="1" applyAlignment="1">
      <alignment horizontal="center" wrapText="1"/>
    </xf>
    <xf numFmtId="180" fontId="0" fillId="0" borderId="0" xfId="0" applyNumberFormat="1" applyFont="1" applyFill="1" applyBorder="1" applyAlignment="1">
      <alignment horizontal="center" wrapText="1"/>
    </xf>
    <xf numFmtId="180" fontId="0" fillId="2" borderId="0" xfId="0" applyNumberFormat="1" applyFont="1" applyFill="1" applyBorder="1" applyAlignment="1">
      <alignment horizontal="center" wrapText="1"/>
    </xf>
    <xf numFmtId="0" fontId="0" fillId="2" borderId="0" xfId="0" applyFill="1"/>
    <xf numFmtId="0" fontId="1" fillId="3" borderId="0" xfId="0" applyFont="1" applyFill="1" applyBorder="1" applyAlignment="1">
      <alignment wrapText="1"/>
    </xf>
    <xf numFmtId="0" fontId="1" fillId="3" borderId="0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center"/>
    </xf>
    <xf numFmtId="180" fontId="0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wrapText="1"/>
    </xf>
    <xf numFmtId="0" fontId="4" fillId="0" borderId="0" xfId="0" applyFont="1" applyFill="1"/>
    <xf numFmtId="0" fontId="0" fillId="0" borderId="0" xfId="0" applyFont="1" applyFill="1" applyBorder="1" applyAlignment="1">
      <alignment horizontal="right" wrapText="1"/>
    </xf>
    <xf numFmtId="181" fontId="0" fillId="0" borderId="0" xfId="0" applyNumberFormat="1" applyFont="1" applyFill="1" applyBorder="1" applyAlignment="1">
      <alignment horizontal="center" wrapText="1"/>
    </xf>
    <xf numFmtId="0" fontId="0" fillId="3" borderId="0" xfId="0" applyFont="1" applyFill="1" applyBorder="1" applyAlignment="1">
      <alignment wrapText="1"/>
    </xf>
    <xf numFmtId="0" fontId="0" fillId="3" borderId="0" xfId="0" applyFont="1" applyFill="1" applyBorder="1" applyAlignment="1">
      <alignment horizontal="center" wrapText="1"/>
    </xf>
    <xf numFmtId="180" fontId="0" fillId="3" borderId="0" xfId="0" applyNumberFormat="1" applyFont="1" applyFill="1" applyBorder="1" applyAlignment="1">
      <alignment horizontal="center" wrapText="1"/>
    </xf>
    <xf numFmtId="0" fontId="0" fillId="3" borderId="0" xfId="0" applyFont="1" applyFill="1" applyBorder="1" applyAlignment="1">
      <alignment horizontal="left" wrapText="1"/>
    </xf>
    <xf numFmtId="0" fontId="0" fillId="3" borderId="0" xfId="0" applyFont="1" applyFill="1" applyBorder="1" applyAlignment="1">
      <alignment horizontal="right" wrapText="1"/>
    </xf>
    <xf numFmtId="0" fontId="0" fillId="0" borderId="0" xfId="0" applyFont="1" applyFill="1" applyAlignment="1"/>
    <xf numFmtId="0" fontId="0" fillId="0" borderId="0" xfId="0" applyFont="1" applyFill="1" applyBorder="1" applyAlignment="1">
      <alignment horizontal="center"/>
    </xf>
    <xf numFmtId="180" fontId="0" fillId="0" borderId="0" xfId="0" applyNumberFormat="1" applyFont="1" applyFill="1" applyBorder="1"/>
    <xf numFmtId="0" fontId="0" fillId="0" borderId="0" xfId="0" applyFont="1" applyFill="1" applyAlignment="1">
      <alignment horizontal="right"/>
    </xf>
    <xf numFmtId="180" fontId="5" fillId="0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vertical="center"/>
    </xf>
    <xf numFmtId="0" fontId="5" fillId="0" borderId="0" xfId="0" applyFont="1" applyFill="1" applyBorder="1"/>
    <xf numFmtId="0" fontId="5" fillId="0" borderId="0" xfId="0" applyFont="1" applyFill="1" applyAlignment="1">
      <alignment horizontal="right"/>
    </xf>
    <xf numFmtId="0" fontId="6" fillId="0" borderId="0" xfId="0" applyFont="1" applyFill="1" applyBorder="1" applyAlignment="1">
      <alignment horizontal="right" wrapText="1"/>
    </xf>
    <xf numFmtId="0" fontId="6" fillId="0" borderId="0" xfId="0" applyFont="1" applyFill="1" applyAlignment="1">
      <alignment horizontal="right" vertical="center" wrapText="1"/>
    </xf>
    <xf numFmtId="0" fontId="6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right"/>
    </xf>
    <xf numFmtId="1" fontId="0" fillId="2" borderId="0" xfId="0" applyNumberFormat="1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right" wrapText="1"/>
    </xf>
    <xf numFmtId="0" fontId="2" fillId="0" borderId="0" xfId="0" applyFont="1" applyFill="1" applyBorder="1" applyAlignment="1">
      <alignment wrapText="1"/>
    </xf>
    <xf numFmtId="0" fontId="6" fillId="0" borderId="0" xfId="0" applyFont="1" applyFill="1" applyBorder="1" applyAlignment="1">
      <alignment wrapText="1"/>
    </xf>
    <xf numFmtId="180" fontId="5" fillId="0" borderId="0" xfId="0" applyNumberFormat="1" applyFont="1" applyFill="1" applyBorder="1" applyAlignment="1">
      <alignment wrapText="1"/>
    </xf>
    <xf numFmtId="0" fontId="2" fillId="0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wrapText="1"/>
    </xf>
    <xf numFmtId="9" fontId="0" fillId="2" borderId="0" xfId="0" applyNumberFormat="1" applyFont="1" applyFill="1" applyBorder="1" applyAlignment="1">
      <alignment horizontal="right" wrapText="1"/>
    </xf>
    <xf numFmtId="0" fontId="1" fillId="0" borderId="0" xfId="0" applyFont="1" applyFill="1" applyBorder="1" applyAlignment="1">
      <alignment horizontal="center" wrapText="1"/>
    </xf>
    <xf numFmtId="0" fontId="7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wrapText="1"/>
    </xf>
    <xf numFmtId="0" fontId="0" fillId="4" borderId="0" xfId="0" applyFont="1" applyFill="1" applyBorder="1" applyAlignment="1">
      <alignment wrapText="1"/>
    </xf>
    <xf numFmtId="0" fontId="0" fillId="4" borderId="0" xfId="0" applyFont="1" applyFill="1" applyBorder="1" applyAlignment="1">
      <alignment horizontal="center" wrapText="1"/>
    </xf>
    <xf numFmtId="180" fontId="0" fillId="4" borderId="0" xfId="0" applyNumberFormat="1" applyFont="1" applyFill="1" applyBorder="1" applyAlignment="1">
      <alignment horizontal="center" wrapText="1"/>
    </xf>
    <xf numFmtId="0" fontId="0" fillId="4" borderId="0" xfId="0" applyFont="1" applyFill="1" applyBorder="1" applyAlignment="1">
      <alignment horizontal="center"/>
    </xf>
    <xf numFmtId="180" fontId="10" fillId="4" borderId="0" xfId="49" applyNumberFormat="1" applyFont="1" applyFill="1" applyAlignment="1">
      <alignment wrapText="1"/>
    </xf>
    <xf numFmtId="0" fontId="11" fillId="4" borderId="0" xfId="49" applyFill="1" applyAlignment="1">
      <alignment wrapText="1"/>
    </xf>
    <xf numFmtId="0" fontId="10" fillId="4" borderId="0" xfId="49" applyFont="1" applyFill="1" applyAlignment="1">
      <alignment horizontal="center" wrapText="1"/>
    </xf>
    <xf numFmtId="180" fontId="10" fillId="4" borderId="0" xfId="0" applyNumberFormat="1" applyFont="1" applyFill="1" applyAlignment="1">
      <alignment wrapText="1"/>
    </xf>
    <xf numFmtId="0" fontId="10" fillId="4" borderId="0" xfId="0" applyFont="1" applyFill="1" applyAlignment="1">
      <alignment horizontal="center" wrapText="1"/>
    </xf>
    <xf numFmtId="182" fontId="6" fillId="4" borderId="0" xfId="0" applyNumberFormat="1" applyFont="1" applyFill="1" applyAlignment="1">
      <alignment horizontal="right"/>
    </xf>
    <xf numFmtId="0" fontId="6" fillId="4" borderId="0" xfId="0" applyFont="1" applyFill="1" applyAlignment="1">
      <alignment wrapText="1"/>
    </xf>
    <xf numFmtId="0" fontId="6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 wrapText="1"/>
    </xf>
    <xf numFmtId="0" fontId="12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wrapText="1"/>
    </xf>
    <xf numFmtId="0" fontId="6" fillId="4" borderId="0" xfId="0" applyFont="1" applyFill="1" applyAlignment="1">
      <alignment horizontal="left" wrapText="1"/>
    </xf>
    <xf numFmtId="0" fontId="6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0" fillId="0" borderId="0" xfId="0" applyFont="1" applyBorder="1" applyAlignment="1">
      <alignment wrapText="1"/>
    </xf>
    <xf numFmtId="0" fontId="6" fillId="4" borderId="0" xfId="0" applyFont="1" applyFill="1" applyAlignment="1">
      <alignment horizontal="center"/>
    </xf>
    <xf numFmtId="0" fontId="13" fillId="4" borderId="0" xfId="0" applyFont="1" applyFill="1" applyAlignment="1">
      <alignment horizontal="left" wrapText="1"/>
    </xf>
    <xf numFmtId="0" fontId="0" fillId="5" borderId="0" xfId="0" applyFont="1" applyFill="1" applyBorder="1" applyAlignment="1">
      <alignment wrapText="1"/>
    </xf>
    <xf numFmtId="0" fontId="0" fillId="5" borderId="0" xfId="0" applyFont="1" applyFill="1" applyBorder="1" applyAlignment="1">
      <alignment horizontal="center" wrapText="1"/>
    </xf>
    <xf numFmtId="182" fontId="6" fillId="5" borderId="0" xfId="0" applyNumberFormat="1" applyFont="1" applyFill="1" applyAlignment="1"/>
    <xf numFmtId="0" fontId="0" fillId="5" borderId="0" xfId="0" applyFont="1" applyFill="1" applyBorder="1" applyAlignment="1">
      <alignment horizontal="center"/>
    </xf>
    <xf numFmtId="0" fontId="6" fillId="5" borderId="0" xfId="0" applyFont="1" applyFill="1" applyAlignment="1">
      <alignment wrapText="1"/>
    </xf>
    <xf numFmtId="0" fontId="0" fillId="0" borderId="0" xfId="0" applyFont="1" applyBorder="1" applyAlignment="1">
      <alignment horizontal="center" wrapText="1"/>
    </xf>
    <xf numFmtId="0" fontId="2" fillId="4" borderId="0" xfId="0" applyFont="1" applyFill="1" applyBorder="1" applyAlignment="1">
      <alignment wrapText="1"/>
    </xf>
    <xf numFmtId="0" fontId="2" fillId="4" borderId="0" xfId="0" applyFont="1" applyFill="1" applyBorder="1" applyAlignment="1"/>
    <xf numFmtId="0" fontId="6" fillId="4" borderId="0" xfId="0" applyFont="1" applyFill="1" applyAlignment="1"/>
    <xf numFmtId="0" fontId="6" fillId="5" borderId="0" xfId="0" applyFont="1" applyFill="1" applyAlignment="1">
      <alignment horizontal="right" vertical="center"/>
    </xf>
    <xf numFmtId="0" fontId="14" fillId="4" borderId="0" xfId="0" applyFont="1" applyFill="1" applyAlignment="1"/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Обычный 2" xfId="49"/>
  </cellStyles>
  <tableStyles count="0" defaultTableStyle="TableStyleMedium2" defaultPivotStyle="PivotStyleLight16"/>
  <colors>
    <mruColors>
      <color rgb="00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T975"/>
  <sheetViews>
    <sheetView tabSelected="1" topLeftCell="F1" workbookViewId="0">
      <pane ySplit="1" topLeftCell="A99" activePane="bottomLeft" state="frozen"/>
      <selection/>
      <selection pane="bottomLeft" activeCell="K84" sqref="K84:N106"/>
    </sheetView>
  </sheetViews>
  <sheetFormatPr defaultColWidth="9" defaultRowHeight="14.4"/>
  <cols>
    <col min="1" max="1" width="28.6666666666667" style="6" customWidth="1"/>
    <col min="2" max="2" width="8.55555555555556" style="7" customWidth="1"/>
    <col min="3" max="3" width="25.2222222222222" style="7" customWidth="1"/>
    <col min="4" max="4" width="16.5555555555556" style="7" customWidth="1"/>
    <col min="5" max="5" width="46.2222222222222" style="6" customWidth="1"/>
    <col min="6" max="6" width="35.8888888888889" style="6" customWidth="1"/>
    <col min="7" max="7" width="17.7777777777778" style="6" customWidth="1"/>
    <col min="8" max="8" width="12.8888888888889" style="6" customWidth="1"/>
    <col min="9" max="9" width="5.11111111111111" style="6" customWidth="1"/>
    <col min="10" max="10" width="3.66666666666667" style="6" customWidth="1"/>
    <col min="11" max="12" width="5.22222222222222" style="6" customWidth="1"/>
    <col min="13" max="14" width="7.22222222222222" style="6" customWidth="1"/>
    <col min="15" max="15" width="13.8888888888889" style="1" customWidth="1"/>
    <col min="16" max="16" width="8.88888888888889" style="1"/>
    <col min="17" max="17" width="19.3333333333333" style="1" customWidth="1"/>
    <col min="18" max="18" width="32.6666666666667" style="1" customWidth="1"/>
    <col min="19" max="19" width="13.4444444444444" style="1" customWidth="1"/>
    <col min="20" max="20" width="31" style="1" customWidth="1"/>
    <col min="21" max="21" width="12.8888888888889" style="1" customWidth="1"/>
    <col min="22" max="22" width="15.6666666666667" style="1" customWidth="1"/>
    <col min="23" max="16371" width="8.88888888888889" style="1"/>
    <col min="16372" max="16384" width="9" style="1"/>
  </cols>
  <sheetData>
    <row r="1" s="1" customFormat="1" ht="25.2" customHeight="1" spans="1:4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1" t="s">
        <v>14</v>
      </c>
      <c r="P1" s="50"/>
      <c r="Q1" s="50"/>
      <c r="R1" s="55"/>
      <c r="S1" s="55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</row>
    <row r="2" s="2" customFormat="1" ht="19.2" customHeight="1" spans="1:46">
      <c r="A2" s="9" t="s">
        <v>15</v>
      </c>
      <c r="B2" s="10">
        <v>2019</v>
      </c>
      <c r="C2" s="11" t="s">
        <v>16</v>
      </c>
      <c r="D2" s="12" t="s">
        <v>17</v>
      </c>
      <c r="E2" s="9" t="s">
        <v>18</v>
      </c>
      <c r="F2" s="9" t="s">
        <v>19</v>
      </c>
      <c r="G2" s="2">
        <v>42.867777699</v>
      </c>
      <c r="H2" s="2">
        <v>132.690834843</v>
      </c>
      <c r="I2" s="51">
        <v>226</v>
      </c>
      <c r="J2" s="51">
        <v>10</v>
      </c>
      <c r="K2" s="51">
        <v>0</v>
      </c>
      <c r="L2" s="51">
        <v>7</v>
      </c>
      <c r="M2" s="51">
        <v>2</v>
      </c>
      <c r="N2" s="51">
        <v>5</v>
      </c>
      <c r="O2" s="9">
        <v>1</v>
      </c>
      <c r="Q2" s="9"/>
      <c r="R2" s="9"/>
      <c r="S2" s="9"/>
      <c r="T2" s="9"/>
      <c r="U2" s="56"/>
      <c r="V2" s="57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</row>
    <row r="3" s="2" customFormat="1" ht="13.2" customHeight="1" spans="1:46">
      <c r="A3" s="9" t="s">
        <v>20</v>
      </c>
      <c r="B3" s="10">
        <v>2019</v>
      </c>
      <c r="C3" s="11" t="s">
        <v>16</v>
      </c>
      <c r="D3" s="12" t="s">
        <v>17</v>
      </c>
      <c r="E3" s="2" t="s">
        <v>21</v>
      </c>
      <c r="F3" s="9" t="s">
        <v>22</v>
      </c>
      <c r="G3" s="9">
        <v>43.167222149</v>
      </c>
      <c r="H3" s="9">
        <v>131.968612643</v>
      </c>
      <c r="I3" s="9">
        <v>39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1</v>
      </c>
      <c r="P3" s="9"/>
      <c r="Q3" s="9"/>
      <c r="R3" s="9"/>
      <c r="S3" s="9"/>
      <c r="T3" s="9"/>
      <c r="U3" s="56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</row>
    <row r="4" s="2" customFormat="1" spans="1:46">
      <c r="A4" s="9" t="s">
        <v>23</v>
      </c>
      <c r="B4" s="11">
        <v>2019</v>
      </c>
      <c r="C4" s="11" t="s">
        <v>16</v>
      </c>
      <c r="D4" s="12" t="s">
        <v>17</v>
      </c>
      <c r="E4" s="9" t="s">
        <v>24</v>
      </c>
      <c r="F4" s="9" t="s">
        <v>25</v>
      </c>
      <c r="G4" s="9">
        <v>42.8941417003275</v>
      </c>
      <c r="H4" s="9">
        <v>132.731561482864</v>
      </c>
      <c r="I4" s="9">
        <v>20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1</v>
      </c>
      <c r="P4" s="9"/>
      <c r="Q4" s="9"/>
      <c r="R4" s="9"/>
      <c r="S4" s="9"/>
      <c r="T4" s="9"/>
      <c r="U4" s="56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</row>
    <row r="5" s="1" customFormat="1" hidden="1" spans="1:46">
      <c r="A5" s="13" t="s">
        <v>26</v>
      </c>
      <c r="B5" s="14">
        <v>2019</v>
      </c>
      <c r="C5" s="15">
        <v>43711</v>
      </c>
      <c r="D5" s="16" t="s">
        <v>27</v>
      </c>
      <c r="E5" s="13" t="s">
        <v>28</v>
      </c>
      <c r="F5" s="13" t="s">
        <v>29</v>
      </c>
      <c r="G5" s="13">
        <v>55.911085017</v>
      </c>
      <c r="H5" s="13">
        <v>4.874363196</v>
      </c>
      <c r="I5" s="13">
        <v>56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/>
      <c r="P5" s="13"/>
      <c r="Q5" s="13"/>
      <c r="R5" s="13"/>
      <c r="S5" s="13"/>
      <c r="T5" s="13"/>
      <c r="U5" s="58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</row>
    <row r="6" s="1" customFormat="1" hidden="1" spans="1:46">
      <c r="A6" s="13" t="s">
        <v>30</v>
      </c>
      <c r="B6" s="14">
        <v>2019</v>
      </c>
      <c r="C6" s="15">
        <v>43709</v>
      </c>
      <c r="D6" s="16" t="s">
        <v>27</v>
      </c>
      <c r="E6" s="13" t="s">
        <v>31</v>
      </c>
      <c r="F6" s="13" t="s">
        <v>32</v>
      </c>
      <c r="G6" s="13">
        <v>56.455029453</v>
      </c>
      <c r="H6" s="13">
        <v>5.386668775</v>
      </c>
      <c r="I6" s="13">
        <v>8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/>
      <c r="P6" s="13"/>
      <c r="Q6" s="13"/>
      <c r="R6" s="13"/>
      <c r="S6" s="13"/>
      <c r="T6" s="13"/>
      <c r="U6" s="58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</row>
    <row r="7" s="1" customFormat="1" hidden="1" spans="1:46">
      <c r="A7" s="13" t="s">
        <v>33</v>
      </c>
      <c r="B7" s="14">
        <v>2019</v>
      </c>
      <c r="C7" s="17">
        <v>43708</v>
      </c>
      <c r="D7" s="16" t="s">
        <v>34</v>
      </c>
      <c r="E7" s="13" t="s">
        <v>35</v>
      </c>
      <c r="F7" s="1" t="s">
        <v>36</v>
      </c>
      <c r="G7" s="13">
        <v>67.267802897</v>
      </c>
      <c r="H7" s="13">
        <v>14.426105605</v>
      </c>
      <c r="I7" s="13">
        <v>25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/>
      <c r="P7" s="13"/>
      <c r="Q7" s="13"/>
      <c r="R7" s="13"/>
      <c r="S7" s="13"/>
      <c r="T7" s="13"/>
      <c r="U7" s="58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</row>
    <row r="8" s="1" customFormat="1" hidden="1" spans="1:46">
      <c r="A8" s="13" t="s">
        <v>37</v>
      </c>
      <c r="B8" s="14">
        <v>2019</v>
      </c>
      <c r="C8" s="17">
        <v>43711</v>
      </c>
      <c r="D8" s="16" t="s">
        <v>34</v>
      </c>
      <c r="E8" s="13" t="s">
        <v>38</v>
      </c>
      <c r="F8" s="13" t="s">
        <v>39</v>
      </c>
      <c r="G8" s="13">
        <v>69.978902612</v>
      </c>
      <c r="H8" s="13">
        <v>23.258606773</v>
      </c>
      <c r="I8" s="13">
        <v>18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/>
      <c r="P8" s="13"/>
      <c r="Q8" s="13"/>
      <c r="R8" s="13"/>
      <c r="S8" s="13"/>
      <c r="T8" s="13"/>
      <c r="U8" s="58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</row>
    <row r="9" s="1" customFormat="1" hidden="1" spans="1:46">
      <c r="A9" s="13" t="s">
        <v>40</v>
      </c>
      <c r="B9" s="14">
        <v>2019</v>
      </c>
      <c r="C9" s="17">
        <v>43658</v>
      </c>
      <c r="D9" s="16" t="s">
        <v>41</v>
      </c>
      <c r="E9" s="13" t="s">
        <v>42</v>
      </c>
      <c r="F9" s="13" t="s">
        <v>43</v>
      </c>
      <c r="G9" s="13">
        <v>70.42494568</v>
      </c>
      <c r="H9" s="13">
        <v>28.042364737</v>
      </c>
      <c r="I9" s="13">
        <v>40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/>
      <c r="P9" s="13"/>
      <c r="Q9" s="13"/>
      <c r="R9" s="13"/>
      <c r="S9" s="13"/>
      <c r="T9" s="13"/>
      <c r="U9" s="58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</row>
    <row r="10" s="1" customFormat="1" hidden="1" spans="1:46">
      <c r="A10" s="13" t="s">
        <v>44</v>
      </c>
      <c r="B10" s="14">
        <v>2019</v>
      </c>
      <c r="C10" s="17">
        <v>43660</v>
      </c>
      <c r="D10" s="16" t="s">
        <v>45</v>
      </c>
      <c r="E10" s="1" t="s">
        <v>46</v>
      </c>
      <c r="F10" s="13" t="s">
        <v>47</v>
      </c>
      <c r="G10" s="13">
        <v>44.626612649</v>
      </c>
      <c r="H10" s="13">
        <v>33.535196826</v>
      </c>
      <c r="I10" s="52">
        <v>20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/>
      <c r="P10" s="13"/>
      <c r="Q10" s="13"/>
      <c r="R10" s="13"/>
      <c r="S10" s="13"/>
      <c r="T10" s="13"/>
      <c r="U10" s="58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</row>
    <row r="11" s="2" customFormat="1" ht="43.2" spans="1:46">
      <c r="A11" s="9" t="s">
        <v>48</v>
      </c>
      <c r="B11" s="11">
        <v>2020</v>
      </c>
      <c r="C11" s="11" t="s">
        <v>49</v>
      </c>
      <c r="D11" s="12" t="s">
        <v>50</v>
      </c>
      <c r="E11" s="9" t="s">
        <v>51</v>
      </c>
      <c r="F11" s="9" t="s">
        <v>52</v>
      </c>
      <c r="G11" s="9">
        <v>59.533332853</v>
      </c>
      <c r="H11" s="9">
        <v>150.766668071</v>
      </c>
      <c r="I11" s="9">
        <v>180</v>
      </c>
      <c r="J11" s="9">
        <v>10</v>
      </c>
      <c r="K11" s="9">
        <v>2</v>
      </c>
      <c r="L11" s="9">
        <v>6</v>
      </c>
      <c r="M11" s="9">
        <v>3</v>
      </c>
      <c r="N11" s="9">
        <v>3</v>
      </c>
      <c r="O11" s="9">
        <v>1</v>
      </c>
      <c r="P11" s="9"/>
      <c r="Q11" s="9"/>
      <c r="R11" s="9"/>
      <c r="S11" s="9"/>
      <c r="T11" s="9"/>
      <c r="U11" s="56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</row>
    <row r="12" s="2" customFormat="1" spans="1:46">
      <c r="A12" s="9" t="s">
        <v>53</v>
      </c>
      <c r="B12" s="11">
        <v>2020</v>
      </c>
      <c r="C12" s="18">
        <v>44079</v>
      </c>
      <c r="D12" s="12" t="s">
        <v>50</v>
      </c>
      <c r="E12" s="9" t="s">
        <v>51</v>
      </c>
      <c r="F12" s="19" t="s">
        <v>54</v>
      </c>
      <c r="G12" s="9">
        <v>59.533332853</v>
      </c>
      <c r="H12" s="9">
        <v>150.766668071</v>
      </c>
      <c r="I12" s="9">
        <v>34</v>
      </c>
      <c r="J12" s="9">
        <v>1</v>
      </c>
      <c r="K12" s="9">
        <v>1</v>
      </c>
      <c r="L12" s="9">
        <v>0</v>
      </c>
      <c r="M12" s="9">
        <v>0</v>
      </c>
      <c r="N12" s="9">
        <v>0</v>
      </c>
      <c r="O12" s="9">
        <v>1</v>
      </c>
      <c r="P12" s="9"/>
      <c r="Q12" s="9"/>
      <c r="R12" s="9"/>
      <c r="S12" s="9"/>
      <c r="T12" s="9"/>
      <c r="U12" s="56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</row>
    <row r="13" s="3" customFormat="1" ht="15.6" customHeight="1" spans="1:46">
      <c r="A13" s="20" t="s">
        <v>55</v>
      </c>
      <c r="B13" s="21">
        <v>2020</v>
      </c>
      <c r="C13" s="21">
        <v>2020</v>
      </c>
      <c r="D13" s="22" t="s">
        <v>17</v>
      </c>
      <c r="E13" s="23" t="s">
        <v>18</v>
      </c>
      <c r="F13" s="23" t="s">
        <v>19</v>
      </c>
      <c r="G13" s="23">
        <v>42.867777699</v>
      </c>
      <c r="H13" s="23">
        <v>132.690834843</v>
      </c>
      <c r="I13" s="20">
        <v>173</v>
      </c>
      <c r="J13" s="20">
        <v>6</v>
      </c>
      <c r="K13" s="20">
        <v>2</v>
      </c>
      <c r="L13" s="20">
        <v>4</v>
      </c>
      <c r="M13" s="20">
        <v>0</v>
      </c>
      <c r="N13" s="20">
        <v>4</v>
      </c>
      <c r="O13" s="20">
        <v>1</v>
      </c>
      <c r="P13" s="20"/>
      <c r="Q13" s="20"/>
      <c r="R13" s="20"/>
      <c r="S13" s="20"/>
      <c r="T13" s="20"/>
      <c r="U13" s="21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</row>
    <row r="14" s="4" customFormat="1" spans="1:15">
      <c r="A14" s="4" t="s">
        <v>56</v>
      </c>
      <c r="B14" s="24">
        <v>2021</v>
      </c>
      <c r="C14" s="25">
        <v>44326</v>
      </c>
      <c r="D14" s="26" t="s">
        <v>17</v>
      </c>
      <c r="E14" s="27" t="s">
        <v>18</v>
      </c>
      <c r="F14" s="27" t="s">
        <v>19</v>
      </c>
      <c r="G14" s="27">
        <v>42.867777699</v>
      </c>
      <c r="H14" s="27">
        <v>132.690834843</v>
      </c>
      <c r="I14" s="4">
        <v>87</v>
      </c>
      <c r="J14" s="4">
        <v>2</v>
      </c>
      <c r="K14" s="4">
        <v>0</v>
      </c>
      <c r="L14" s="4">
        <v>1</v>
      </c>
      <c r="M14" s="4">
        <v>1</v>
      </c>
      <c r="N14" s="4">
        <v>0</v>
      </c>
      <c r="O14" s="4">
        <v>1</v>
      </c>
    </row>
    <row r="15" s="1" customFormat="1" ht="16.2" hidden="1" customHeight="1" spans="1:46">
      <c r="A15" s="13" t="s">
        <v>57</v>
      </c>
      <c r="B15" s="14">
        <v>2020</v>
      </c>
      <c r="C15" s="17">
        <v>43887</v>
      </c>
      <c r="D15" s="1" t="s">
        <v>58</v>
      </c>
      <c r="E15" s="13" t="s">
        <v>59</v>
      </c>
      <c r="F15" s="13" t="s">
        <v>60</v>
      </c>
      <c r="G15" s="13">
        <v>-53.575795</v>
      </c>
      <c r="H15" s="13">
        <v>-70.936116</v>
      </c>
      <c r="I15" s="13">
        <v>62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/>
      <c r="P15" s="13"/>
      <c r="Q15" s="13"/>
      <c r="R15" s="13"/>
      <c r="S15" s="13"/>
      <c r="T15" s="13"/>
      <c r="U15" s="58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</row>
    <row r="16" s="1" customFormat="1" hidden="1" spans="1:46">
      <c r="A16" s="13" t="s">
        <v>61</v>
      </c>
      <c r="B16" s="14">
        <v>2020</v>
      </c>
      <c r="C16" s="14" t="s">
        <v>62</v>
      </c>
      <c r="D16" s="14" t="s">
        <v>41</v>
      </c>
      <c r="E16" s="13" t="s">
        <v>63</v>
      </c>
      <c r="F16" s="13" t="s">
        <v>64</v>
      </c>
      <c r="G16" s="28">
        <v>68.71416741</v>
      </c>
      <c r="H16" s="28">
        <v>59.716948606</v>
      </c>
      <c r="I16" s="13">
        <v>28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</row>
    <row r="17" s="1" customFormat="1" hidden="1" spans="1:46">
      <c r="A17" s="13" t="s">
        <v>65</v>
      </c>
      <c r="B17" s="14">
        <v>2020</v>
      </c>
      <c r="C17" s="17">
        <v>44112</v>
      </c>
      <c r="D17" s="14" t="s">
        <v>66</v>
      </c>
      <c r="E17" s="13" t="s">
        <v>67</v>
      </c>
      <c r="F17" s="13" t="s">
        <v>68</v>
      </c>
      <c r="G17" s="13">
        <v>64.227834576</v>
      </c>
      <c r="H17" s="13">
        <v>35.935114376</v>
      </c>
      <c r="I17" s="13">
        <v>20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</row>
    <row r="18" s="1" customFormat="1" hidden="1" spans="1:46">
      <c r="A18" s="13" t="s">
        <v>69</v>
      </c>
      <c r="B18" s="14">
        <v>2020</v>
      </c>
      <c r="C18" s="17">
        <v>44119</v>
      </c>
      <c r="D18" s="14" t="s">
        <v>66</v>
      </c>
      <c r="E18" s="13" t="s">
        <v>70</v>
      </c>
      <c r="F18" s="13" t="s">
        <v>71</v>
      </c>
      <c r="G18" s="29">
        <v>67.078212</v>
      </c>
      <c r="H18" s="29">
        <v>32.41641</v>
      </c>
      <c r="I18" s="13">
        <v>42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</row>
    <row r="19" s="1" customFormat="1" hidden="1" spans="1:46">
      <c r="A19" s="13" t="s">
        <v>72</v>
      </c>
      <c r="B19" s="14">
        <v>2020</v>
      </c>
      <c r="C19" s="17">
        <v>44075</v>
      </c>
      <c r="D19" s="14" t="s">
        <v>66</v>
      </c>
      <c r="E19" s="13" t="s">
        <v>73</v>
      </c>
      <c r="F19" s="13" t="s">
        <v>74</v>
      </c>
      <c r="G19" s="13">
        <v>64.629806731</v>
      </c>
      <c r="H19" s="13">
        <v>39.819725607</v>
      </c>
      <c r="I19" s="29">
        <v>35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</row>
    <row r="20" s="1" customFormat="1" hidden="1" spans="1:43">
      <c r="A20" s="13" t="s">
        <v>75</v>
      </c>
      <c r="B20" s="14">
        <v>2021</v>
      </c>
      <c r="C20" s="14" t="s">
        <v>76</v>
      </c>
      <c r="D20" s="14" t="s">
        <v>77</v>
      </c>
      <c r="E20" s="13" t="s">
        <v>78</v>
      </c>
      <c r="F20" s="13"/>
      <c r="G20" s="13">
        <v>51.555</v>
      </c>
      <c r="H20" s="13">
        <v>157.719</v>
      </c>
      <c r="I20" s="13">
        <v>35</v>
      </c>
      <c r="J20" s="13">
        <v>5</v>
      </c>
      <c r="K20" s="13">
        <v>2</v>
      </c>
      <c r="L20" s="13">
        <v>3</v>
      </c>
      <c r="M20" s="13">
        <v>3</v>
      </c>
      <c r="N20" s="13">
        <v>0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</row>
    <row r="21" s="1" customFormat="1" ht="15.6" hidden="1" customHeight="1" spans="1:43">
      <c r="A21" s="13" t="s">
        <v>79</v>
      </c>
      <c r="B21" s="14">
        <v>2021</v>
      </c>
      <c r="C21" s="17">
        <v>44402</v>
      </c>
      <c r="D21" s="14" t="s">
        <v>77</v>
      </c>
      <c r="E21" s="13" t="s">
        <v>80</v>
      </c>
      <c r="F21" s="13" t="s">
        <v>81</v>
      </c>
      <c r="G21" s="29">
        <v>52.780241</v>
      </c>
      <c r="H21" s="13">
        <v>158.61698</v>
      </c>
      <c r="I21" s="13">
        <v>35</v>
      </c>
      <c r="J21" s="13">
        <v>4</v>
      </c>
      <c r="K21" s="13">
        <v>3</v>
      </c>
      <c r="L21" s="13">
        <v>1</v>
      </c>
      <c r="M21" s="13">
        <v>0</v>
      </c>
      <c r="N21" s="13">
        <v>1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</row>
    <row r="22" s="1" customFormat="1" hidden="1" spans="1:46">
      <c r="A22" s="13" t="s">
        <v>82</v>
      </c>
      <c r="B22" s="14">
        <v>2021</v>
      </c>
      <c r="C22" s="14" t="s">
        <v>83</v>
      </c>
      <c r="D22" s="14" t="s">
        <v>77</v>
      </c>
      <c r="E22" s="13" t="s">
        <v>84</v>
      </c>
      <c r="F22" s="13"/>
      <c r="G22" s="29">
        <v>53.0597205550235</v>
      </c>
      <c r="H22" s="13">
        <v>158.537064606034</v>
      </c>
      <c r="I22" s="29">
        <v>48</v>
      </c>
      <c r="J22" s="13">
        <v>3</v>
      </c>
      <c r="K22" s="13">
        <v>1</v>
      </c>
      <c r="L22" s="13">
        <v>2</v>
      </c>
      <c r="M22" s="13">
        <v>1</v>
      </c>
      <c r="N22" s="13">
        <v>1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</row>
    <row r="23" s="1" customFormat="1" ht="13.2" hidden="1" customHeight="1" spans="1:46">
      <c r="A23" s="13" t="s">
        <v>85</v>
      </c>
      <c r="B23" s="14">
        <v>2021</v>
      </c>
      <c r="C23" s="14"/>
      <c r="D23" s="14" t="s">
        <v>86</v>
      </c>
      <c r="E23" s="1" t="s">
        <v>87</v>
      </c>
      <c r="F23" s="13"/>
      <c r="G23" s="29">
        <v>55.1960705113206</v>
      </c>
      <c r="H23" s="13">
        <v>165.982723001145</v>
      </c>
      <c r="I23" s="29">
        <v>35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</row>
    <row r="24" s="1" customFormat="1" hidden="1" spans="1:46">
      <c r="A24" s="13" t="s">
        <v>88</v>
      </c>
      <c r="B24" s="14">
        <v>2021</v>
      </c>
      <c r="C24" s="14"/>
      <c r="D24" s="14" t="s">
        <v>86</v>
      </c>
      <c r="E24" s="13" t="s">
        <v>89</v>
      </c>
      <c r="F24" s="13"/>
      <c r="G24" s="29">
        <v>55.25</v>
      </c>
      <c r="H24" s="29">
        <v>165.916389</v>
      </c>
      <c r="I24" s="29">
        <v>7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</row>
    <row r="25" s="1" customFormat="1" ht="17.4" customHeight="1" spans="1:46">
      <c r="A25" s="13" t="s">
        <v>90</v>
      </c>
      <c r="B25" s="14">
        <v>2021</v>
      </c>
      <c r="C25" s="14" t="s">
        <v>91</v>
      </c>
      <c r="D25" s="14" t="s">
        <v>17</v>
      </c>
      <c r="E25" s="13" t="s">
        <v>92</v>
      </c>
      <c r="F25" s="13" t="s">
        <v>91</v>
      </c>
      <c r="G25" s="29">
        <v>42.5831871196387</v>
      </c>
      <c r="H25" s="29">
        <v>131.164125746538</v>
      </c>
      <c r="I25" s="13">
        <v>200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1</v>
      </c>
      <c r="P25" s="13"/>
      <c r="Q25" s="13"/>
      <c r="R25" s="13"/>
      <c r="S25" s="13"/>
      <c r="T25" s="13"/>
      <c r="U25" s="58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</row>
    <row r="26" s="1" customFormat="1" ht="19.2" customHeight="1" spans="1:46">
      <c r="A26" s="13" t="s">
        <v>93</v>
      </c>
      <c r="B26" s="14">
        <v>2021</v>
      </c>
      <c r="C26" s="17">
        <v>37144</v>
      </c>
      <c r="D26" s="14" t="s">
        <v>50</v>
      </c>
      <c r="E26" t="e">
        <f>#REF!</f>
        <v>#REF!</v>
      </c>
      <c r="F26" s="13" t="s">
        <v>94</v>
      </c>
      <c r="G26" s="29">
        <v>61.8669</v>
      </c>
      <c r="H26" s="29">
        <v>159.398944</v>
      </c>
      <c r="I26" s="13">
        <v>20</v>
      </c>
      <c r="J26" s="13">
        <v>2</v>
      </c>
      <c r="K26" s="13">
        <v>1</v>
      </c>
      <c r="L26" s="13">
        <v>1</v>
      </c>
      <c r="M26" s="13">
        <v>1</v>
      </c>
      <c r="N26" s="13">
        <v>0</v>
      </c>
      <c r="O26" s="13">
        <v>1</v>
      </c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</row>
    <row r="27" s="1" customFormat="1" ht="18" hidden="1" customHeight="1" spans="1:46">
      <c r="A27" s="13" t="s">
        <v>72</v>
      </c>
      <c r="B27" s="14">
        <v>2021</v>
      </c>
      <c r="C27" s="17">
        <v>44327</v>
      </c>
      <c r="D27" s="14" t="s">
        <v>66</v>
      </c>
      <c r="E27" s="13" t="s">
        <v>73</v>
      </c>
      <c r="F27" s="13" t="s">
        <v>74</v>
      </c>
      <c r="G27" s="13">
        <v>64.629806731</v>
      </c>
      <c r="H27" s="13">
        <v>39.819725607</v>
      </c>
      <c r="I27" s="29">
        <v>30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</row>
    <row r="28" s="1" customFormat="1" hidden="1" spans="1:46">
      <c r="A28" s="13" t="s">
        <v>95</v>
      </c>
      <c r="B28" s="14">
        <v>2021</v>
      </c>
      <c r="C28" s="17">
        <v>44327</v>
      </c>
      <c r="D28" s="14" t="s">
        <v>66</v>
      </c>
      <c r="E28" s="13" t="s">
        <v>96</v>
      </c>
      <c r="F28" s="13" t="s">
        <v>74</v>
      </c>
      <c r="G28" s="13">
        <v>64.655473408</v>
      </c>
      <c r="H28" s="13">
        <v>39.15278115</v>
      </c>
      <c r="I28" s="29">
        <v>26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</row>
    <row r="29" s="1" customFormat="1" hidden="1" spans="1:46">
      <c r="A29" s="13" t="s">
        <v>97</v>
      </c>
      <c r="B29" s="14">
        <v>2021</v>
      </c>
      <c r="C29" s="17">
        <v>44362</v>
      </c>
      <c r="D29" s="14" t="s">
        <v>66</v>
      </c>
      <c r="E29" s="13" t="s">
        <v>98</v>
      </c>
      <c r="F29" s="13" t="s">
        <v>99</v>
      </c>
      <c r="G29" s="13">
        <v>66.301501227</v>
      </c>
      <c r="H29" s="13">
        <v>34.398725624</v>
      </c>
      <c r="I29" s="29">
        <v>59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</row>
    <row r="30" s="1" customFormat="1" ht="16.8" hidden="1" customHeight="1" spans="1:46">
      <c r="A30" s="13" t="s">
        <v>100</v>
      </c>
      <c r="B30" s="14">
        <v>2021</v>
      </c>
      <c r="C30" s="30">
        <v>44409</v>
      </c>
      <c r="D30" s="14" t="s">
        <v>66</v>
      </c>
      <c r="E30" s="13" t="s">
        <v>101</v>
      </c>
      <c r="F30" s="13" t="s">
        <v>102</v>
      </c>
      <c r="G30" s="13">
        <v>67.101841</v>
      </c>
      <c r="H30" s="13">
        <v>32.697661</v>
      </c>
      <c r="I30" s="13">
        <v>25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</row>
    <row r="31" s="1" customFormat="1" ht="16.8" hidden="1" customHeight="1" spans="1:46">
      <c r="A31" s="13" t="s">
        <v>103</v>
      </c>
      <c r="B31" s="14">
        <v>2021</v>
      </c>
      <c r="C31" s="14" t="s">
        <v>104</v>
      </c>
      <c r="D31" s="14" t="s">
        <v>41</v>
      </c>
      <c r="E31" s="13" t="s">
        <v>105</v>
      </c>
      <c r="F31" s="13" t="s">
        <v>106</v>
      </c>
      <c r="G31" s="13">
        <v>69.297945635</v>
      </c>
      <c r="H31" s="13">
        <v>32.87155922</v>
      </c>
      <c r="I31" s="13">
        <v>100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</row>
    <row r="32" s="1" customFormat="1" ht="28.8" hidden="1" spans="1:46">
      <c r="A32" s="13" t="s">
        <v>107</v>
      </c>
      <c r="B32" s="14">
        <v>2021</v>
      </c>
      <c r="C32" s="14" t="s">
        <v>108</v>
      </c>
      <c r="D32" s="14" t="s">
        <v>66</v>
      </c>
      <c r="E32" s="13" t="s">
        <v>109</v>
      </c>
      <c r="F32" s="13" t="s">
        <v>110</v>
      </c>
      <c r="G32" s="13">
        <v>66.567779015</v>
      </c>
      <c r="H32" s="13">
        <v>33.321114507</v>
      </c>
      <c r="I32" s="53">
        <v>76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</row>
    <row r="33" s="1" customFormat="1" hidden="1" spans="1:46">
      <c r="A33" s="13" t="s">
        <v>111</v>
      </c>
      <c r="B33" s="14">
        <v>2022</v>
      </c>
      <c r="C33" s="17" t="s">
        <v>112</v>
      </c>
      <c r="D33" s="1" t="s">
        <v>113</v>
      </c>
      <c r="E33" s="13" t="s">
        <v>114</v>
      </c>
      <c r="F33" t="s">
        <v>115</v>
      </c>
      <c r="G33" s="13">
        <v>69.812316</v>
      </c>
      <c r="H33" s="13">
        <v>170.566679</v>
      </c>
      <c r="I33" s="13">
        <v>62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</row>
    <row r="34" s="5" customFormat="1" ht="18.6" hidden="1" customHeight="1" spans="1:46">
      <c r="A34" s="31" t="s">
        <v>116</v>
      </c>
      <c r="B34" s="32">
        <v>2022</v>
      </c>
      <c r="C34" s="33">
        <v>44803</v>
      </c>
      <c r="D34" s="32" t="s">
        <v>86</v>
      </c>
      <c r="E34" s="31" t="s">
        <v>87</v>
      </c>
      <c r="F34" s="34" t="s">
        <v>117</v>
      </c>
      <c r="G34" s="31">
        <v>55.199582865</v>
      </c>
      <c r="H34" s="31">
        <v>165.997473066</v>
      </c>
      <c r="I34" s="35">
        <v>128</v>
      </c>
      <c r="J34" s="31">
        <v>9</v>
      </c>
      <c r="K34" s="31">
        <v>0</v>
      </c>
      <c r="L34" s="31">
        <v>9</v>
      </c>
      <c r="M34" s="31">
        <v>9</v>
      </c>
      <c r="N34" s="31">
        <v>0</v>
      </c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="1" customFormat="1" ht="15" hidden="1" customHeight="1" spans="1:46">
      <c r="A35" s="13" t="s">
        <v>118</v>
      </c>
      <c r="B35" s="14">
        <v>2022</v>
      </c>
      <c r="C35" s="14" t="s">
        <v>119</v>
      </c>
      <c r="D35" s="14" t="s">
        <v>77</v>
      </c>
      <c r="E35" s="13" t="s">
        <v>120</v>
      </c>
      <c r="F35" s="13"/>
      <c r="G35" s="29">
        <v>53.0597205550235</v>
      </c>
      <c r="H35" s="13">
        <v>158.537064606034</v>
      </c>
      <c r="I35" s="13">
        <v>44</v>
      </c>
      <c r="J35" s="13">
        <v>4</v>
      </c>
      <c r="K35" s="13">
        <v>0</v>
      </c>
      <c r="L35" s="13">
        <v>4</v>
      </c>
      <c r="M35" s="13">
        <v>2</v>
      </c>
      <c r="N35" s="13">
        <v>2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</row>
    <row r="36" s="5" customFormat="1" ht="28.8" hidden="1" spans="1:14">
      <c r="A36" s="31" t="s">
        <v>121</v>
      </c>
      <c r="B36" s="32">
        <v>2022</v>
      </c>
      <c r="C36" s="32">
        <v>2022</v>
      </c>
      <c r="D36" s="32" t="s">
        <v>77</v>
      </c>
      <c r="E36" s="31" t="s">
        <v>120</v>
      </c>
      <c r="G36" s="35">
        <v>53.0597205550235</v>
      </c>
      <c r="H36" s="31">
        <v>158.537064606034</v>
      </c>
      <c r="I36" s="35">
        <v>93</v>
      </c>
      <c r="J36" s="5">
        <v>7</v>
      </c>
      <c r="K36" s="31">
        <v>3</v>
      </c>
      <c r="L36" s="5">
        <v>3</v>
      </c>
      <c r="M36" s="5">
        <v>1</v>
      </c>
      <c r="N36" s="5">
        <v>2</v>
      </c>
    </row>
    <row r="37" s="1" customFormat="1" hidden="1" spans="1:14">
      <c r="A37" s="36" t="s">
        <v>122</v>
      </c>
      <c r="B37" s="37">
        <v>2022</v>
      </c>
      <c r="C37" s="38">
        <v>44774</v>
      </c>
      <c r="D37" s="36" t="s">
        <v>123</v>
      </c>
      <c r="E37" s="13" t="s">
        <v>124</v>
      </c>
      <c r="F37" s="13" t="s">
        <v>125</v>
      </c>
      <c r="G37" s="13">
        <f>46+37/60+50.3/3600</f>
        <v>46.6306388888889</v>
      </c>
      <c r="H37" s="6">
        <f>37+46/60+5.6/3600</f>
        <v>37.7682222222222</v>
      </c>
      <c r="I37" s="29">
        <v>133</v>
      </c>
      <c r="J37" s="1">
        <v>0</v>
      </c>
      <c r="K37" s="13">
        <v>0</v>
      </c>
      <c r="L37" s="1">
        <v>0</v>
      </c>
      <c r="M37" s="1">
        <v>0</v>
      </c>
      <c r="N37" s="1">
        <v>0</v>
      </c>
    </row>
    <row r="38" s="1" customFormat="1" hidden="1" spans="1:14">
      <c r="A38" s="36" t="s">
        <v>126</v>
      </c>
      <c r="B38" s="37">
        <v>2022</v>
      </c>
      <c r="C38" s="38">
        <v>44734</v>
      </c>
      <c r="D38" s="36" t="s">
        <v>66</v>
      </c>
      <c r="E38" s="36" t="s">
        <v>127</v>
      </c>
      <c r="F38" s="36" t="s">
        <v>128</v>
      </c>
      <c r="G38" s="39">
        <v>46.630640357</v>
      </c>
      <c r="H38" s="39">
        <v>37.768224695</v>
      </c>
      <c r="I38" s="29">
        <v>30</v>
      </c>
      <c r="J38" s="1">
        <v>0</v>
      </c>
      <c r="K38" s="13">
        <v>0</v>
      </c>
      <c r="L38" s="1">
        <v>0</v>
      </c>
      <c r="M38" s="1">
        <v>0</v>
      </c>
      <c r="N38" s="1">
        <v>0</v>
      </c>
    </row>
    <row r="39" s="1" customFormat="1" hidden="1" spans="1:46">
      <c r="A39" s="13" t="s">
        <v>129</v>
      </c>
      <c r="B39" s="14">
        <v>2023</v>
      </c>
      <c r="C39" s="40">
        <v>45125</v>
      </c>
      <c r="D39" s="37" t="s">
        <v>130</v>
      </c>
      <c r="E39" s="13" t="s">
        <v>131</v>
      </c>
      <c r="F39" s="13" t="s">
        <v>132</v>
      </c>
      <c r="G39" s="41">
        <v>50.629260731</v>
      </c>
      <c r="H39" s="41">
        <v>156.135751088</v>
      </c>
      <c r="I39" s="29">
        <v>70</v>
      </c>
      <c r="J39" s="13">
        <v>1</v>
      </c>
      <c r="K39" s="29">
        <v>0</v>
      </c>
      <c r="L39" s="29">
        <v>1</v>
      </c>
      <c r="M39" s="13">
        <v>1</v>
      </c>
      <c r="N39" s="13">
        <v>0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</row>
    <row r="40" s="1" customFormat="1" ht="43.2" hidden="1" spans="1:46">
      <c r="A40" s="13" t="s">
        <v>133</v>
      </c>
      <c r="B40" s="14">
        <v>2023</v>
      </c>
      <c r="C40" s="14" t="s">
        <v>134</v>
      </c>
      <c r="D40" s="37" t="s">
        <v>130</v>
      </c>
      <c r="E40" s="13" t="s">
        <v>135</v>
      </c>
      <c r="F40" s="13" t="s">
        <v>136</v>
      </c>
      <c r="G40" s="29">
        <v>50.6379609343326</v>
      </c>
      <c r="H40" s="29">
        <v>156.131196706355</v>
      </c>
      <c r="I40" s="29">
        <v>64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</row>
    <row r="41" s="1" customFormat="1" hidden="1" spans="1:46">
      <c r="A41" s="13" t="s">
        <v>137</v>
      </c>
      <c r="B41" s="14">
        <v>2023</v>
      </c>
      <c r="C41" s="40">
        <v>45144</v>
      </c>
      <c r="D41" s="14" t="s">
        <v>77</v>
      </c>
      <c r="E41" s="42" t="s">
        <v>138</v>
      </c>
      <c r="F41" s="43" t="s">
        <v>139</v>
      </c>
      <c r="G41" s="29">
        <v>59.041493926</v>
      </c>
      <c r="H41" s="29">
        <v>163.162667622</v>
      </c>
      <c r="I41" s="29">
        <v>53</v>
      </c>
      <c r="J41" s="13">
        <v>2</v>
      </c>
      <c r="K41" s="13">
        <v>2</v>
      </c>
      <c r="L41" s="13">
        <v>0</v>
      </c>
      <c r="M41" s="13">
        <v>0</v>
      </c>
      <c r="N41" s="13">
        <v>0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</row>
    <row r="42" s="1" customFormat="1" ht="28.8" hidden="1" spans="1:46">
      <c r="A42" s="13" t="s">
        <v>140</v>
      </c>
      <c r="B42" s="14">
        <v>2023</v>
      </c>
      <c r="C42" s="17">
        <v>45143</v>
      </c>
      <c r="D42" s="14" t="s">
        <v>86</v>
      </c>
      <c r="E42" s="13" t="s">
        <v>87</v>
      </c>
      <c r="F42" s="13" t="s">
        <v>141</v>
      </c>
      <c r="G42" s="29">
        <v>55.195144</v>
      </c>
      <c r="H42" s="29">
        <v>165.976551</v>
      </c>
      <c r="I42" s="13">
        <v>98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</row>
    <row r="43" s="1" customFormat="1" ht="28.8" hidden="1" spans="1:46">
      <c r="A43" s="1" t="s">
        <v>142</v>
      </c>
      <c r="B43" s="14">
        <v>2023</v>
      </c>
      <c r="C43" s="14" t="s">
        <v>143</v>
      </c>
      <c r="D43" s="14" t="s">
        <v>45</v>
      </c>
      <c r="E43" s="13" t="s">
        <v>144</v>
      </c>
      <c r="F43" s="13" t="s">
        <v>145</v>
      </c>
      <c r="G43" s="13">
        <v>43.506945913</v>
      </c>
      <c r="H43" s="13">
        <v>39.855807964</v>
      </c>
      <c r="I43" s="13">
        <v>404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</row>
    <row r="44" s="1" customFormat="1" ht="28.8" hidden="1" spans="1:46">
      <c r="A44" s="1" t="s">
        <v>146</v>
      </c>
      <c r="B44" s="14">
        <v>2023</v>
      </c>
      <c r="C44" s="17">
        <v>45159</v>
      </c>
      <c r="D44" s="14" t="s">
        <v>147</v>
      </c>
      <c r="E44" s="13" t="s">
        <v>148</v>
      </c>
      <c r="F44" s="13" t="s">
        <v>149</v>
      </c>
      <c r="G44" s="13">
        <v>54.966501582</v>
      </c>
      <c r="H44" s="13">
        <v>19.99036355</v>
      </c>
      <c r="I44" s="13">
        <v>255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</row>
    <row r="45" s="1" customFormat="1" spans="1:46">
      <c r="A45" s="13" t="s">
        <v>150</v>
      </c>
      <c r="B45" s="14">
        <v>2024</v>
      </c>
      <c r="C45" s="25">
        <v>45477</v>
      </c>
      <c r="D45" s="14" t="s">
        <v>17</v>
      </c>
      <c r="E45" s="13" t="s">
        <v>151</v>
      </c>
      <c r="F45" s="13" t="s">
        <v>152</v>
      </c>
      <c r="G45" s="29">
        <v>51.467138612</v>
      </c>
      <c r="H45" s="29">
        <v>140.764890413</v>
      </c>
      <c r="I45" s="29">
        <v>24</v>
      </c>
      <c r="J45" s="13">
        <v>0</v>
      </c>
      <c r="K45" s="1">
        <v>0</v>
      </c>
      <c r="L45" s="13">
        <v>0</v>
      </c>
      <c r="M45" s="13">
        <v>0</v>
      </c>
      <c r="N45" s="13">
        <v>0</v>
      </c>
      <c r="O45" s="13">
        <v>1</v>
      </c>
      <c r="R45" s="13"/>
      <c r="T45" s="13"/>
      <c r="U45" s="13"/>
      <c r="V45" s="13"/>
      <c r="W45" s="13"/>
      <c r="X45" s="13"/>
      <c r="Y45" s="13"/>
      <c r="Z45" s="13"/>
      <c r="AA45" s="13"/>
      <c r="AB45" s="62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</row>
    <row r="46" s="1" customFormat="1" spans="1:46">
      <c r="A46" s="13" t="s">
        <v>153</v>
      </c>
      <c r="B46" s="14">
        <v>2024</v>
      </c>
      <c r="C46" s="25">
        <v>45477</v>
      </c>
      <c r="D46" s="14" t="s">
        <v>17</v>
      </c>
      <c r="E46" s="13" t="s">
        <v>151</v>
      </c>
      <c r="F46" s="13" t="s">
        <v>154</v>
      </c>
      <c r="G46" s="29">
        <v>51.467138612</v>
      </c>
      <c r="H46" s="29">
        <v>140.764890413</v>
      </c>
      <c r="I46" s="29">
        <v>48</v>
      </c>
      <c r="J46" s="13">
        <v>0</v>
      </c>
      <c r="K46" s="1">
        <v>0</v>
      </c>
      <c r="L46" s="13">
        <v>0</v>
      </c>
      <c r="M46" s="13">
        <v>0</v>
      </c>
      <c r="N46" s="13">
        <v>0</v>
      </c>
      <c r="O46" s="13">
        <v>1</v>
      </c>
      <c r="R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</row>
    <row r="47" s="1" customFormat="1" customHeight="1" spans="1:46">
      <c r="A47" s="13" t="s">
        <v>155</v>
      </c>
      <c r="B47" s="14">
        <v>2024</v>
      </c>
      <c r="C47" s="25">
        <v>45477</v>
      </c>
      <c r="D47" s="14" t="s">
        <v>17</v>
      </c>
      <c r="E47" s="13" t="s">
        <v>151</v>
      </c>
      <c r="F47" s="13" t="s">
        <v>156</v>
      </c>
      <c r="G47" s="29">
        <v>51.466527501</v>
      </c>
      <c r="H47" s="29">
        <v>140.753779302</v>
      </c>
      <c r="I47" s="29">
        <v>40</v>
      </c>
      <c r="J47" s="13">
        <v>0</v>
      </c>
      <c r="K47" s="1">
        <v>0</v>
      </c>
      <c r="L47" s="13">
        <v>0</v>
      </c>
      <c r="M47" s="13">
        <v>0</v>
      </c>
      <c r="N47" s="13">
        <v>0</v>
      </c>
      <c r="O47" s="13">
        <v>1</v>
      </c>
      <c r="R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</row>
    <row r="48" s="1" customFormat="1" ht="18" customHeight="1" spans="1:46">
      <c r="A48" s="13" t="s">
        <v>157</v>
      </c>
      <c r="B48" s="14">
        <v>2024</v>
      </c>
      <c r="C48" s="25">
        <v>45479</v>
      </c>
      <c r="D48" s="14" t="s">
        <v>17</v>
      </c>
      <c r="E48" s="13" t="s">
        <v>151</v>
      </c>
      <c r="F48" s="13" t="s">
        <v>158</v>
      </c>
      <c r="G48" s="29">
        <v>51.466527501</v>
      </c>
      <c r="H48" s="29">
        <v>140.753779302</v>
      </c>
      <c r="I48" s="29">
        <v>38</v>
      </c>
      <c r="J48" s="13">
        <v>0</v>
      </c>
      <c r="K48" s="1">
        <v>0</v>
      </c>
      <c r="L48" s="13">
        <v>0</v>
      </c>
      <c r="M48" s="13">
        <v>0</v>
      </c>
      <c r="N48" s="13">
        <v>0</v>
      </c>
      <c r="O48" s="13">
        <v>1</v>
      </c>
      <c r="R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</row>
    <row r="49" s="1" customFormat="1" ht="18" customHeight="1" spans="1:46">
      <c r="A49" s="13" t="s">
        <v>159</v>
      </c>
      <c r="B49" s="14">
        <v>2024</v>
      </c>
      <c r="C49" s="37" t="s">
        <v>160</v>
      </c>
      <c r="D49" s="14" t="s">
        <v>17</v>
      </c>
      <c r="E49" s="13" t="s">
        <v>161</v>
      </c>
      <c r="F49" s="13" t="s">
        <v>162</v>
      </c>
      <c r="G49" s="29">
        <v>44.339305422</v>
      </c>
      <c r="H49" s="29">
        <v>135.848918141</v>
      </c>
      <c r="I49" s="29">
        <v>7</v>
      </c>
      <c r="J49" s="13">
        <v>0</v>
      </c>
      <c r="K49" s="1">
        <v>0</v>
      </c>
      <c r="L49" s="13">
        <v>0</v>
      </c>
      <c r="M49" s="13">
        <v>0</v>
      </c>
      <c r="N49" s="13">
        <v>0</v>
      </c>
      <c r="O49" s="13">
        <v>1</v>
      </c>
      <c r="R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</row>
    <row r="50" s="1" customFormat="1" hidden="1" spans="1:46">
      <c r="A50" s="13" t="s">
        <v>163</v>
      </c>
      <c r="B50" s="14">
        <v>2024</v>
      </c>
      <c r="C50" s="25">
        <v>45486</v>
      </c>
      <c r="D50" s="14" t="s">
        <v>17</v>
      </c>
      <c r="E50" s="13" t="s">
        <v>164</v>
      </c>
      <c r="F50" s="13" t="s">
        <v>165</v>
      </c>
      <c r="G50" s="29">
        <v>43.730583213</v>
      </c>
      <c r="H50" s="29">
        <v>135.266362585</v>
      </c>
      <c r="I50" s="29">
        <v>160</v>
      </c>
      <c r="J50" s="13">
        <v>1</v>
      </c>
      <c r="K50" s="13">
        <v>0</v>
      </c>
      <c r="L50" s="13">
        <v>0</v>
      </c>
      <c r="M50" s="13">
        <v>0</v>
      </c>
      <c r="N50" s="13">
        <v>0</v>
      </c>
      <c r="O50" s="13"/>
      <c r="R50" s="13"/>
      <c r="T50" s="13"/>
      <c r="U50" s="59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</row>
    <row r="51" s="1" customFormat="1" spans="1:46">
      <c r="A51" s="13" t="s">
        <v>166</v>
      </c>
      <c r="B51" s="14">
        <v>2024</v>
      </c>
      <c r="C51" s="25">
        <v>45487</v>
      </c>
      <c r="D51" s="14" t="s">
        <v>17</v>
      </c>
      <c r="E51" s="13" t="s">
        <v>167</v>
      </c>
      <c r="F51" s="13" t="s">
        <v>168</v>
      </c>
      <c r="G51" s="29">
        <v>43.939499875</v>
      </c>
      <c r="H51" s="29">
        <v>135.456612585</v>
      </c>
      <c r="I51" s="29">
        <v>36</v>
      </c>
      <c r="J51" s="13">
        <v>0</v>
      </c>
      <c r="K51" s="1">
        <v>0</v>
      </c>
      <c r="L51" s="13">
        <v>0</v>
      </c>
      <c r="M51" s="13">
        <v>0</v>
      </c>
      <c r="N51" s="13">
        <v>0</v>
      </c>
      <c r="O51" s="13">
        <v>1</v>
      </c>
      <c r="R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</row>
    <row r="52" s="1" customFormat="1" spans="1:46">
      <c r="A52" s="13" t="s">
        <v>169</v>
      </c>
      <c r="B52" s="14">
        <v>2024</v>
      </c>
      <c r="C52" s="25">
        <v>45487</v>
      </c>
      <c r="D52" s="14" t="s">
        <v>17</v>
      </c>
      <c r="E52" s="13" t="s">
        <v>167</v>
      </c>
      <c r="F52" s="13" t="s">
        <v>170</v>
      </c>
      <c r="G52" s="29">
        <v>43.878055431</v>
      </c>
      <c r="H52" s="29">
        <v>135.45916814</v>
      </c>
      <c r="I52" s="29">
        <v>36</v>
      </c>
      <c r="J52" s="13">
        <v>0</v>
      </c>
      <c r="K52" s="1">
        <v>0</v>
      </c>
      <c r="L52" s="13">
        <v>0</v>
      </c>
      <c r="M52" s="13">
        <v>0</v>
      </c>
      <c r="N52" s="13">
        <v>0</v>
      </c>
      <c r="O52" s="13">
        <v>1</v>
      </c>
      <c r="R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</row>
    <row r="53" s="1" customFormat="1" spans="1:46">
      <c r="A53" s="13" t="s">
        <v>171</v>
      </c>
      <c r="B53" s="14">
        <v>2024</v>
      </c>
      <c r="C53" s="14" t="s">
        <v>172</v>
      </c>
      <c r="D53" s="14" t="s">
        <v>17</v>
      </c>
      <c r="E53" s="13" t="s">
        <v>92</v>
      </c>
      <c r="F53" s="13" t="s">
        <v>173</v>
      </c>
      <c r="G53" s="29">
        <v>42.603722166</v>
      </c>
      <c r="H53" s="29">
        <v>131.175529313</v>
      </c>
      <c r="I53" s="13">
        <v>201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3">
        <v>1</v>
      </c>
      <c r="R53" s="60"/>
      <c r="T53" s="61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</row>
    <row r="54" s="1" customFormat="1" hidden="1" spans="1:46">
      <c r="A54" s="13" t="s">
        <v>174</v>
      </c>
      <c r="B54" s="14">
        <v>2024</v>
      </c>
      <c r="C54" s="14" t="s">
        <v>172</v>
      </c>
      <c r="D54" s="14" t="s">
        <v>17</v>
      </c>
      <c r="E54" s="13" t="s">
        <v>175</v>
      </c>
      <c r="F54" s="13" t="s">
        <v>176</v>
      </c>
      <c r="G54" s="44">
        <v>42.997916598</v>
      </c>
      <c r="H54" s="44">
        <v>131.787334865</v>
      </c>
      <c r="I54" s="42">
        <v>300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54"/>
      <c r="R54" s="60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</row>
    <row r="55" s="1" customFormat="1" ht="28.8" hidden="1" spans="1:46">
      <c r="A55" s="13" t="s">
        <v>177</v>
      </c>
      <c r="B55" s="14">
        <v>2024</v>
      </c>
      <c r="C55" s="30">
        <v>45526</v>
      </c>
      <c r="D55" s="14" t="s">
        <v>45</v>
      </c>
      <c r="E55" s="13" t="s">
        <v>178</v>
      </c>
      <c r="F55" s="13" t="s">
        <v>179</v>
      </c>
      <c r="G55" s="29">
        <v>44.613973761</v>
      </c>
      <c r="H55" s="29">
        <v>33.519835715</v>
      </c>
      <c r="I55" s="13">
        <v>60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</row>
    <row r="56" s="1" customFormat="1" ht="28.8" hidden="1" spans="1:46">
      <c r="A56" s="13" t="s">
        <v>180</v>
      </c>
      <c r="B56" s="14">
        <v>2024</v>
      </c>
      <c r="C56" s="17">
        <v>45510</v>
      </c>
      <c r="D56" s="14" t="s">
        <v>41</v>
      </c>
      <c r="E56" s="13" t="s">
        <v>181</v>
      </c>
      <c r="F56" s="13" t="s">
        <v>182</v>
      </c>
      <c r="G56" s="45">
        <v>67.846111</v>
      </c>
      <c r="H56" s="45">
        <v>47.704444</v>
      </c>
      <c r="I56" s="13">
        <v>53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</row>
    <row r="57" s="1" customFormat="1" ht="28.8" hidden="1" spans="1:46">
      <c r="A57" s="13" t="s">
        <v>183</v>
      </c>
      <c r="B57" s="14">
        <v>2024</v>
      </c>
      <c r="C57" s="17">
        <v>45512</v>
      </c>
      <c r="D57" s="14" t="s">
        <v>41</v>
      </c>
      <c r="E57" s="13" t="s">
        <v>184</v>
      </c>
      <c r="F57" s="13" t="s">
        <v>185</v>
      </c>
      <c r="G57" s="46">
        <v>67.8</v>
      </c>
      <c r="H57" s="46">
        <v>46.377778</v>
      </c>
      <c r="I57" s="13">
        <v>60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</row>
    <row r="58" s="1" customFormat="1" ht="28.8" hidden="1" spans="1:46">
      <c r="A58" s="13" t="s">
        <v>186</v>
      </c>
      <c r="B58" s="14">
        <v>2024</v>
      </c>
      <c r="C58" s="17">
        <v>45512</v>
      </c>
      <c r="D58" s="14" t="s">
        <v>41</v>
      </c>
      <c r="E58" s="13" t="s">
        <v>184</v>
      </c>
      <c r="F58" s="13" t="s">
        <v>182</v>
      </c>
      <c r="G58" s="47">
        <v>67.788889</v>
      </c>
      <c r="H58" s="47">
        <v>46.386111</v>
      </c>
      <c r="I58" s="13">
        <v>83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</row>
    <row r="59" s="1" customFormat="1" ht="28.8" hidden="1" spans="1:46">
      <c r="A59" s="13" t="s">
        <v>187</v>
      </c>
      <c r="B59" s="14">
        <v>2024</v>
      </c>
      <c r="C59" s="17">
        <v>45563</v>
      </c>
      <c r="D59" s="37" t="s">
        <v>130</v>
      </c>
      <c r="E59" s="13" t="s">
        <v>187</v>
      </c>
      <c r="F59" s="13" t="s">
        <v>188</v>
      </c>
      <c r="G59" s="29">
        <v>44.019814</v>
      </c>
      <c r="H59" s="29">
        <v>145.84924</v>
      </c>
      <c r="I59" s="13">
        <v>74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</row>
    <row r="60" s="1" customFormat="1" spans="1:46">
      <c r="A60" s="13" t="s">
        <v>189</v>
      </c>
      <c r="B60" s="14">
        <v>2024</v>
      </c>
      <c r="C60" s="17">
        <v>45579</v>
      </c>
      <c r="D60" s="37" t="s">
        <v>17</v>
      </c>
      <c r="E60" s="13" t="s">
        <v>189</v>
      </c>
      <c r="F60" s="13" t="s">
        <v>190</v>
      </c>
      <c r="G60" s="29">
        <v>42.892527698</v>
      </c>
      <c r="H60" s="29">
        <v>132.734807065</v>
      </c>
      <c r="I60" s="13">
        <v>120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1</v>
      </c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</row>
    <row r="61" s="1" customFormat="1" spans="1:15">
      <c r="A61" s="1" t="s">
        <v>191</v>
      </c>
      <c r="B61" s="37">
        <v>2024</v>
      </c>
      <c r="C61" s="25">
        <v>45578</v>
      </c>
      <c r="D61" s="37" t="s">
        <v>17</v>
      </c>
      <c r="E61" s="1" t="s">
        <v>192</v>
      </c>
      <c r="F61" s="1" t="s">
        <v>193</v>
      </c>
      <c r="G61" s="48">
        <v>42.841083257</v>
      </c>
      <c r="H61" s="48">
        <v>132.538501512</v>
      </c>
      <c r="I61" s="1">
        <v>170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1</v>
      </c>
    </row>
    <row r="62" s="1" customFormat="1" ht="19.2" customHeight="1" spans="1:46">
      <c r="A62" s="13" t="s">
        <v>194</v>
      </c>
      <c r="B62" s="37">
        <v>2024</v>
      </c>
      <c r="C62" s="17">
        <v>45596</v>
      </c>
      <c r="D62" s="37" t="s">
        <v>17</v>
      </c>
      <c r="E62" s="13" t="s">
        <v>195</v>
      </c>
      <c r="F62" s="13" t="s">
        <v>196</v>
      </c>
      <c r="G62" s="29">
        <v>43.041583263</v>
      </c>
      <c r="H62" s="29">
        <v>131.87414042</v>
      </c>
      <c r="I62" s="29">
        <v>120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1</v>
      </c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</row>
    <row r="63" s="2" customFormat="1" hidden="1" spans="1:46">
      <c r="A63" s="9" t="s">
        <v>197</v>
      </c>
      <c r="B63" s="49">
        <v>2019</v>
      </c>
      <c r="C63" s="11" t="s">
        <v>198</v>
      </c>
      <c r="D63" s="11" t="s">
        <v>41</v>
      </c>
      <c r="E63" s="2" t="s">
        <v>199</v>
      </c>
      <c r="F63" s="9" t="s">
        <v>200</v>
      </c>
      <c r="G63" s="9">
        <v>68.98219</v>
      </c>
      <c r="H63" s="9">
        <v>33.028131</v>
      </c>
      <c r="I63" s="9">
        <v>48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</row>
    <row r="64" s="2" customFormat="1" hidden="1" spans="1:46">
      <c r="A64" s="9" t="s">
        <v>201</v>
      </c>
      <c r="B64" s="49">
        <v>2019</v>
      </c>
      <c r="C64" s="11" t="s">
        <v>198</v>
      </c>
      <c r="D64" s="11" t="s">
        <v>41</v>
      </c>
      <c r="E64" s="2" t="s">
        <v>202</v>
      </c>
      <c r="F64" s="9" t="s">
        <v>203</v>
      </c>
      <c r="G64" s="9">
        <v>69.808889</v>
      </c>
      <c r="H64" s="9">
        <v>32.041111</v>
      </c>
      <c r="I64" s="9">
        <v>38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</row>
    <row r="65" s="2" customFormat="1" hidden="1" spans="1:46">
      <c r="A65" s="9" t="s">
        <v>204</v>
      </c>
      <c r="B65" s="49">
        <v>2022</v>
      </c>
      <c r="C65" s="11" t="s">
        <v>205</v>
      </c>
      <c r="D65" s="11" t="s">
        <v>41</v>
      </c>
      <c r="E65" s="2" t="s">
        <v>206</v>
      </c>
      <c r="F65" s="9" t="s">
        <v>207</v>
      </c>
      <c r="G65" s="9">
        <v>69.077653</v>
      </c>
      <c r="H65" s="9">
        <v>33.168216</v>
      </c>
      <c r="I65" s="9">
        <v>201</v>
      </c>
      <c r="J65" s="9">
        <v>1</v>
      </c>
      <c r="K65" s="9">
        <v>1</v>
      </c>
      <c r="L65" s="9">
        <v>0</v>
      </c>
      <c r="M65" s="9">
        <v>0</v>
      </c>
      <c r="N65" s="9">
        <v>0</v>
      </c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</row>
    <row r="66" s="2" customFormat="1" hidden="1" spans="1:46">
      <c r="A66" s="9" t="s">
        <v>208</v>
      </c>
      <c r="B66" s="49">
        <v>2021</v>
      </c>
      <c r="C66" s="11" t="s">
        <v>209</v>
      </c>
      <c r="D66" s="11" t="s">
        <v>41</v>
      </c>
      <c r="E66" s="2" t="s">
        <v>210</v>
      </c>
      <c r="F66" s="9" t="s">
        <v>211</v>
      </c>
      <c r="G66" s="9">
        <v>69.055963</v>
      </c>
      <c r="H66" s="9">
        <v>33.235774</v>
      </c>
      <c r="I66" s="9">
        <v>29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</row>
    <row r="67" s="2" customFormat="1" hidden="1" spans="1:46">
      <c r="A67" s="9" t="s">
        <v>212</v>
      </c>
      <c r="B67" s="49">
        <v>2021</v>
      </c>
      <c r="C67" s="11" t="s">
        <v>213</v>
      </c>
      <c r="D67" s="11" t="s">
        <v>41</v>
      </c>
      <c r="E67" s="2" t="s">
        <v>210</v>
      </c>
      <c r="F67" s="9" t="s">
        <v>214</v>
      </c>
      <c r="G67" s="9">
        <v>69.056044</v>
      </c>
      <c r="H67" s="9">
        <v>33.235122</v>
      </c>
      <c r="I67" s="9">
        <v>96</v>
      </c>
      <c r="J67" s="9">
        <v>1</v>
      </c>
      <c r="K67" s="9">
        <v>1</v>
      </c>
      <c r="L67" s="9">
        <v>0</v>
      </c>
      <c r="M67" s="9">
        <v>0</v>
      </c>
      <c r="N67" s="9">
        <v>0</v>
      </c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</row>
    <row r="68" s="2" customFormat="1" ht="28.8" hidden="1" spans="1:46">
      <c r="A68" s="9" t="s">
        <v>215</v>
      </c>
      <c r="B68" s="49">
        <v>2021</v>
      </c>
      <c r="C68" s="11" t="s">
        <v>213</v>
      </c>
      <c r="D68" s="11" t="s">
        <v>41</v>
      </c>
      <c r="E68" s="2" t="s">
        <v>210</v>
      </c>
      <c r="F68" s="9" t="s">
        <v>216</v>
      </c>
      <c r="G68" s="9">
        <v>69.056064</v>
      </c>
      <c r="H68" s="9">
        <v>33.235084</v>
      </c>
      <c r="I68" s="9">
        <v>48</v>
      </c>
      <c r="J68" s="9">
        <v>1</v>
      </c>
      <c r="K68" s="9">
        <v>1</v>
      </c>
      <c r="L68" s="9">
        <v>0</v>
      </c>
      <c r="M68" s="9">
        <v>0</v>
      </c>
      <c r="N68" s="9">
        <v>0</v>
      </c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</row>
    <row r="69" s="2" customFormat="1" hidden="1" spans="1:46">
      <c r="A69" s="9" t="s">
        <v>217</v>
      </c>
      <c r="B69" s="49">
        <v>2022</v>
      </c>
      <c r="C69" s="11" t="s">
        <v>205</v>
      </c>
      <c r="D69" s="11" t="s">
        <v>41</v>
      </c>
      <c r="E69" s="2" t="s">
        <v>210</v>
      </c>
      <c r="F69" s="9" t="s">
        <v>214</v>
      </c>
      <c r="G69" s="9">
        <v>69.056044</v>
      </c>
      <c r="H69" s="9">
        <v>33.235122</v>
      </c>
      <c r="I69" s="9">
        <v>164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</row>
    <row r="70" s="2" customFormat="1" ht="28.8" hidden="1" spans="1:46">
      <c r="A70" s="9" t="s">
        <v>218</v>
      </c>
      <c r="B70" s="49">
        <v>2022</v>
      </c>
      <c r="C70" s="11" t="s">
        <v>205</v>
      </c>
      <c r="D70" s="11" t="s">
        <v>41</v>
      </c>
      <c r="E70" s="2" t="s">
        <v>219</v>
      </c>
      <c r="F70" s="9" t="s">
        <v>220</v>
      </c>
      <c r="G70" s="9">
        <v>69.060039</v>
      </c>
      <c r="H70" s="9">
        <v>33.26919</v>
      </c>
      <c r="I70" s="9">
        <v>173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</row>
    <row r="71" s="2" customFormat="1" ht="28.8" hidden="1" spans="1:46">
      <c r="A71" s="9" t="s">
        <v>221</v>
      </c>
      <c r="B71" s="49">
        <v>2022</v>
      </c>
      <c r="C71" s="11" t="s">
        <v>205</v>
      </c>
      <c r="D71" s="11" t="s">
        <v>41</v>
      </c>
      <c r="E71" s="2" t="s">
        <v>219</v>
      </c>
      <c r="F71" s="9" t="s">
        <v>220</v>
      </c>
      <c r="G71" s="9">
        <v>69.060039</v>
      </c>
      <c r="H71" s="9">
        <v>33.26919</v>
      </c>
      <c r="I71" s="9">
        <v>64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</row>
    <row r="72" s="2" customFormat="1" hidden="1" spans="1:46">
      <c r="A72" s="9" t="s">
        <v>222</v>
      </c>
      <c r="B72" s="49">
        <v>2021</v>
      </c>
      <c r="C72" s="11" t="s">
        <v>223</v>
      </c>
      <c r="D72" s="11" t="s">
        <v>41</v>
      </c>
      <c r="E72" s="2" t="s">
        <v>224</v>
      </c>
      <c r="F72" s="9" t="s">
        <v>207</v>
      </c>
      <c r="G72" s="9">
        <v>69.073542</v>
      </c>
      <c r="H72" s="9">
        <v>33.112419</v>
      </c>
      <c r="I72" s="9">
        <v>64</v>
      </c>
      <c r="J72" s="9">
        <v>1</v>
      </c>
      <c r="K72" s="9">
        <v>0</v>
      </c>
      <c r="L72" s="9">
        <v>1</v>
      </c>
      <c r="M72" s="9">
        <v>1</v>
      </c>
      <c r="N72" s="9">
        <v>0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</row>
    <row r="73" s="2" customFormat="1" hidden="1" spans="1:46">
      <c r="A73" s="9" t="s">
        <v>225</v>
      </c>
      <c r="B73" s="49">
        <v>2019</v>
      </c>
      <c r="C73" s="11" t="s">
        <v>198</v>
      </c>
      <c r="D73" s="11" t="s">
        <v>41</v>
      </c>
      <c r="E73" s="2" t="s">
        <v>226</v>
      </c>
      <c r="F73" s="9" t="s">
        <v>207</v>
      </c>
      <c r="G73" s="9">
        <v>69.042431</v>
      </c>
      <c r="H73" s="9">
        <v>33.034244</v>
      </c>
      <c r="I73" s="9">
        <v>30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</row>
    <row r="74" s="2" customFormat="1" hidden="1" spans="1:46">
      <c r="A74" s="9" t="s">
        <v>227</v>
      </c>
      <c r="B74" s="49">
        <v>2021</v>
      </c>
      <c r="C74" s="11" t="s">
        <v>209</v>
      </c>
      <c r="D74" s="11" t="s">
        <v>41</v>
      </c>
      <c r="E74" s="2" t="s">
        <v>228</v>
      </c>
      <c r="F74" s="9" t="s">
        <v>229</v>
      </c>
      <c r="G74" s="9">
        <v>69.062283</v>
      </c>
      <c r="H74" s="9">
        <v>33.198617</v>
      </c>
      <c r="I74" s="9">
        <v>25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</row>
    <row r="75" s="2" customFormat="1" ht="28.8" hidden="1" spans="1:46">
      <c r="A75" s="9" t="s">
        <v>230</v>
      </c>
      <c r="B75" s="49">
        <v>2021</v>
      </c>
      <c r="C75" s="11" t="s">
        <v>209</v>
      </c>
      <c r="D75" s="11" t="s">
        <v>41</v>
      </c>
      <c r="E75" s="2" t="s">
        <v>231</v>
      </c>
      <c r="F75" s="9" t="s">
        <v>232</v>
      </c>
      <c r="G75" s="9">
        <v>69.300748</v>
      </c>
      <c r="H75" s="9">
        <v>32.846677</v>
      </c>
      <c r="I75" s="9">
        <v>100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</row>
    <row r="76" s="1" customFormat="1" hidden="1" spans="1:46">
      <c r="A76" s="63" t="s">
        <v>233</v>
      </c>
      <c r="B76" s="64">
        <v>2025</v>
      </c>
      <c r="C76" s="65">
        <v>45856</v>
      </c>
      <c r="D76" s="64" t="s">
        <v>234</v>
      </c>
      <c r="E76" s="63" t="s">
        <v>235</v>
      </c>
      <c r="F76" s="63" t="s">
        <v>236</v>
      </c>
      <c r="G76" s="64">
        <v>60.1875</v>
      </c>
      <c r="H76" s="64">
        <v>165.453611</v>
      </c>
      <c r="I76" s="90">
        <v>10</v>
      </c>
      <c r="J76" s="63">
        <v>0</v>
      </c>
      <c r="K76" s="81"/>
      <c r="L76" s="81"/>
      <c r="M76" s="81"/>
      <c r="N76" s="81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</row>
    <row r="77" s="1" customFormat="1" hidden="1" spans="1:46">
      <c r="A77" s="63" t="s">
        <v>237</v>
      </c>
      <c r="B77" s="66">
        <v>2025</v>
      </c>
      <c r="C77" s="65">
        <v>45888</v>
      </c>
      <c r="D77" s="64" t="s">
        <v>77</v>
      </c>
      <c r="E77" s="63" t="s">
        <v>238</v>
      </c>
      <c r="F77" s="63" t="s">
        <v>236</v>
      </c>
      <c r="G77" s="64">
        <v>60.199637</v>
      </c>
      <c r="H77" s="64">
        <v>160.199637</v>
      </c>
      <c r="I77" s="91">
        <v>14</v>
      </c>
      <c r="J77" s="63">
        <v>0</v>
      </c>
      <c r="K77" s="81"/>
      <c r="L77" s="81"/>
      <c r="M77" s="81"/>
      <c r="N77" s="81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</row>
    <row r="78" s="1" customFormat="1" ht="15.6" hidden="1" spans="1:46">
      <c r="A78" s="63" t="s">
        <v>239</v>
      </c>
      <c r="B78" s="66">
        <v>2025</v>
      </c>
      <c r="C78" s="67">
        <v>45911</v>
      </c>
      <c r="D78" s="64" t="s">
        <v>66</v>
      </c>
      <c r="E78" s="63" t="s">
        <v>240</v>
      </c>
      <c r="F78" s="68" t="s">
        <v>241</v>
      </c>
      <c r="G78" s="69">
        <v>65.960861</v>
      </c>
      <c r="H78" s="69">
        <v>40.69025</v>
      </c>
      <c r="I78" s="90">
        <v>50</v>
      </c>
      <c r="J78" s="63">
        <v>0</v>
      </c>
      <c r="K78" s="81"/>
      <c r="L78" s="81"/>
      <c r="M78" s="81"/>
      <c r="N78" s="81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</row>
    <row r="79" s="1" customFormat="1" ht="28.8" hidden="1" spans="1:46">
      <c r="A79" s="63" t="s">
        <v>242</v>
      </c>
      <c r="B79" s="66">
        <v>2025</v>
      </c>
      <c r="C79" s="70">
        <v>45910</v>
      </c>
      <c r="D79" s="64" t="s">
        <v>66</v>
      </c>
      <c r="E79" s="63" t="s">
        <v>243</v>
      </c>
      <c r="F79" s="63" t="s">
        <v>244</v>
      </c>
      <c r="G79" s="71">
        <v>65.262722</v>
      </c>
      <c r="H79" s="71">
        <v>39.851194</v>
      </c>
      <c r="I79" s="90">
        <v>103</v>
      </c>
      <c r="J79" s="63">
        <v>1</v>
      </c>
      <c r="K79" s="81"/>
      <c r="L79" s="81"/>
      <c r="M79" s="81"/>
      <c r="N79" s="81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</row>
    <row r="80" s="1" customFormat="1" ht="28.8" hidden="1" spans="1:46">
      <c r="A80" s="63" t="s">
        <v>245</v>
      </c>
      <c r="B80" s="66">
        <v>2025</v>
      </c>
      <c r="C80" s="70">
        <v>45913</v>
      </c>
      <c r="D80" s="64" t="s">
        <v>66</v>
      </c>
      <c r="E80" s="63" t="s">
        <v>246</v>
      </c>
      <c r="F80" s="63" t="s">
        <v>247</v>
      </c>
      <c r="G80" s="71">
        <v>66.658694</v>
      </c>
      <c r="H80" s="71">
        <v>44.087278</v>
      </c>
      <c r="I80" s="90">
        <v>95</v>
      </c>
      <c r="J80" s="63">
        <v>0</v>
      </c>
      <c r="K80" s="81"/>
      <c r="L80" s="81"/>
      <c r="M80" s="81"/>
      <c r="N80" s="81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</row>
    <row r="81" s="1" customFormat="1" hidden="1" spans="1:46">
      <c r="A81" s="63" t="s">
        <v>248</v>
      </c>
      <c r="B81" s="66">
        <v>2025</v>
      </c>
      <c r="C81" s="65">
        <v>45928</v>
      </c>
      <c r="D81" s="64" t="s">
        <v>249</v>
      </c>
      <c r="E81" s="63" t="s">
        <v>250</v>
      </c>
      <c r="F81" s="63" t="s">
        <v>251</v>
      </c>
      <c r="G81" s="64">
        <v>64.717154</v>
      </c>
      <c r="H81" s="64">
        <v>-172.814227</v>
      </c>
      <c r="I81" s="90">
        <v>40</v>
      </c>
      <c r="J81" s="63">
        <v>0</v>
      </c>
      <c r="K81" s="81"/>
      <c r="L81" s="81"/>
      <c r="M81" s="81"/>
      <c r="N81" s="81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</row>
    <row r="82" s="1" customFormat="1" hidden="1" spans="1:46">
      <c r="A82" s="63" t="s">
        <v>252</v>
      </c>
      <c r="B82" s="66">
        <v>2025</v>
      </c>
      <c r="C82" s="65">
        <v>45832</v>
      </c>
      <c r="D82" s="64" t="s">
        <v>41</v>
      </c>
      <c r="E82" s="63" t="s">
        <v>253</v>
      </c>
      <c r="F82" s="63" t="s">
        <v>254</v>
      </c>
      <c r="G82" s="66">
        <v>68.059288</v>
      </c>
      <c r="H82" s="66">
        <v>39.520765</v>
      </c>
      <c r="I82" s="90">
        <v>98</v>
      </c>
      <c r="J82" s="63">
        <v>1</v>
      </c>
      <c r="K82" s="81"/>
      <c r="L82" s="81"/>
      <c r="M82" s="81"/>
      <c r="N82" s="81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</row>
    <row r="83" s="1" customFormat="1" ht="28.8" hidden="1" spans="1:46">
      <c r="A83" s="63" t="s">
        <v>255</v>
      </c>
      <c r="B83" s="64">
        <v>2025</v>
      </c>
      <c r="C83" s="65">
        <v>45926</v>
      </c>
      <c r="D83" s="64" t="s">
        <v>41</v>
      </c>
      <c r="E83" s="63" t="s">
        <v>253</v>
      </c>
      <c r="F83" s="63" t="s">
        <v>256</v>
      </c>
      <c r="G83" s="64">
        <v>68.055696</v>
      </c>
      <c r="H83" s="64">
        <v>39.499934</v>
      </c>
      <c r="I83" s="90">
        <v>120</v>
      </c>
      <c r="J83" s="63">
        <v>0</v>
      </c>
      <c r="K83" s="81"/>
      <c r="L83" s="81"/>
      <c r="M83" s="81"/>
      <c r="N83" s="81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</row>
    <row r="84" s="1" customFormat="1" ht="28.8" spans="1:46">
      <c r="A84" s="63" t="s">
        <v>257</v>
      </c>
      <c r="B84" s="64">
        <v>2025</v>
      </c>
      <c r="C84" s="72">
        <v>45800</v>
      </c>
      <c r="D84" s="66" t="s">
        <v>17</v>
      </c>
      <c r="E84" s="73" t="s">
        <v>258</v>
      </c>
      <c r="F84" s="63" t="s">
        <v>259</v>
      </c>
      <c r="G84" s="74"/>
      <c r="H84" s="75"/>
      <c r="I84" s="92">
        <v>120</v>
      </c>
      <c r="J84" s="63">
        <v>0</v>
      </c>
      <c r="K84" s="81">
        <v>0</v>
      </c>
      <c r="L84" s="81">
        <v>0</v>
      </c>
      <c r="M84" s="81">
        <v>0</v>
      </c>
      <c r="N84" s="81">
        <v>0</v>
      </c>
      <c r="O84" s="13">
        <v>1</v>
      </c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</row>
    <row r="85" s="1" customFormat="1" ht="43.2" spans="1:46">
      <c r="A85" s="63" t="s">
        <v>260</v>
      </c>
      <c r="B85" s="64">
        <v>2025</v>
      </c>
      <c r="C85" s="72">
        <v>45808</v>
      </c>
      <c r="D85" s="66" t="s">
        <v>17</v>
      </c>
      <c r="E85" s="73" t="s">
        <v>261</v>
      </c>
      <c r="F85" s="63" t="s">
        <v>262</v>
      </c>
      <c r="G85" s="76">
        <v>43.213014</v>
      </c>
      <c r="H85" s="77">
        <v>131.938817</v>
      </c>
      <c r="I85" s="92">
        <v>120</v>
      </c>
      <c r="J85" s="63">
        <v>0</v>
      </c>
      <c r="K85" s="81">
        <v>0</v>
      </c>
      <c r="L85" s="81">
        <v>0</v>
      </c>
      <c r="M85" s="81">
        <v>0</v>
      </c>
      <c r="N85" s="81">
        <v>0</v>
      </c>
      <c r="O85" s="13">
        <v>1</v>
      </c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</row>
    <row r="86" s="1" customFormat="1" ht="57.6" spans="1:46">
      <c r="A86" s="63" t="s">
        <v>263</v>
      </c>
      <c r="B86" s="64">
        <v>2025</v>
      </c>
      <c r="C86" s="72">
        <v>45861</v>
      </c>
      <c r="D86" s="66" t="s">
        <v>17</v>
      </c>
      <c r="E86" s="73" t="s">
        <v>264</v>
      </c>
      <c r="F86" s="63" t="s">
        <v>265</v>
      </c>
      <c r="G86" s="77">
        <v>42.981188</v>
      </c>
      <c r="H86" s="77">
        <v>131.728486</v>
      </c>
      <c r="I86" s="92">
        <v>120</v>
      </c>
      <c r="J86" s="63">
        <v>0</v>
      </c>
      <c r="K86" s="81">
        <v>0</v>
      </c>
      <c r="L86" s="81">
        <v>0</v>
      </c>
      <c r="M86" s="81">
        <v>0</v>
      </c>
      <c r="N86" s="81">
        <v>0</v>
      </c>
      <c r="O86" s="13">
        <v>1</v>
      </c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</row>
    <row r="87" s="1" customFormat="1" ht="43.2" hidden="1" spans="1:46">
      <c r="A87" s="63" t="s">
        <v>266</v>
      </c>
      <c r="B87" s="64">
        <v>2025</v>
      </c>
      <c r="C87" s="72">
        <v>45881</v>
      </c>
      <c r="D87" s="64" t="s">
        <v>130</v>
      </c>
      <c r="E87" s="78" t="s">
        <v>267</v>
      </c>
      <c r="F87" s="63" t="s">
        <v>268</v>
      </c>
      <c r="G87" s="79">
        <v>47.158967</v>
      </c>
      <c r="H87" s="79">
        <v>152.244483</v>
      </c>
      <c r="I87" s="92">
        <v>150</v>
      </c>
      <c r="J87" s="63">
        <v>20</v>
      </c>
      <c r="K87" s="81"/>
      <c r="L87" s="81"/>
      <c r="M87" s="81"/>
      <c r="N87" s="81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</row>
    <row r="88" s="1" customFormat="1" ht="43.2" hidden="1" spans="1:46">
      <c r="A88" s="63" t="s">
        <v>269</v>
      </c>
      <c r="B88" s="64">
        <v>2025</v>
      </c>
      <c r="C88" s="72">
        <v>45891</v>
      </c>
      <c r="D88" s="64" t="s">
        <v>130</v>
      </c>
      <c r="E88" s="78" t="s">
        <v>270</v>
      </c>
      <c r="F88" s="63" t="s">
        <v>271</v>
      </c>
      <c r="G88" s="80">
        <v>42.981188</v>
      </c>
      <c r="H88" s="80">
        <v>131.728486</v>
      </c>
      <c r="I88" s="92">
        <v>72</v>
      </c>
      <c r="J88" s="63">
        <v>0</v>
      </c>
      <c r="K88" s="81"/>
      <c r="L88" s="81"/>
      <c r="M88" s="81"/>
      <c r="N88" s="81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</row>
    <row r="89" s="1" customFormat="1" ht="28.8" hidden="1" spans="1:46">
      <c r="A89" s="63" t="s">
        <v>272</v>
      </c>
      <c r="B89" s="64">
        <v>2025</v>
      </c>
      <c r="C89" s="72">
        <v>45892</v>
      </c>
      <c r="D89" s="64" t="s">
        <v>130</v>
      </c>
      <c r="E89" s="78" t="s">
        <v>273</v>
      </c>
      <c r="F89" s="63" t="s">
        <v>274</v>
      </c>
      <c r="G89" s="81">
        <f>50+55/60+10/360</f>
        <v>50.9444444444444</v>
      </c>
      <c r="H89" s="81">
        <f>155+33/60+11/360</f>
        <v>155.580555555556</v>
      </c>
      <c r="I89" s="92">
        <v>120</v>
      </c>
      <c r="J89" s="63">
        <v>0</v>
      </c>
      <c r="K89" s="81"/>
      <c r="L89" s="81"/>
      <c r="M89" s="81"/>
      <c r="N89" s="81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</row>
    <row r="90" s="1" customFormat="1" ht="28.8" hidden="1" spans="1:46">
      <c r="A90" s="63" t="s">
        <v>275</v>
      </c>
      <c r="B90" s="64">
        <v>2025</v>
      </c>
      <c r="C90" s="72">
        <v>45892</v>
      </c>
      <c r="D90" s="64" t="s">
        <v>130</v>
      </c>
      <c r="E90" s="78" t="s">
        <v>276</v>
      </c>
      <c r="F90" s="63" t="s">
        <v>277</v>
      </c>
      <c r="G90" s="81">
        <f>50+55/60+10/360</f>
        <v>50.9444444444444</v>
      </c>
      <c r="H90" s="81">
        <f>155+33/60+11/360</f>
        <v>155.580555555556</v>
      </c>
      <c r="I90" s="92">
        <v>60</v>
      </c>
      <c r="J90" s="63">
        <v>0</v>
      </c>
      <c r="K90" s="81"/>
      <c r="L90" s="81"/>
      <c r="M90" s="81"/>
      <c r="N90" s="81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</row>
    <row r="91" s="1" customFormat="1" ht="28.8" hidden="1" spans="1:46">
      <c r="A91" s="63" t="s">
        <v>278</v>
      </c>
      <c r="B91" s="64">
        <v>2025</v>
      </c>
      <c r="C91" s="72">
        <v>45892</v>
      </c>
      <c r="D91" s="64" t="s">
        <v>130</v>
      </c>
      <c r="E91" s="78" t="s">
        <v>279</v>
      </c>
      <c r="F91" s="63" t="s">
        <v>280</v>
      </c>
      <c r="G91" s="82">
        <v>50.91981</v>
      </c>
      <c r="H91" s="77">
        <v>155.56324</v>
      </c>
      <c r="I91" s="92">
        <v>120</v>
      </c>
      <c r="J91" s="63">
        <v>0</v>
      </c>
      <c r="K91" s="81"/>
      <c r="L91" s="81"/>
      <c r="M91" s="81"/>
      <c r="N91" s="81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</row>
    <row r="92" s="1" customFormat="1" ht="28.8" hidden="1" spans="1:46">
      <c r="A92" s="63" t="s">
        <v>281</v>
      </c>
      <c r="B92" s="64">
        <v>2025</v>
      </c>
      <c r="C92" s="72">
        <v>45892</v>
      </c>
      <c r="D92" s="64" t="s">
        <v>130</v>
      </c>
      <c r="E92" s="78" t="s">
        <v>282</v>
      </c>
      <c r="F92" s="63" t="s">
        <v>283</v>
      </c>
      <c r="G92" s="82">
        <v>50.91986</v>
      </c>
      <c r="H92" s="77">
        <v>155.56326</v>
      </c>
      <c r="I92" s="92">
        <v>40</v>
      </c>
      <c r="J92" s="63">
        <v>0</v>
      </c>
      <c r="K92" s="81"/>
      <c r="L92" s="81"/>
      <c r="M92" s="81"/>
      <c r="N92" s="81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</row>
    <row r="93" s="1" customFormat="1" ht="43.2" hidden="1" spans="1:46">
      <c r="A93" s="63" t="s">
        <v>284</v>
      </c>
      <c r="B93" s="64">
        <v>2025</v>
      </c>
      <c r="C93" s="72">
        <v>45892</v>
      </c>
      <c r="D93" s="64" t="s">
        <v>130</v>
      </c>
      <c r="E93" s="83" t="s">
        <v>285</v>
      </c>
      <c r="F93" s="63" t="s">
        <v>286</v>
      </c>
      <c r="G93" s="82">
        <v>50.91986</v>
      </c>
      <c r="H93" s="77">
        <v>155.56326</v>
      </c>
      <c r="I93" s="92">
        <v>60</v>
      </c>
      <c r="J93" s="63">
        <v>0</v>
      </c>
      <c r="K93" s="81"/>
      <c r="L93" s="81"/>
      <c r="M93" s="81"/>
      <c r="N93" s="81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</row>
    <row r="94" s="1" customFormat="1" hidden="1" spans="1:46">
      <c r="A94" s="63" t="s">
        <v>287</v>
      </c>
      <c r="B94" s="64">
        <v>2025</v>
      </c>
      <c r="C94" s="72">
        <v>45893</v>
      </c>
      <c r="D94" s="64" t="s">
        <v>130</v>
      </c>
      <c r="E94" s="78" t="s">
        <v>288</v>
      </c>
      <c r="F94" s="63" t="s">
        <v>74</v>
      </c>
      <c r="G94" s="82">
        <v>50.32573</v>
      </c>
      <c r="H94" s="77">
        <v>155.39448</v>
      </c>
      <c r="I94" s="92">
        <v>120</v>
      </c>
      <c r="J94" s="63">
        <v>0</v>
      </c>
      <c r="K94" s="81"/>
      <c r="L94" s="81"/>
      <c r="M94" s="81"/>
      <c r="N94" s="81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</row>
    <row r="95" s="1" customFormat="1" hidden="1" spans="1:46">
      <c r="A95" s="63" t="s">
        <v>289</v>
      </c>
      <c r="B95" s="64">
        <v>2025</v>
      </c>
      <c r="C95" s="72">
        <v>45893</v>
      </c>
      <c r="D95" s="64" t="s">
        <v>130</v>
      </c>
      <c r="E95" s="78" t="s">
        <v>288</v>
      </c>
      <c r="F95" s="63" t="s">
        <v>74</v>
      </c>
      <c r="G95" s="82">
        <v>50.32173</v>
      </c>
      <c r="H95" s="77">
        <v>155.39249</v>
      </c>
      <c r="I95" s="92">
        <v>60</v>
      </c>
      <c r="J95" s="63">
        <v>0</v>
      </c>
      <c r="K95" s="81"/>
      <c r="L95" s="81"/>
      <c r="M95" s="81"/>
      <c r="N95" s="81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</row>
    <row r="96" s="1" customFormat="1" hidden="1" spans="1:46">
      <c r="A96" s="63" t="s">
        <v>290</v>
      </c>
      <c r="B96" s="64">
        <v>2025</v>
      </c>
      <c r="C96" s="72">
        <v>45893</v>
      </c>
      <c r="D96" s="64" t="s">
        <v>130</v>
      </c>
      <c r="E96" s="78" t="s">
        <v>288</v>
      </c>
      <c r="F96" s="63" t="s">
        <v>74</v>
      </c>
      <c r="G96" s="82">
        <v>50.32788</v>
      </c>
      <c r="H96" s="77">
        <v>155.39261</v>
      </c>
      <c r="I96" s="92">
        <v>60</v>
      </c>
      <c r="J96" s="63">
        <v>0</v>
      </c>
      <c r="K96" s="81"/>
      <c r="L96" s="81"/>
      <c r="M96" s="81"/>
      <c r="N96" s="81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</row>
    <row r="97" s="1" customFormat="1" ht="43.2" hidden="1" spans="1:46">
      <c r="A97" s="63" t="s">
        <v>291</v>
      </c>
      <c r="B97" s="64">
        <v>2025</v>
      </c>
      <c r="C97" s="72">
        <v>45893</v>
      </c>
      <c r="D97" s="64" t="s">
        <v>130</v>
      </c>
      <c r="E97" s="78" t="s">
        <v>292</v>
      </c>
      <c r="F97" s="63" t="s">
        <v>293</v>
      </c>
      <c r="G97" s="79">
        <v>50.289274</v>
      </c>
      <c r="H97" s="79">
        <v>155.321369</v>
      </c>
      <c r="I97" s="92">
        <v>120</v>
      </c>
      <c r="J97" s="63">
        <v>0</v>
      </c>
      <c r="K97" s="81"/>
      <c r="L97" s="81"/>
      <c r="M97" s="81"/>
      <c r="N97" s="81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</row>
    <row r="98" s="1" customFormat="1" ht="43.2" spans="1:46">
      <c r="A98" s="63" t="s">
        <v>294</v>
      </c>
      <c r="B98" s="64">
        <v>2025</v>
      </c>
      <c r="C98" s="72">
        <v>45922</v>
      </c>
      <c r="D98" s="66" t="s">
        <v>17</v>
      </c>
      <c r="E98" s="73" t="s">
        <v>295</v>
      </c>
      <c r="F98" s="63" t="s">
        <v>296</v>
      </c>
      <c r="G98" s="77">
        <v>42.961935</v>
      </c>
      <c r="H98" s="77">
        <v>131.762445</v>
      </c>
      <c r="I98" s="92">
        <v>50</v>
      </c>
      <c r="J98" s="63">
        <v>0</v>
      </c>
      <c r="K98" s="81">
        <v>0</v>
      </c>
      <c r="L98" s="81">
        <v>0</v>
      </c>
      <c r="M98" s="81">
        <v>0</v>
      </c>
      <c r="N98" s="81">
        <v>0</v>
      </c>
      <c r="O98" s="13">
        <v>1</v>
      </c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</row>
    <row r="99" s="1" customFormat="1" ht="86.4" spans="1:46">
      <c r="A99" s="84" t="s">
        <v>297</v>
      </c>
      <c r="B99" s="85">
        <v>2025</v>
      </c>
      <c r="C99" s="86">
        <v>45927</v>
      </c>
      <c r="D99" s="87" t="s">
        <v>17</v>
      </c>
      <c r="E99" s="88" t="s">
        <v>298</v>
      </c>
      <c r="F99" s="84" t="s">
        <v>299</v>
      </c>
      <c r="G99" s="74">
        <v>48.967976</v>
      </c>
      <c r="H99" s="74">
        <v>140.275126</v>
      </c>
      <c r="I99" s="93"/>
      <c r="J99" s="31">
        <v>0</v>
      </c>
      <c r="K99" s="81">
        <v>0</v>
      </c>
      <c r="L99" s="81">
        <v>0</v>
      </c>
      <c r="M99" s="81">
        <v>0</v>
      </c>
      <c r="N99" s="81">
        <v>0</v>
      </c>
      <c r="O99" s="13">
        <v>1</v>
      </c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</row>
    <row r="100" s="1" customFormat="1" ht="28.8" spans="1:46">
      <c r="A100" s="84" t="s">
        <v>300</v>
      </c>
      <c r="B100" s="85">
        <v>2025</v>
      </c>
      <c r="C100" s="86">
        <v>45927</v>
      </c>
      <c r="D100" s="87" t="s">
        <v>17</v>
      </c>
      <c r="E100" s="88" t="s">
        <v>301</v>
      </c>
      <c r="F100" s="84" t="s">
        <v>302</v>
      </c>
      <c r="G100" s="74">
        <v>48.969828</v>
      </c>
      <c r="H100" s="74">
        <v>140.272591</v>
      </c>
      <c r="I100" s="93"/>
      <c r="J100" s="31">
        <v>0</v>
      </c>
      <c r="K100" s="81">
        <v>0</v>
      </c>
      <c r="L100" s="81">
        <v>0</v>
      </c>
      <c r="M100" s="81">
        <v>0</v>
      </c>
      <c r="N100" s="81">
        <v>0</v>
      </c>
      <c r="O100" s="13">
        <v>1</v>
      </c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</row>
    <row r="101" s="1" customFormat="1" ht="28.8" spans="1:46">
      <c r="A101" s="84" t="s">
        <v>303</v>
      </c>
      <c r="B101" s="85">
        <v>2025</v>
      </c>
      <c r="C101" s="86">
        <v>45927</v>
      </c>
      <c r="D101" s="87" t="s">
        <v>17</v>
      </c>
      <c r="E101" s="88" t="s">
        <v>304</v>
      </c>
      <c r="F101" s="84" t="s">
        <v>305</v>
      </c>
      <c r="G101" s="74">
        <v>49.01207</v>
      </c>
      <c r="H101" s="74">
        <v>140.251437</v>
      </c>
      <c r="I101" s="93"/>
      <c r="J101" s="31">
        <v>0</v>
      </c>
      <c r="K101" s="81">
        <v>0</v>
      </c>
      <c r="L101" s="81">
        <v>0</v>
      </c>
      <c r="M101" s="81">
        <v>0</v>
      </c>
      <c r="N101" s="81">
        <v>0</v>
      </c>
      <c r="O101" s="13">
        <v>1</v>
      </c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</row>
    <row r="102" s="1" customFormat="1" ht="28.8" spans="1:46">
      <c r="A102" s="84" t="s">
        <v>306</v>
      </c>
      <c r="B102" s="85">
        <v>2025</v>
      </c>
      <c r="C102" s="86">
        <v>45927</v>
      </c>
      <c r="D102" s="87" t="s">
        <v>17</v>
      </c>
      <c r="E102" s="88" t="s">
        <v>307</v>
      </c>
      <c r="F102" s="84" t="s">
        <v>308</v>
      </c>
      <c r="G102" s="74">
        <v>49.013954</v>
      </c>
      <c r="H102" s="74">
        <v>140.254671</v>
      </c>
      <c r="I102" s="93"/>
      <c r="J102" s="31">
        <v>0</v>
      </c>
      <c r="K102" s="81">
        <v>0</v>
      </c>
      <c r="L102" s="81">
        <v>0</v>
      </c>
      <c r="M102" s="81">
        <v>0</v>
      </c>
      <c r="N102" s="81">
        <v>0</v>
      </c>
      <c r="O102" s="13">
        <v>1</v>
      </c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</row>
    <row r="103" s="1" customFormat="1" ht="28.8" spans="1:46">
      <c r="A103" s="84" t="s">
        <v>309</v>
      </c>
      <c r="B103" s="85">
        <v>2025</v>
      </c>
      <c r="C103" s="86">
        <v>45927</v>
      </c>
      <c r="D103" s="87" t="s">
        <v>17</v>
      </c>
      <c r="E103" s="88" t="s">
        <v>310</v>
      </c>
      <c r="F103" s="84" t="s">
        <v>311</v>
      </c>
      <c r="G103" s="74">
        <v>48.98159</v>
      </c>
      <c r="H103" s="74">
        <v>140.277763</v>
      </c>
      <c r="I103" s="93"/>
      <c r="J103" s="31">
        <v>0</v>
      </c>
      <c r="K103" s="81">
        <v>0</v>
      </c>
      <c r="L103" s="81">
        <v>0</v>
      </c>
      <c r="M103" s="81">
        <v>0</v>
      </c>
      <c r="N103" s="81">
        <v>0</v>
      </c>
      <c r="O103" s="13">
        <v>1</v>
      </c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</row>
    <row r="104" s="1" customFormat="1" ht="43.2" spans="1:46">
      <c r="A104" s="63" t="s">
        <v>312</v>
      </c>
      <c r="B104" s="64">
        <v>2025</v>
      </c>
      <c r="C104" s="72">
        <v>45933</v>
      </c>
      <c r="D104" s="66" t="s">
        <v>17</v>
      </c>
      <c r="E104" s="73" t="s">
        <v>313</v>
      </c>
      <c r="F104" s="63" t="s">
        <v>314</v>
      </c>
      <c r="G104" s="77">
        <v>42.888407</v>
      </c>
      <c r="H104" s="77">
        <v>131.795293</v>
      </c>
      <c r="I104" s="92">
        <v>140</v>
      </c>
      <c r="J104" s="63">
        <v>0</v>
      </c>
      <c r="K104" s="81">
        <v>0</v>
      </c>
      <c r="L104" s="81">
        <v>0</v>
      </c>
      <c r="M104" s="81">
        <v>0</v>
      </c>
      <c r="N104" s="81">
        <v>0</v>
      </c>
      <c r="O104" s="13">
        <v>1</v>
      </c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</row>
    <row r="105" s="1" customFormat="1" ht="28.8" spans="1:46">
      <c r="A105" s="63" t="s">
        <v>315</v>
      </c>
      <c r="B105" s="64">
        <v>2025</v>
      </c>
      <c r="C105" s="72">
        <v>45935</v>
      </c>
      <c r="D105" s="66" t="s">
        <v>17</v>
      </c>
      <c r="E105" s="78" t="s">
        <v>316</v>
      </c>
      <c r="F105" s="63" t="s">
        <v>317</v>
      </c>
      <c r="G105" s="79">
        <v>42.925306</v>
      </c>
      <c r="H105" s="79">
        <v>131.728583</v>
      </c>
      <c r="I105" s="92">
        <v>100</v>
      </c>
      <c r="J105" s="63">
        <v>0</v>
      </c>
      <c r="K105" s="81">
        <v>0</v>
      </c>
      <c r="L105" s="81">
        <v>0</v>
      </c>
      <c r="M105" s="81">
        <v>0</v>
      </c>
      <c r="N105" s="81">
        <v>0</v>
      </c>
      <c r="O105" s="13">
        <v>1</v>
      </c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</row>
    <row r="106" s="1" customFormat="1" ht="28.8" spans="1:46">
      <c r="A106" s="63" t="s">
        <v>318</v>
      </c>
      <c r="B106" s="64">
        <v>2025</v>
      </c>
      <c r="C106" s="72">
        <v>45952</v>
      </c>
      <c r="D106" s="66" t="s">
        <v>17</v>
      </c>
      <c r="E106" s="73" t="s">
        <v>319</v>
      </c>
      <c r="F106" s="63" t="s">
        <v>320</v>
      </c>
      <c r="G106" s="77">
        <v>43.053988</v>
      </c>
      <c r="H106" s="77">
        <v>131.855229</v>
      </c>
      <c r="I106" s="94">
        <v>120</v>
      </c>
      <c r="J106" s="63">
        <v>0</v>
      </c>
      <c r="K106" s="81">
        <v>0</v>
      </c>
      <c r="L106" s="81">
        <v>0</v>
      </c>
      <c r="M106" s="81">
        <v>0</v>
      </c>
      <c r="N106" s="81">
        <v>0</v>
      </c>
      <c r="O106" s="13">
        <v>1</v>
      </c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</row>
    <row r="107" s="1" customFormat="1" spans="1:46">
      <c r="A107" s="81"/>
      <c r="B107" s="89"/>
      <c r="C107" s="89"/>
      <c r="D107" s="89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</row>
    <row r="108" s="1" customFormat="1" spans="1:46">
      <c r="A108" s="81"/>
      <c r="B108" s="89"/>
      <c r="C108" s="89"/>
      <c r="D108" s="89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</row>
    <row r="109" s="1" customFormat="1" spans="1:46">
      <c r="A109" s="81"/>
      <c r="B109" s="89"/>
      <c r="C109" s="89"/>
      <c r="D109" s="89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</row>
    <row r="110" s="1" customFormat="1" spans="1:46">
      <c r="A110" s="81"/>
      <c r="B110" s="89"/>
      <c r="C110" s="89"/>
      <c r="D110" s="89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</row>
    <row r="111" s="1" customFormat="1" spans="1:46">
      <c r="A111" s="81"/>
      <c r="B111" s="89"/>
      <c r="C111" s="89"/>
      <c r="D111" s="89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</row>
    <row r="112" s="1" customFormat="1" spans="1:46">
      <c r="A112" s="81"/>
      <c r="B112" s="89"/>
      <c r="C112" s="89"/>
      <c r="D112" s="89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</row>
    <row r="113" s="1" customFormat="1" spans="1:46">
      <c r="A113" s="81"/>
      <c r="B113" s="89"/>
      <c r="C113" s="89"/>
      <c r="D113" s="89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</row>
    <row r="114" s="1" customFormat="1" spans="1:46">
      <c r="A114" s="81"/>
      <c r="B114" s="89"/>
      <c r="C114" s="89"/>
      <c r="D114" s="89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</row>
    <row r="115" s="1" customFormat="1" spans="1:46">
      <c r="A115" s="81"/>
      <c r="B115" s="89"/>
      <c r="C115" s="89"/>
      <c r="D115" s="89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</row>
    <row r="116" s="1" customFormat="1" spans="1:46">
      <c r="A116" s="81"/>
      <c r="B116" s="89"/>
      <c r="C116" s="89"/>
      <c r="D116" s="89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</row>
    <row r="117" s="1" customFormat="1" spans="1:46">
      <c r="A117" s="81"/>
      <c r="B117" s="89"/>
      <c r="C117" s="89"/>
      <c r="D117" s="89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</row>
    <row r="118" s="1" customFormat="1" spans="1:46">
      <c r="A118" s="81"/>
      <c r="B118" s="89"/>
      <c r="C118" s="89"/>
      <c r="D118" s="89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</row>
    <row r="119" s="1" customFormat="1" spans="1:46">
      <c r="A119" s="81"/>
      <c r="B119" s="89"/>
      <c r="C119" s="89"/>
      <c r="D119" s="89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</row>
    <row r="120" s="1" customFormat="1" spans="1:46">
      <c r="A120" s="81"/>
      <c r="B120" s="89"/>
      <c r="C120" s="89"/>
      <c r="D120" s="89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</row>
    <row r="121" s="1" customFormat="1" spans="1:46">
      <c r="A121" s="81"/>
      <c r="B121" s="89"/>
      <c r="C121" s="89"/>
      <c r="D121" s="89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</row>
    <row r="122" s="1" customFormat="1" spans="1:46">
      <c r="A122" s="81"/>
      <c r="B122" s="89"/>
      <c r="C122" s="89"/>
      <c r="D122" s="89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</row>
    <row r="123" s="1" customFormat="1" spans="1:46">
      <c r="A123" s="81"/>
      <c r="B123" s="89"/>
      <c r="C123" s="89"/>
      <c r="D123" s="89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</row>
    <row r="124" s="1" customFormat="1" spans="1:46">
      <c r="A124" s="81"/>
      <c r="B124" s="89"/>
      <c r="C124" s="89"/>
      <c r="D124" s="89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</row>
    <row r="125" s="1" customFormat="1" spans="1:46">
      <c r="A125" s="81"/>
      <c r="B125" s="89"/>
      <c r="C125" s="89"/>
      <c r="D125" s="89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</row>
    <row r="126" s="1" customFormat="1" spans="1:46">
      <c r="A126" s="81"/>
      <c r="B126" s="89"/>
      <c r="C126" s="89"/>
      <c r="D126" s="89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</row>
    <row r="127" s="1" customFormat="1" spans="1:46">
      <c r="A127" s="81"/>
      <c r="B127" s="89"/>
      <c r="C127" s="89"/>
      <c r="D127" s="89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</row>
    <row r="128" s="1" customFormat="1" spans="1:46">
      <c r="A128" s="81"/>
      <c r="B128" s="89"/>
      <c r="C128" s="89"/>
      <c r="D128" s="89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</row>
    <row r="129" s="1" customFormat="1" spans="1:46">
      <c r="A129" s="81"/>
      <c r="B129" s="89"/>
      <c r="C129" s="89"/>
      <c r="D129" s="89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</row>
    <row r="130" s="1" customFormat="1" spans="1:46">
      <c r="A130" s="81"/>
      <c r="B130" s="89"/>
      <c r="C130" s="89"/>
      <c r="D130" s="89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</row>
    <row r="131" s="1" customFormat="1" spans="1:46">
      <c r="A131" s="81"/>
      <c r="B131" s="89"/>
      <c r="C131" s="89"/>
      <c r="D131" s="89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</row>
    <row r="132" s="1" customFormat="1" spans="1:46">
      <c r="A132" s="81"/>
      <c r="B132" s="89"/>
      <c r="C132" s="89"/>
      <c r="D132" s="89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</row>
    <row r="133" s="1" customFormat="1" spans="1:46">
      <c r="A133" s="81"/>
      <c r="B133" s="89"/>
      <c r="C133" s="89"/>
      <c r="D133" s="89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</row>
    <row r="134" s="1" customFormat="1" spans="1:46">
      <c r="A134" s="81"/>
      <c r="B134" s="89"/>
      <c r="C134" s="89"/>
      <c r="D134" s="89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</row>
    <row r="135" s="1" customFormat="1" spans="1:46">
      <c r="A135" s="81"/>
      <c r="B135" s="89"/>
      <c r="C135" s="89"/>
      <c r="D135" s="89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</row>
    <row r="136" s="1" customFormat="1" spans="1:46">
      <c r="A136" s="81"/>
      <c r="B136" s="89"/>
      <c r="C136" s="89"/>
      <c r="D136" s="89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</row>
    <row r="137" s="1" customFormat="1" spans="1:46">
      <c r="A137" s="81"/>
      <c r="B137" s="89"/>
      <c r="C137" s="89"/>
      <c r="D137" s="89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</row>
    <row r="138" s="1" customFormat="1" spans="1:46">
      <c r="A138" s="81"/>
      <c r="B138" s="89"/>
      <c r="C138" s="89"/>
      <c r="D138" s="89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</row>
    <row r="139" s="1" customFormat="1" spans="1:46">
      <c r="A139" s="81"/>
      <c r="B139" s="89"/>
      <c r="C139" s="89"/>
      <c r="D139" s="89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</row>
    <row r="140" s="1" customFormat="1" spans="1:46">
      <c r="A140" s="81"/>
      <c r="B140" s="89"/>
      <c r="C140" s="89"/>
      <c r="D140" s="89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</row>
    <row r="141" s="1" customFormat="1" spans="1:46">
      <c r="A141" s="81"/>
      <c r="B141" s="89"/>
      <c r="C141" s="89"/>
      <c r="D141" s="89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</row>
    <row r="142" s="1" customFormat="1" spans="1:46">
      <c r="A142" s="81"/>
      <c r="B142" s="89"/>
      <c r="C142" s="89"/>
      <c r="D142" s="89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</row>
    <row r="143" s="1" customFormat="1" spans="1:46">
      <c r="A143" s="81"/>
      <c r="B143" s="89"/>
      <c r="C143" s="89"/>
      <c r="D143" s="89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</row>
    <row r="144" s="1" customFormat="1" spans="1:46">
      <c r="A144" s="81"/>
      <c r="B144" s="89"/>
      <c r="C144" s="89"/>
      <c r="D144" s="89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</row>
    <row r="145" s="1" customFormat="1" spans="1:46">
      <c r="A145" s="81"/>
      <c r="B145" s="89"/>
      <c r="C145" s="89"/>
      <c r="D145" s="89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</row>
    <row r="146" s="1" customFormat="1" spans="1:46">
      <c r="A146" s="81"/>
      <c r="B146" s="89"/>
      <c r="C146" s="89"/>
      <c r="D146" s="89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</row>
    <row r="147" s="1" customFormat="1" spans="1:46">
      <c r="A147" s="81"/>
      <c r="B147" s="89"/>
      <c r="C147" s="89"/>
      <c r="D147" s="89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</row>
    <row r="148" s="1" customFormat="1" spans="1:46">
      <c r="A148" s="81"/>
      <c r="B148" s="89"/>
      <c r="C148" s="89"/>
      <c r="D148" s="89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</row>
    <row r="149" s="1" customFormat="1" spans="1:46">
      <c r="A149" s="81"/>
      <c r="B149" s="89"/>
      <c r="C149" s="89"/>
      <c r="D149" s="89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</row>
    <row r="150" s="1" customFormat="1" spans="1:46">
      <c r="A150" s="81"/>
      <c r="B150" s="89"/>
      <c r="C150" s="89"/>
      <c r="D150" s="89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</row>
    <row r="151" s="1" customFormat="1" spans="1:46">
      <c r="A151" s="81"/>
      <c r="B151" s="89"/>
      <c r="C151" s="89"/>
      <c r="D151" s="89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</row>
    <row r="152" s="1" customFormat="1" spans="1:46">
      <c r="A152" s="81"/>
      <c r="B152" s="89"/>
      <c r="C152" s="89"/>
      <c r="D152" s="89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</row>
    <row r="153" s="1" customFormat="1" spans="1:46">
      <c r="A153" s="81"/>
      <c r="B153" s="89"/>
      <c r="C153" s="89"/>
      <c r="D153" s="89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</row>
    <row r="154" s="1" customFormat="1" spans="1:46">
      <c r="A154" s="81"/>
      <c r="B154" s="89"/>
      <c r="C154" s="89"/>
      <c r="D154" s="89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</row>
    <row r="155" s="1" customFormat="1" spans="1:46">
      <c r="A155" s="81"/>
      <c r="B155" s="89"/>
      <c r="C155" s="89"/>
      <c r="D155" s="89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</row>
    <row r="156" s="1" customFormat="1" spans="1:46">
      <c r="A156" s="81"/>
      <c r="B156" s="89"/>
      <c r="C156" s="89"/>
      <c r="D156" s="89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</row>
    <row r="157" s="1" customFormat="1" spans="1:46">
      <c r="A157" s="81"/>
      <c r="B157" s="89"/>
      <c r="C157" s="89"/>
      <c r="D157" s="89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</row>
    <row r="158" s="1" customFormat="1" spans="1:46">
      <c r="A158" s="81"/>
      <c r="B158" s="89"/>
      <c r="C158" s="89"/>
      <c r="D158" s="89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</row>
    <row r="159" s="1" customFormat="1" spans="1:46">
      <c r="A159" s="81"/>
      <c r="B159" s="89"/>
      <c r="C159" s="89"/>
      <c r="D159" s="89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</row>
    <row r="160" s="1" customFormat="1" spans="1:46">
      <c r="A160" s="81"/>
      <c r="B160" s="89"/>
      <c r="C160" s="89"/>
      <c r="D160" s="89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</row>
    <row r="161" s="1" customFormat="1" spans="1:46">
      <c r="A161" s="81"/>
      <c r="B161" s="89"/>
      <c r="C161" s="89"/>
      <c r="D161" s="89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</row>
    <row r="162" s="1" customFormat="1" spans="1:46">
      <c r="A162" s="81"/>
      <c r="B162" s="89"/>
      <c r="C162" s="89"/>
      <c r="D162" s="89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</row>
    <row r="163" s="1" customFormat="1" spans="1:46">
      <c r="A163" s="81"/>
      <c r="B163" s="89"/>
      <c r="C163" s="89"/>
      <c r="D163" s="89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</row>
    <row r="164" s="1" customFormat="1" spans="1:46">
      <c r="A164" s="81"/>
      <c r="B164" s="89"/>
      <c r="C164" s="89"/>
      <c r="D164" s="89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</row>
    <row r="165" s="1" customFormat="1" spans="1:46">
      <c r="A165" s="81"/>
      <c r="B165" s="89"/>
      <c r="C165" s="89"/>
      <c r="D165" s="89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</row>
    <row r="166" s="1" customFormat="1" spans="1:46">
      <c r="A166" s="81"/>
      <c r="B166" s="89"/>
      <c r="C166" s="89"/>
      <c r="D166" s="89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</row>
    <row r="167" s="1" customFormat="1" spans="1:46">
      <c r="A167" s="81"/>
      <c r="B167" s="89"/>
      <c r="C167" s="89"/>
      <c r="D167" s="89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</row>
    <row r="168" s="1" customFormat="1" spans="1:46">
      <c r="A168" s="81"/>
      <c r="B168" s="89"/>
      <c r="C168" s="89"/>
      <c r="D168" s="89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</row>
    <row r="169" s="1" customFormat="1" spans="1:46">
      <c r="A169" s="81"/>
      <c r="B169" s="89"/>
      <c r="C169" s="89"/>
      <c r="D169" s="89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</row>
    <row r="170" s="1" customFormat="1" spans="1:46">
      <c r="A170" s="81"/>
      <c r="B170" s="89"/>
      <c r="C170" s="89"/>
      <c r="D170" s="89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</row>
    <row r="171" s="1" customFormat="1" spans="1:46">
      <c r="A171" s="81"/>
      <c r="B171" s="89"/>
      <c r="C171" s="89"/>
      <c r="D171" s="89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</row>
    <row r="172" s="1" customFormat="1" spans="1:46">
      <c r="A172" s="81"/>
      <c r="B172" s="89"/>
      <c r="C172" s="89"/>
      <c r="D172" s="89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</row>
    <row r="173" s="1" customFormat="1" spans="1:46">
      <c r="A173" s="81"/>
      <c r="B173" s="89"/>
      <c r="C173" s="89"/>
      <c r="D173" s="89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</row>
    <row r="174" s="1" customFormat="1" spans="1:46">
      <c r="A174" s="81"/>
      <c r="B174" s="89"/>
      <c r="C174" s="89"/>
      <c r="D174" s="89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</row>
    <row r="175" s="1" customFormat="1" spans="1:46">
      <c r="A175" s="81"/>
      <c r="B175" s="89"/>
      <c r="C175" s="89"/>
      <c r="D175" s="89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</row>
    <row r="176" s="1" customFormat="1" spans="1:46">
      <c r="A176" s="81"/>
      <c r="B176" s="89"/>
      <c r="C176" s="89"/>
      <c r="D176" s="89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</row>
    <row r="177" s="1" customFormat="1" spans="1:46">
      <c r="A177" s="81"/>
      <c r="B177" s="89"/>
      <c r="C177" s="89"/>
      <c r="D177" s="89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</row>
    <row r="178" s="1" customFormat="1" spans="1:46">
      <c r="A178" s="81"/>
      <c r="B178" s="89"/>
      <c r="C178" s="89"/>
      <c r="D178" s="89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</row>
    <row r="179" s="1" customFormat="1" spans="1:46">
      <c r="A179" s="81"/>
      <c r="B179" s="89"/>
      <c r="C179" s="89"/>
      <c r="D179" s="89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</row>
    <row r="180" s="1" customFormat="1" spans="1:46">
      <c r="A180" s="81"/>
      <c r="B180" s="89"/>
      <c r="C180" s="89"/>
      <c r="D180" s="89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</row>
    <row r="181" s="1" customFormat="1" spans="1:46">
      <c r="A181" s="81"/>
      <c r="B181" s="89"/>
      <c r="C181" s="89"/>
      <c r="D181" s="89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</row>
    <row r="182" s="1" customFormat="1" spans="1:46">
      <c r="A182" s="81"/>
      <c r="B182" s="89"/>
      <c r="C182" s="89"/>
      <c r="D182" s="89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</row>
    <row r="183" s="1" customFormat="1" spans="1:46">
      <c r="A183" s="81"/>
      <c r="B183" s="89"/>
      <c r="C183" s="89"/>
      <c r="D183" s="89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</row>
    <row r="184" s="1" customFormat="1" spans="1:46">
      <c r="A184" s="81"/>
      <c r="B184" s="89"/>
      <c r="C184" s="89"/>
      <c r="D184" s="89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</row>
    <row r="185" s="1" customFormat="1" spans="1:46">
      <c r="A185" s="81"/>
      <c r="B185" s="89"/>
      <c r="C185" s="89"/>
      <c r="D185" s="89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</row>
    <row r="186" s="1" customFormat="1" spans="1:46">
      <c r="A186" s="81"/>
      <c r="B186" s="89"/>
      <c r="C186" s="89"/>
      <c r="D186" s="89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</row>
    <row r="187" s="1" customFormat="1" spans="1:46">
      <c r="A187" s="81"/>
      <c r="B187" s="89"/>
      <c r="C187" s="89"/>
      <c r="D187" s="89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</row>
    <row r="188" s="1" customFormat="1" spans="1:46">
      <c r="A188" s="81"/>
      <c r="B188" s="89"/>
      <c r="C188" s="89"/>
      <c r="D188" s="89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</row>
    <row r="189" s="1" customFormat="1" spans="1:46">
      <c r="A189" s="81"/>
      <c r="B189" s="89"/>
      <c r="C189" s="89"/>
      <c r="D189" s="89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</row>
    <row r="190" s="1" customFormat="1" spans="1:46">
      <c r="A190" s="81"/>
      <c r="B190" s="89"/>
      <c r="C190" s="89"/>
      <c r="D190" s="89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</row>
    <row r="191" s="1" customFormat="1" spans="1:46">
      <c r="A191" s="81"/>
      <c r="B191" s="89"/>
      <c r="C191" s="89"/>
      <c r="D191" s="89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</row>
    <row r="192" s="1" customFormat="1" spans="1:46">
      <c r="A192" s="81"/>
      <c r="B192" s="89"/>
      <c r="C192" s="89"/>
      <c r="D192" s="89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</row>
    <row r="193" s="1" customFormat="1" spans="1:46">
      <c r="A193" s="81"/>
      <c r="B193" s="89"/>
      <c r="C193" s="89"/>
      <c r="D193" s="89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</row>
    <row r="194" s="1" customFormat="1" spans="1:46">
      <c r="A194" s="81"/>
      <c r="B194" s="89"/>
      <c r="C194" s="89"/>
      <c r="D194" s="89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</row>
    <row r="195" s="1" customFormat="1" spans="1:46">
      <c r="A195" s="81"/>
      <c r="B195" s="89"/>
      <c r="C195" s="89"/>
      <c r="D195" s="89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</row>
    <row r="196" s="1" customFormat="1" spans="1:46">
      <c r="A196" s="81"/>
      <c r="B196" s="89"/>
      <c r="C196" s="89"/>
      <c r="D196" s="89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</row>
    <row r="197" s="1" customFormat="1" spans="1:46">
      <c r="A197" s="81"/>
      <c r="B197" s="89"/>
      <c r="C197" s="89"/>
      <c r="D197" s="89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</row>
    <row r="198" s="1" customFormat="1" spans="1:46">
      <c r="A198" s="81"/>
      <c r="B198" s="89"/>
      <c r="C198" s="89"/>
      <c r="D198" s="89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</row>
    <row r="199" s="1" customFormat="1" spans="1:46">
      <c r="A199" s="81"/>
      <c r="B199" s="89"/>
      <c r="C199" s="89"/>
      <c r="D199" s="89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</row>
    <row r="200" s="1" customFormat="1" spans="1:46">
      <c r="A200" s="81"/>
      <c r="B200" s="89"/>
      <c r="C200" s="89"/>
      <c r="D200" s="89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</row>
    <row r="201" s="1" customFormat="1" spans="1:46">
      <c r="A201" s="81"/>
      <c r="B201" s="89"/>
      <c r="C201" s="89"/>
      <c r="D201" s="89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</row>
    <row r="202" s="1" customFormat="1" spans="1:46">
      <c r="A202" s="81"/>
      <c r="B202" s="89"/>
      <c r="C202" s="89"/>
      <c r="D202" s="89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</row>
    <row r="203" s="1" customFormat="1" spans="1:46">
      <c r="A203" s="81"/>
      <c r="B203" s="89"/>
      <c r="C203" s="89"/>
      <c r="D203" s="89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</row>
    <row r="204" s="1" customFormat="1" spans="1:46">
      <c r="A204" s="81"/>
      <c r="B204" s="89"/>
      <c r="C204" s="89"/>
      <c r="D204" s="89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</row>
    <row r="205" s="1" customFormat="1" spans="1:46">
      <c r="A205" s="81"/>
      <c r="B205" s="89"/>
      <c r="C205" s="89"/>
      <c r="D205" s="89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</row>
    <row r="206" s="1" customFormat="1" spans="1:46">
      <c r="A206" s="81"/>
      <c r="B206" s="89"/>
      <c r="C206" s="89"/>
      <c r="D206" s="89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</row>
    <row r="207" s="1" customFormat="1" spans="1:46">
      <c r="A207" s="81"/>
      <c r="B207" s="89"/>
      <c r="C207" s="89"/>
      <c r="D207" s="89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</row>
    <row r="208" s="1" customFormat="1" spans="1:46">
      <c r="A208" s="81"/>
      <c r="B208" s="89"/>
      <c r="C208" s="89"/>
      <c r="D208" s="89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</row>
    <row r="209" s="1" customFormat="1" spans="1:46">
      <c r="A209" s="81"/>
      <c r="B209" s="89"/>
      <c r="C209" s="89"/>
      <c r="D209" s="89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</row>
    <row r="210" s="1" customFormat="1" spans="1:46">
      <c r="A210" s="81"/>
      <c r="B210" s="89"/>
      <c r="C210" s="89"/>
      <c r="D210" s="89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</row>
    <row r="211" s="1" customFormat="1" spans="1:46">
      <c r="A211" s="81"/>
      <c r="B211" s="89"/>
      <c r="C211" s="89"/>
      <c r="D211" s="89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</row>
    <row r="212" s="1" customFormat="1" spans="1:46">
      <c r="A212" s="81"/>
      <c r="B212" s="89"/>
      <c r="C212" s="89"/>
      <c r="D212" s="89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</row>
    <row r="213" s="1" customFormat="1" spans="1:46">
      <c r="A213" s="81"/>
      <c r="B213" s="89"/>
      <c r="C213" s="89"/>
      <c r="D213" s="89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</row>
    <row r="214" s="1" customFormat="1" spans="1:46">
      <c r="A214" s="81"/>
      <c r="B214" s="89"/>
      <c r="C214" s="89"/>
      <c r="D214" s="89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</row>
    <row r="215" s="1" customFormat="1" spans="1:46">
      <c r="A215" s="81"/>
      <c r="B215" s="89"/>
      <c r="C215" s="89"/>
      <c r="D215" s="89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</row>
    <row r="216" s="1" customFormat="1" spans="1:46">
      <c r="A216" s="81"/>
      <c r="B216" s="89"/>
      <c r="C216" s="89"/>
      <c r="D216" s="89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</row>
    <row r="217" s="1" customFormat="1" spans="1:46">
      <c r="A217" s="81"/>
      <c r="B217" s="89"/>
      <c r="C217" s="89"/>
      <c r="D217" s="89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</row>
    <row r="218" s="1" customFormat="1" spans="1:46">
      <c r="A218" s="81"/>
      <c r="B218" s="89"/>
      <c r="C218" s="89"/>
      <c r="D218" s="89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</row>
    <row r="219" s="1" customFormat="1" spans="1:46">
      <c r="A219" s="81"/>
      <c r="B219" s="89"/>
      <c r="C219" s="89"/>
      <c r="D219" s="89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</row>
    <row r="220" s="1" customFormat="1" spans="1:46">
      <c r="A220" s="81"/>
      <c r="B220" s="89"/>
      <c r="C220" s="89"/>
      <c r="D220" s="89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</row>
    <row r="221" s="1" customFormat="1" spans="1:46">
      <c r="A221" s="81"/>
      <c r="B221" s="89"/>
      <c r="C221" s="89"/>
      <c r="D221" s="89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</row>
    <row r="222" s="1" customFormat="1" spans="1:46">
      <c r="A222" s="81"/>
      <c r="B222" s="89"/>
      <c r="C222" s="89"/>
      <c r="D222" s="89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</row>
    <row r="223" s="1" customFormat="1" spans="1:46">
      <c r="A223" s="81"/>
      <c r="B223" s="89"/>
      <c r="C223" s="89"/>
      <c r="D223" s="89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</row>
    <row r="224" s="1" customFormat="1" spans="1:46">
      <c r="A224" s="81"/>
      <c r="B224" s="89"/>
      <c r="C224" s="89"/>
      <c r="D224" s="89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</row>
    <row r="225" s="1" customFormat="1" spans="1:46">
      <c r="A225" s="81"/>
      <c r="B225" s="89"/>
      <c r="C225" s="89"/>
      <c r="D225" s="89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</row>
    <row r="226" s="1" customFormat="1" spans="1:46">
      <c r="A226" s="81"/>
      <c r="B226" s="89"/>
      <c r="C226" s="89"/>
      <c r="D226" s="89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</row>
    <row r="227" s="1" customFormat="1" spans="1:46">
      <c r="A227" s="81"/>
      <c r="B227" s="89"/>
      <c r="C227" s="89"/>
      <c r="D227" s="89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</row>
    <row r="228" s="1" customFormat="1" spans="1:46">
      <c r="A228" s="81"/>
      <c r="B228" s="89"/>
      <c r="C228" s="89"/>
      <c r="D228" s="89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</row>
    <row r="229" s="1" customFormat="1" spans="1:46">
      <c r="A229" s="81"/>
      <c r="B229" s="89"/>
      <c r="C229" s="89"/>
      <c r="D229" s="89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</row>
    <row r="230" s="1" customFormat="1" spans="1:46">
      <c r="A230" s="81"/>
      <c r="B230" s="89"/>
      <c r="C230" s="89"/>
      <c r="D230" s="89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</row>
    <row r="231" s="1" customFormat="1" spans="1:46">
      <c r="A231" s="81"/>
      <c r="B231" s="89"/>
      <c r="C231" s="89"/>
      <c r="D231" s="89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</row>
    <row r="232" s="1" customFormat="1" spans="1:46">
      <c r="A232" s="81"/>
      <c r="B232" s="89"/>
      <c r="C232" s="89"/>
      <c r="D232" s="89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</row>
    <row r="233" s="1" customFormat="1" spans="1:46">
      <c r="A233" s="81"/>
      <c r="B233" s="89"/>
      <c r="C233" s="89"/>
      <c r="D233" s="89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</row>
    <row r="234" s="1" customFormat="1" spans="1:46">
      <c r="A234" s="81"/>
      <c r="B234" s="89"/>
      <c r="C234" s="89"/>
      <c r="D234" s="89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</row>
    <row r="235" s="1" customFormat="1" spans="1:46">
      <c r="A235" s="81"/>
      <c r="B235" s="89"/>
      <c r="C235" s="89"/>
      <c r="D235" s="89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</row>
    <row r="236" s="1" customFormat="1" spans="1:46">
      <c r="A236" s="81"/>
      <c r="B236" s="89"/>
      <c r="C236" s="89"/>
      <c r="D236" s="89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</row>
    <row r="237" s="1" customFormat="1" spans="1:46">
      <c r="A237" s="81"/>
      <c r="B237" s="89"/>
      <c r="C237" s="89"/>
      <c r="D237" s="89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</row>
    <row r="238" s="1" customFormat="1" spans="1:46">
      <c r="A238" s="81"/>
      <c r="B238" s="89"/>
      <c r="C238" s="89"/>
      <c r="D238" s="89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</row>
    <row r="239" s="1" customFormat="1" spans="1:46">
      <c r="A239" s="81"/>
      <c r="B239" s="89"/>
      <c r="C239" s="89"/>
      <c r="D239" s="89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</row>
    <row r="240" s="1" customFormat="1" spans="1:46">
      <c r="A240" s="81"/>
      <c r="B240" s="89"/>
      <c r="C240" s="89"/>
      <c r="D240" s="89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</row>
    <row r="241" s="1" customFormat="1" spans="1:46">
      <c r="A241" s="81"/>
      <c r="B241" s="89"/>
      <c r="C241" s="89"/>
      <c r="D241" s="89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</row>
    <row r="242" s="1" customFormat="1" spans="1:46">
      <c r="A242" s="81"/>
      <c r="B242" s="89"/>
      <c r="C242" s="89"/>
      <c r="D242" s="89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</row>
    <row r="243" s="1" customFormat="1" spans="1:46">
      <c r="A243" s="81"/>
      <c r="B243" s="89"/>
      <c r="C243" s="89"/>
      <c r="D243" s="89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</row>
    <row r="244" s="1" customFormat="1" spans="1:46">
      <c r="A244" s="81"/>
      <c r="B244" s="89"/>
      <c r="C244" s="89"/>
      <c r="D244" s="89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</row>
    <row r="245" s="1" customFormat="1" spans="1:46">
      <c r="A245" s="81"/>
      <c r="B245" s="89"/>
      <c r="C245" s="89"/>
      <c r="D245" s="89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</row>
    <row r="246" s="1" customFormat="1" spans="1:46">
      <c r="A246" s="81"/>
      <c r="B246" s="89"/>
      <c r="C246" s="89"/>
      <c r="D246" s="89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</row>
    <row r="247" s="1" customFormat="1" spans="1:46">
      <c r="A247" s="81"/>
      <c r="B247" s="89"/>
      <c r="C247" s="89"/>
      <c r="D247" s="89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</row>
    <row r="248" s="1" customFormat="1" spans="1:46">
      <c r="A248" s="81"/>
      <c r="B248" s="89"/>
      <c r="C248" s="89"/>
      <c r="D248" s="89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</row>
    <row r="249" s="1" customFormat="1" spans="1:46">
      <c r="A249" s="81"/>
      <c r="B249" s="89"/>
      <c r="C249" s="89"/>
      <c r="D249" s="89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</row>
    <row r="250" s="1" customFormat="1" spans="1:46">
      <c r="A250" s="81"/>
      <c r="B250" s="89"/>
      <c r="C250" s="89"/>
      <c r="D250" s="89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</row>
    <row r="251" s="1" customFormat="1" spans="1:46">
      <c r="A251" s="81"/>
      <c r="B251" s="89"/>
      <c r="C251" s="89"/>
      <c r="D251" s="89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</row>
    <row r="252" s="1" customFormat="1" spans="1:46">
      <c r="A252" s="81"/>
      <c r="B252" s="89"/>
      <c r="C252" s="89"/>
      <c r="D252" s="89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</row>
    <row r="253" s="1" customFormat="1" spans="1:46">
      <c r="A253" s="81"/>
      <c r="B253" s="89"/>
      <c r="C253" s="89"/>
      <c r="D253" s="89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</row>
    <row r="254" s="1" customFormat="1" spans="1:46">
      <c r="A254" s="81"/>
      <c r="B254" s="89"/>
      <c r="C254" s="89"/>
      <c r="D254" s="89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</row>
    <row r="255" s="1" customFormat="1" spans="1:46">
      <c r="A255" s="81"/>
      <c r="B255" s="89"/>
      <c r="C255" s="89"/>
      <c r="D255" s="89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</row>
    <row r="256" s="1" customFormat="1" spans="1:46">
      <c r="A256" s="81"/>
      <c r="B256" s="89"/>
      <c r="C256" s="89"/>
      <c r="D256" s="89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</row>
    <row r="257" s="1" customFormat="1" spans="1:46">
      <c r="A257" s="81"/>
      <c r="B257" s="89"/>
      <c r="C257" s="89"/>
      <c r="D257" s="89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</row>
    <row r="258" s="1" customFormat="1" spans="1:46">
      <c r="A258" s="81"/>
      <c r="B258" s="89"/>
      <c r="C258" s="89"/>
      <c r="D258" s="89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</row>
    <row r="259" s="1" customFormat="1" spans="1:46">
      <c r="A259" s="81"/>
      <c r="B259" s="89"/>
      <c r="C259" s="89"/>
      <c r="D259" s="89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</row>
    <row r="260" s="1" customFormat="1" spans="1:46">
      <c r="A260" s="81"/>
      <c r="B260" s="89"/>
      <c r="C260" s="89"/>
      <c r="D260" s="89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</row>
    <row r="261" s="1" customFormat="1" spans="1:46">
      <c r="A261" s="81"/>
      <c r="B261" s="89"/>
      <c r="C261" s="89"/>
      <c r="D261" s="89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</row>
    <row r="262" s="1" customFormat="1" spans="1:46">
      <c r="A262" s="81"/>
      <c r="B262" s="89"/>
      <c r="C262" s="89"/>
      <c r="D262" s="89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</row>
    <row r="263" s="1" customFormat="1" spans="1:46">
      <c r="A263" s="81"/>
      <c r="B263" s="89"/>
      <c r="C263" s="89"/>
      <c r="D263" s="89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</row>
    <row r="264" s="1" customFormat="1" spans="1:46">
      <c r="A264" s="81"/>
      <c r="B264" s="89"/>
      <c r="C264" s="89"/>
      <c r="D264" s="89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</row>
    <row r="265" s="1" customFormat="1" spans="1:46">
      <c r="A265" s="81"/>
      <c r="B265" s="89"/>
      <c r="C265" s="89"/>
      <c r="D265" s="89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</row>
    <row r="266" s="1" customFormat="1" spans="1:46">
      <c r="A266" s="81"/>
      <c r="B266" s="89"/>
      <c r="C266" s="89"/>
      <c r="D266" s="89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</row>
    <row r="267" s="1" customFormat="1" spans="1:46">
      <c r="A267" s="81"/>
      <c r="B267" s="89"/>
      <c r="C267" s="89"/>
      <c r="D267" s="89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</row>
    <row r="268" s="1" customFormat="1" spans="1:46">
      <c r="A268" s="81"/>
      <c r="B268" s="89"/>
      <c r="C268" s="89"/>
      <c r="D268" s="89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</row>
    <row r="269" s="1" customFormat="1" spans="1:46">
      <c r="A269" s="81"/>
      <c r="B269" s="89"/>
      <c r="C269" s="89"/>
      <c r="D269" s="89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</row>
    <row r="270" s="1" customFormat="1" spans="1:46">
      <c r="A270" s="81"/>
      <c r="B270" s="89"/>
      <c r="C270" s="89"/>
      <c r="D270" s="89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</row>
    <row r="271" s="1" customFormat="1" spans="1:46">
      <c r="A271" s="81"/>
      <c r="B271" s="89"/>
      <c r="C271" s="89"/>
      <c r="D271" s="89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</row>
    <row r="272" s="1" customFormat="1" spans="1:46">
      <c r="A272" s="81"/>
      <c r="B272" s="89"/>
      <c r="C272" s="89"/>
      <c r="D272" s="89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</row>
    <row r="273" s="1" customFormat="1" spans="1:46">
      <c r="A273" s="81"/>
      <c r="B273" s="89"/>
      <c r="C273" s="89"/>
      <c r="D273" s="89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</row>
    <row r="274" s="1" customFormat="1" spans="1:46">
      <c r="A274" s="81"/>
      <c r="B274" s="89"/>
      <c r="C274" s="89"/>
      <c r="D274" s="89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</row>
    <row r="275" s="1" customFormat="1" spans="1:46">
      <c r="A275" s="81"/>
      <c r="B275" s="89"/>
      <c r="C275" s="89"/>
      <c r="D275" s="89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</row>
    <row r="276" s="1" customFormat="1" spans="1:46">
      <c r="A276" s="81"/>
      <c r="B276" s="89"/>
      <c r="C276" s="89"/>
      <c r="D276" s="89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</row>
    <row r="277" s="1" customFormat="1" spans="1:46">
      <c r="A277" s="81"/>
      <c r="B277" s="89"/>
      <c r="C277" s="89"/>
      <c r="D277" s="89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</row>
    <row r="278" s="1" customFormat="1" spans="1:46">
      <c r="A278" s="81"/>
      <c r="B278" s="89"/>
      <c r="C278" s="89"/>
      <c r="D278" s="89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</row>
    <row r="279" s="1" customFormat="1" spans="1:46">
      <c r="A279" s="81"/>
      <c r="B279" s="89"/>
      <c r="C279" s="89"/>
      <c r="D279" s="89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</row>
    <row r="280" s="1" customFormat="1" spans="1:46">
      <c r="A280" s="81"/>
      <c r="B280" s="89"/>
      <c r="C280" s="89"/>
      <c r="D280" s="89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</row>
    <row r="281" s="1" customFormat="1" spans="1:46">
      <c r="A281" s="81"/>
      <c r="B281" s="89"/>
      <c r="C281" s="89"/>
      <c r="D281" s="89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</row>
    <row r="282" s="1" customFormat="1" spans="1:46">
      <c r="A282" s="81"/>
      <c r="B282" s="89"/>
      <c r="C282" s="89"/>
      <c r="D282" s="89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</row>
    <row r="283" s="1" customFormat="1" spans="1:46">
      <c r="A283" s="81"/>
      <c r="B283" s="89"/>
      <c r="C283" s="89"/>
      <c r="D283" s="89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</row>
    <row r="284" s="1" customFormat="1" spans="1:46">
      <c r="A284" s="81"/>
      <c r="B284" s="89"/>
      <c r="C284" s="89"/>
      <c r="D284" s="89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</row>
    <row r="285" s="1" customFormat="1" spans="1:46">
      <c r="A285" s="81"/>
      <c r="B285" s="89"/>
      <c r="C285" s="89"/>
      <c r="D285" s="89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</row>
    <row r="286" s="1" customFormat="1" spans="1:46">
      <c r="A286" s="81"/>
      <c r="B286" s="89"/>
      <c r="C286" s="89"/>
      <c r="D286" s="89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</row>
    <row r="287" s="1" customFormat="1" spans="1:46">
      <c r="A287" s="81"/>
      <c r="B287" s="89"/>
      <c r="C287" s="89"/>
      <c r="D287" s="89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</row>
    <row r="288" s="1" customFormat="1" spans="1:46">
      <c r="A288" s="81"/>
      <c r="B288" s="89"/>
      <c r="C288" s="89"/>
      <c r="D288" s="89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</row>
    <row r="289" s="1" customFormat="1" spans="1:46">
      <c r="A289" s="81"/>
      <c r="B289" s="89"/>
      <c r="C289" s="89"/>
      <c r="D289" s="89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</row>
    <row r="290" s="1" customFormat="1" spans="1:46">
      <c r="A290" s="81"/>
      <c r="B290" s="89"/>
      <c r="C290" s="89"/>
      <c r="D290" s="89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</row>
    <row r="291" s="1" customFormat="1" spans="1:46">
      <c r="A291" s="81"/>
      <c r="B291" s="89"/>
      <c r="C291" s="89"/>
      <c r="D291" s="89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</row>
    <row r="292" s="1" customFormat="1" spans="1:46">
      <c r="A292" s="81"/>
      <c r="B292" s="89"/>
      <c r="C292" s="89"/>
      <c r="D292" s="89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</row>
    <row r="293" s="1" customFormat="1" spans="1:46">
      <c r="A293" s="81"/>
      <c r="B293" s="89"/>
      <c r="C293" s="89"/>
      <c r="D293" s="89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</row>
    <row r="294" s="1" customFormat="1" spans="1:46">
      <c r="A294" s="81"/>
      <c r="B294" s="89"/>
      <c r="C294" s="89"/>
      <c r="D294" s="89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</row>
    <row r="295" s="1" customFormat="1" spans="1:46">
      <c r="A295" s="81"/>
      <c r="B295" s="89"/>
      <c r="C295" s="89"/>
      <c r="D295" s="89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</row>
    <row r="296" s="1" customFormat="1" spans="1:46">
      <c r="A296" s="81"/>
      <c r="B296" s="89"/>
      <c r="C296" s="89"/>
      <c r="D296" s="89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</row>
    <row r="297" s="1" customFormat="1" spans="1:46">
      <c r="A297" s="81"/>
      <c r="B297" s="89"/>
      <c r="C297" s="89"/>
      <c r="D297" s="89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</row>
    <row r="298" s="1" customFormat="1" spans="1:46">
      <c r="A298" s="81"/>
      <c r="B298" s="89"/>
      <c r="C298" s="89"/>
      <c r="D298" s="89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</row>
    <row r="299" s="1" customFormat="1" spans="1:46">
      <c r="A299" s="81"/>
      <c r="B299" s="89"/>
      <c r="C299" s="89"/>
      <c r="D299" s="89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</row>
    <row r="300" s="1" customFormat="1" spans="1:46">
      <c r="A300" s="81"/>
      <c r="B300" s="89"/>
      <c r="C300" s="89"/>
      <c r="D300" s="89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</row>
    <row r="301" s="1" customFormat="1" spans="1:46">
      <c r="A301" s="81"/>
      <c r="B301" s="89"/>
      <c r="C301" s="89"/>
      <c r="D301" s="89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</row>
    <row r="302" s="1" customFormat="1" spans="1:46">
      <c r="A302" s="81"/>
      <c r="B302" s="89"/>
      <c r="C302" s="89"/>
      <c r="D302" s="89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</row>
    <row r="303" s="1" customFormat="1" spans="1:46">
      <c r="A303" s="81"/>
      <c r="B303" s="89"/>
      <c r="C303" s="89"/>
      <c r="D303" s="89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</row>
    <row r="304" s="1" customFormat="1" spans="1:46">
      <c r="A304" s="81"/>
      <c r="B304" s="89"/>
      <c r="C304" s="89"/>
      <c r="D304" s="89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</row>
    <row r="305" s="1" customFormat="1" spans="1:46">
      <c r="A305" s="81"/>
      <c r="B305" s="89"/>
      <c r="C305" s="89"/>
      <c r="D305" s="89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</row>
    <row r="306" s="1" customFormat="1" spans="1:46">
      <c r="A306" s="81"/>
      <c r="B306" s="89"/>
      <c r="C306" s="89"/>
      <c r="D306" s="89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</row>
    <row r="307" s="1" customFormat="1" spans="1:46">
      <c r="A307" s="81"/>
      <c r="B307" s="89"/>
      <c r="C307" s="89"/>
      <c r="D307" s="89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</row>
    <row r="308" s="1" customFormat="1" spans="1:46">
      <c r="A308" s="81"/>
      <c r="B308" s="89"/>
      <c r="C308" s="89"/>
      <c r="D308" s="89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</row>
    <row r="309" s="1" customFormat="1" spans="1:46">
      <c r="A309" s="81"/>
      <c r="B309" s="89"/>
      <c r="C309" s="89"/>
      <c r="D309" s="89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</row>
    <row r="310" s="1" customFormat="1" spans="1:46">
      <c r="A310" s="81"/>
      <c r="B310" s="89"/>
      <c r="C310" s="89"/>
      <c r="D310" s="89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</row>
    <row r="311" s="1" customFormat="1" spans="1:46">
      <c r="A311" s="81"/>
      <c r="B311" s="89"/>
      <c r="C311" s="89"/>
      <c r="D311" s="89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</row>
    <row r="312" s="1" customFormat="1" spans="1:46">
      <c r="A312" s="81"/>
      <c r="B312" s="89"/>
      <c r="C312" s="89"/>
      <c r="D312" s="89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</row>
    <row r="313" s="1" customFormat="1" spans="1:46">
      <c r="A313" s="81"/>
      <c r="B313" s="89"/>
      <c r="C313" s="89"/>
      <c r="D313" s="89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</row>
    <row r="314" s="1" customFormat="1" spans="1:46">
      <c r="A314" s="81"/>
      <c r="B314" s="89"/>
      <c r="C314" s="89"/>
      <c r="D314" s="89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</row>
    <row r="315" s="1" customFormat="1" spans="1:46">
      <c r="A315" s="81"/>
      <c r="B315" s="89"/>
      <c r="C315" s="89"/>
      <c r="D315" s="89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</row>
    <row r="316" s="1" customFormat="1" spans="1:46">
      <c r="A316" s="81"/>
      <c r="B316" s="89"/>
      <c r="C316" s="89"/>
      <c r="D316" s="89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</row>
    <row r="317" s="1" customFormat="1" spans="1:46">
      <c r="A317" s="81"/>
      <c r="B317" s="89"/>
      <c r="C317" s="89"/>
      <c r="D317" s="89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</row>
    <row r="318" s="1" customFormat="1" spans="1:46">
      <c r="A318" s="81"/>
      <c r="B318" s="89"/>
      <c r="C318" s="89"/>
      <c r="D318" s="89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</row>
    <row r="319" s="1" customFormat="1" spans="1:46">
      <c r="A319" s="81"/>
      <c r="B319" s="89"/>
      <c r="C319" s="89"/>
      <c r="D319" s="89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</row>
    <row r="320" s="1" customFormat="1" spans="1:46">
      <c r="A320" s="81"/>
      <c r="B320" s="89"/>
      <c r="C320" s="89"/>
      <c r="D320" s="89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</row>
    <row r="321" s="1" customFormat="1" spans="1:46">
      <c r="A321" s="81"/>
      <c r="B321" s="89"/>
      <c r="C321" s="89"/>
      <c r="D321" s="89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</row>
    <row r="322" s="1" customFormat="1" spans="1:46">
      <c r="A322" s="81"/>
      <c r="B322" s="89"/>
      <c r="C322" s="89"/>
      <c r="D322" s="89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</row>
    <row r="323" s="1" customFormat="1" spans="1:46">
      <c r="A323" s="81"/>
      <c r="B323" s="89"/>
      <c r="C323" s="89"/>
      <c r="D323" s="89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</row>
    <row r="324" s="1" customFormat="1" spans="1:46">
      <c r="A324" s="81"/>
      <c r="B324" s="89"/>
      <c r="C324" s="89"/>
      <c r="D324" s="89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</row>
    <row r="325" s="1" customFormat="1" spans="1:46">
      <c r="A325" s="81"/>
      <c r="B325" s="89"/>
      <c r="C325" s="89"/>
      <c r="D325" s="89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</row>
    <row r="326" s="1" customFormat="1" spans="1:46">
      <c r="A326" s="81"/>
      <c r="B326" s="89"/>
      <c r="C326" s="89"/>
      <c r="D326" s="89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</row>
    <row r="327" s="1" customFormat="1" spans="1:46">
      <c r="A327" s="81"/>
      <c r="B327" s="89"/>
      <c r="C327" s="89"/>
      <c r="D327" s="89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</row>
    <row r="328" s="1" customFormat="1" spans="1:46">
      <c r="A328" s="81"/>
      <c r="B328" s="89"/>
      <c r="C328" s="89"/>
      <c r="D328" s="89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</row>
    <row r="329" s="1" customFormat="1" spans="1:46">
      <c r="A329" s="81"/>
      <c r="B329" s="89"/>
      <c r="C329" s="89"/>
      <c r="D329" s="89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</row>
    <row r="330" s="1" customFormat="1" spans="1:46">
      <c r="A330" s="81"/>
      <c r="B330" s="89"/>
      <c r="C330" s="89"/>
      <c r="D330" s="89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</row>
    <row r="331" s="1" customFormat="1" spans="1:46">
      <c r="A331" s="81"/>
      <c r="B331" s="89"/>
      <c r="C331" s="89"/>
      <c r="D331" s="89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</row>
    <row r="332" s="1" customFormat="1" spans="1:46">
      <c r="A332" s="81"/>
      <c r="B332" s="89"/>
      <c r="C332" s="89"/>
      <c r="D332" s="89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</row>
    <row r="333" s="1" customFormat="1" spans="1:46">
      <c r="A333" s="81"/>
      <c r="B333" s="89"/>
      <c r="C333" s="89"/>
      <c r="D333" s="89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</row>
    <row r="334" s="1" customFormat="1" spans="1:46">
      <c r="A334" s="81"/>
      <c r="B334" s="89"/>
      <c r="C334" s="89"/>
      <c r="D334" s="89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</row>
    <row r="335" s="1" customFormat="1" spans="1:46">
      <c r="A335" s="81"/>
      <c r="B335" s="89"/>
      <c r="C335" s="89"/>
      <c r="D335" s="89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</row>
    <row r="336" s="1" customFormat="1" spans="1:46">
      <c r="A336" s="81"/>
      <c r="B336" s="89"/>
      <c r="C336" s="89"/>
      <c r="D336" s="89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</row>
    <row r="337" s="1" customFormat="1" spans="1:46">
      <c r="A337" s="81"/>
      <c r="B337" s="89"/>
      <c r="C337" s="89"/>
      <c r="D337" s="89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</row>
    <row r="338" s="1" customFormat="1" spans="1:46">
      <c r="A338" s="81"/>
      <c r="B338" s="89"/>
      <c r="C338" s="89"/>
      <c r="D338" s="89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</row>
    <row r="339" s="1" customFormat="1" spans="1:46">
      <c r="A339" s="81"/>
      <c r="B339" s="89"/>
      <c r="C339" s="89"/>
      <c r="D339" s="89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</row>
    <row r="340" s="1" customFormat="1" spans="1:46">
      <c r="A340" s="81"/>
      <c r="B340" s="89"/>
      <c r="C340" s="89"/>
      <c r="D340" s="89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</row>
    <row r="341" s="1" customFormat="1" spans="1:46">
      <c r="A341" s="81"/>
      <c r="B341" s="89"/>
      <c r="C341" s="89"/>
      <c r="D341" s="89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</row>
    <row r="342" s="1" customFormat="1" spans="1:46">
      <c r="A342" s="81"/>
      <c r="B342" s="89"/>
      <c r="C342" s="89"/>
      <c r="D342" s="89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</row>
    <row r="343" s="1" customFormat="1" spans="1:46">
      <c r="A343" s="81"/>
      <c r="B343" s="89"/>
      <c r="C343" s="89"/>
      <c r="D343" s="89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</row>
    <row r="344" s="1" customFormat="1" spans="1:46">
      <c r="A344" s="81"/>
      <c r="B344" s="89"/>
      <c r="C344" s="89"/>
      <c r="D344" s="89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</row>
    <row r="345" s="1" customFormat="1" spans="1:46">
      <c r="A345" s="81"/>
      <c r="B345" s="89"/>
      <c r="C345" s="89"/>
      <c r="D345" s="89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</row>
    <row r="346" s="1" customFormat="1" spans="1:46">
      <c r="A346" s="81"/>
      <c r="B346" s="89"/>
      <c r="C346" s="89"/>
      <c r="D346" s="89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</row>
    <row r="347" s="1" customFormat="1" spans="1:46">
      <c r="A347" s="81"/>
      <c r="B347" s="89"/>
      <c r="C347" s="89"/>
      <c r="D347" s="89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</row>
    <row r="348" s="1" customFormat="1" spans="1:46">
      <c r="A348" s="81"/>
      <c r="B348" s="89"/>
      <c r="C348" s="89"/>
      <c r="D348" s="89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</row>
    <row r="349" s="1" customFormat="1" spans="1:46">
      <c r="A349" s="81"/>
      <c r="B349" s="89"/>
      <c r="C349" s="89"/>
      <c r="D349" s="89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</row>
    <row r="350" s="1" customFormat="1" spans="1:46">
      <c r="A350" s="81"/>
      <c r="B350" s="89"/>
      <c r="C350" s="89"/>
      <c r="D350" s="89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</row>
    <row r="351" s="1" customFormat="1" spans="1:46">
      <c r="A351" s="81"/>
      <c r="B351" s="89"/>
      <c r="C351" s="89"/>
      <c r="D351" s="89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</row>
    <row r="352" s="1" customFormat="1" spans="1:46">
      <c r="A352" s="81"/>
      <c r="B352" s="89"/>
      <c r="C352" s="89"/>
      <c r="D352" s="89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</row>
    <row r="353" s="1" customFormat="1" spans="1:46">
      <c r="A353" s="81"/>
      <c r="B353" s="89"/>
      <c r="C353" s="89"/>
      <c r="D353" s="89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</row>
    <row r="354" s="1" customFormat="1" spans="1:46">
      <c r="A354" s="81"/>
      <c r="B354" s="89"/>
      <c r="C354" s="89"/>
      <c r="D354" s="89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</row>
    <row r="355" s="1" customFormat="1" spans="1:46">
      <c r="A355" s="81"/>
      <c r="B355" s="89"/>
      <c r="C355" s="89"/>
      <c r="D355" s="89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</row>
    <row r="356" s="1" customFormat="1" spans="1:46">
      <c r="A356" s="81"/>
      <c r="B356" s="89"/>
      <c r="C356" s="89"/>
      <c r="D356" s="89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</row>
    <row r="357" s="1" customFormat="1" spans="1:46">
      <c r="A357" s="81"/>
      <c r="B357" s="89"/>
      <c r="C357" s="89"/>
      <c r="D357" s="89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</row>
    <row r="358" s="1" customFormat="1" spans="1:46">
      <c r="A358" s="81"/>
      <c r="B358" s="89"/>
      <c r="C358" s="89"/>
      <c r="D358" s="89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</row>
    <row r="359" s="1" customFormat="1" spans="1:46">
      <c r="A359" s="81"/>
      <c r="B359" s="89"/>
      <c r="C359" s="89"/>
      <c r="D359" s="89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</row>
    <row r="360" s="1" customFormat="1" spans="1:46">
      <c r="A360" s="81"/>
      <c r="B360" s="89"/>
      <c r="C360" s="89"/>
      <c r="D360" s="89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</row>
    <row r="361" s="1" customFormat="1" spans="1:46">
      <c r="A361" s="81"/>
      <c r="B361" s="89"/>
      <c r="C361" s="89"/>
      <c r="D361" s="89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</row>
    <row r="362" s="1" customFormat="1" spans="1:46">
      <c r="A362" s="81"/>
      <c r="B362" s="89"/>
      <c r="C362" s="89"/>
      <c r="D362" s="89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</row>
    <row r="363" s="1" customFormat="1" spans="1:46">
      <c r="A363" s="81"/>
      <c r="B363" s="89"/>
      <c r="C363" s="89"/>
      <c r="D363" s="89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</row>
    <row r="364" s="1" customFormat="1" spans="1:46">
      <c r="A364" s="81"/>
      <c r="B364" s="89"/>
      <c r="C364" s="89"/>
      <c r="D364" s="89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</row>
    <row r="365" s="1" customFormat="1" spans="1:46">
      <c r="A365" s="81"/>
      <c r="B365" s="89"/>
      <c r="C365" s="89"/>
      <c r="D365" s="89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</row>
    <row r="366" s="1" customFormat="1" spans="1:46">
      <c r="A366" s="81"/>
      <c r="B366" s="89"/>
      <c r="C366" s="89"/>
      <c r="D366" s="89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</row>
    <row r="367" s="1" customFormat="1" spans="1:46">
      <c r="A367" s="81"/>
      <c r="B367" s="89"/>
      <c r="C367" s="89"/>
      <c r="D367" s="89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</row>
    <row r="368" s="1" customFormat="1" spans="1:46">
      <c r="A368" s="81"/>
      <c r="B368" s="89"/>
      <c r="C368" s="89"/>
      <c r="D368" s="89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</row>
    <row r="369" s="1" customFormat="1" spans="1:46">
      <c r="A369" s="81"/>
      <c r="B369" s="89"/>
      <c r="C369" s="89"/>
      <c r="D369" s="89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</row>
    <row r="370" s="1" customFormat="1" spans="1:46">
      <c r="A370" s="81"/>
      <c r="B370" s="89"/>
      <c r="C370" s="89"/>
      <c r="D370" s="89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</row>
    <row r="371" s="1" customFormat="1" spans="1:46">
      <c r="A371" s="81"/>
      <c r="B371" s="89"/>
      <c r="C371" s="89"/>
      <c r="D371" s="89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</row>
    <row r="372" s="1" customFormat="1" spans="1:46">
      <c r="A372" s="81"/>
      <c r="B372" s="89"/>
      <c r="C372" s="89"/>
      <c r="D372" s="89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</row>
    <row r="373" s="1" customFormat="1" spans="1:46">
      <c r="A373" s="81"/>
      <c r="B373" s="89"/>
      <c r="C373" s="89"/>
      <c r="D373" s="89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</row>
    <row r="374" s="1" customFormat="1" spans="1:46">
      <c r="A374" s="81"/>
      <c r="B374" s="89"/>
      <c r="C374" s="89"/>
      <c r="D374" s="89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</row>
    <row r="375" s="1" customFormat="1" spans="1:46">
      <c r="A375" s="81"/>
      <c r="B375" s="89"/>
      <c r="C375" s="89"/>
      <c r="D375" s="89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</row>
    <row r="376" s="1" customFormat="1" spans="1:46">
      <c r="A376" s="81"/>
      <c r="B376" s="89"/>
      <c r="C376" s="89"/>
      <c r="D376" s="89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</row>
    <row r="377" s="1" customFormat="1" spans="1:46">
      <c r="A377" s="81"/>
      <c r="B377" s="89"/>
      <c r="C377" s="89"/>
      <c r="D377" s="89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</row>
    <row r="378" s="1" customFormat="1" spans="1:46">
      <c r="A378" s="81"/>
      <c r="B378" s="89"/>
      <c r="C378" s="89"/>
      <c r="D378" s="89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</row>
    <row r="379" s="1" customFormat="1" spans="1:46">
      <c r="A379" s="81"/>
      <c r="B379" s="89"/>
      <c r="C379" s="89"/>
      <c r="D379" s="89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</row>
    <row r="380" s="1" customFormat="1" spans="1:46">
      <c r="A380" s="81"/>
      <c r="B380" s="89"/>
      <c r="C380" s="89"/>
      <c r="D380" s="89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</row>
    <row r="381" s="1" customFormat="1" spans="1:46">
      <c r="A381" s="81"/>
      <c r="B381" s="89"/>
      <c r="C381" s="89"/>
      <c r="D381" s="89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</row>
    <row r="382" s="1" customFormat="1" spans="1:46">
      <c r="A382" s="81"/>
      <c r="B382" s="89"/>
      <c r="C382" s="89"/>
      <c r="D382" s="89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</row>
    <row r="383" s="1" customFormat="1" spans="1:46">
      <c r="A383" s="81"/>
      <c r="B383" s="89"/>
      <c r="C383" s="89"/>
      <c r="D383" s="89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</row>
    <row r="384" s="1" customFormat="1" spans="1:46">
      <c r="A384" s="81"/>
      <c r="B384" s="89"/>
      <c r="C384" s="89"/>
      <c r="D384" s="89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</row>
    <row r="385" s="1" customFormat="1" spans="1:46">
      <c r="A385" s="81"/>
      <c r="B385" s="89"/>
      <c r="C385" s="89"/>
      <c r="D385" s="89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</row>
    <row r="386" s="1" customFormat="1" spans="1:46">
      <c r="A386" s="81"/>
      <c r="B386" s="89"/>
      <c r="C386" s="89"/>
      <c r="D386" s="89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</row>
    <row r="387" s="1" customFormat="1" spans="1:46">
      <c r="A387" s="81"/>
      <c r="B387" s="89"/>
      <c r="C387" s="89"/>
      <c r="D387" s="89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</row>
    <row r="388" s="1" customFormat="1" spans="1:46">
      <c r="A388" s="81"/>
      <c r="B388" s="89"/>
      <c r="C388" s="89"/>
      <c r="D388" s="89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</row>
    <row r="389" s="1" customFormat="1" spans="1:46">
      <c r="A389" s="81"/>
      <c r="B389" s="89"/>
      <c r="C389" s="89"/>
      <c r="D389" s="89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</row>
    <row r="390" s="1" customFormat="1" spans="1:46">
      <c r="A390" s="81"/>
      <c r="B390" s="89"/>
      <c r="C390" s="89"/>
      <c r="D390" s="89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</row>
    <row r="391" s="1" customFormat="1" spans="1:46">
      <c r="A391" s="81"/>
      <c r="B391" s="89"/>
      <c r="C391" s="89"/>
      <c r="D391" s="89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</row>
    <row r="392" s="1" customFormat="1" spans="1:46">
      <c r="A392" s="81"/>
      <c r="B392" s="89"/>
      <c r="C392" s="89"/>
      <c r="D392" s="89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</row>
    <row r="393" s="1" customFormat="1" spans="1:46">
      <c r="A393" s="81"/>
      <c r="B393" s="89"/>
      <c r="C393" s="89"/>
      <c r="D393" s="89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</row>
    <row r="394" s="1" customFormat="1" spans="1:46">
      <c r="A394" s="81"/>
      <c r="B394" s="89"/>
      <c r="C394" s="89"/>
      <c r="D394" s="89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</row>
    <row r="395" s="1" customFormat="1" spans="1:46">
      <c r="A395" s="81"/>
      <c r="B395" s="89"/>
      <c r="C395" s="89"/>
      <c r="D395" s="89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</row>
    <row r="396" s="1" customFormat="1" spans="1:46">
      <c r="A396" s="81"/>
      <c r="B396" s="89"/>
      <c r="C396" s="89"/>
      <c r="D396" s="89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</row>
    <row r="397" s="1" customFormat="1" spans="1:46">
      <c r="A397" s="81"/>
      <c r="B397" s="89"/>
      <c r="C397" s="89"/>
      <c r="D397" s="89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</row>
    <row r="398" s="1" customFormat="1" spans="1:46">
      <c r="A398" s="81"/>
      <c r="B398" s="89"/>
      <c r="C398" s="89"/>
      <c r="D398" s="89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</row>
    <row r="399" s="1" customFormat="1" spans="1:46">
      <c r="A399" s="81"/>
      <c r="B399" s="89"/>
      <c r="C399" s="89"/>
      <c r="D399" s="89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</row>
    <row r="400" s="1" customFormat="1" spans="1:46">
      <c r="A400" s="81"/>
      <c r="B400" s="89"/>
      <c r="C400" s="89"/>
      <c r="D400" s="89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</row>
    <row r="401" s="1" customFormat="1" spans="1:46">
      <c r="A401" s="81"/>
      <c r="B401" s="89"/>
      <c r="C401" s="89"/>
      <c r="D401" s="89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</row>
    <row r="402" s="1" customFormat="1" spans="1:46">
      <c r="A402" s="81"/>
      <c r="B402" s="89"/>
      <c r="C402" s="89"/>
      <c r="D402" s="89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</row>
    <row r="403" s="1" customFormat="1" spans="1:46">
      <c r="A403" s="81"/>
      <c r="B403" s="89"/>
      <c r="C403" s="89"/>
      <c r="D403" s="89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</row>
    <row r="404" s="1" customFormat="1" spans="1:46">
      <c r="A404" s="81"/>
      <c r="B404" s="89"/>
      <c r="C404" s="89"/>
      <c r="D404" s="89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</row>
    <row r="405" s="1" customFormat="1" spans="1:46">
      <c r="A405" s="81"/>
      <c r="B405" s="89"/>
      <c r="C405" s="89"/>
      <c r="D405" s="89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</row>
    <row r="406" s="1" customFormat="1" spans="1:46">
      <c r="A406" s="81"/>
      <c r="B406" s="89"/>
      <c r="C406" s="89"/>
      <c r="D406" s="89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</row>
    <row r="407" s="1" customFormat="1" spans="1:46">
      <c r="A407" s="81"/>
      <c r="B407" s="89"/>
      <c r="C407" s="89"/>
      <c r="D407" s="89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</row>
    <row r="408" s="1" customFormat="1" spans="1:46">
      <c r="A408" s="81"/>
      <c r="B408" s="89"/>
      <c r="C408" s="89"/>
      <c r="D408" s="89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</row>
    <row r="409" s="1" customFormat="1" spans="1:46">
      <c r="A409" s="81"/>
      <c r="B409" s="89"/>
      <c r="C409" s="89"/>
      <c r="D409" s="89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</row>
    <row r="410" s="1" customFormat="1" spans="1:46">
      <c r="A410" s="81"/>
      <c r="B410" s="89"/>
      <c r="C410" s="89"/>
      <c r="D410" s="89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</row>
    <row r="411" s="1" customFormat="1" spans="1:46">
      <c r="A411" s="81"/>
      <c r="B411" s="89"/>
      <c r="C411" s="89"/>
      <c r="D411" s="89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</row>
    <row r="412" s="1" customFormat="1" spans="1:46">
      <c r="A412" s="81"/>
      <c r="B412" s="89"/>
      <c r="C412" s="89"/>
      <c r="D412" s="89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</row>
    <row r="413" s="1" customFormat="1" spans="1:46">
      <c r="A413" s="81"/>
      <c r="B413" s="89"/>
      <c r="C413" s="89"/>
      <c r="D413" s="89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</row>
    <row r="414" s="1" customFormat="1" spans="1:46">
      <c r="A414" s="81"/>
      <c r="B414" s="89"/>
      <c r="C414" s="89"/>
      <c r="D414" s="89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</row>
    <row r="415" s="1" customFormat="1" spans="1:46">
      <c r="A415" s="81"/>
      <c r="B415" s="89"/>
      <c r="C415" s="89"/>
      <c r="D415" s="89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</row>
    <row r="416" s="1" customFormat="1" spans="1:46">
      <c r="A416" s="81"/>
      <c r="B416" s="89"/>
      <c r="C416" s="89"/>
      <c r="D416" s="89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</row>
    <row r="417" s="1" customFormat="1" spans="1:46">
      <c r="A417" s="81"/>
      <c r="B417" s="89"/>
      <c r="C417" s="89"/>
      <c r="D417" s="89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</row>
    <row r="418" s="1" customFormat="1" spans="1:46">
      <c r="A418" s="81"/>
      <c r="B418" s="89"/>
      <c r="C418" s="89"/>
      <c r="D418" s="89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</row>
    <row r="419" s="1" customFormat="1" spans="1:46">
      <c r="A419" s="81"/>
      <c r="B419" s="89"/>
      <c r="C419" s="89"/>
      <c r="D419" s="89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</row>
    <row r="420" s="1" customFormat="1" spans="1:46">
      <c r="A420" s="81"/>
      <c r="B420" s="89"/>
      <c r="C420" s="89"/>
      <c r="D420" s="89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</row>
    <row r="421" s="1" customFormat="1" spans="1:46">
      <c r="A421" s="81"/>
      <c r="B421" s="89"/>
      <c r="C421" s="89"/>
      <c r="D421" s="89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</row>
    <row r="422" s="1" customFormat="1" spans="1:46">
      <c r="A422" s="81"/>
      <c r="B422" s="89"/>
      <c r="C422" s="89"/>
      <c r="D422" s="89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</row>
    <row r="423" s="1" customFormat="1" spans="1:46">
      <c r="A423" s="81"/>
      <c r="B423" s="89"/>
      <c r="C423" s="89"/>
      <c r="D423" s="89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</row>
    <row r="424" s="1" customFormat="1" spans="1:46">
      <c r="A424" s="81"/>
      <c r="B424" s="89"/>
      <c r="C424" s="89"/>
      <c r="D424" s="89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</row>
    <row r="425" s="1" customFormat="1" spans="1:46">
      <c r="A425" s="81"/>
      <c r="B425" s="89"/>
      <c r="C425" s="89"/>
      <c r="D425" s="89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</row>
    <row r="426" s="1" customFormat="1" spans="1:46">
      <c r="A426" s="81"/>
      <c r="B426" s="89"/>
      <c r="C426" s="89"/>
      <c r="D426" s="89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</row>
    <row r="427" s="1" customFormat="1" spans="1:46">
      <c r="A427" s="81"/>
      <c r="B427" s="89"/>
      <c r="C427" s="89"/>
      <c r="D427" s="89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</row>
    <row r="428" s="1" customFormat="1" spans="1:46">
      <c r="A428" s="81"/>
      <c r="B428" s="89"/>
      <c r="C428" s="89"/>
      <c r="D428" s="89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</row>
    <row r="429" s="1" customFormat="1" spans="1:46">
      <c r="A429" s="81"/>
      <c r="B429" s="89"/>
      <c r="C429" s="89"/>
      <c r="D429" s="89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</row>
    <row r="430" s="1" customFormat="1" spans="1:46">
      <c r="A430" s="81"/>
      <c r="B430" s="89"/>
      <c r="C430" s="89"/>
      <c r="D430" s="89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</row>
    <row r="431" s="1" customFormat="1" spans="1:46">
      <c r="A431" s="81"/>
      <c r="B431" s="89"/>
      <c r="C431" s="89"/>
      <c r="D431" s="89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</row>
    <row r="432" s="1" customFormat="1" spans="1:46">
      <c r="A432" s="81"/>
      <c r="B432" s="89"/>
      <c r="C432" s="89"/>
      <c r="D432" s="89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</row>
    <row r="433" s="1" customFormat="1" spans="1:46">
      <c r="A433" s="81"/>
      <c r="B433" s="89"/>
      <c r="C433" s="89"/>
      <c r="D433" s="89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</row>
    <row r="434" s="1" customFormat="1" spans="1:46">
      <c r="A434" s="81"/>
      <c r="B434" s="89"/>
      <c r="C434" s="89"/>
      <c r="D434" s="89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</row>
    <row r="435" s="1" customFormat="1" spans="1:46">
      <c r="A435" s="81"/>
      <c r="B435" s="89"/>
      <c r="C435" s="89"/>
      <c r="D435" s="89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</row>
    <row r="436" s="1" customFormat="1" spans="1:46">
      <c r="A436" s="81"/>
      <c r="B436" s="89"/>
      <c r="C436" s="89"/>
      <c r="D436" s="89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</row>
    <row r="437" s="1" customFormat="1" spans="1:46">
      <c r="A437" s="81"/>
      <c r="B437" s="89"/>
      <c r="C437" s="89"/>
      <c r="D437" s="89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</row>
    <row r="438" s="1" customFormat="1" spans="1:46">
      <c r="A438" s="81"/>
      <c r="B438" s="89"/>
      <c r="C438" s="89"/>
      <c r="D438" s="89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</row>
    <row r="439" s="1" customFormat="1" spans="1:46">
      <c r="A439" s="81"/>
      <c r="B439" s="89"/>
      <c r="C439" s="89"/>
      <c r="D439" s="89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</row>
    <row r="440" s="1" customFormat="1" spans="1:46">
      <c r="A440" s="81"/>
      <c r="B440" s="89"/>
      <c r="C440" s="89"/>
      <c r="D440" s="89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</row>
    <row r="441" s="1" customFormat="1" spans="1:46">
      <c r="A441" s="81"/>
      <c r="B441" s="89"/>
      <c r="C441" s="89"/>
      <c r="D441" s="89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</row>
    <row r="442" s="1" customFormat="1" spans="1:46">
      <c r="A442" s="81"/>
      <c r="B442" s="89"/>
      <c r="C442" s="89"/>
      <c r="D442" s="89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</row>
    <row r="443" s="1" customFormat="1" spans="1:46">
      <c r="A443" s="81"/>
      <c r="B443" s="89"/>
      <c r="C443" s="89"/>
      <c r="D443" s="89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</row>
    <row r="444" s="1" customFormat="1" spans="1:46">
      <c r="A444" s="81"/>
      <c r="B444" s="89"/>
      <c r="C444" s="89"/>
      <c r="D444" s="89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</row>
    <row r="445" s="1" customFormat="1" spans="1:46">
      <c r="A445" s="81"/>
      <c r="B445" s="89"/>
      <c r="C445" s="89"/>
      <c r="D445" s="89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</row>
    <row r="446" s="1" customFormat="1" spans="1:46">
      <c r="A446" s="81"/>
      <c r="B446" s="89"/>
      <c r="C446" s="89"/>
      <c r="D446" s="89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</row>
    <row r="447" s="1" customFormat="1" spans="1:46">
      <c r="A447" s="81"/>
      <c r="B447" s="89"/>
      <c r="C447" s="89"/>
      <c r="D447" s="89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</row>
    <row r="448" s="1" customFormat="1" spans="1:46">
      <c r="A448" s="81"/>
      <c r="B448" s="89"/>
      <c r="C448" s="89"/>
      <c r="D448" s="89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</row>
    <row r="449" s="1" customFormat="1" spans="1:46">
      <c r="A449" s="81"/>
      <c r="B449" s="89"/>
      <c r="C449" s="89"/>
      <c r="D449" s="89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</row>
    <row r="450" s="1" customFormat="1" spans="1:46">
      <c r="A450" s="81"/>
      <c r="B450" s="89"/>
      <c r="C450" s="89"/>
      <c r="D450" s="89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</row>
    <row r="451" s="1" customFormat="1" spans="1:46">
      <c r="A451" s="81"/>
      <c r="B451" s="89"/>
      <c r="C451" s="89"/>
      <c r="D451" s="89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</row>
    <row r="452" s="1" customFormat="1" spans="1:46">
      <c r="A452" s="81"/>
      <c r="B452" s="89"/>
      <c r="C452" s="89"/>
      <c r="D452" s="89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</row>
    <row r="453" s="1" customFormat="1" spans="1:46">
      <c r="A453" s="81"/>
      <c r="B453" s="89"/>
      <c r="C453" s="89"/>
      <c r="D453" s="89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</row>
    <row r="454" s="1" customFormat="1" spans="1:46">
      <c r="A454" s="81"/>
      <c r="B454" s="89"/>
      <c r="C454" s="89"/>
      <c r="D454" s="89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</row>
    <row r="455" s="1" customFormat="1" spans="1:46">
      <c r="A455" s="81"/>
      <c r="B455" s="89"/>
      <c r="C455" s="89"/>
      <c r="D455" s="89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</row>
    <row r="456" s="1" customFormat="1" spans="1:46">
      <c r="A456" s="81"/>
      <c r="B456" s="89"/>
      <c r="C456" s="89"/>
      <c r="D456" s="89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</row>
    <row r="457" s="1" customFormat="1" spans="1:46">
      <c r="A457" s="81"/>
      <c r="B457" s="89"/>
      <c r="C457" s="89"/>
      <c r="D457" s="89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</row>
    <row r="458" s="1" customFormat="1" spans="1:46">
      <c r="A458" s="81"/>
      <c r="B458" s="89"/>
      <c r="C458" s="89"/>
      <c r="D458" s="89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</row>
    <row r="459" s="1" customFormat="1" spans="1:46">
      <c r="A459" s="81"/>
      <c r="B459" s="89"/>
      <c r="C459" s="89"/>
      <c r="D459" s="89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</row>
    <row r="460" s="1" customFormat="1" spans="1:46">
      <c r="A460" s="81"/>
      <c r="B460" s="89"/>
      <c r="C460" s="89"/>
      <c r="D460" s="89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</row>
    <row r="461" s="1" customFormat="1" spans="1:46">
      <c r="A461" s="81"/>
      <c r="B461" s="89"/>
      <c r="C461" s="89"/>
      <c r="D461" s="89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</row>
    <row r="462" s="1" customFormat="1" spans="1:46">
      <c r="A462" s="81"/>
      <c r="B462" s="89"/>
      <c r="C462" s="89"/>
      <c r="D462" s="89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</row>
    <row r="463" s="1" customFormat="1" spans="1:46">
      <c r="A463" s="81"/>
      <c r="B463" s="89"/>
      <c r="C463" s="89"/>
      <c r="D463" s="89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</row>
    <row r="464" s="1" customFormat="1" spans="1:46">
      <c r="A464" s="81"/>
      <c r="B464" s="89"/>
      <c r="C464" s="89"/>
      <c r="D464" s="89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</row>
    <row r="465" s="1" customFormat="1" spans="1:46">
      <c r="A465" s="81"/>
      <c r="B465" s="89"/>
      <c r="C465" s="89"/>
      <c r="D465" s="89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</row>
    <row r="466" s="1" customFormat="1" spans="1:46">
      <c r="A466" s="81"/>
      <c r="B466" s="89"/>
      <c r="C466" s="89"/>
      <c r="D466" s="89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</row>
    <row r="467" s="1" customFormat="1" spans="1:46">
      <c r="A467" s="81"/>
      <c r="B467" s="89"/>
      <c r="C467" s="89"/>
      <c r="D467" s="89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</row>
    <row r="468" s="1" customFormat="1" spans="1:46">
      <c r="A468" s="81"/>
      <c r="B468" s="89"/>
      <c r="C468" s="89"/>
      <c r="D468" s="89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</row>
    <row r="469" s="1" customFormat="1" spans="1:46">
      <c r="A469" s="81"/>
      <c r="B469" s="89"/>
      <c r="C469" s="89"/>
      <c r="D469" s="89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</row>
    <row r="470" s="1" customFormat="1" spans="1:46">
      <c r="A470" s="81"/>
      <c r="B470" s="89"/>
      <c r="C470" s="89"/>
      <c r="D470" s="89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</row>
    <row r="471" s="1" customFormat="1" spans="1:46">
      <c r="A471" s="81"/>
      <c r="B471" s="89"/>
      <c r="C471" s="89"/>
      <c r="D471" s="89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</row>
    <row r="472" s="1" customFormat="1" spans="1:46">
      <c r="A472" s="81"/>
      <c r="B472" s="89"/>
      <c r="C472" s="89"/>
      <c r="D472" s="89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</row>
    <row r="473" s="1" customFormat="1" spans="1:46">
      <c r="A473" s="81"/>
      <c r="B473" s="89"/>
      <c r="C473" s="89"/>
      <c r="D473" s="89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</row>
    <row r="474" s="1" customFormat="1" spans="1:46">
      <c r="A474" s="81"/>
      <c r="B474" s="89"/>
      <c r="C474" s="89"/>
      <c r="D474" s="89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</row>
    <row r="475" s="1" customFormat="1" spans="1:46">
      <c r="A475" s="81"/>
      <c r="B475" s="89"/>
      <c r="C475" s="89"/>
      <c r="D475" s="89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</row>
    <row r="476" s="1" customFormat="1" spans="1:46">
      <c r="A476" s="81"/>
      <c r="B476" s="89"/>
      <c r="C476" s="89"/>
      <c r="D476" s="89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</row>
    <row r="477" s="1" customFormat="1" spans="1:46">
      <c r="A477" s="81"/>
      <c r="B477" s="89"/>
      <c r="C477" s="89"/>
      <c r="D477" s="89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</row>
    <row r="478" s="1" customFormat="1" spans="1:46">
      <c r="A478" s="81"/>
      <c r="B478" s="89"/>
      <c r="C478" s="89"/>
      <c r="D478" s="89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</row>
    <row r="479" s="1" customFormat="1" spans="1:46">
      <c r="A479" s="81"/>
      <c r="B479" s="89"/>
      <c r="C479" s="89"/>
      <c r="D479" s="89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</row>
    <row r="480" s="1" customFormat="1" spans="1:46">
      <c r="A480" s="81"/>
      <c r="B480" s="89"/>
      <c r="C480" s="89"/>
      <c r="D480" s="89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</row>
    <row r="481" s="1" customFormat="1" spans="1:46">
      <c r="A481" s="81"/>
      <c r="B481" s="89"/>
      <c r="C481" s="89"/>
      <c r="D481" s="89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</row>
    <row r="482" s="1" customFormat="1" spans="1:46">
      <c r="A482" s="81"/>
      <c r="B482" s="89"/>
      <c r="C482" s="89"/>
      <c r="D482" s="89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</row>
    <row r="483" s="1" customFormat="1" spans="1:46">
      <c r="A483" s="81"/>
      <c r="B483" s="89"/>
      <c r="C483" s="89"/>
      <c r="D483" s="89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</row>
    <row r="484" s="1" customFormat="1" spans="1:46">
      <c r="A484" s="81"/>
      <c r="B484" s="89"/>
      <c r="C484" s="89"/>
      <c r="D484" s="89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</row>
    <row r="485" s="1" customFormat="1" spans="1:46">
      <c r="A485" s="81"/>
      <c r="B485" s="89"/>
      <c r="C485" s="89"/>
      <c r="D485" s="89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</row>
    <row r="486" s="1" customFormat="1" spans="1:46">
      <c r="A486" s="81"/>
      <c r="B486" s="89"/>
      <c r="C486" s="89"/>
      <c r="D486" s="89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</row>
    <row r="487" s="1" customFormat="1" spans="1:46">
      <c r="A487" s="81"/>
      <c r="B487" s="89"/>
      <c r="C487" s="89"/>
      <c r="D487" s="89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</row>
    <row r="488" s="1" customFormat="1" spans="1:46">
      <c r="A488" s="81"/>
      <c r="B488" s="89"/>
      <c r="C488" s="89"/>
      <c r="D488" s="89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</row>
    <row r="489" s="1" customFormat="1" spans="1:46">
      <c r="A489" s="81"/>
      <c r="B489" s="89"/>
      <c r="C489" s="89"/>
      <c r="D489" s="89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</row>
    <row r="490" s="1" customFormat="1" spans="1:46">
      <c r="A490" s="81"/>
      <c r="B490" s="89"/>
      <c r="C490" s="89"/>
      <c r="D490" s="89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</row>
    <row r="491" s="1" customFormat="1" spans="1:46">
      <c r="A491" s="81"/>
      <c r="B491" s="89"/>
      <c r="C491" s="89"/>
      <c r="D491" s="89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</row>
    <row r="492" s="1" customFormat="1" spans="1:46">
      <c r="A492" s="81"/>
      <c r="B492" s="89"/>
      <c r="C492" s="89"/>
      <c r="D492" s="89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</row>
    <row r="493" s="1" customFormat="1" spans="1:46">
      <c r="A493" s="81"/>
      <c r="B493" s="89"/>
      <c r="C493" s="89"/>
      <c r="D493" s="89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</row>
    <row r="494" s="1" customFormat="1" spans="1:46">
      <c r="A494" s="81"/>
      <c r="B494" s="89"/>
      <c r="C494" s="89"/>
      <c r="D494" s="89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</row>
    <row r="495" s="1" customFormat="1" spans="1:46">
      <c r="A495" s="81"/>
      <c r="B495" s="89"/>
      <c r="C495" s="89"/>
      <c r="D495" s="89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</row>
    <row r="496" s="1" customFormat="1" spans="1:46">
      <c r="A496" s="81"/>
      <c r="B496" s="89"/>
      <c r="C496" s="89"/>
      <c r="D496" s="89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</row>
    <row r="497" s="1" customFormat="1" spans="1:46">
      <c r="A497" s="81"/>
      <c r="B497" s="89"/>
      <c r="C497" s="89"/>
      <c r="D497" s="89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</row>
    <row r="498" s="1" customFormat="1" spans="1:46">
      <c r="A498" s="81"/>
      <c r="B498" s="89"/>
      <c r="C498" s="89"/>
      <c r="D498" s="89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</row>
    <row r="499" s="1" customFormat="1" spans="1:46">
      <c r="A499" s="81"/>
      <c r="B499" s="89"/>
      <c r="C499" s="89"/>
      <c r="D499" s="89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</row>
    <row r="500" s="1" customFormat="1" spans="1:46">
      <c r="A500" s="81"/>
      <c r="B500" s="89"/>
      <c r="C500" s="89"/>
      <c r="D500" s="89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</row>
    <row r="501" s="1" customFormat="1" spans="1:46">
      <c r="A501" s="81"/>
      <c r="B501" s="89"/>
      <c r="C501" s="89"/>
      <c r="D501" s="89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</row>
    <row r="502" s="1" customFormat="1" spans="1:46">
      <c r="A502" s="81"/>
      <c r="B502" s="89"/>
      <c r="C502" s="89"/>
      <c r="D502" s="89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</row>
    <row r="503" s="1" customFormat="1" spans="1:46">
      <c r="A503" s="81"/>
      <c r="B503" s="89"/>
      <c r="C503" s="89"/>
      <c r="D503" s="89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</row>
    <row r="504" s="1" customFormat="1" spans="1:46">
      <c r="A504" s="81"/>
      <c r="B504" s="89"/>
      <c r="C504" s="89"/>
      <c r="D504" s="89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</row>
    <row r="505" s="1" customFormat="1" spans="1:46">
      <c r="A505" s="81"/>
      <c r="B505" s="89"/>
      <c r="C505" s="89"/>
      <c r="D505" s="89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</row>
    <row r="506" s="1" customFormat="1" spans="1:46">
      <c r="A506" s="81"/>
      <c r="B506" s="89"/>
      <c r="C506" s="89"/>
      <c r="D506" s="89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</row>
    <row r="507" s="1" customFormat="1" spans="1:46">
      <c r="A507" s="81"/>
      <c r="B507" s="89"/>
      <c r="C507" s="89"/>
      <c r="D507" s="89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</row>
    <row r="508" s="1" customFormat="1" spans="1:46">
      <c r="A508" s="81"/>
      <c r="B508" s="89"/>
      <c r="C508" s="89"/>
      <c r="D508" s="89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</row>
    <row r="509" s="1" customFormat="1" spans="1:46">
      <c r="A509" s="81"/>
      <c r="B509" s="89"/>
      <c r="C509" s="89"/>
      <c r="D509" s="89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</row>
    <row r="510" s="1" customFormat="1" spans="1:46">
      <c r="A510" s="81"/>
      <c r="B510" s="89"/>
      <c r="C510" s="89"/>
      <c r="D510" s="89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</row>
    <row r="511" s="1" customFormat="1" spans="1:46">
      <c r="A511" s="81"/>
      <c r="B511" s="89"/>
      <c r="C511" s="89"/>
      <c r="D511" s="89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</row>
    <row r="512" s="1" customFormat="1" spans="1:46">
      <c r="A512" s="81"/>
      <c r="B512" s="89"/>
      <c r="C512" s="89"/>
      <c r="D512" s="89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</row>
    <row r="513" s="1" customFormat="1" spans="1:46">
      <c r="A513" s="81"/>
      <c r="B513" s="89"/>
      <c r="C513" s="89"/>
      <c r="D513" s="89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</row>
    <row r="514" s="1" customFormat="1" spans="1:46">
      <c r="A514" s="81"/>
      <c r="B514" s="89"/>
      <c r="C514" s="89"/>
      <c r="D514" s="89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</row>
    <row r="515" s="1" customFormat="1" spans="1:46">
      <c r="A515" s="81"/>
      <c r="B515" s="89"/>
      <c r="C515" s="89"/>
      <c r="D515" s="89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</row>
    <row r="516" s="1" customFormat="1" spans="1:46">
      <c r="A516" s="81"/>
      <c r="B516" s="89"/>
      <c r="C516" s="89"/>
      <c r="D516" s="89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</row>
    <row r="517" s="1" customFormat="1" spans="1:46">
      <c r="A517" s="81"/>
      <c r="B517" s="89"/>
      <c r="C517" s="89"/>
      <c r="D517" s="89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</row>
    <row r="518" s="1" customFormat="1" spans="1:46">
      <c r="A518" s="81"/>
      <c r="B518" s="89"/>
      <c r="C518" s="89"/>
      <c r="D518" s="89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</row>
    <row r="519" s="1" customFormat="1" spans="1:46">
      <c r="A519" s="81"/>
      <c r="B519" s="89"/>
      <c r="C519" s="89"/>
      <c r="D519" s="89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</row>
    <row r="520" s="1" customFormat="1" spans="1:46">
      <c r="A520" s="81"/>
      <c r="B520" s="89"/>
      <c r="C520" s="89"/>
      <c r="D520" s="89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</row>
    <row r="521" s="1" customFormat="1" spans="1:46">
      <c r="A521" s="81"/>
      <c r="B521" s="89"/>
      <c r="C521" s="89"/>
      <c r="D521" s="89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</row>
    <row r="522" s="1" customFormat="1" spans="1:46">
      <c r="A522" s="81"/>
      <c r="B522" s="89"/>
      <c r="C522" s="89"/>
      <c r="D522" s="89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</row>
    <row r="523" s="1" customFormat="1" spans="1:46">
      <c r="A523" s="81"/>
      <c r="B523" s="89"/>
      <c r="C523" s="89"/>
      <c r="D523" s="89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</row>
    <row r="524" s="1" customFormat="1" spans="1:46">
      <c r="A524" s="81"/>
      <c r="B524" s="89"/>
      <c r="C524" s="89"/>
      <c r="D524" s="89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</row>
    <row r="525" s="1" customFormat="1" spans="1:46">
      <c r="A525" s="81"/>
      <c r="B525" s="89"/>
      <c r="C525" s="89"/>
      <c r="D525" s="89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</row>
    <row r="526" s="1" customFormat="1" spans="1:46">
      <c r="A526" s="81"/>
      <c r="B526" s="89"/>
      <c r="C526" s="89"/>
      <c r="D526" s="89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</row>
    <row r="527" s="1" customFormat="1" spans="1:46">
      <c r="A527" s="81"/>
      <c r="B527" s="89"/>
      <c r="C527" s="89"/>
      <c r="D527" s="89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</row>
    <row r="528" s="1" customFormat="1" spans="1:46">
      <c r="A528" s="81"/>
      <c r="B528" s="89"/>
      <c r="C528" s="89"/>
      <c r="D528" s="89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</row>
    <row r="529" s="1" customFormat="1" spans="1:46">
      <c r="A529" s="81"/>
      <c r="B529" s="89"/>
      <c r="C529" s="89"/>
      <c r="D529" s="89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</row>
    <row r="530" s="1" customFormat="1" spans="1:46">
      <c r="A530" s="81"/>
      <c r="B530" s="89"/>
      <c r="C530" s="89"/>
      <c r="D530" s="89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</row>
    <row r="531" s="1" customFormat="1" spans="1:46">
      <c r="A531" s="81"/>
      <c r="B531" s="89"/>
      <c r="C531" s="89"/>
      <c r="D531" s="89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</row>
    <row r="532" s="1" customFormat="1" spans="1:46">
      <c r="A532" s="81"/>
      <c r="B532" s="89"/>
      <c r="C532" s="89"/>
      <c r="D532" s="89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</row>
    <row r="533" s="1" customFormat="1" spans="1:46">
      <c r="A533" s="81"/>
      <c r="B533" s="89"/>
      <c r="C533" s="89"/>
      <c r="D533" s="89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</row>
    <row r="534" s="1" customFormat="1" spans="1:46">
      <c r="A534" s="81"/>
      <c r="B534" s="89"/>
      <c r="C534" s="89"/>
      <c r="D534" s="89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</row>
    <row r="535" s="1" customFormat="1" spans="1:46">
      <c r="A535" s="81"/>
      <c r="B535" s="89"/>
      <c r="C535" s="89"/>
      <c r="D535" s="89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</row>
    <row r="536" s="1" customFormat="1" spans="1:46">
      <c r="A536" s="81"/>
      <c r="B536" s="89"/>
      <c r="C536" s="89"/>
      <c r="D536" s="89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</row>
    <row r="537" s="1" customFormat="1" spans="1:46">
      <c r="A537" s="81"/>
      <c r="B537" s="89"/>
      <c r="C537" s="89"/>
      <c r="D537" s="89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</row>
    <row r="538" s="1" customFormat="1" spans="1:46">
      <c r="A538" s="81"/>
      <c r="B538" s="89"/>
      <c r="C538" s="89"/>
      <c r="D538" s="89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</row>
    <row r="539" s="1" customFormat="1" spans="1:46">
      <c r="A539" s="81"/>
      <c r="B539" s="89"/>
      <c r="C539" s="89"/>
      <c r="D539" s="89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</row>
    <row r="540" s="1" customFormat="1" spans="1:46">
      <c r="A540" s="81"/>
      <c r="B540" s="89"/>
      <c r="C540" s="89"/>
      <c r="D540" s="89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</row>
    <row r="541" s="1" customFormat="1" spans="1:46">
      <c r="A541" s="81"/>
      <c r="B541" s="89"/>
      <c r="C541" s="89"/>
      <c r="D541" s="89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</row>
    <row r="542" s="1" customFormat="1" spans="1:46">
      <c r="A542" s="81"/>
      <c r="B542" s="89"/>
      <c r="C542" s="89"/>
      <c r="D542" s="89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</row>
    <row r="543" s="1" customFormat="1" spans="1:46">
      <c r="A543" s="81"/>
      <c r="B543" s="89"/>
      <c r="C543" s="89"/>
      <c r="D543" s="89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</row>
    <row r="544" s="1" customFormat="1" spans="1:46">
      <c r="A544" s="81"/>
      <c r="B544" s="89"/>
      <c r="C544" s="89"/>
      <c r="D544" s="89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</row>
    <row r="545" s="1" customFormat="1" spans="1:46">
      <c r="A545" s="81"/>
      <c r="B545" s="89"/>
      <c r="C545" s="89"/>
      <c r="D545" s="89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</row>
    <row r="546" s="1" customFormat="1" spans="1:46">
      <c r="A546" s="81"/>
      <c r="B546" s="89"/>
      <c r="C546" s="89"/>
      <c r="D546" s="89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</row>
    <row r="547" s="1" customFormat="1" spans="1:46">
      <c r="A547" s="81"/>
      <c r="B547" s="89"/>
      <c r="C547" s="89"/>
      <c r="D547" s="89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</row>
    <row r="548" s="1" customFormat="1" spans="1:46">
      <c r="A548" s="81"/>
      <c r="B548" s="89"/>
      <c r="C548" s="89"/>
      <c r="D548" s="89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</row>
    <row r="549" s="1" customFormat="1" spans="1:46">
      <c r="A549" s="81"/>
      <c r="B549" s="89"/>
      <c r="C549" s="89"/>
      <c r="D549" s="89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</row>
    <row r="550" s="1" customFormat="1" spans="1:46">
      <c r="A550" s="81"/>
      <c r="B550" s="89"/>
      <c r="C550" s="89"/>
      <c r="D550" s="89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</row>
    <row r="551" s="1" customFormat="1" spans="1:46">
      <c r="A551" s="81"/>
      <c r="B551" s="89"/>
      <c r="C551" s="89"/>
      <c r="D551" s="89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</row>
    <row r="552" s="1" customFormat="1" spans="1:46">
      <c r="A552" s="81"/>
      <c r="B552" s="89"/>
      <c r="C552" s="89"/>
      <c r="D552" s="89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</row>
    <row r="553" s="1" customFormat="1" spans="1:46">
      <c r="A553" s="81"/>
      <c r="B553" s="89"/>
      <c r="C553" s="89"/>
      <c r="D553" s="89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</row>
    <row r="554" s="1" customFormat="1" spans="1:46">
      <c r="A554" s="81"/>
      <c r="B554" s="89"/>
      <c r="C554" s="89"/>
      <c r="D554" s="89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</row>
    <row r="555" s="1" customFormat="1" spans="1:46">
      <c r="A555" s="81"/>
      <c r="B555" s="89"/>
      <c r="C555" s="89"/>
      <c r="D555" s="89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</row>
    <row r="556" s="1" customFormat="1" spans="1:46">
      <c r="A556" s="81"/>
      <c r="B556" s="89"/>
      <c r="C556" s="89"/>
      <c r="D556" s="89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</row>
    <row r="557" s="1" customFormat="1" spans="1:46">
      <c r="A557" s="81"/>
      <c r="B557" s="89"/>
      <c r="C557" s="89"/>
      <c r="D557" s="89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</row>
    <row r="558" s="1" customFormat="1" spans="1:46">
      <c r="A558" s="81"/>
      <c r="B558" s="89"/>
      <c r="C558" s="89"/>
      <c r="D558" s="89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</row>
    <row r="559" s="1" customFormat="1" spans="1:46">
      <c r="A559" s="81"/>
      <c r="B559" s="89"/>
      <c r="C559" s="89"/>
      <c r="D559" s="89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</row>
    <row r="560" s="1" customFormat="1" spans="1:46">
      <c r="A560" s="81"/>
      <c r="B560" s="89"/>
      <c r="C560" s="89"/>
      <c r="D560" s="89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</row>
    <row r="561" s="1" customFormat="1" spans="1:46">
      <c r="A561" s="81"/>
      <c r="B561" s="89"/>
      <c r="C561" s="89"/>
      <c r="D561" s="89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</row>
    <row r="562" s="1" customFormat="1" spans="1:46">
      <c r="A562" s="81"/>
      <c r="B562" s="89"/>
      <c r="C562" s="89"/>
      <c r="D562" s="89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</row>
    <row r="563" s="1" customFormat="1" spans="1:46">
      <c r="A563" s="81"/>
      <c r="B563" s="89"/>
      <c r="C563" s="89"/>
      <c r="D563" s="89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</row>
    <row r="564" s="1" customFormat="1" spans="1:46">
      <c r="A564" s="81"/>
      <c r="B564" s="89"/>
      <c r="C564" s="89"/>
      <c r="D564" s="89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</row>
    <row r="565" s="1" customFormat="1" spans="1:46">
      <c r="A565" s="81"/>
      <c r="B565" s="89"/>
      <c r="C565" s="89"/>
      <c r="D565" s="89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</row>
    <row r="566" s="1" customFormat="1" spans="1:46">
      <c r="A566" s="81"/>
      <c r="B566" s="89"/>
      <c r="C566" s="89"/>
      <c r="D566" s="89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</row>
    <row r="567" s="1" customFormat="1" spans="1:46">
      <c r="A567" s="81"/>
      <c r="B567" s="89"/>
      <c r="C567" s="89"/>
      <c r="D567" s="89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</row>
    <row r="568" s="1" customFormat="1" spans="1:46">
      <c r="A568" s="81"/>
      <c r="B568" s="89"/>
      <c r="C568" s="89"/>
      <c r="D568" s="89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</row>
    <row r="569" s="1" customFormat="1" spans="1:46">
      <c r="A569" s="81"/>
      <c r="B569" s="89"/>
      <c r="C569" s="89"/>
      <c r="D569" s="89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</row>
    <row r="570" s="1" customFormat="1" spans="1:46">
      <c r="A570" s="81"/>
      <c r="B570" s="89"/>
      <c r="C570" s="89"/>
      <c r="D570" s="89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</row>
    <row r="571" s="1" customFormat="1" spans="1:46">
      <c r="A571" s="81"/>
      <c r="B571" s="89"/>
      <c r="C571" s="89"/>
      <c r="D571" s="89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</row>
    <row r="572" s="1" customFormat="1" spans="1:46">
      <c r="A572" s="81"/>
      <c r="B572" s="89"/>
      <c r="C572" s="89"/>
      <c r="D572" s="89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</row>
    <row r="573" s="1" customFormat="1" spans="1:46">
      <c r="A573" s="81"/>
      <c r="B573" s="89"/>
      <c r="C573" s="89"/>
      <c r="D573" s="89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</row>
    <row r="574" s="1" customFormat="1" spans="1:46">
      <c r="A574" s="81"/>
      <c r="B574" s="89"/>
      <c r="C574" s="89"/>
      <c r="D574" s="89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</row>
    <row r="575" s="1" customFormat="1" spans="1:46">
      <c r="A575" s="81"/>
      <c r="B575" s="89"/>
      <c r="C575" s="89"/>
      <c r="D575" s="89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</row>
    <row r="576" s="1" customFormat="1" spans="1:46">
      <c r="A576" s="81"/>
      <c r="B576" s="89"/>
      <c r="C576" s="89"/>
      <c r="D576" s="89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</row>
    <row r="577" s="1" customFormat="1" spans="1:46">
      <c r="A577" s="81"/>
      <c r="B577" s="89"/>
      <c r="C577" s="89"/>
      <c r="D577" s="89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</row>
    <row r="578" s="1" customFormat="1" spans="1:46">
      <c r="A578" s="81"/>
      <c r="B578" s="89"/>
      <c r="C578" s="89"/>
      <c r="D578" s="89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</row>
    <row r="579" s="1" customFormat="1" spans="1:46">
      <c r="A579" s="81"/>
      <c r="B579" s="89"/>
      <c r="C579" s="89"/>
      <c r="D579" s="89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</row>
    <row r="580" s="1" customFormat="1" spans="1:46">
      <c r="A580" s="81"/>
      <c r="B580" s="89"/>
      <c r="C580" s="89"/>
      <c r="D580" s="89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</row>
    <row r="581" s="1" customFormat="1" spans="1:46">
      <c r="A581" s="81"/>
      <c r="B581" s="89"/>
      <c r="C581" s="89"/>
      <c r="D581" s="89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</row>
    <row r="582" s="1" customFormat="1" spans="1:46">
      <c r="A582" s="81"/>
      <c r="B582" s="89"/>
      <c r="C582" s="89"/>
      <c r="D582" s="89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</row>
    <row r="583" s="1" customFormat="1" spans="1:46">
      <c r="A583" s="81"/>
      <c r="B583" s="89"/>
      <c r="C583" s="89"/>
      <c r="D583" s="89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</row>
    <row r="584" s="1" customFormat="1" spans="1:46">
      <c r="A584" s="81"/>
      <c r="B584" s="89"/>
      <c r="C584" s="89"/>
      <c r="D584" s="89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</row>
    <row r="585" s="1" customFormat="1" spans="1:46">
      <c r="A585" s="81"/>
      <c r="B585" s="89"/>
      <c r="C585" s="89"/>
      <c r="D585" s="89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</row>
    <row r="586" s="1" customFormat="1" spans="1:46">
      <c r="A586" s="81"/>
      <c r="B586" s="89"/>
      <c r="C586" s="89"/>
      <c r="D586" s="89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</row>
    <row r="587" s="1" customFormat="1" spans="1:46">
      <c r="A587" s="81"/>
      <c r="B587" s="89"/>
      <c r="C587" s="89"/>
      <c r="D587" s="89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</row>
    <row r="588" s="1" customFormat="1" spans="1:46">
      <c r="A588" s="81"/>
      <c r="B588" s="89"/>
      <c r="C588" s="89"/>
      <c r="D588" s="89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</row>
    <row r="589" s="1" customFormat="1" spans="1:46">
      <c r="A589" s="81"/>
      <c r="B589" s="89"/>
      <c r="C589" s="89"/>
      <c r="D589" s="89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</row>
    <row r="590" s="1" customFormat="1" spans="1:46">
      <c r="A590" s="81"/>
      <c r="B590" s="89"/>
      <c r="C590" s="89"/>
      <c r="D590" s="89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</row>
    <row r="591" s="1" customFormat="1" spans="1:46">
      <c r="A591" s="81"/>
      <c r="B591" s="89"/>
      <c r="C591" s="89"/>
      <c r="D591" s="89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</row>
    <row r="592" s="1" customFormat="1" spans="1:46">
      <c r="A592" s="81"/>
      <c r="B592" s="89"/>
      <c r="C592" s="89"/>
      <c r="D592" s="89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</row>
    <row r="593" s="1" customFormat="1" spans="1:46">
      <c r="A593" s="81"/>
      <c r="B593" s="89"/>
      <c r="C593" s="89"/>
      <c r="D593" s="89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</row>
    <row r="594" s="1" customFormat="1" spans="1:46">
      <c r="A594" s="81"/>
      <c r="B594" s="89"/>
      <c r="C594" s="89"/>
      <c r="D594" s="89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</row>
    <row r="595" s="1" customFormat="1" spans="1:46">
      <c r="A595" s="81"/>
      <c r="B595" s="89"/>
      <c r="C595" s="89"/>
      <c r="D595" s="89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</row>
    <row r="596" s="1" customFormat="1" spans="1:46">
      <c r="A596" s="81"/>
      <c r="B596" s="89"/>
      <c r="C596" s="89"/>
      <c r="D596" s="89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</row>
    <row r="597" s="1" customFormat="1" spans="1:46">
      <c r="A597" s="81"/>
      <c r="B597" s="89"/>
      <c r="C597" s="89"/>
      <c r="D597" s="89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</row>
    <row r="598" s="1" customFormat="1" spans="1:46">
      <c r="A598" s="81"/>
      <c r="B598" s="89"/>
      <c r="C598" s="89"/>
      <c r="D598" s="89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</row>
    <row r="599" s="1" customFormat="1" spans="1:46">
      <c r="A599" s="81"/>
      <c r="B599" s="89"/>
      <c r="C599" s="89"/>
      <c r="D599" s="89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</row>
    <row r="600" s="1" customFormat="1" spans="1:46">
      <c r="A600" s="81"/>
      <c r="B600" s="89"/>
      <c r="C600" s="89"/>
      <c r="D600" s="89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</row>
    <row r="601" s="1" customFormat="1" spans="1:46">
      <c r="A601" s="81"/>
      <c r="B601" s="89"/>
      <c r="C601" s="89"/>
      <c r="D601" s="89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</row>
    <row r="602" s="1" customFormat="1" spans="1:46">
      <c r="A602" s="81"/>
      <c r="B602" s="89"/>
      <c r="C602" s="89"/>
      <c r="D602" s="89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</row>
    <row r="603" s="1" customFormat="1" spans="1:46">
      <c r="A603" s="81"/>
      <c r="B603" s="89"/>
      <c r="C603" s="89"/>
      <c r="D603" s="89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</row>
    <row r="604" s="1" customFormat="1" spans="1:46">
      <c r="A604" s="81"/>
      <c r="B604" s="89"/>
      <c r="C604" s="89"/>
      <c r="D604" s="89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</row>
    <row r="605" s="1" customFormat="1" spans="1:46">
      <c r="A605" s="81"/>
      <c r="B605" s="89"/>
      <c r="C605" s="89"/>
      <c r="D605" s="89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</row>
    <row r="606" s="1" customFormat="1" spans="1:46">
      <c r="A606" s="81"/>
      <c r="B606" s="89"/>
      <c r="C606" s="89"/>
      <c r="D606" s="89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</row>
    <row r="607" s="1" customFormat="1" spans="1:46">
      <c r="A607" s="81"/>
      <c r="B607" s="89"/>
      <c r="C607" s="89"/>
      <c r="D607" s="89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</row>
    <row r="608" s="1" customFormat="1" spans="1:46">
      <c r="A608" s="81"/>
      <c r="B608" s="89"/>
      <c r="C608" s="89"/>
      <c r="D608" s="89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</row>
    <row r="609" s="1" customFormat="1" spans="1:46">
      <c r="A609" s="81"/>
      <c r="B609" s="89"/>
      <c r="C609" s="89"/>
      <c r="D609" s="89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</row>
    <row r="610" s="1" customFormat="1" spans="1:46">
      <c r="A610" s="81"/>
      <c r="B610" s="89"/>
      <c r="C610" s="89"/>
      <c r="D610" s="89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</row>
    <row r="611" s="1" customFormat="1" spans="1:46">
      <c r="A611" s="81"/>
      <c r="B611" s="89"/>
      <c r="C611" s="89"/>
      <c r="D611" s="89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</row>
    <row r="612" s="1" customFormat="1" spans="1:46">
      <c r="A612" s="81"/>
      <c r="B612" s="89"/>
      <c r="C612" s="89"/>
      <c r="D612" s="89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</row>
    <row r="613" s="1" customFormat="1" spans="1:46">
      <c r="A613" s="81"/>
      <c r="B613" s="89"/>
      <c r="C613" s="89"/>
      <c r="D613" s="89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</row>
    <row r="614" s="1" customFormat="1" spans="1:46">
      <c r="A614" s="81"/>
      <c r="B614" s="89"/>
      <c r="C614" s="89"/>
      <c r="D614" s="89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</row>
    <row r="615" s="1" customFormat="1" spans="1:46">
      <c r="A615" s="81"/>
      <c r="B615" s="89"/>
      <c r="C615" s="89"/>
      <c r="D615" s="89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</row>
    <row r="616" s="1" customFormat="1" spans="1:46">
      <c r="A616" s="81"/>
      <c r="B616" s="89"/>
      <c r="C616" s="89"/>
      <c r="D616" s="89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</row>
    <row r="617" s="1" customFormat="1" spans="1:46">
      <c r="A617" s="81"/>
      <c r="B617" s="89"/>
      <c r="C617" s="89"/>
      <c r="D617" s="89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</row>
    <row r="618" s="1" customFormat="1" spans="1:46">
      <c r="A618" s="81"/>
      <c r="B618" s="89"/>
      <c r="C618" s="89"/>
      <c r="D618" s="89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</row>
    <row r="619" s="1" customFormat="1" spans="1:46">
      <c r="A619" s="81"/>
      <c r="B619" s="89"/>
      <c r="C619" s="89"/>
      <c r="D619" s="89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</row>
    <row r="620" s="1" customFormat="1" spans="1:46">
      <c r="A620" s="81"/>
      <c r="B620" s="89"/>
      <c r="C620" s="89"/>
      <c r="D620" s="89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</row>
    <row r="621" s="1" customFormat="1" spans="1:46">
      <c r="A621" s="81"/>
      <c r="B621" s="89"/>
      <c r="C621" s="89"/>
      <c r="D621" s="89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</row>
    <row r="622" s="1" customFormat="1" spans="1:46">
      <c r="A622" s="81"/>
      <c r="B622" s="89"/>
      <c r="C622" s="89"/>
      <c r="D622" s="89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</row>
    <row r="623" s="1" customFormat="1" spans="1:46">
      <c r="A623" s="81"/>
      <c r="B623" s="89"/>
      <c r="C623" s="89"/>
      <c r="D623" s="89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</row>
    <row r="624" s="1" customFormat="1" spans="1:46">
      <c r="A624" s="81"/>
      <c r="B624" s="89"/>
      <c r="C624" s="89"/>
      <c r="D624" s="89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</row>
    <row r="625" s="1" customFormat="1" spans="1:46">
      <c r="A625" s="81"/>
      <c r="B625" s="89"/>
      <c r="C625" s="89"/>
      <c r="D625" s="89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</row>
    <row r="626" s="1" customFormat="1" spans="1:46">
      <c r="A626" s="81"/>
      <c r="B626" s="89"/>
      <c r="C626" s="89"/>
      <c r="D626" s="89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</row>
    <row r="627" s="1" customFormat="1" spans="1:46">
      <c r="A627" s="81"/>
      <c r="B627" s="89"/>
      <c r="C627" s="89"/>
      <c r="D627" s="89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</row>
    <row r="628" s="1" customFormat="1" spans="1:46">
      <c r="A628" s="81"/>
      <c r="B628" s="89"/>
      <c r="C628" s="89"/>
      <c r="D628" s="89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</row>
    <row r="629" s="1" customFormat="1" spans="1:46">
      <c r="A629" s="81"/>
      <c r="B629" s="89"/>
      <c r="C629" s="89"/>
      <c r="D629" s="89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</row>
    <row r="630" s="1" customFormat="1" spans="1:46">
      <c r="A630" s="81"/>
      <c r="B630" s="89"/>
      <c r="C630" s="89"/>
      <c r="D630" s="89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</row>
    <row r="631" s="1" customFormat="1" spans="1:46">
      <c r="A631" s="81"/>
      <c r="B631" s="89"/>
      <c r="C631" s="89"/>
      <c r="D631" s="89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</row>
    <row r="632" s="1" customFormat="1" spans="1:46">
      <c r="A632" s="81"/>
      <c r="B632" s="89"/>
      <c r="C632" s="89"/>
      <c r="D632" s="89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</row>
    <row r="633" s="1" customFormat="1" spans="1:46">
      <c r="A633" s="81"/>
      <c r="B633" s="89"/>
      <c r="C633" s="89"/>
      <c r="D633" s="89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</row>
    <row r="634" s="1" customFormat="1" spans="1:46">
      <c r="A634" s="81"/>
      <c r="B634" s="89"/>
      <c r="C634" s="89"/>
      <c r="D634" s="89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</row>
    <row r="635" s="1" customFormat="1" spans="1:46">
      <c r="A635" s="81"/>
      <c r="B635" s="89"/>
      <c r="C635" s="89"/>
      <c r="D635" s="89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</row>
    <row r="636" s="1" customFormat="1" spans="1:46">
      <c r="A636" s="81"/>
      <c r="B636" s="89"/>
      <c r="C636" s="89"/>
      <c r="D636" s="89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</row>
    <row r="637" s="1" customFormat="1" spans="1:46">
      <c r="A637" s="81"/>
      <c r="B637" s="89"/>
      <c r="C637" s="89"/>
      <c r="D637" s="89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</row>
    <row r="638" s="1" customFormat="1" spans="1:46">
      <c r="A638" s="81"/>
      <c r="B638" s="89"/>
      <c r="C638" s="89"/>
      <c r="D638" s="89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</row>
    <row r="639" s="1" customFormat="1" spans="1:46">
      <c r="A639" s="81"/>
      <c r="B639" s="89"/>
      <c r="C639" s="89"/>
      <c r="D639" s="89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</row>
    <row r="640" s="1" customFormat="1" spans="1:46">
      <c r="A640" s="81"/>
      <c r="B640" s="89"/>
      <c r="C640" s="89"/>
      <c r="D640" s="89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</row>
    <row r="641" s="1" customFormat="1" spans="1:46">
      <c r="A641" s="81"/>
      <c r="B641" s="89"/>
      <c r="C641" s="89"/>
      <c r="D641" s="89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</row>
    <row r="642" s="1" customFormat="1" spans="1:46">
      <c r="A642" s="81"/>
      <c r="B642" s="89"/>
      <c r="C642" s="89"/>
      <c r="D642" s="89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</row>
    <row r="643" s="1" customFormat="1" spans="1:46">
      <c r="A643" s="81"/>
      <c r="B643" s="89"/>
      <c r="C643" s="89"/>
      <c r="D643" s="89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</row>
    <row r="644" s="1" customFormat="1" spans="1:46">
      <c r="A644" s="81"/>
      <c r="B644" s="89"/>
      <c r="C644" s="89"/>
      <c r="D644" s="89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</row>
    <row r="645" s="1" customFormat="1" spans="1:46">
      <c r="A645" s="81"/>
      <c r="B645" s="89"/>
      <c r="C645" s="89"/>
      <c r="D645" s="89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</row>
    <row r="646" s="1" customFormat="1" spans="1:46">
      <c r="A646" s="81"/>
      <c r="B646" s="89"/>
      <c r="C646" s="89"/>
      <c r="D646" s="89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</row>
    <row r="647" s="1" customFormat="1" spans="1:46">
      <c r="A647" s="81"/>
      <c r="B647" s="89"/>
      <c r="C647" s="89"/>
      <c r="D647" s="89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</row>
    <row r="648" s="1" customFormat="1" spans="1:46">
      <c r="A648" s="81"/>
      <c r="B648" s="89"/>
      <c r="C648" s="89"/>
      <c r="D648" s="89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</row>
    <row r="649" s="1" customFormat="1" spans="1:46">
      <c r="A649" s="81"/>
      <c r="B649" s="89"/>
      <c r="C649" s="89"/>
      <c r="D649" s="89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</row>
    <row r="650" s="1" customFormat="1" spans="1:46">
      <c r="A650" s="81"/>
      <c r="B650" s="89"/>
      <c r="C650" s="89"/>
      <c r="D650" s="89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</row>
    <row r="651" s="1" customFormat="1" spans="1:46">
      <c r="A651" s="81"/>
      <c r="B651" s="89"/>
      <c r="C651" s="89"/>
      <c r="D651" s="89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</row>
    <row r="652" s="1" customFormat="1" spans="1:46">
      <c r="A652" s="81"/>
      <c r="B652" s="89"/>
      <c r="C652" s="89"/>
      <c r="D652" s="89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</row>
    <row r="653" s="1" customFormat="1" spans="1:46">
      <c r="A653" s="81"/>
      <c r="B653" s="89"/>
      <c r="C653" s="89"/>
      <c r="D653" s="89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</row>
    <row r="654" s="1" customFormat="1" spans="1:46">
      <c r="A654" s="81"/>
      <c r="B654" s="89"/>
      <c r="C654" s="89"/>
      <c r="D654" s="89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</row>
    <row r="655" s="1" customFormat="1" spans="1:46">
      <c r="A655" s="81"/>
      <c r="B655" s="89"/>
      <c r="C655" s="89"/>
      <c r="D655" s="89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</row>
    <row r="656" s="1" customFormat="1" spans="1:46">
      <c r="A656" s="81"/>
      <c r="B656" s="89"/>
      <c r="C656" s="89"/>
      <c r="D656" s="89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</row>
    <row r="657" s="1" customFormat="1" spans="1:46">
      <c r="A657" s="81"/>
      <c r="B657" s="89"/>
      <c r="C657" s="89"/>
      <c r="D657" s="89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</row>
    <row r="658" s="1" customFormat="1" spans="1:46">
      <c r="A658" s="81"/>
      <c r="B658" s="89"/>
      <c r="C658" s="89"/>
      <c r="D658" s="89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</row>
    <row r="659" s="1" customFormat="1" spans="1:46">
      <c r="A659" s="81"/>
      <c r="B659" s="89"/>
      <c r="C659" s="89"/>
      <c r="D659" s="89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</row>
    <row r="660" s="1" customFormat="1" spans="1:46">
      <c r="A660" s="81"/>
      <c r="B660" s="89"/>
      <c r="C660" s="89"/>
      <c r="D660" s="89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</row>
    <row r="661" s="1" customFormat="1" spans="1:46">
      <c r="A661" s="81"/>
      <c r="B661" s="89"/>
      <c r="C661" s="89"/>
      <c r="D661" s="89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</row>
    <row r="662" s="1" customFormat="1" spans="1:46">
      <c r="A662" s="81"/>
      <c r="B662" s="89"/>
      <c r="C662" s="89"/>
      <c r="D662" s="89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</row>
    <row r="663" s="1" customFormat="1" spans="1:46">
      <c r="A663" s="81"/>
      <c r="B663" s="89"/>
      <c r="C663" s="89"/>
      <c r="D663" s="89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</row>
    <row r="664" s="1" customFormat="1" spans="1:46">
      <c r="A664" s="81"/>
      <c r="B664" s="89"/>
      <c r="C664" s="89"/>
      <c r="D664" s="89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</row>
    <row r="665" s="1" customFormat="1" spans="1:46">
      <c r="A665" s="81"/>
      <c r="B665" s="89"/>
      <c r="C665" s="89"/>
      <c r="D665" s="89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</row>
    <row r="666" s="1" customFormat="1" spans="1:46">
      <c r="A666" s="81"/>
      <c r="B666" s="89"/>
      <c r="C666" s="89"/>
      <c r="D666" s="89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</row>
    <row r="667" s="1" customFormat="1" spans="1:46">
      <c r="A667" s="81"/>
      <c r="B667" s="89"/>
      <c r="C667" s="89"/>
      <c r="D667" s="89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</row>
    <row r="668" s="1" customFormat="1" spans="1:46">
      <c r="A668" s="81"/>
      <c r="B668" s="89"/>
      <c r="C668" s="89"/>
      <c r="D668" s="89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</row>
    <row r="669" s="1" customFormat="1" spans="1:46">
      <c r="A669" s="81"/>
      <c r="B669" s="89"/>
      <c r="C669" s="89"/>
      <c r="D669" s="89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</row>
    <row r="670" s="1" customFormat="1" spans="1:46">
      <c r="A670" s="81"/>
      <c r="B670" s="89"/>
      <c r="C670" s="89"/>
      <c r="D670" s="89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</row>
    <row r="671" s="1" customFormat="1" spans="1:46">
      <c r="A671" s="81"/>
      <c r="B671" s="89"/>
      <c r="C671" s="89"/>
      <c r="D671" s="89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</row>
    <row r="672" s="1" customFormat="1" spans="1:46">
      <c r="A672" s="81"/>
      <c r="B672" s="89"/>
      <c r="C672" s="89"/>
      <c r="D672" s="89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</row>
    <row r="673" s="1" customFormat="1" spans="1:46">
      <c r="A673" s="81"/>
      <c r="B673" s="89"/>
      <c r="C673" s="89"/>
      <c r="D673" s="89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</row>
    <row r="674" s="1" customFormat="1" spans="1:46">
      <c r="A674" s="81"/>
      <c r="B674" s="89"/>
      <c r="C674" s="89"/>
      <c r="D674" s="89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</row>
    <row r="675" s="1" customFormat="1" spans="1:46">
      <c r="A675" s="81"/>
      <c r="B675" s="89"/>
      <c r="C675" s="89"/>
      <c r="D675" s="89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</row>
    <row r="676" s="1" customFormat="1" spans="1:46">
      <c r="A676" s="81"/>
      <c r="B676" s="89"/>
      <c r="C676" s="89"/>
      <c r="D676" s="89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</row>
    <row r="677" s="1" customFormat="1" spans="1:46">
      <c r="A677" s="81"/>
      <c r="B677" s="89"/>
      <c r="C677" s="89"/>
      <c r="D677" s="89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</row>
    <row r="678" s="1" customFormat="1" spans="1:46">
      <c r="A678" s="81"/>
      <c r="B678" s="89"/>
      <c r="C678" s="89"/>
      <c r="D678" s="89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</row>
    <row r="679" s="1" customFormat="1" spans="1:46">
      <c r="A679" s="81"/>
      <c r="B679" s="89"/>
      <c r="C679" s="89"/>
      <c r="D679" s="89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</row>
    <row r="680" s="1" customFormat="1" spans="1:46">
      <c r="A680" s="81"/>
      <c r="B680" s="89"/>
      <c r="C680" s="89"/>
      <c r="D680" s="89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</row>
    <row r="681" s="1" customFormat="1" spans="1:46">
      <c r="A681" s="81"/>
      <c r="B681" s="89"/>
      <c r="C681" s="89"/>
      <c r="D681" s="89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</row>
    <row r="682" s="1" customFormat="1" spans="1:46">
      <c r="A682" s="81"/>
      <c r="B682" s="89"/>
      <c r="C682" s="89"/>
      <c r="D682" s="89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</row>
    <row r="683" s="1" customFormat="1" spans="1:46">
      <c r="A683" s="81"/>
      <c r="B683" s="89"/>
      <c r="C683" s="89"/>
      <c r="D683" s="89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</row>
    <row r="684" s="1" customFormat="1" spans="1:46">
      <c r="A684" s="81"/>
      <c r="B684" s="89"/>
      <c r="C684" s="89"/>
      <c r="D684" s="89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</row>
    <row r="685" s="1" customFormat="1" spans="1:46">
      <c r="A685" s="81"/>
      <c r="B685" s="89"/>
      <c r="C685" s="89"/>
      <c r="D685" s="89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</row>
    <row r="686" s="1" customFormat="1" spans="1:46">
      <c r="A686" s="81"/>
      <c r="B686" s="89"/>
      <c r="C686" s="89"/>
      <c r="D686" s="89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</row>
    <row r="687" s="1" customFormat="1" spans="1:46">
      <c r="A687" s="81"/>
      <c r="B687" s="89"/>
      <c r="C687" s="89"/>
      <c r="D687" s="89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</row>
    <row r="688" s="1" customFormat="1" spans="1:46">
      <c r="A688" s="81"/>
      <c r="B688" s="89"/>
      <c r="C688" s="89"/>
      <c r="D688" s="89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</row>
    <row r="689" s="1" customFormat="1" spans="1:46">
      <c r="A689" s="81"/>
      <c r="B689" s="89"/>
      <c r="C689" s="89"/>
      <c r="D689" s="89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</row>
    <row r="690" s="1" customFormat="1" spans="1:46">
      <c r="A690" s="81"/>
      <c r="B690" s="89"/>
      <c r="C690" s="89"/>
      <c r="D690" s="89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</row>
    <row r="691" s="1" customFormat="1" spans="1:46">
      <c r="A691" s="81"/>
      <c r="B691" s="89"/>
      <c r="C691" s="89"/>
      <c r="D691" s="89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</row>
    <row r="692" s="1" customFormat="1" spans="1:46">
      <c r="A692" s="81"/>
      <c r="B692" s="89"/>
      <c r="C692" s="89"/>
      <c r="D692" s="89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</row>
    <row r="693" s="1" customFormat="1" spans="1:46">
      <c r="A693" s="81"/>
      <c r="B693" s="89"/>
      <c r="C693" s="89"/>
      <c r="D693" s="89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</row>
    <row r="694" s="1" customFormat="1" spans="1:46">
      <c r="A694" s="81"/>
      <c r="B694" s="89"/>
      <c r="C694" s="89"/>
      <c r="D694" s="89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</row>
    <row r="695" s="1" customFormat="1" spans="1:46">
      <c r="A695" s="81"/>
      <c r="B695" s="89"/>
      <c r="C695" s="89"/>
      <c r="D695" s="89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</row>
    <row r="696" s="1" customFormat="1" spans="1:46">
      <c r="A696" s="81"/>
      <c r="B696" s="89"/>
      <c r="C696" s="89"/>
      <c r="D696" s="89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</row>
    <row r="697" s="1" customFormat="1" spans="1:46">
      <c r="A697" s="81"/>
      <c r="B697" s="89"/>
      <c r="C697" s="89"/>
      <c r="D697" s="89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</row>
    <row r="698" s="1" customFormat="1" spans="1:46">
      <c r="A698" s="81"/>
      <c r="B698" s="89"/>
      <c r="C698" s="89"/>
      <c r="D698" s="89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</row>
    <row r="699" s="1" customFormat="1" spans="1:46">
      <c r="A699" s="81"/>
      <c r="B699" s="89"/>
      <c r="C699" s="89"/>
      <c r="D699" s="89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</row>
    <row r="700" s="1" customFormat="1" spans="1:46">
      <c r="A700" s="81"/>
      <c r="B700" s="89"/>
      <c r="C700" s="89"/>
      <c r="D700" s="89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</row>
    <row r="701" s="1" customFormat="1" spans="1:46">
      <c r="A701" s="81"/>
      <c r="B701" s="89"/>
      <c r="C701" s="89"/>
      <c r="D701" s="89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</row>
    <row r="702" s="1" customFormat="1" spans="1:46">
      <c r="A702" s="81"/>
      <c r="B702" s="89"/>
      <c r="C702" s="89"/>
      <c r="D702" s="89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</row>
    <row r="703" s="1" customFormat="1" spans="1:46">
      <c r="A703" s="81"/>
      <c r="B703" s="89"/>
      <c r="C703" s="89"/>
      <c r="D703" s="89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</row>
    <row r="704" s="1" customFormat="1" spans="1:46">
      <c r="A704" s="81"/>
      <c r="B704" s="89"/>
      <c r="C704" s="89"/>
      <c r="D704" s="89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</row>
    <row r="705" s="1" customFormat="1" spans="1:46">
      <c r="A705" s="81"/>
      <c r="B705" s="89"/>
      <c r="C705" s="89"/>
      <c r="D705" s="89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</row>
    <row r="706" s="1" customFormat="1" spans="1:46">
      <c r="A706" s="81"/>
      <c r="B706" s="89"/>
      <c r="C706" s="89"/>
      <c r="D706" s="89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</row>
    <row r="707" s="1" customFormat="1" spans="1:46">
      <c r="A707" s="81"/>
      <c r="B707" s="89"/>
      <c r="C707" s="89"/>
      <c r="D707" s="89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</row>
    <row r="708" s="1" customFormat="1" spans="1:46">
      <c r="A708" s="81"/>
      <c r="B708" s="89"/>
      <c r="C708" s="89"/>
      <c r="D708" s="89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</row>
    <row r="709" s="1" customFormat="1" spans="1:46">
      <c r="A709" s="81"/>
      <c r="B709" s="89"/>
      <c r="C709" s="89"/>
      <c r="D709" s="89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</row>
    <row r="710" s="1" customFormat="1" spans="1:46">
      <c r="A710" s="81"/>
      <c r="B710" s="89"/>
      <c r="C710" s="89"/>
      <c r="D710" s="89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</row>
    <row r="711" s="1" customFormat="1" spans="1:46">
      <c r="A711" s="81"/>
      <c r="B711" s="89"/>
      <c r="C711" s="89"/>
      <c r="D711" s="89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</row>
    <row r="712" s="1" customFormat="1" spans="1:46">
      <c r="A712" s="81"/>
      <c r="B712" s="89"/>
      <c r="C712" s="89"/>
      <c r="D712" s="89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</row>
    <row r="713" s="1" customFormat="1" spans="1:46">
      <c r="A713" s="81"/>
      <c r="B713" s="89"/>
      <c r="C713" s="89"/>
      <c r="D713" s="89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</row>
    <row r="714" s="1" customFormat="1" spans="1:46">
      <c r="A714" s="81"/>
      <c r="B714" s="89"/>
      <c r="C714" s="89"/>
      <c r="D714" s="89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</row>
    <row r="715" s="1" customFormat="1" spans="1:46">
      <c r="A715" s="81"/>
      <c r="B715" s="89"/>
      <c r="C715" s="89"/>
      <c r="D715" s="89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</row>
    <row r="716" s="1" customFormat="1" spans="1:46">
      <c r="A716" s="81"/>
      <c r="B716" s="89"/>
      <c r="C716" s="89"/>
      <c r="D716" s="89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</row>
    <row r="717" s="1" customFormat="1" spans="1:46">
      <c r="A717" s="81"/>
      <c r="B717" s="89"/>
      <c r="C717" s="89"/>
      <c r="D717" s="89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</row>
    <row r="718" s="1" customFormat="1" spans="1:46">
      <c r="A718" s="81"/>
      <c r="B718" s="89"/>
      <c r="C718" s="89"/>
      <c r="D718" s="89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</row>
    <row r="719" s="1" customFormat="1" spans="1:46">
      <c r="A719" s="81"/>
      <c r="B719" s="89"/>
      <c r="C719" s="89"/>
      <c r="D719" s="89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</row>
    <row r="720" s="1" customFormat="1" spans="1:46">
      <c r="A720" s="81"/>
      <c r="B720" s="89"/>
      <c r="C720" s="89"/>
      <c r="D720" s="89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</row>
    <row r="721" s="1" customFormat="1" spans="1:46">
      <c r="A721" s="81"/>
      <c r="B721" s="89"/>
      <c r="C721" s="89"/>
      <c r="D721" s="89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</row>
    <row r="722" s="1" customFormat="1" spans="1:46">
      <c r="A722" s="81"/>
      <c r="B722" s="89"/>
      <c r="C722" s="89"/>
      <c r="D722" s="89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</row>
    <row r="723" s="1" customFormat="1" spans="1:46">
      <c r="A723" s="81"/>
      <c r="B723" s="89"/>
      <c r="C723" s="89"/>
      <c r="D723" s="89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</row>
    <row r="724" s="1" customFormat="1" spans="1:46">
      <c r="A724" s="81"/>
      <c r="B724" s="89"/>
      <c r="C724" s="89"/>
      <c r="D724" s="89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</row>
    <row r="725" s="1" customFormat="1" spans="1:46">
      <c r="A725" s="81"/>
      <c r="B725" s="89"/>
      <c r="C725" s="89"/>
      <c r="D725" s="89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</row>
    <row r="726" s="1" customFormat="1" spans="1:46">
      <c r="A726" s="81"/>
      <c r="B726" s="89"/>
      <c r="C726" s="89"/>
      <c r="D726" s="89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</row>
    <row r="727" s="1" customFormat="1" spans="1:46">
      <c r="A727" s="81"/>
      <c r="B727" s="89"/>
      <c r="C727" s="89"/>
      <c r="D727" s="89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</row>
    <row r="728" s="1" customFormat="1" spans="1:46">
      <c r="A728" s="81"/>
      <c r="B728" s="89"/>
      <c r="C728" s="89"/>
      <c r="D728" s="89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</row>
    <row r="729" s="1" customFormat="1" spans="1:46">
      <c r="A729" s="81"/>
      <c r="B729" s="89"/>
      <c r="C729" s="89"/>
      <c r="D729" s="89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</row>
    <row r="730" s="1" customFormat="1" spans="1:46">
      <c r="A730" s="81"/>
      <c r="B730" s="89"/>
      <c r="C730" s="89"/>
      <c r="D730" s="89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</row>
    <row r="731" s="1" customFormat="1" spans="1:46">
      <c r="A731" s="81"/>
      <c r="B731" s="89"/>
      <c r="C731" s="89"/>
      <c r="D731" s="89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</row>
    <row r="732" s="1" customFormat="1" spans="1:46">
      <c r="A732" s="81"/>
      <c r="B732" s="89"/>
      <c r="C732" s="89"/>
      <c r="D732" s="89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</row>
    <row r="733" s="1" customFormat="1" spans="1:46">
      <c r="A733" s="81"/>
      <c r="B733" s="89"/>
      <c r="C733" s="89"/>
      <c r="D733" s="89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</row>
    <row r="734" s="1" customFormat="1" spans="1:46">
      <c r="A734" s="81"/>
      <c r="B734" s="89"/>
      <c r="C734" s="89"/>
      <c r="D734" s="89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</row>
    <row r="735" s="1" customFormat="1" spans="1:46">
      <c r="A735" s="81"/>
      <c r="B735" s="89"/>
      <c r="C735" s="89"/>
      <c r="D735" s="89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</row>
    <row r="736" s="1" customFormat="1" spans="1:46">
      <c r="A736" s="81"/>
      <c r="B736" s="89"/>
      <c r="C736" s="89"/>
      <c r="D736" s="89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</row>
    <row r="737" s="1" customFormat="1" spans="1:46">
      <c r="A737" s="81"/>
      <c r="B737" s="89"/>
      <c r="C737" s="89"/>
      <c r="D737" s="89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</row>
    <row r="738" s="1" customFormat="1" spans="1:46">
      <c r="A738" s="81"/>
      <c r="B738" s="89"/>
      <c r="C738" s="89"/>
      <c r="D738" s="89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</row>
    <row r="739" s="1" customFormat="1" spans="1:46">
      <c r="A739" s="81"/>
      <c r="B739" s="89"/>
      <c r="C739" s="89"/>
      <c r="D739" s="89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</row>
    <row r="740" s="1" customFormat="1" spans="1:46">
      <c r="A740" s="81"/>
      <c r="B740" s="89"/>
      <c r="C740" s="89"/>
      <c r="D740" s="89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</row>
    <row r="741" s="1" customFormat="1" spans="1:46">
      <c r="A741" s="81"/>
      <c r="B741" s="89"/>
      <c r="C741" s="89"/>
      <c r="D741" s="89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</row>
    <row r="742" s="1" customFormat="1" spans="1:46">
      <c r="A742" s="81"/>
      <c r="B742" s="89"/>
      <c r="C742" s="89"/>
      <c r="D742" s="89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</row>
    <row r="743" s="1" customFormat="1" spans="1:46">
      <c r="A743" s="81"/>
      <c r="B743" s="89"/>
      <c r="C743" s="89"/>
      <c r="D743" s="89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</row>
    <row r="744" s="1" customFormat="1" spans="1:46">
      <c r="A744" s="81"/>
      <c r="B744" s="89"/>
      <c r="C744" s="89"/>
      <c r="D744" s="89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</row>
    <row r="745" s="1" customFormat="1" spans="1:46">
      <c r="A745" s="81"/>
      <c r="B745" s="89"/>
      <c r="C745" s="89"/>
      <c r="D745" s="89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</row>
    <row r="746" s="1" customFormat="1" spans="1:46">
      <c r="A746" s="81"/>
      <c r="B746" s="89"/>
      <c r="C746" s="89"/>
      <c r="D746" s="89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</row>
    <row r="747" s="1" customFormat="1" spans="1:46">
      <c r="A747" s="81"/>
      <c r="B747" s="89"/>
      <c r="C747" s="89"/>
      <c r="D747" s="89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</row>
    <row r="748" s="1" customFormat="1" spans="1:46">
      <c r="A748" s="81"/>
      <c r="B748" s="89"/>
      <c r="C748" s="89"/>
      <c r="D748" s="89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</row>
    <row r="749" s="1" customFormat="1" spans="1:46">
      <c r="A749" s="81"/>
      <c r="B749" s="89"/>
      <c r="C749" s="89"/>
      <c r="D749" s="89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</row>
    <row r="750" s="1" customFormat="1" spans="1:46">
      <c r="A750" s="81"/>
      <c r="B750" s="89"/>
      <c r="C750" s="89"/>
      <c r="D750" s="89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</row>
    <row r="751" s="1" customFormat="1" spans="1:46">
      <c r="A751" s="81"/>
      <c r="B751" s="89"/>
      <c r="C751" s="89"/>
      <c r="D751" s="89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</row>
    <row r="752" s="1" customFormat="1" spans="1:46">
      <c r="A752" s="81"/>
      <c r="B752" s="89"/>
      <c r="C752" s="89"/>
      <c r="D752" s="89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</row>
    <row r="753" s="1" customFormat="1" spans="1:46">
      <c r="A753" s="81"/>
      <c r="B753" s="89"/>
      <c r="C753" s="89"/>
      <c r="D753" s="89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</row>
    <row r="754" s="1" customFormat="1" spans="1:46">
      <c r="A754" s="81"/>
      <c r="B754" s="89"/>
      <c r="C754" s="89"/>
      <c r="D754" s="89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</row>
    <row r="755" s="1" customFormat="1" spans="1:46">
      <c r="A755" s="81"/>
      <c r="B755" s="89"/>
      <c r="C755" s="89"/>
      <c r="D755" s="89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</row>
    <row r="756" s="1" customFormat="1" spans="1:46">
      <c r="A756" s="81"/>
      <c r="B756" s="89"/>
      <c r="C756" s="89"/>
      <c r="D756" s="89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</row>
    <row r="757" s="1" customFormat="1" spans="1:46">
      <c r="A757" s="81"/>
      <c r="B757" s="89"/>
      <c r="C757" s="89"/>
      <c r="D757" s="89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</row>
    <row r="758" s="1" customFormat="1" spans="1:46">
      <c r="A758" s="81"/>
      <c r="B758" s="89"/>
      <c r="C758" s="89"/>
      <c r="D758" s="89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</row>
    <row r="759" s="1" customFormat="1" spans="1:46">
      <c r="A759" s="81"/>
      <c r="B759" s="89"/>
      <c r="C759" s="89"/>
      <c r="D759" s="89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</row>
    <row r="760" s="1" customFormat="1" spans="1:46">
      <c r="A760" s="81"/>
      <c r="B760" s="89"/>
      <c r="C760" s="89"/>
      <c r="D760" s="89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</row>
    <row r="761" s="1" customFormat="1" spans="1:46">
      <c r="A761" s="81"/>
      <c r="B761" s="89"/>
      <c r="C761" s="89"/>
      <c r="D761" s="89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</row>
    <row r="762" s="1" customFormat="1" spans="1:46">
      <c r="A762" s="81"/>
      <c r="B762" s="89"/>
      <c r="C762" s="89"/>
      <c r="D762" s="89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</row>
    <row r="763" s="1" customFormat="1" spans="1:46">
      <c r="A763" s="81"/>
      <c r="B763" s="89"/>
      <c r="C763" s="89"/>
      <c r="D763" s="89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</row>
    <row r="764" s="1" customFormat="1" spans="1:46">
      <c r="A764" s="81"/>
      <c r="B764" s="89"/>
      <c r="C764" s="89"/>
      <c r="D764" s="89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</row>
    <row r="765" s="1" customFormat="1" spans="1:46">
      <c r="A765" s="81"/>
      <c r="B765" s="89"/>
      <c r="C765" s="89"/>
      <c r="D765" s="89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</row>
    <row r="766" s="1" customFormat="1" spans="1:46">
      <c r="A766" s="81"/>
      <c r="B766" s="89"/>
      <c r="C766" s="89"/>
      <c r="D766" s="89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</row>
    <row r="767" s="1" customFormat="1" spans="1:46">
      <c r="A767" s="81"/>
      <c r="B767" s="89"/>
      <c r="C767" s="89"/>
      <c r="D767" s="89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</row>
    <row r="768" s="1" customFormat="1" spans="1:46">
      <c r="A768" s="81"/>
      <c r="B768" s="89"/>
      <c r="C768" s="89"/>
      <c r="D768" s="89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</row>
    <row r="769" s="1" customFormat="1" spans="1:46">
      <c r="A769" s="81"/>
      <c r="B769" s="89"/>
      <c r="C769" s="89"/>
      <c r="D769" s="89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</row>
    <row r="770" s="1" customFormat="1" spans="1:46">
      <c r="A770" s="81"/>
      <c r="B770" s="89"/>
      <c r="C770" s="89"/>
      <c r="D770" s="89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</row>
    <row r="771" s="1" customFormat="1" spans="1:46">
      <c r="A771" s="81"/>
      <c r="B771" s="89"/>
      <c r="C771" s="89"/>
      <c r="D771" s="89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</row>
    <row r="772" s="1" customFormat="1" spans="1:46">
      <c r="A772" s="81"/>
      <c r="B772" s="89"/>
      <c r="C772" s="89"/>
      <c r="D772" s="89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</row>
    <row r="773" s="1" customFormat="1" spans="1:46">
      <c r="A773" s="81"/>
      <c r="B773" s="89"/>
      <c r="C773" s="89"/>
      <c r="D773" s="89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</row>
    <row r="774" s="1" customFormat="1" spans="1:46">
      <c r="A774" s="81"/>
      <c r="B774" s="89"/>
      <c r="C774" s="89"/>
      <c r="D774" s="89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</row>
    <row r="775" s="1" customFormat="1" spans="1:46">
      <c r="A775" s="81"/>
      <c r="B775" s="89"/>
      <c r="C775" s="89"/>
      <c r="D775" s="89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</row>
    <row r="776" s="1" customFormat="1" spans="1:46">
      <c r="A776" s="81"/>
      <c r="B776" s="89"/>
      <c r="C776" s="89"/>
      <c r="D776" s="89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</row>
    <row r="777" s="1" customFormat="1" spans="1:46">
      <c r="A777" s="81"/>
      <c r="B777" s="89"/>
      <c r="C777" s="89"/>
      <c r="D777" s="89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</row>
    <row r="778" s="1" customFormat="1" spans="1:46">
      <c r="A778" s="81"/>
      <c r="B778" s="89"/>
      <c r="C778" s="89"/>
      <c r="D778" s="89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</row>
    <row r="779" s="1" customFormat="1" spans="1:46">
      <c r="A779" s="81"/>
      <c r="B779" s="89"/>
      <c r="C779" s="89"/>
      <c r="D779" s="89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</row>
    <row r="780" s="1" customFormat="1" spans="1:46">
      <c r="A780" s="81"/>
      <c r="B780" s="89"/>
      <c r="C780" s="89"/>
      <c r="D780" s="89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</row>
    <row r="781" s="1" customFormat="1" spans="1:46">
      <c r="A781" s="81"/>
      <c r="B781" s="89"/>
      <c r="C781" s="89"/>
      <c r="D781" s="89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</row>
    <row r="782" s="1" customFormat="1" spans="1:46">
      <c r="A782" s="81"/>
      <c r="B782" s="89"/>
      <c r="C782" s="89"/>
      <c r="D782" s="89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</row>
    <row r="783" s="1" customFormat="1" spans="1:46">
      <c r="A783" s="81"/>
      <c r="B783" s="89"/>
      <c r="C783" s="89"/>
      <c r="D783" s="89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</row>
    <row r="784" s="1" customFormat="1" spans="1:46">
      <c r="A784" s="81"/>
      <c r="B784" s="89"/>
      <c r="C784" s="89"/>
      <c r="D784" s="89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</row>
    <row r="785" s="1" customFormat="1" spans="1:46">
      <c r="A785" s="81"/>
      <c r="B785" s="89"/>
      <c r="C785" s="89"/>
      <c r="D785" s="89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</row>
    <row r="786" s="1" customFormat="1" spans="1:46">
      <c r="A786" s="81"/>
      <c r="B786" s="89"/>
      <c r="C786" s="89"/>
      <c r="D786" s="89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</row>
    <row r="787" s="1" customFormat="1" spans="1:46">
      <c r="A787" s="81"/>
      <c r="B787" s="89"/>
      <c r="C787" s="89"/>
      <c r="D787" s="89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</row>
    <row r="788" s="1" customFormat="1" spans="1:46">
      <c r="A788" s="81"/>
      <c r="B788" s="89"/>
      <c r="C788" s="89"/>
      <c r="D788" s="89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</row>
    <row r="789" s="1" customFormat="1" spans="1:46">
      <c r="A789" s="81"/>
      <c r="B789" s="89"/>
      <c r="C789" s="89"/>
      <c r="D789" s="89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</row>
    <row r="790" s="1" customFormat="1" spans="1:46">
      <c r="A790" s="81"/>
      <c r="B790" s="89"/>
      <c r="C790" s="89"/>
      <c r="D790" s="89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</row>
    <row r="791" s="1" customFormat="1" spans="1:46">
      <c r="A791" s="81"/>
      <c r="B791" s="89"/>
      <c r="C791" s="89"/>
      <c r="D791" s="89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</row>
    <row r="792" s="1" customFormat="1" spans="1:46">
      <c r="A792" s="81"/>
      <c r="B792" s="89"/>
      <c r="C792" s="89"/>
      <c r="D792" s="89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</row>
    <row r="793" s="1" customFormat="1" spans="1:46">
      <c r="A793" s="81"/>
      <c r="B793" s="89"/>
      <c r="C793" s="89"/>
      <c r="D793" s="89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</row>
    <row r="794" s="1" customFormat="1" spans="1:46">
      <c r="A794" s="81"/>
      <c r="B794" s="89"/>
      <c r="C794" s="89"/>
      <c r="D794" s="89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</row>
    <row r="795" s="1" customFormat="1" spans="1:46">
      <c r="A795" s="81"/>
      <c r="B795" s="89"/>
      <c r="C795" s="89"/>
      <c r="D795" s="89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</row>
    <row r="796" s="1" customFormat="1" spans="1:46">
      <c r="A796" s="81"/>
      <c r="B796" s="89"/>
      <c r="C796" s="89"/>
      <c r="D796" s="89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</row>
    <row r="797" s="1" customFormat="1" spans="1:46">
      <c r="A797" s="81"/>
      <c r="B797" s="89"/>
      <c r="C797" s="89"/>
      <c r="D797" s="89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</row>
    <row r="798" s="1" customFormat="1" spans="1:46">
      <c r="A798" s="81"/>
      <c r="B798" s="89"/>
      <c r="C798" s="89"/>
      <c r="D798" s="89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</row>
    <row r="799" s="1" customFormat="1" spans="1:46">
      <c r="A799" s="81"/>
      <c r="B799" s="89"/>
      <c r="C799" s="89"/>
      <c r="D799" s="89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</row>
    <row r="800" s="1" customFormat="1" spans="1:46">
      <c r="A800" s="81"/>
      <c r="B800" s="89"/>
      <c r="C800" s="89"/>
      <c r="D800" s="89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</row>
    <row r="801" s="1" customFormat="1" spans="1:46">
      <c r="A801" s="81"/>
      <c r="B801" s="89"/>
      <c r="C801" s="89"/>
      <c r="D801" s="89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</row>
    <row r="802" s="1" customFormat="1" spans="1:46">
      <c r="A802" s="81"/>
      <c r="B802" s="89"/>
      <c r="C802" s="89"/>
      <c r="D802" s="89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</row>
    <row r="803" s="1" customFormat="1" spans="1:46">
      <c r="A803" s="81"/>
      <c r="B803" s="89"/>
      <c r="C803" s="89"/>
      <c r="D803" s="89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</row>
    <row r="804" s="1" customFormat="1" spans="1:46">
      <c r="A804" s="81"/>
      <c r="B804" s="89"/>
      <c r="C804" s="89"/>
      <c r="D804" s="89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</row>
    <row r="805" s="1" customFormat="1" spans="1:46">
      <c r="A805" s="81"/>
      <c r="B805" s="89"/>
      <c r="C805" s="89"/>
      <c r="D805" s="89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</row>
    <row r="806" s="1" customFormat="1" spans="1:46">
      <c r="A806" s="81"/>
      <c r="B806" s="89"/>
      <c r="C806" s="89"/>
      <c r="D806" s="89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</row>
    <row r="807" s="1" customFormat="1" spans="1:46">
      <c r="A807" s="81"/>
      <c r="B807" s="89"/>
      <c r="C807" s="89"/>
      <c r="D807" s="89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</row>
    <row r="808" s="1" customFormat="1" spans="1:46">
      <c r="A808" s="81"/>
      <c r="B808" s="89"/>
      <c r="C808" s="89"/>
      <c r="D808" s="89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</row>
    <row r="809" s="1" customFormat="1" spans="1:46">
      <c r="A809" s="81"/>
      <c r="B809" s="89"/>
      <c r="C809" s="89"/>
      <c r="D809" s="89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</row>
    <row r="810" s="1" customFormat="1" spans="1:46">
      <c r="A810" s="81"/>
      <c r="B810" s="89"/>
      <c r="C810" s="89"/>
      <c r="D810" s="89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</row>
    <row r="811" s="1" customFormat="1" spans="1:46">
      <c r="A811" s="81"/>
      <c r="B811" s="89"/>
      <c r="C811" s="89"/>
      <c r="D811" s="89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</row>
    <row r="812" s="1" customFormat="1" spans="1:46">
      <c r="A812" s="81"/>
      <c r="B812" s="89"/>
      <c r="C812" s="89"/>
      <c r="D812" s="89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</row>
    <row r="813" s="1" customFormat="1" spans="1:46">
      <c r="A813" s="81"/>
      <c r="B813" s="89"/>
      <c r="C813" s="89"/>
      <c r="D813" s="89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</row>
    <row r="814" s="1" customFormat="1" spans="1:46">
      <c r="A814" s="81"/>
      <c r="B814" s="89"/>
      <c r="C814" s="89"/>
      <c r="D814" s="89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</row>
    <row r="815" s="1" customFormat="1" spans="1:46">
      <c r="A815" s="81"/>
      <c r="B815" s="89"/>
      <c r="C815" s="89"/>
      <c r="D815" s="89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</row>
    <row r="816" s="1" customFormat="1" spans="1:46">
      <c r="A816" s="81"/>
      <c r="B816" s="89"/>
      <c r="C816" s="89"/>
      <c r="D816" s="89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</row>
    <row r="817" s="1" customFormat="1" spans="1:46">
      <c r="A817" s="81"/>
      <c r="B817" s="89"/>
      <c r="C817" s="89"/>
      <c r="D817" s="89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</row>
    <row r="818" s="1" customFormat="1" spans="1:46">
      <c r="A818" s="81"/>
      <c r="B818" s="89"/>
      <c r="C818" s="89"/>
      <c r="D818" s="89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</row>
    <row r="819" s="1" customFormat="1" spans="1:46">
      <c r="A819" s="81"/>
      <c r="B819" s="89"/>
      <c r="C819" s="89"/>
      <c r="D819" s="89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</row>
    <row r="820" s="1" customFormat="1" spans="1:46">
      <c r="A820" s="81"/>
      <c r="B820" s="89"/>
      <c r="C820" s="89"/>
      <c r="D820" s="89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</row>
    <row r="821" s="1" customFormat="1" spans="1:46">
      <c r="A821" s="81"/>
      <c r="B821" s="89"/>
      <c r="C821" s="89"/>
      <c r="D821" s="89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</row>
    <row r="822" s="1" customFormat="1" spans="1:46">
      <c r="A822" s="81"/>
      <c r="B822" s="89"/>
      <c r="C822" s="89"/>
      <c r="D822" s="89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</row>
    <row r="823" s="1" customFormat="1" spans="1:46">
      <c r="A823" s="81"/>
      <c r="B823" s="89"/>
      <c r="C823" s="89"/>
      <c r="D823" s="89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</row>
    <row r="824" s="1" customFormat="1" spans="1:46">
      <c r="A824" s="81"/>
      <c r="B824" s="89"/>
      <c r="C824" s="89"/>
      <c r="D824" s="89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</row>
    <row r="825" s="1" customFormat="1" spans="1:46">
      <c r="A825" s="81"/>
      <c r="B825" s="89"/>
      <c r="C825" s="89"/>
      <c r="D825" s="89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</row>
    <row r="826" s="1" customFormat="1" spans="1:46">
      <c r="A826" s="81"/>
      <c r="B826" s="89"/>
      <c r="C826" s="89"/>
      <c r="D826" s="89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</row>
    <row r="827" s="1" customFormat="1" spans="1:46">
      <c r="A827" s="81"/>
      <c r="B827" s="89"/>
      <c r="C827" s="89"/>
      <c r="D827" s="89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</row>
    <row r="828" s="1" customFormat="1" spans="1:46">
      <c r="A828" s="81"/>
      <c r="B828" s="89"/>
      <c r="C828" s="89"/>
      <c r="D828" s="89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</row>
    <row r="829" s="1" customFormat="1" spans="1:46">
      <c r="A829" s="81"/>
      <c r="B829" s="89"/>
      <c r="C829" s="89"/>
      <c r="D829" s="89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</row>
    <row r="830" s="1" customFormat="1" spans="1:46">
      <c r="A830" s="81"/>
      <c r="B830" s="89"/>
      <c r="C830" s="89"/>
      <c r="D830" s="89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</row>
    <row r="831" s="1" customFormat="1" spans="1:46">
      <c r="A831" s="81"/>
      <c r="B831" s="89"/>
      <c r="C831" s="89"/>
      <c r="D831" s="89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</row>
    <row r="832" s="1" customFormat="1" spans="1:46">
      <c r="A832" s="81"/>
      <c r="B832" s="89"/>
      <c r="C832" s="89"/>
      <c r="D832" s="89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</row>
    <row r="833" s="1" customFormat="1" spans="1:46">
      <c r="A833" s="81"/>
      <c r="B833" s="89"/>
      <c r="C833" s="89"/>
      <c r="D833" s="89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</row>
    <row r="834" s="1" customFormat="1" spans="1:46">
      <c r="A834" s="81"/>
      <c r="B834" s="89"/>
      <c r="C834" s="89"/>
      <c r="D834" s="89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</row>
    <row r="835" s="1" customFormat="1" spans="1:46">
      <c r="A835" s="81"/>
      <c r="B835" s="89"/>
      <c r="C835" s="89"/>
      <c r="D835" s="89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</row>
    <row r="836" s="1" customFormat="1" spans="1:46">
      <c r="A836" s="81"/>
      <c r="B836" s="89"/>
      <c r="C836" s="89"/>
      <c r="D836" s="89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</row>
    <row r="837" s="1" customFormat="1" spans="1:46">
      <c r="A837" s="81"/>
      <c r="B837" s="89"/>
      <c r="C837" s="89"/>
      <c r="D837" s="89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</row>
    <row r="838" s="1" customFormat="1" spans="1:46">
      <c r="A838" s="81"/>
      <c r="B838" s="89"/>
      <c r="C838" s="89"/>
      <c r="D838" s="89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</row>
    <row r="839" s="1" customFormat="1" spans="1:46">
      <c r="A839" s="81"/>
      <c r="B839" s="89"/>
      <c r="C839" s="89"/>
      <c r="D839" s="89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</row>
    <row r="840" s="1" customFormat="1" spans="1:46">
      <c r="A840" s="81"/>
      <c r="B840" s="89"/>
      <c r="C840" s="89"/>
      <c r="D840" s="89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</row>
    <row r="841" s="1" customFormat="1" spans="1:46">
      <c r="A841" s="81"/>
      <c r="B841" s="89"/>
      <c r="C841" s="89"/>
      <c r="D841" s="89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</row>
    <row r="842" s="1" customFormat="1" spans="1:46">
      <c r="A842" s="81"/>
      <c r="B842" s="89"/>
      <c r="C842" s="89"/>
      <c r="D842" s="89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</row>
    <row r="843" s="1" customFormat="1" spans="1:46">
      <c r="A843" s="81"/>
      <c r="B843" s="89"/>
      <c r="C843" s="89"/>
      <c r="D843" s="89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</row>
    <row r="844" s="1" customFormat="1" spans="1:46">
      <c r="A844" s="81"/>
      <c r="B844" s="89"/>
      <c r="C844" s="89"/>
      <c r="D844" s="89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</row>
    <row r="845" s="1" customFormat="1" spans="1:46">
      <c r="A845" s="81"/>
      <c r="B845" s="89"/>
      <c r="C845" s="89"/>
      <c r="D845" s="89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</row>
    <row r="846" s="1" customFormat="1" spans="1:46">
      <c r="A846" s="81"/>
      <c r="B846" s="89"/>
      <c r="C846" s="89"/>
      <c r="D846" s="89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</row>
    <row r="847" s="1" customFormat="1" spans="1:46">
      <c r="A847" s="81"/>
      <c r="B847" s="89"/>
      <c r="C847" s="89"/>
      <c r="D847" s="89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</row>
    <row r="848" s="1" customFormat="1" spans="1:46">
      <c r="A848" s="81"/>
      <c r="B848" s="89"/>
      <c r="C848" s="89"/>
      <c r="D848" s="89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</row>
    <row r="849" s="1" customFormat="1" spans="1:46">
      <c r="A849" s="81"/>
      <c r="B849" s="89"/>
      <c r="C849" s="89"/>
      <c r="D849" s="89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</row>
    <row r="850" s="1" customFormat="1" spans="1:46">
      <c r="A850" s="81"/>
      <c r="B850" s="89"/>
      <c r="C850" s="89"/>
      <c r="D850" s="89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</row>
    <row r="851" s="1" customFormat="1" spans="1:46">
      <c r="A851" s="81"/>
      <c r="B851" s="89"/>
      <c r="C851" s="89"/>
      <c r="D851" s="89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</row>
    <row r="852" s="1" customFormat="1" spans="1:46">
      <c r="A852" s="81"/>
      <c r="B852" s="89"/>
      <c r="C852" s="89"/>
      <c r="D852" s="89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</row>
    <row r="853" s="1" customFormat="1" spans="1:46">
      <c r="A853" s="81"/>
      <c r="B853" s="89"/>
      <c r="C853" s="89"/>
      <c r="D853" s="89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</row>
    <row r="854" s="1" customFormat="1" spans="1:46">
      <c r="A854" s="81"/>
      <c r="B854" s="89"/>
      <c r="C854" s="89"/>
      <c r="D854" s="89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</row>
    <row r="855" s="1" customFormat="1" spans="1:46">
      <c r="A855" s="81"/>
      <c r="B855" s="89"/>
      <c r="C855" s="89"/>
      <c r="D855" s="89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</row>
    <row r="856" s="1" customFormat="1" spans="1:46">
      <c r="A856" s="81"/>
      <c r="B856" s="89"/>
      <c r="C856" s="89"/>
      <c r="D856" s="89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</row>
    <row r="857" s="1" customFormat="1" spans="1:46">
      <c r="A857" s="81"/>
      <c r="B857" s="89"/>
      <c r="C857" s="89"/>
      <c r="D857" s="89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</row>
    <row r="858" s="1" customFormat="1" spans="1:46">
      <c r="A858" s="81"/>
      <c r="B858" s="89"/>
      <c r="C858" s="89"/>
      <c r="D858" s="89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</row>
    <row r="859" s="1" customFormat="1" spans="1:46">
      <c r="A859" s="81"/>
      <c r="B859" s="89"/>
      <c r="C859" s="89"/>
      <c r="D859" s="89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</row>
    <row r="860" s="1" customFormat="1" spans="1:46">
      <c r="A860" s="81"/>
      <c r="B860" s="89"/>
      <c r="C860" s="89"/>
      <c r="D860" s="89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</row>
    <row r="861" s="1" customFormat="1" spans="1:46">
      <c r="A861" s="81"/>
      <c r="B861" s="89"/>
      <c r="C861" s="89"/>
      <c r="D861" s="89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</row>
    <row r="862" s="1" customFormat="1" spans="1:46">
      <c r="A862" s="81"/>
      <c r="B862" s="89"/>
      <c r="C862" s="89"/>
      <c r="D862" s="89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</row>
    <row r="863" s="1" customFormat="1" spans="1:46">
      <c r="A863" s="81"/>
      <c r="B863" s="89"/>
      <c r="C863" s="89"/>
      <c r="D863" s="89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</row>
    <row r="864" s="1" customFormat="1" spans="1:46">
      <c r="A864" s="81"/>
      <c r="B864" s="89"/>
      <c r="C864" s="89"/>
      <c r="D864" s="89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</row>
    <row r="865" s="1" customFormat="1" spans="1:46">
      <c r="A865" s="81"/>
      <c r="B865" s="89"/>
      <c r="C865" s="89"/>
      <c r="D865" s="89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</row>
    <row r="866" s="1" customFormat="1" spans="1:46">
      <c r="A866" s="81"/>
      <c r="B866" s="89"/>
      <c r="C866" s="89"/>
      <c r="D866" s="89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</row>
    <row r="867" s="1" customFormat="1" spans="1:46">
      <c r="A867" s="81"/>
      <c r="B867" s="89"/>
      <c r="C867" s="89"/>
      <c r="D867" s="89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</row>
    <row r="868" s="1" customFormat="1" spans="1:46">
      <c r="A868" s="81"/>
      <c r="B868" s="89"/>
      <c r="C868" s="89"/>
      <c r="D868" s="89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</row>
    <row r="869" s="1" customFormat="1" spans="1:46">
      <c r="A869" s="81"/>
      <c r="B869" s="89"/>
      <c r="C869" s="89"/>
      <c r="D869" s="89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</row>
    <row r="870" s="1" customFormat="1" spans="1:46">
      <c r="A870" s="81"/>
      <c r="B870" s="89"/>
      <c r="C870" s="89"/>
      <c r="D870" s="89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</row>
    <row r="871" s="1" customFormat="1" spans="1:46">
      <c r="A871" s="81"/>
      <c r="B871" s="89"/>
      <c r="C871" s="89"/>
      <c r="D871" s="89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</row>
    <row r="872" s="1" customFormat="1" spans="1:46">
      <c r="A872" s="81"/>
      <c r="B872" s="89"/>
      <c r="C872" s="89"/>
      <c r="D872" s="89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</row>
    <row r="873" s="1" customFormat="1" spans="1:46">
      <c r="A873" s="81"/>
      <c r="B873" s="89"/>
      <c r="C873" s="89"/>
      <c r="D873" s="89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</row>
    <row r="874" s="1" customFormat="1" spans="1:46">
      <c r="A874" s="81"/>
      <c r="B874" s="89"/>
      <c r="C874" s="89"/>
      <c r="D874" s="89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</row>
    <row r="875" s="1" customFormat="1" spans="1:46">
      <c r="A875" s="81"/>
      <c r="B875" s="89"/>
      <c r="C875" s="89"/>
      <c r="D875" s="89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</row>
    <row r="876" s="1" customFormat="1" spans="1:46">
      <c r="A876" s="81"/>
      <c r="B876" s="89"/>
      <c r="C876" s="89"/>
      <c r="D876" s="89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</row>
    <row r="877" s="1" customFormat="1" spans="1:46">
      <c r="A877" s="81"/>
      <c r="B877" s="89"/>
      <c r="C877" s="89"/>
      <c r="D877" s="89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</row>
    <row r="878" s="1" customFormat="1" spans="1:46">
      <c r="A878" s="81"/>
      <c r="B878" s="89"/>
      <c r="C878" s="89"/>
      <c r="D878" s="89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</row>
    <row r="879" s="1" customFormat="1" spans="1:46">
      <c r="A879" s="81"/>
      <c r="B879" s="89"/>
      <c r="C879" s="89"/>
      <c r="D879" s="89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</row>
    <row r="880" s="1" customFormat="1" spans="1:46">
      <c r="A880" s="81"/>
      <c r="B880" s="89"/>
      <c r="C880" s="89"/>
      <c r="D880" s="89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</row>
    <row r="881" s="1" customFormat="1" spans="1:46">
      <c r="A881" s="81"/>
      <c r="B881" s="89"/>
      <c r="C881" s="89"/>
      <c r="D881" s="89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</row>
    <row r="882" s="1" customFormat="1" spans="1:46">
      <c r="A882" s="81"/>
      <c r="B882" s="89"/>
      <c r="C882" s="89"/>
      <c r="D882" s="89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</row>
    <row r="883" s="1" customFormat="1" spans="1:46">
      <c r="A883" s="81"/>
      <c r="B883" s="89"/>
      <c r="C883" s="89"/>
      <c r="D883" s="89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</row>
    <row r="884" s="1" customFormat="1" spans="1:46">
      <c r="A884" s="81"/>
      <c r="B884" s="89"/>
      <c r="C884" s="89"/>
      <c r="D884" s="89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</row>
    <row r="885" s="1" customFormat="1" spans="1:46">
      <c r="A885" s="81"/>
      <c r="B885" s="89"/>
      <c r="C885" s="89"/>
      <c r="D885" s="89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</row>
    <row r="886" s="1" customFormat="1" spans="1:46">
      <c r="A886" s="81"/>
      <c r="B886" s="89"/>
      <c r="C886" s="89"/>
      <c r="D886" s="89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</row>
    <row r="887" s="1" customFormat="1" spans="1:46">
      <c r="A887" s="81"/>
      <c r="B887" s="89"/>
      <c r="C887" s="89"/>
      <c r="D887" s="89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</row>
    <row r="888" s="1" customFormat="1" spans="1:46">
      <c r="A888" s="81"/>
      <c r="B888" s="89"/>
      <c r="C888" s="89"/>
      <c r="D888" s="89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</row>
    <row r="889" s="1" customFormat="1" spans="1:46">
      <c r="A889" s="81"/>
      <c r="B889" s="89"/>
      <c r="C889" s="89"/>
      <c r="D889" s="89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</row>
    <row r="890" s="1" customFormat="1" spans="1:46">
      <c r="A890" s="81"/>
      <c r="B890" s="89"/>
      <c r="C890" s="89"/>
      <c r="D890" s="89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</row>
    <row r="891" s="1" customFormat="1" spans="1:46">
      <c r="A891" s="81"/>
      <c r="B891" s="89"/>
      <c r="C891" s="89"/>
      <c r="D891" s="89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</row>
    <row r="892" s="1" customFormat="1" spans="1:46">
      <c r="A892" s="81"/>
      <c r="B892" s="89"/>
      <c r="C892" s="89"/>
      <c r="D892" s="89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</row>
    <row r="893" s="1" customFormat="1" spans="1:46">
      <c r="A893" s="81"/>
      <c r="B893" s="89"/>
      <c r="C893" s="89"/>
      <c r="D893" s="89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</row>
    <row r="894" s="1" customFormat="1" spans="1:46">
      <c r="A894" s="81"/>
      <c r="B894" s="89"/>
      <c r="C894" s="89"/>
      <c r="D894" s="89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</row>
    <row r="895" s="1" customFormat="1" spans="1:46">
      <c r="A895" s="81"/>
      <c r="B895" s="89"/>
      <c r="C895" s="89"/>
      <c r="D895" s="89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</row>
    <row r="896" s="1" customFormat="1" spans="1:46">
      <c r="A896" s="81"/>
      <c r="B896" s="89"/>
      <c r="C896" s="89"/>
      <c r="D896" s="89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</row>
    <row r="897" s="1" customFormat="1" spans="1:46">
      <c r="A897" s="81"/>
      <c r="B897" s="89"/>
      <c r="C897" s="89"/>
      <c r="D897" s="89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</row>
    <row r="898" s="1" customFormat="1" spans="1:46">
      <c r="A898" s="81"/>
      <c r="B898" s="89"/>
      <c r="C898" s="89"/>
      <c r="D898" s="89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</row>
    <row r="899" s="1" customFormat="1" spans="1:46">
      <c r="A899" s="81"/>
      <c r="B899" s="89"/>
      <c r="C899" s="89"/>
      <c r="D899" s="89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</row>
    <row r="900" s="1" customFormat="1" spans="1:46">
      <c r="A900" s="81"/>
      <c r="B900" s="89"/>
      <c r="C900" s="89"/>
      <c r="D900" s="89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</row>
    <row r="901" s="1" customFormat="1" spans="1:46">
      <c r="A901" s="81"/>
      <c r="B901" s="89"/>
      <c r="C901" s="89"/>
      <c r="D901" s="89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</row>
    <row r="902" s="1" customFormat="1" spans="1:46">
      <c r="A902" s="81"/>
      <c r="B902" s="89"/>
      <c r="C902" s="89"/>
      <c r="D902" s="89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</row>
    <row r="903" s="1" customFormat="1" spans="1:46">
      <c r="A903" s="81"/>
      <c r="B903" s="89"/>
      <c r="C903" s="89"/>
      <c r="D903" s="89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</row>
    <row r="904" s="1" customFormat="1" spans="1:46">
      <c r="A904" s="81"/>
      <c r="B904" s="89"/>
      <c r="C904" s="89"/>
      <c r="D904" s="89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</row>
    <row r="905" s="1" customFormat="1" spans="1:46">
      <c r="A905" s="81"/>
      <c r="B905" s="89"/>
      <c r="C905" s="89"/>
      <c r="D905" s="89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</row>
    <row r="906" s="1" customFormat="1" spans="1:46">
      <c r="A906" s="81"/>
      <c r="B906" s="89"/>
      <c r="C906" s="89"/>
      <c r="D906" s="89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</row>
    <row r="907" s="1" customFormat="1" spans="1:46">
      <c r="A907" s="81"/>
      <c r="B907" s="89"/>
      <c r="C907" s="89"/>
      <c r="D907" s="89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</row>
    <row r="908" s="1" customFormat="1" spans="1:46">
      <c r="A908" s="81"/>
      <c r="B908" s="89"/>
      <c r="C908" s="89"/>
      <c r="D908" s="89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</row>
    <row r="909" s="1" customFormat="1" spans="1:46">
      <c r="A909" s="81"/>
      <c r="B909" s="89"/>
      <c r="C909" s="89"/>
      <c r="D909" s="89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</row>
    <row r="910" s="1" customFormat="1" spans="1:46">
      <c r="A910" s="81"/>
      <c r="B910" s="89"/>
      <c r="C910" s="89"/>
      <c r="D910" s="89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</row>
    <row r="911" s="1" customFormat="1" spans="1:46">
      <c r="A911" s="81"/>
      <c r="B911" s="89"/>
      <c r="C911" s="89"/>
      <c r="D911" s="89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</row>
    <row r="912" s="1" customFormat="1" spans="1:46">
      <c r="A912" s="81"/>
      <c r="B912" s="89"/>
      <c r="C912" s="89"/>
      <c r="D912" s="89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</row>
    <row r="913" s="1" customFormat="1" spans="1:46">
      <c r="A913" s="81"/>
      <c r="B913" s="89"/>
      <c r="C913" s="89"/>
      <c r="D913" s="89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</row>
    <row r="914" s="1" customFormat="1" spans="1:46">
      <c r="A914" s="81"/>
      <c r="B914" s="89"/>
      <c r="C914" s="89"/>
      <c r="D914" s="89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</row>
    <row r="915" s="1" customFormat="1" spans="1:46">
      <c r="A915" s="81"/>
      <c r="B915" s="89"/>
      <c r="C915" s="89"/>
      <c r="D915" s="89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</row>
    <row r="916" s="1" customFormat="1" spans="1:46">
      <c r="A916" s="81"/>
      <c r="B916" s="89"/>
      <c r="C916" s="89"/>
      <c r="D916" s="89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</row>
    <row r="917" s="1" customFormat="1" spans="1:46">
      <c r="A917" s="81"/>
      <c r="B917" s="89"/>
      <c r="C917" s="89"/>
      <c r="D917" s="89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</row>
    <row r="918" s="1" customFormat="1" spans="1:46">
      <c r="A918" s="81"/>
      <c r="B918" s="89"/>
      <c r="C918" s="89"/>
      <c r="D918" s="89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</row>
    <row r="919" s="1" customFormat="1" spans="1:46">
      <c r="A919" s="81"/>
      <c r="B919" s="89"/>
      <c r="C919" s="89"/>
      <c r="D919" s="89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</row>
    <row r="920" s="1" customFormat="1" spans="1:46">
      <c r="A920" s="81"/>
      <c r="B920" s="89"/>
      <c r="C920" s="89"/>
      <c r="D920" s="89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</row>
    <row r="921" s="1" customFormat="1" spans="1:46">
      <c r="A921" s="81"/>
      <c r="B921" s="89"/>
      <c r="C921" s="89"/>
      <c r="D921" s="89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</row>
    <row r="922" s="1" customFormat="1" spans="1:46">
      <c r="A922" s="81"/>
      <c r="B922" s="89"/>
      <c r="C922" s="89"/>
      <c r="D922" s="89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</row>
    <row r="923" s="1" customFormat="1" spans="1:46">
      <c r="A923" s="81"/>
      <c r="B923" s="89"/>
      <c r="C923" s="89"/>
      <c r="D923" s="89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</row>
    <row r="924" s="1" customFormat="1" spans="1:46">
      <c r="A924" s="81"/>
      <c r="B924" s="89"/>
      <c r="C924" s="89"/>
      <c r="D924" s="89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</row>
    <row r="925" s="1" customFormat="1" spans="1:46">
      <c r="A925" s="81"/>
      <c r="B925" s="89"/>
      <c r="C925" s="89"/>
      <c r="D925" s="89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</row>
    <row r="926" s="1" customFormat="1" spans="1:46">
      <c r="A926" s="81"/>
      <c r="B926" s="89"/>
      <c r="C926" s="89"/>
      <c r="D926" s="89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</row>
    <row r="927" s="1" customFormat="1" spans="1:46">
      <c r="A927" s="81"/>
      <c r="B927" s="89"/>
      <c r="C927" s="89"/>
      <c r="D927" s="89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</row>
    <row r="928" s="1" customFormat="1" spans="1:46">
      <c r="A928" s="81"/>
      <c r="B928" s="89"/>
      <c r="C928" s="89"/>
      <c r="D928" s="89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</row>
    <row r="929" s="1" customFormat="1" spans="1:46">
      <c r="A929" s="81"/>
      <c r="B929" s="89"/>
      <c r="C929" s="89"/>
      <c r="D929" s="89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</row>
    <row r="930" s="1" customFormat="1" spans="1:46">
      <c r="A930" s="81"/>
      <c r="B930" s="89"/>
      <c r="C930" s="89"/>
      <c r="D930" s="89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</row>
    <row r="931" s="1" customFormat="1" spans="1:46">
      <c r="A931" s="81"/>
      <c r="B931" s="89"/>
      <c r="C931" s="89"/>
      <c r="D931" s="89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</row>
    <row r="932" s="1" customFormat="1" spans="1:46">
      <c r="A932" s="81"/>
      <c r="B932" s="89"/>
      <c r="C932" s="89"/>
      <c r="D932" s="89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</row>
    <row r="933" s="1" customFormat="1" spans="1:46">
      <c r="A933" s="81"/>
      <c r="B933" s="89"/>
      <c r="C933" s="89"/>
      <c r="D933" s="89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</row>
    <row r="934" s="1" customFormat="1" spans="1:46">
      <c r="A934" s="81"/>
      <c r="B934" s="89"/>
      <c r="C934" s="89"/>
      <c r="D934" s="89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</row>
    <row r="935" s="1" customFormat="1" spans="1:46">
      <c r="A935" s="81"/>
      <c r="B935" s="89"/>
      <c r="C935" s="89"/>
      <c r="D935" s="89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</row>
    <row r="936" s="1" customFormat="1" spans="1:46">
      <c r="A936" s="81"/>
      <c r="B936" s="89"/>
      <c r="C936" s="89"/>
      <c r="D936" s="89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</row>
    <row r="937" s="1" customFormat="1" spans="1:46">
      <c r="A937" s="81"/>
      <c r="B937" s="89"/>
      <c r="C937" s="89"/>
      <c r="D937" s="89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</row>
    <row r="938" s="1" customFormat="1" spans="1:46">
      <c r="A938" s="81"/>
      <c r="B938" s="89"/>
      <c r="C938" s="89"/>
      <c r="D938" s="89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</row>
    <row r="939" s="1" customFormat="1" spans="1:46">
      <c r="A939" s="81"/>
      <c r="B939" s="89"/>
      <c r="C939" s="89"/>
      <c r="D939" s="89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</row>
    <row r="940" s="1" customFormat="1" spans="1:46">
      <c r="A940" s="81"/>
      <c r="B940" s="89"/>
      <c r="C940" s="89"/>
      <c r="D940" s="89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</row>
    <row r="941" s="1" customFormat="1" spans="1:46">
      <c r="A941" s="81"/>
      <c r="B941" s="89"/>
      <c r="C941" s="89"/>
      <c r="D941" s="89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</row>
    <row r="942" s="1" customFormat="1" spans="1:46">
      <c r="A942" s="81"/>
      <c r="B942" s="89"/>
      <c r="C942" s="89"/>
      <c r="D942" s="89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</row>
    <row r="943" s="1" customFormat="1" spans="1:46">
      <c r="A943" s="81"/>
      <c r="B943" s="89"/>
      <c r="C943" s="89"/>
      <c r="D943" s="89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</row>
    <row r="944" s="1" customFormat="1" spans="1:46">
      <c r="A944" s="81"/>
      <c r="B944" s="89"/>
      <c r="C944" s="89"/>
      <c r="D944" s="89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</row>
    <row r="945" s="1" customFormat="1" spans="1:46">
      <c r="A945" s="81"/>
      <c r="B945" s="89"/>
      <c r="C945" s="89"/>
      <c r="D945" s="89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</row>
    <row r="946" s="1" customFormat="1" spans="1:46">
      <c r="A946" s="81"/>
      <c r="B946" s="89"/>
      <c r="C946" s="89"/>
      <c r="D946" s="89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</row>
    <row r="947" s="1" customFormat="1" spans="1:46">
      <c r="A947" s="81"/>
      <c r="B947" s="89"/>
      <c r="C947" s="89"/>
      <c r="D947" s="89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</row>
    <row r="948" s="1" customFormat="1" spans="1:46">
      <c r="A948" s="81"/>
      <c r="B948" s="89"/>
      <c r="C948" s="89"/>
      <c r="D948" s="89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</row>
    <row r="949" s="1" customFormat="1" spans="1:46">
      <c r="A949" s="81"/>
      <c r="B949" s="89"/>
      <c r="C949" s="89"/>
      <c r="D949" s="89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</row>
    <row r="950" s="1" customFormat="1" spans="1:46">
      <c r="A950" s="81"/>
      <c r="B950" s="89"/>
      <c r="C950" s="89"/>
      <c r="D950" s="89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</row>
    <row r="951" s="1" customFormat="1" spans="1:46">
      <c r="A951" s="81"/>
      <c r="B951" s="89"/>
      <c r="C951" s="89"/>
      <c r="D951" s="89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</row>
    <row r="952" s="1" customFormat="1" spans="1:46">
      <c r="A952" s="81"/>
      <c r="B952" s="89"/>
      <c r="C952" s="89"/>
      <c r="D952" s="89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</row>
    <row r="953" s="1" customFormat="1" spans="1:46">
      <c r="A953" s="81"/>
      <c r="B953" s="89"/>
      <c r="C953" s="89"/>
      <c r="D953" s="89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</row>
    <row r="954" s="1" customFormat="1" spans="1:46">
      <c r="A954" s="81"/>
      <c r="B954" s="89"/>
      <c r="C954" s="89"/>
      <c r="D954" s="89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</row>
    <row r="955" s="1" customFormat="1" spans="1:46">
      <c r="A955" s="81"/>
      <c r="B955" s="89"/>
      <c r="C955" s="89"/>
      <c r="D955" s="89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</row>
    <row r="956" s="1" customFormat="1" spans="1:46">
      <c r="A956" s="81"/>
      <c r="B956" s="89"/>
      <c r="C956" s="89"/>
      <c r="D956" s="89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</row>
    <row r="957" s="1" customFormat="1" spans="1:46">
      <c r="A957" s="81"/>
      <c r="B957" s="89"/>
      <c r="C957" s="89"/>
      <c r="D957" s="89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</row>
    <row r="958" s="1" customFormat="1" spans="1:46">
      <c r="A958" s="81"/>
      <c r="B958" s="89"/>
      <c r="C958" s="89"/>
      <c r="D958" s="89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</row>
    <row r="959" s="1" customFormat="1" spans="1:46">
      <c r="A959" s="81"/>
      <c r="B959" s="89"/>
      <c r="C959" s="89"/>
      <c r="D959" s="89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</row>
    <row r="960" s="1" customFormat="1" spans="1:46">
      <c r="A960" s="81"/>
      <c r="B960" s="89"/>
      <c r="C960" s="89"/>
      <c r="D960" s="89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</row>
    <row r="961" s="1" customFormat="1" spans="1:46">
      <c r="A961" s="81"/>
      <c r="B961" s="89"/>
      <c r="C961" s="89"/>
      <c r="D961" s="89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</row>
    <row r="962" s="1" customFormat="1" spans="1:46">
      <c r="A962" s="81"/>
      <c r="B962" s="89"/>
      <c r="C962" s="89"/>
      <c r="D962" s="89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</row>
    <row r="963" s="1" customFormat="1" spans="1:46">
      <c r="A963" s="81"/>
      <c r="B963" s="89"/>
      <c r="C963" s="89"/>
      <c r="D963" s="89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</row>
    <row r="964" s="1" customFormat="1" spans="1:46">
      <c r="A964" s="81"/>
      <c r="B964" s="89"/>
      <c r="C964" s="89"/>
      <c r="D964" s="89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</row>
    <row r="965" s="1" customFormat="1" spans="1:46">
      <c r="A965" s="81"/>
      <c r="B965" s="89"/>
      <c r="C965" s="89"/>
      <c r="D965" s="89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</row>
    <row r="966" s="1" customFormat="1" spans="1:46">
      <c r="A966" s="81"/>
      <c r="B966" s="89"/>
      <c r="C966" s="89"/>
      <c r="D966" s="89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</row>
    <row r="967" s="1" customFormat="1" spans="1:46">
      <c r="A967" s="81"/>
      <c r="B967" s="89"/>
      <c r="C967" s="89"/>
      <c r="D967" s="89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</row>
    <row r="968" s="1" customFormat="1" spans="1:46">
      <c r="A968" s="81"/>
      <c r="B968" s="89"/>
      <c r="C968" s="89"/>
      <c r="D968" s="89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</row>
    <row r="969" s="1" customFormat="1" spans="1:46">
      <c r="A969" s="81"/>
      <c r="B969" s="89"/>
      <c r="C969" s="89"/>
      <c r="D969" s="89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</row>
    <row r="970" s="1" customFormat="1" spans="1:46">
      <c r="A970" s="81"/>
      <c r="B970" s="89"/>
      <c r="C970" s="89"/>
      <c r="D970" s="89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</row>
    <row r="971" s="1" customFormat="1" spans="1:46">
      <c r="A971" s="81"/>
      <c r="B971" s="89"/>
      <c r="C971" s="89"/>
      <c r="D971" s="89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</row>
    <row r="972" s="1" customFormat="1" spans="1:46">
      <c r="A972" s="81"/>
      <c r="B972" s="89"/>
      <c r="C972" s="89"/>
      <c r="D972" s="89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</row>
    <row r="973" s="1" customFormat="1" spans="1:46">
      <c r="A973" s="81"/>
      <c r="B973" s="89"/>
      <c r="C973" s="89"/>
      <c r="D973" s="89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</row>
    <row r="974" s="1" customFormat="1" spans="1:46">
      <c r="A974" s="81"/>
      <c r="B974" s="89"/>
      <c r="C974" s="89"/>
      <c r="D974" s="89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</row>
    <row r="975" s="1" customFormat="1" spans="1:46">
      <c r="A975" s="81"/>
      <c r="B975" s="89"/>
      <c r="C975" s="89"/>
      <c r="D975" s="89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</row>
  </sheetData>
  <autoFilter xmlns:etc="http://www.wps.cn/officeDocument/2017/etCustomData" ref="A1:AT106" etc:filterBottomFollowUsedRange="0">
    <filterColumn colId="14">
      <filters>
        <filter val="1"/>
      </filters>
    </filterColumn>
    <extLst/>
  </autoFilter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Data_for_analyzis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google1599737165</cp:lastModifiedBy>
  <dcterms:created xsi:type="dcterms:W3CDTF">2024-09-07T08:17:00Z</dcterms:created>
  <cp:lastPrinted>2024-11-13T09:28:00Z</cp:lastPrinted>
  <dcterms:modified xsi:type="dcterms:W3CDTF">2025-11-09T18:28:58Z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1049-12.2.0.23155</vt:lpwstr>
  </property>
  <property fmtid="{D5CDD505-2E9C-101B-9397-08002B2CF9AE}" pid="3" name="ICV">
    <vt:lpwstr>8BE3EE1F401B416C96062526EB293009_13</vt:lpwstr>
  </property>
</Properties>
</file>